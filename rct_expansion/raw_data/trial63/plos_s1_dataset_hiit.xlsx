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/Users/amandalira/Dropbox/NOSSAS ANÁLISES ESTATÍSTICAS - ESTUDOS AGUDO E CRÔNICO/NATALIA/Paper Chronic Study/"/>
    </mc:Choice>
  </mc:AlternateContent>
  <xr:revisionPtr revIDLastSave="0" documentId="13_ncr:1_{1C1CB116-785D-4F44-A8A8-8EE8E1516E22}" xr6:coauthVersionLast="47" xr6:coauthVersionMax="47" xr10:uidLastSave="{00000000-0000-0000-0000-000000000000}"/>
  <bookViews>
    <workbookView xWindow="600" yWindow="1360" windowWidth="28080" windowHeight="14160" xr2:uid="{FF70F763-5C0D-F746-A193-46A4884AAA74}"/>
  </bookViews>
  <sheets>
    <sheet name="Table 1" sheetId="70" r:id="rId1"/>
    <sheet name="Table 2" sheetId="65" r:id="rId2"/>
    <sheet name="Table 3" sheetId="68" r:id="rId3"/>
    <sheet name="Table 4" sheetId="5" r:id="rId4"/>
    <sheet name="Table 5" sheetId="69" r:id="rId5"/>
    <sheet name="Table S1" sheetId="6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" i="5"/>
  <c r="X23" i="68" l="1"/>
  <c r="U23" i="68"/>
  <c r="X22" i="68"/>
  <c r="U22" i="68"/>
  <c r="X21" i="68"/>
  <c r="U21" i="68"/>
  <c r="X20" i="68"/>
  <c r="U20" i="68"/>
  <c r="X19" i="68"/>
  <c r="U19" i="68"/>
  <c r="X18" i="68"/>
  <c r="U18" i="68"/>
  <c r="X17" i="68"/>
  <c r="U17" i="68"/>
  <c r="X16" i="68"/>
  <c r="U16" i="68"/>
  <c r="X15" i="68"/>
  <c r="U15" i="68"/>
  <c r="X14" i="68"/>
  <c r="U14" i="68"/>
  <c r="X13" i="68"/>
  <c r="U13" i="68"/>
  <c r="X12" i="68"/>
  <c r="U12" i="68"/>
  <c r="X11" i="68"/>
  <c r="U11" i="68"/>
  <c r="X10" i="68"/>
  <c r="U10" i="68"/>
  <c r="X9" i="68"/>
  <c r="U9" i="68"/>
  <c r="X8" i="68"/>
  <c r="U8" i="68"/>
  <c r="X7" i="68"/>
  <c r="U7" i="68"/>
  <c r="X6" i="68"/>
  <c r="U6" i="68"/>
  <c r="X5" i="68"/>
  <c r="U5" i="68"/>
  <c r="X4" i="68"/>
  <c r="U4" i="68"/>
  <c r="X3" i="68"/>
  <c r="U3" i="68"/>
  <c r="X2" i="68"/>
  <c r="U2" i="68"/>
</calcChain>
</file>

<file path=xl/sharedStrings.xml><?xml version="1.0" encoding="utf-8"?>
<sst xmlns="http://schemas.openxmlformats.org/spreadsheetml/2006/main" count="111" uniqueCount="99">
  <si>
    <t>Total Work Max Rep (J) i</t>
  </si>
  <si>
    <t>Total Work Max Rep (J) f</t>
  </si>
  <si>
    <t>WRK/BODY/WEIGHT (%) i</t>
  </si>
  <si>
    <t>WRK/BODY/WEIGHT (%) f</t>
  </si>
  <si>
    <t>Total Work (J) i</t>
  </si>
  <si>
    <t>Total Work (J) f</t>
  </si>
  <si>
    <t>AVG POWER (W) i</t>
  </si>
  <si>
    <t>AVG POWER (W) f</t>
  </si>
  <si>
    <t>HR AT (bpm) i</t>
  </si>
  <si>
    <t>HR AT (bpm) f</t>
  </si>
  <si>
    <t>HR RC (bpm) i</t>
  </si>
  <si>
    <t>HR RC (bpm) f</t>
  </si>
  <si>
    <t>VO2 AT (ml/kg/min) i</t>
  </si>
  <si>
    <t>VO2 AT (ml/kg/min) f</t>
  </si>
  <si>
    <t>VO2 RC (ml/kg/min) i</t>
  </si>
  <si>
    <t>VO2 RC (ml/kg/min) f</t>
  </si>
  <si>
    <t>Slope (VE/VCO2) i</t>
  </si>
  <si>
    <t>Slope (VE/VCO2) f</t>
  </si>
  <si>
    <t>∆diameter_rest</t>
  </si>
  <si>
    <t>∆peak_diameter</t>
  </si>
  <si>
    <t>∆FMD</t>
  </si>
  <si>
    <t>Age</t>
  </si>
  <si>
    <t>MIP (cmH2O) i</t>
  </si>
  <si>
    <t>FEV1 (L) i</t>
  </si>
  <si>
    <t>FVC (L) i</t>
  </si>
  <si>
    <t>%FVE1/FVC i</t>
  </si>
  <si>
    <t>AH (1) YES (2) NO</t>
  </si>
  <si>
    <t>CAD (1) YES (2) NO</t>
  </si>
  <si>
    <t>DM (1) YES (2) NO</t>
  </si>
  <si>
    <t>DLP (1) YES (2) NO</t>
  </si>
  <si>
    <t>ICD OR CP (1) YES (2) NO</t>
  </si>
  <si>
    <t>ByPass Surgery (1) YES (2) NO</t>
  </si>
  <si>
    <t>Coronary Angioplasty (1) YES (2) NO</t>
  </si>
  <si>
    <t>GENDER (1) M (2) W</t>
  </si>
  <si>
    <t>Group (1) HIIT (2) CRT (3) CG</t>
  </si>
  <si>
    <t>Classification BMI (1) normal (2) over (3) obesity</t>
  </si>
  <si>
    <t xml:space="preserve">NYHA (1) I (2) II (3) III </t>
  </si>
  <si>
    <t>Webber (1) A (2) B (3) C  (4) D</t>
  </si>
  <si>
    <t>LVEF%</t>
  </si>
  <si>
    <t>Classification EF (1) reduced (2) preserved (3) mid</t>
  </si>
  <si>
    <t>peak VO2 (ml/kg/min) i</t>
  </si>
  <si>
    <t>peak VO2 (ml/min) i</t>
  </si>
  <si>
    <t>Etiology (1) ischaemic (2) hypertension (4) idiophatic (5) valvar</t>
  </si>
  <si>
    <t>Beta-blocker (1) YES (2) NO</t>
  </si>
  <si>
    <t>ACE-INHIBITORS (1) YES (2) NO</t>
  </si>
  <si>
    <t>Angio Recep Blockers (1) YES (2) NO</t>
  </si>
  <si>
    <t>Loop diuretics (YES) (2) NO</t>
  </si>
  <si>
    <t>Antiplatelet (YES) (2) NO</t>
  </si>
  <si>
    <t>Statins (YES) (2) NO</t>
  </si>
  <si>
    <t>Caronary vasodilators (1) YES (2) NO</t>
  </si>
  <si>
    <t>Aantiarrythmic (YES) (2) NO</t>
  </si>
  <si>
    <t>Anticoagulants (YES) (2) NO</t>
  </si>
  <si>
    <t>Antidiabetic (YES) (2) NO</t>
  </si>
  <si>
    <t>PATIENT</t>
  </si>
  <si>
    <t>FAT MASS  (%)  i</t>
  </si>
  <si>
    <t>FAT MASS  (%)  f</t>
  </si>
  <si>
    <t>LEAN MASS  (%)  i</t>
  </si>
  <si>
    <t>LEAN MASS  (%)  f</t>
  </si>
  <si>
    <t>diameter_rest_mm_i</t>
  </si>
  <si>
    <t>diameter_rest_f</t>
  </si>
  <si>
    <t>peak_diameter_i</t>
  </si>
  <si>
    <t>peak_diameter_f</t>
  </si>
  <si>
    <t>FMD(%)_i</t>
  </si>
  <si>
    <t>FMD(%)_f</t>
  </si>
  <si>
    <t>Exercise duration i (min)</t>
  </si>
  <si>
    <t>Exercise duration f (min)</t>
  </si>
  <si>
    <t>Peak Power output (Watts) i</t>
  </si>
  <si>
    <t>Peak Power output (Watts) f</t>
  </si>
  <si>
    <t>peak RER i</t>
  </si>
  <si>
    <t>peak RER f</t>
  </si>
  <si>
    <t>peak HR (bpm) i</t>
  </si>
  <si>
    <t>peak HR (bpm) f</t>
  </si>
  <si>
    <t>peak VO2 (ml/kg/min) f</t>
  </si>
  <si>
    <t>∆ peak VO2pico</t>
  </si>
  <si>
    <t>∆ peak VO2 (ml/min)</t>
  </si>
  <si>
    <t>peak VO2 (ml/min) f</t>
  </si>
  <si>
    <t>peak METs i</t>
  </si>
  <si>
    <t>peak METs f</t>
  </si>
  <si>
    <t>Peak torque Isok. (Nm) i</t>
  </si>
  <si>
    <t>Peak torque Isok. (Nm) f</t>
  </si>
  <si>
    <t>∆ PT isok</t>
  </si>
  <si>
    <t>Peak TQ/BW Isok. (%) i</t>
  </si>
  <si>
    <t>Peak TQ/BW Isok. (%) f</t>
  </si>
  <si>
    <t>Fatigue (%) i</t>
  </si>
  <si>
    <t>Fatigue (%) f</t>
  </si>
  <si>
    <t>Balance i (score)</t>
  </si>
  <si>
    <t>Balance f (score)</t>
  </si>
  <si>
    <t>WalkingVelocity i (score)</t>
  </si>
  <si>
    <t>WalkingVelocity f (score)</t>
  </si>
  <si>
    <t>Standup i (score)</t>
  </si>
  <si>
    <t>Standup f (score)</t>
  </si>
  <si>
    <t>Total i</t>
  </si>
  <si>
    <t>Total f</t>
  </si>
  <si>
    <t>∆ Total</t>
  </si>
  <si>
    <t>Walking velocity i (sec)</t>
  </si>
  <si>
    <t>Walking velocity f (sec)</t>
  </si>
  <si>
    <t>Stand up i (sec)</t>
  </si>
  <si>
    <t>Stand up f (sec)</t>
  </si>
  <si>
    <t>Cycling Peak Power Output (Watts)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</si>
</sst>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 (Corpo)"/>
    </font>
    <font>
      <sz val="12"/>
      <color theme="1"/>
      <name val="Calibri (Corpo)"/>
    </font>
    <font>
      <sz val="11"/>
      <color theme="1"/>
      <name val="Calibri (Corpo)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/>
    <xf numFmtId="1" fontId="3" fillId="0" borderId="0" xfId="0" applyNumberFormat="1" applyFont="1" applyAlignment="1">
      <alignment horizontal="center" vertical="center"/>
    </xf>
    <xf numFmtId="2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3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top"/>
    </xf>
    <xf numFmtId="1" fontId="1" fillId="0" borderId="0" xfId="1" applyNumberFormat="1" applyFont="1" applyFill="1" applyBorder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1" fontId="3" fillId="0" borderId="0" xfId="1" applyNumberFormat="1" applyFont="1" applyFill="1" applyBorder="1" applyAlignment="1">
      <alignment horizontal="center" vertical="top"/>
    </xf>
    <xf numFmtId="1" fontId="3" fillId="0" borderId="0" xfId="0" applyNumberFormat="1" applyFont="1" applyAlignment="1">
      <alignment horizontal="center" vertical="top"/>
    </xf>
    <xf numFmtId="1" fontId="7" fillId="0" borderId="0" xfId="1" applyNumberFormat="1" applyFont="1" applyFill="1" applyBorder="1" applyAlignment="1">
      <alignment horizontal="center" vertical="top"/>
    </xf>
    <xf numFmtId="2" fontId="1" fillId="0" borderId="0" xfId="0" applyNumberFormat="1" applyFont="1" applyFill="1" applyAlignment="1">
      <alignment horizontal="center" vertical="center" wrapText="1"/>
    </xf>
    <xf numFmtId="2" fontId="1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/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Fill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2" fontId="10" fillId="0" borderId="0" xfId="0" applyNumberFormat="1" applyFont="1" applyAlignment="1">
      <alignment horizontal="center"/>
    </xf>
    <xf numFmtId="2" fontId="10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/>
    <xf numFmtId="0" fontId="10" fillId="0" borderId="0" xfId="0" applyFont="1" applyFill="1" applyAlignment="1">
      <alignment horizontal="center" vertical="center"/>
    </xf>
    <xf numFmtId="0" fontId="10" fillId="0" borderId="0" xfId="0" applyFont="1" applyFill="1"/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CA5F-3344-8C48-8237-A3B6198145D3}">
  <dimension ref="A1:AH26"/>
  <sheetViews>
    <sheetView tabSelected="1"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9" sqref="B9"/>
    </sheetView>
  </sheetViews>
  <sheetFormatPr baseColWidth="10" defaultRowHeight="16" x14ac:dyDescent="0.2"/>
  <cols>
    <col min="1" max="1" width="10.83203125" style="10"/>
    <col min="2" max="2" width="23.6640625" style="1" customWidth="1"/>
    <col min="3" max="3" width="16.5" style="2" customWidth="1"/>
    <col min="4" max="4" width="14.83203125" style="1" customWidth="1"/>
    <col min="5" max="5" width="19.6640625" style="1" customWidth="1"/>
    <col min="6" max="6" width="17.6640625" style="1" customWidth="1"/>
    <col min="7" max="7" width="23" style="1" customWidth="1"/>
    <col min="8" max="8" width="14.83203125" style="2" customWidth="1"/>
    <col min="9" max="9" width="38.83203125" style="1" customWidth="1"/>
    <col min="10" max="10" width="19.1640625" customWidth="1"/>
    <col min="11" max="11" width="16.83203125" customWidth="1"/>
    <col min="12" max="12" width="28.83203125" customWidth="1"/>
    <col min="13" max="13" width="16.33203125" style="37" customWidth="1"/>
    <col min="14" max="16" width="10.83203125" style="37"/>
    <col min="17" max="17" width="48.1640625" style="1" customWidth="1"/>
    <col min="18" max="21" width="14.83203125" style="1" customWidth="1"/>
    <col min="22" max="22" width="19.33203125" style="20" customWidth="1"/>
    <col min="23" max="23" width="24.83203125" style="1" customWidth="1"/>
    <col min="24" max="24" width="28.1640625" style="1" customWidth="1"/>
    <col min="25" max="25" width="26.33203125" style="1" bestFit="1" customWidth="1"/>
    <col min="26" max="26" width="23.83203125" style="1" customWidth="1"/>
    <col min="27" max="27" width="30" style="1" customWidth="1"/>
    <col min="28" max="28" width="22" style="1" customWidth="1"/>
    <col min="29" max="29" width="20.1640625" style="1" customWidth="1"/>
    <col min="30" max="31" width="14.83203125" style="1" customWidth="1"/>
    <col min="32" max="32" width="23.5" style="1" customWidth="1"/>
    <col min="33" max="33" width="22.83203125" style="1" customWidth="1"/>
    <col min="34" max="34" width="20.1640625" style="1" customWidth="1"/>
  </cols>
  <sheetData>
    <row r="1" spans="1:34" ht="48" x14ac:dyDescent="0.2">
      <c r="A1" s="57" t="s">
        <v>53</v>
      </c>
      <c r="B1" s="12" t="s">
        <v>34</v>
      </c>
      <c r="C1" s="12" t="s">
        <v>33</v>
      </c>
      <c r="D1" s="12" t="s">
        <v>21</v>
      </c>
      <c r="E1" s="24" t="s">
        <v>35</v>
      </c>
      <c r="F1" s="12" t="s">
        <v>36</v>
      </c>
      <c r="G1" s="12" t="s">
        <v>37</v>
      </c>
      <c r="H1" s="12" t="s">
        <v>38</v>
      </c>
      <c r="I1" s="12" t="s">
        <v>39</v>
      </c>
      <c r="J1" s="40" t="s">
        <v>40</v>
      </c>
      <c r="K1" s="40" t="s">
        <v>41</v>
      </c>
      <c r="L1" s="40" t="s">
        <v>98</v>
      </c>
      <c r="M1" s="36" t="s">
        <v>22</v>
      </c>
      <c r="N1" s="36" t="s">
        <v>23</v>
      </c>
      <c r="O1" s="36" t="s">
        <v>24</v>
      </c>
      <c r="P1" s="36" t="s">
        <v>25</v>
      </c>
      <c r="Q1" s="36" t="s">
        <v>42</v>
      </c>
      <c r="R1" s="12" t="s">
        <v>27</v>
      </c>
      <c r="S1" s="24" t="s">
        <v>26</v>
      </c>
      <c r="T1" s="12" t="s">
        <v>28</v>
      </c>
      <c r="U1" s="12" t="s">
        <v>29</v>
      </c>
      <c r="V1" s="36" t="s">
        <v>30</v>
      </c>
      <c r="W1" s="12" t="s">
        <v>31</v>
      </c>
      <c r="X1" s="12" t="s">
        <v>32</v>
      </c>
      <c r="Y1" s="12" t="s">
        <v>43</v>
      </c>
      <c r="Z1" s="12" t="s">
        <v>44</v>
      </c>
      <c r="AA1" s="12" t="s">
        <v>45</v>
      </c>
      <c r="AB1" s="12" t="s">
        <v>46</v>
      </c>
      <c r="AC1" s="12" t="s">
        <v>47</v>
      </c>
      <c r="AD1" s="12" t="s">
        <v>48</v>
      </c>
      <c r="AE1" s="24" t="s">
        <v>49</v>
      </c>
      <c r="AF1" s="12" t="s">
        <v>50</v>
      </c>
      <c r="AG1" s="12" t="s">
        <v>51</v>
      </c>
      <c r="AH1" s="12" t="s">
        <v>52</v>
      </c>
    </row>
    <row r="2" spans="1:34" x14ac:dyDescent="0.2">
      <c r="A2" s="10">
        <v>1</v>
      </c>
      <c r="B2" s="3">
        <v>1</v>
      </c>
      <c r="C2" s="3">
        <v>2</v>
      </c>
      <c r="D2" s="3">
        <v>57</v>
      </c>
      <c r="E2" s="26">
        <v>1</v>
      </c>
      <c r="F2" s="26">
        <v>1</v>
      </c>
      <c r="G2" s="2">
        <v>1</v>
      </c>
      <c r="H2" s="2">
        <v>34</v>
      </c>
      <c r="I2" s="3">
        <v>1</v>
      </c>
      <c r="J2" s="45">
        <v>22.5</v>
      </c>
      <c r="K2" s="45">
        <v>1578</v>
      </c>
      <c r="L2" s="45">
        <v>100</v>
      </c>
      <c r="M2" s="22">
        <v>68.8</v>
      </c>
      <c r="N2" s="38">
        <v>2.82</v>
      </c>
      <c r="O2" s="38">
        <v>4.3499999999999996</v>
      </c>
      <c r="P2" s="38">
        <v>65</v>
      </c>
      <c r="Q2" s="3">
        <v>1</v>
      </c>
      <c r="R2" s="3">
        <v>1</v>
      </c>
      <c r="S2" s="27">
        <v>2</v>
      </c>
      <c r="T2" s="28">
        <v>1</v>
      </c>
      <c r="U2" s="28">
        <v>1</v>
      </c>
      <c r="V2" s="39">
        <v>1</v>
      </c>
      <c r="W2" s="26">
        <v>2</v>
      </c>
      <c r="X2" s="3">
        <v>2</v>
      </c>
      <c r="Y2" s="26">
        <v>1</v>
      </c>
      <c r="Z2" s="26">
        <v>1</v>
      </c>
      <c r="AA2" s="26">
        <v>1</v>
      </c>
      <c r="AB2" s="26">
        <v>1</v>
      </c>
      <c r="AC2" s="26">
        <v>2</v>
      </c>
      <c r="AD2" s="26">
        <v>1</v>
      </c>
      <c r="AE2" s="26">
        <v>2</v>
      </c>
      <c r="AF2" s="26">
        <v>2</v>
      </c>
      <c r="AG2" s="26">
        <v>1</v>
      </c>
      <c r="AH2" s="26">
        <v>1</v>
      </c>
    </row>
    <row r="3" spans="1:34" x14ac:dyDescent="0.2">
      <c r="A3" s="10">
        <v>2</v>
      </c>
      <c r="B3" s="3">
        <v>1</v>
      </c>
      <c r="C3" s="3">
        <v>2</v>
      </c>
      <c r="D3" s="26">
        <v>51</v>
      </c>
      <c r="E3" s="26">
        <v>3</v>
      </c>
      <c r="F3" s="26">
        <v>1</v>
      </c>
      <c r="G3" s="2">
        <v>1</v>
      </c>
      <c r="H3" s="2">
        <v>61</v>
      </c>
      <c r="I3" s="3">
        <v>2</v>
      </c>
      <c r="J3" s="45">
        <v>23.3</v>
      </c>
      <c r="K3" s="45">
        <v>2165</v>
      </c>
      <c r="L3" s="45">
        <v>144</v>
      </c>
      <c r="M3" s="22">
        <v>121.17</v>
      </c>
      <c r="N3" s="22">
        <v>2.5299999999999998</v>
      </c>
      <c r="O3" s="22">
        <v>3.87</v>
      </c>
      <c r="P3" s="22">
        <v>65</v>
      </c>
      <c r="Q3" s="3">
        <v>1</v>
      </c>
      <c r="R3" s="3">
        <v>2</v>
      </c>
      <c r="S3" s="33">
        <v>1</v>
      </c>
      <c r="T3" s="28">
        <v>1</v>
      </c>
      <c r="U3" s="28">
        <v>1</v>
      </c>
      <c r="V3" s="39">
        <v>2</v>
      </c>
      <c r="W3" s="26">
        <v>2</v>
      </c>
      <c r="X3" s="3">
        <v>2</v>
      </c>
      <c r="Y3" s="26">
        <v>2</v>
      </c>
      <c r="Z3" s="26">
        <v>2</v>
      </c>
      <c r="AA3" s="26">
        <v>2</v>
      </c>
      <c r="AB3" s="26">
        <v>1</v>
      </c>
      <c r="AC3" s="26">
        <v>2</v>
      </c>
      <c r="AD3" s="26">
        <v>2</v>
      </c>
      <c r="AE3" s="26">
        <v>1</v>
      </c>
      <c r="AF3" s="26">
        <v>2</v>
      </c>
      <c r="AG3" s="26">
        <v>2</v>
      </c>
      <c r="AH3" s="26">
        <v>1</v>
      </c>
    </row>
    <row r="4" spans="1:34" x14ac:dyDescent="0.2">
      <c r="A4" s="10">
        <v>3</v>
      </c>
      <c r="B4" s="7">
        <v>1</v>
      </c>
      <c r="C4" s="7">
        <v>2</v>
      </c>
      <c r="D4" s="7">
        <v>79</v>
      </c>
      <c r="E4" s="7">
        <v>3</v>
      </c>
      <c r="F4" s="7">
        <v>3</v>
      </c>
      <c r="G4" s="2">
        <v>3</v>
      </c>
      <c r="H4" s="7">
        <v>65</v>
      </c>
      <c r="I4" s="7">
        <v>2</v>
      </c>
      <c r="J4" s="45">
        <v>15.4</v>
      </c>
      <c r="K4" s="45">
        <v>1308</v>
      </c>
      <c r="L4" s="45">
        <v>80</v>
      </c>
      <c r="M4" s="25">
        <v>26.66</v>
      </c>
      <c r="N4" s="38">
        <v>2.2400000000000002</v>
      </c>
      <c r="O4" s="38">
        <v>2.79</v>
      </c>
      <c r="P4" s="25">
        <v>80</v>
      </c>
      <c r="Q4" s="7">
        <v>2</v>
      </c>
      <c r="R4" s="7">
        <v>2</v>
      </c>
      <c r="S4" s="7">
        <v>1</v>
      </c>
      <c r="T4" s="7">
        <v>2</v>
      </c>
      <c r="U4" s="7">
        <v>2</v>
      </c>
      <c r="V4" s="18">
        <v>2</v>
      </c>
      <c r="W4" s="7">
        <v>2</v>
      </c>
      <c r="X4" s="7">
        <v>2</v>
      </c>
      <c r="Y4" s="7">
        <v>1</v>
      </c>
      <c r="Z4" s="7">
        <v>2</v>
      </c>
      <c r="AA4" s="7">
        <v>2</v>
      </c>
      <c r="AB4" s="7">
        <v>1</v>
      </c>
      <c r="AC4" s="7">
        <v>1</v>
      </c>
      <c r="AD4" s="7">
        <v>1</v>
      </c>
      <c r="AE4" s="7">
        <v>1</v>
      </c>
      <c r="AF4" s="7">
        <v>2</v>
      </c>
      <c r="AG4" s="7">
        <v>2</v>
      </c>
      <c r="AH4" s="7">
        <v>2</v>
      </c>
    </row>
    <row r="5" spans="1:34" x14ac:dyDescent="0.2">
      <c r="A5" s="10">
        <v>4</v>
      </c>
      <c r="B5" s="3">
        <v>1</v>
      </c>
      <c r="C5" s="7">
        <v>1</v>
      </c>
      <c r="D5" s="7">
        <v>66</v>
      </c>
      <c r="E5" s="7">
        <v>1</v>
      </c>
      <c r="F5" s="7">
        <v>3</v>
      </c>
      <c r="G5" s="2">
        <v>3</v>
      </c>
      <c r="H5" s="7">
        <v>57</v>
      </c>
      <c r="I5" s="7">
        <v>2</v>
      </c>
      <c r="J5" s="45">
        <v>12.9</v>
      </c>
      <c r="K5" s="45">
        <v>985</v>
      </c>
      <c r="L5" s="45">
        <v>71</v>
      </c>
      <c r="M5" s="25">
        <v>48.63</v>
      </c>
      <c r="N5" s="38">
        <v>1.59</v>
      </c>
      <c r="O5" s="38">
        <v>2.59</v>
      </c>
      <c r="P5" s="38">
        <v>61</v>
      </c>
      <c r="Q5" s="7">
        <v>1</v>
      </c>
      <c r="R5" s="7">
        <v>2</v>
      </c>
      <c r="S5" s="7">
        <v>2</v>
      </c>
      <c r="T5" s="7">
        <v>2</v>
      </c>
      <c r="U5" s="7">
        <v>2</v>
      </c>
      <c r="V5" s="39">
        <v>1</v>
      </c>
      <c r="W5" s="7">
        <v>2</v>
      </c>
      <c r="X5" s="7">
        <v>2</v>
      </c>
      <c r="Y5" s="7">
        <v>1</v>
      </c>
      <c r="Z5" s="7">
        <v>1</v>
      </c>
      <c r="AA5" s="7">
        <v>2</v>
      </c>
      <c r="AB5" s="7">
        <v>2</v>
      </c>
      <c r="AC5" s="7">
        <v>2</v>
      </c>
      <c r="AD5" s="7">
        <v>2</v>
      </c>
      <c r="AE5" s="7">
        <v>2</v>
      </c>
      <c r="AF5" s="7">
        <v>1</v>
      </c>
      <c r="AG5" s="7">
        <v>2</v>
      </c>
      <c r="AH5" s="7">
        <v>2</v>
      </c>
    </row>
    <row r="6" spans="1:34" x14ac:dyDescent="0.2">
      <c r="A6" s="10">
        <v>5</v>
      </c>
      <c r="B6" s="3">
        <v>1</v>
      </c>
      <c r="C6" s="7">
        <v>1</v>
      </c>
      <c r="D6" s="7">
        <v>69</v>
      </c>
      <c r="E6" s="7">
        <v>1</v>
      </c>
      <c r="F6" s="7">
        <v>1</v>
      </c>
      <c r="G6" s="2">
        <v>1</v>
      </c>
      <c r="H6" s="11">
        <v>62</v>
      </c>
      <c r="I6" s="7">
        <v>2</v>
      </c>
      <c r="J6" s="45">
        <v>21.4</v>
      </c>
      <c r="K6" s="45">
        <v>1218</v>
      </c>
      <c r="L6" s="45">
        <v>85</v>
      </c>
      <c r="M6" s="25">
        <v>84.61</v>
      </c>
      <c r="N6" s="38">
        <v>1.3</v>
      </c>
      <c r="O6" s="38">
        <v>2</v>
      </c>
      <c r="P6" s="38">
        <v>65</v>
      </c>
      <c r="Q6" s="7">
        <v>1</v>
      </c>
      <c r="R6" s="7">
        <v>1</v>
      </c>
      <c r="S6" s="7">
        <v>2</v>
      </c>
      <c r="T6" s="7">
        <v>2</v>
      </c>
      <c r="U6" s="7">
        <v>1</v>
      </c>
      <c r="V6" s="18">
        <v>2</v>
      </c>
      <c r="W6" s="7">
        <v>2</v>
      </c>
      <c r="X6" s="7">
        <v>2</v>
      </c>
      <c r="Y6" s="7">
        <v>1</v>
      </c>
      <c r="Z6" s="7">
        <v>2</v>
      </c>
      <c r="AA6" s="7">
        <v>2</v>
      </c>
      <c r="AB6" s="7">
        <v>2</v>
      </c>
      <c r="AC6" s="7">
        <v>1</v>
      </c>
      <c r="AD6" s="7">
        <v>1</v>
      </c>
      <c r="AE6" s="7">
        <v>2</v>
      </c>
      <c r="AF6" s="7">
        <v>2</v>
      </c>
      <c r="AG6" s="7">
        <v>2</v>
      </c>
      <c r="AH6" s="7">
        <v>2</v>
      </c>
    </row>
    <row r="7" spans="1:34" x14ac:dyDescent="0.2">
      <c r="A7" s="10">
        <v>6</v>
      </c>
      <c r="B7" s="3">
        <v>1</v>
      </c>
      <c r="C7" s="2">
        <v>2</v>
      </c>
      <c r="D7" s="3">
        <v>53</v>
      </c>
      <c r="E7" s="7">
        <v>3</v>
      </c>
      <c r="F7" s="2">
        <v>2</v>
      </c>
      <c r="G7" s="2">
        <v>2</v>
      </c>
      <c r="H7" s="2">
        <v>66</v>
      </c>
      <c r="I7" s="11">
        <v>2</v>
      </c>
      <c r="J7" s="45">
        <v>16.100000000000001</v>
      </c>
      <c r="K7" s="45">
        <v>1852</v>
      </c>
      <c r="L7" s="45">
        <v>126</v>
      </c>
      <c r="M7" s="35">
        <v>131.72</v>
      </c>
      <c r="N7" s="38">
        <v>3.16</v>
      </c>
      <c r="O7" s="38">
        <v>4.1100000000000003</v>
      </c>
      <c r="P7" s="38">
        <v>77</v>
      </c>
      <c r="Q7" s="2">
        <v>1</v>
      </c>
      <c r="R7" s="7">
        <v>1</v>
      </c>
      <c r="S7" s="7">
        <v>1</v>
      </c>
      <c r="T7" s="7">
        <v>1</v>
      </c>
      <c r="U7" s="7">
        <v>1</v>
      </c>
      <c r="V7" s="18">
        <v>1</v>
      </c>
      <c r="W7" s="7">
        <v>2</v>
      </c>
      <c r="X7" s="7">
        <v>1</v>
      </c>
      <c r="Y7" s="7">
        <v>1</v>
      </c>
      <c r="Z7" s="7">
        <v>1</v>
      </c>
      <c r="AA7" s="7">
        <v>2</v>
      </c>
      <c r="AB7" s="7">
        <v>1</v>
      </c>
      <c r="AC7" s="7">
        <v>1</v>
      </c>
      <c r="AD7" s="7">
        <v>2</v>
      </c>
      <c r="AE7" s="7">
        <v>2</v>
      </c>
      <c r="AF7" s="7">
        <v>2</v>
      </c>
      <c r="AG7" s="7">
        <v>2</v>
      </c>
      <c r="AH7" s="7">
        <v>2</v>
      </c>
    </row>
    <row r="8" spans="1:34" x14ac:dyDescent="0.2">
      <c r="A8" s="10">
        <v>7</v>
      </c>
      <c r="B8" s="3">
        <v>1</v>
      </c>
      <c r="C8" s="2">
        <v>2</v>
      </c>
      <c r="D8" s="3">
        <v>59</v>
      </c>
      <c r="E8" s="2">
        <v>3</v>
      </c>
      <c r="F8" s="2">
        <v>2</v>
      </c>
      <c r="G8" s="2">
        <v>3</v>
      </c>
      <c r="H8" s="2">
        <v>22</v>
      </c>
      <c r="I8" s="2">
        <v>1</v>
      </c>
      <c r="J8" s="45">
        <v>13.9</v>
      </c>
      <c r="K8" s="45">
        <v>1392</v>
      </c>
      <c r="L8" s="44">
        <v>97</v>
      </c>
      <c r="M8" s="25">
        <v>105.24</v>
      </c>
      <c r="N8" s="38">
        <v>2.29</v>
      </c>
      <c r="O8" s="38">
        <v>2.85</v>
      </c>
      <c r="P8" s="38">
        <v>80</v>
      </c>
      <c r="Q8" s="3">
        <v>4</v>
      </c>
      <c r="R8" s="7">
        <v>1</v>
      </c>
      <c r="S8" s="2">
        <v>2</v>
      </c>
      <c r="T8" s="2">
        <v>2</v>
      </c>
      <c r="U8" s="2">
        <v>2</v>
      </c>
      <c r="V8" s="18">
        <v>2</v>
      </c>
      <c r="W8" s="2">
        <v>2</v>
      </c>
      <c r="X8" s="2">
        <v>2</v>
      </c>
      <c r="Y8" s="7">
        <v>1</v>
      </c>
      <c r="Z8" s="7">
        <v>2</v>
      </c>
      <c r="AA8" s="2">
        <v>2</v>
      </c>
      <c r="AB8" s="7">
        <v>1</v>
      </c>
      <c r="AC8" s="2">
        <v>2</v>
      </c>
      <c r="AD8" s="7">
        <v>2</v>
      </c>
      <c r="AE8" s="7">
        <v>2</v>
      </c>
      <c r="AF8" s="7">
        <v>2</v>
      </c>
      <c r="AG8" s="2">
        <v>2</v>
      </c>
      <c r="AH8" s="7">
        <v>2</v>
      </c>
    </row>
    <row r="9" spans="1:34" x14ac:dyDescent="0.2">
      <c r="A9" s="10">
        <v>8</v>
      </c>
      <c r="B9" s="3">
        <v>1</v>
      </c>
      <c r="C9" s="2">
        <v>1</v>
      </c>
      <c r="D9" s="3">
        <v>53</v>
      </c>
      <c r="E9" s="2">
        <v>2</v>
      </c>
      <c r="F9" s="3">
        <v>2</v>
      </c>
      <c r="G9" s="2">
        <v>3</v>
      </c>
      <c r="H9" s="3">
        <v>36</v>
      </c>
      <c r="I9" s="2">
        <v>1</v>
      </c>
      <c r="J9" s="45">
        <v>14.3</v>
      </c>
      <c r="K9" s="45">
        <v>1000</v>
      </c>
      <c r="L9" s="44">
        <v>71</v>
      </c>
      <c r="M9" s="25">
        <v>54.87</v>
      </c>
      <c r="N9" s="38">
        <v>2.11</v>
      </c>
      <c r="O9" s="38">
        <v>2.33</v>
      </c>
      <c r="P9" s="38">
        <v>91</v>
      </c>
      <c r="Q9" s="3">
        <v>4</v>
      </c>
      <c r="R9" s="3">
        <v>2</v>
      </c>
      <c r="S9" s="3">
        <v>1</v>
      </c>
      <c r="T9" s="3">
        <v>2</v>
      </c>
      <c r="U9" s="3">
        <v>1</v>
      </c>
      <c r="V9" s="23">
        <v>2</v>
      </c>
      <c r="W9" s="2">
        <v>2</v>
      </c>
      <c r="X9" s="2">
        <v>2</v>
      </c>
      <c r="Y9" s="3">
        <v>1</v>
      </c>
      <c r="Z9" s="3">
        <v>1</v>
      </c>
      <c r="AA9" s="2">
        <v>2</v>
      </c>
      <c r="AB9" s="3">
        <v>1</v>
      </c>
      <c r="AC9" s="3">
        <v>2</v>
      </c>
      <c r="AD9" s="3">
        <v>1</v>
      </c>
      <c r="AE9" s="3">
        <v>2</v>
      </c>
      <c r="AF9" s="3">
        <v>2</v>
      </c>
      <c r="AG9" s="3">
        <v>2</v>
      </c>
      <c r="AH9" s="3">
        <v>2</v>
      </c>
    </row>
    <row r="10" spans="1:34" x14ac:dyDescent="0.2">
      <c r="A10" s="10">
        <v>9</v>
      </c>
      <c r="B10" s="3">
        <v>2</v>
      </c>
      <c r="C10" s="3">
        <v>2</v>
      </c>
      <c r="D10" s="26">
        <v>62</v>
      </c>
      <c r="E10" s="26">
        <v>2</v>
      </c>
      <c r="F10" s="26">
        <v>1</v>
      </c>
      <c r="G10" s="2">
        <v>2</v>
      </c>
      <c r="H10" s="2">
        <v>32</v>
      </c>
      <c r="I10" s="3">
        <v>1</v>
      </c>
      <c r="J10" s="45">
        <v>17.399999999999999</v>
      </c>
      <c r="K10" s="45">
        <v>1321</v>
      </c>
      <c r="L10" s="45">
        <v>97</v>
      </c>
      <c r="M10" s="38">
        <v>135</v>
      </c>
      <c r="N10" s="38">
        <v>3.3</v>
      </c>
      <c r="O10" s="38">
        <v>4.22</v>
      </c>
      <c r="P10" s="38">
        <v>78</v>
      </c>
      <c r="Q10" s="3">
        <v>1</v>
      </c>
      <c r="R10" s="3">
        <v>1</v>
      </c>
      <c r="S10" s="27">
        <v>1</v>
      </c>
      <c r="T10" s="28">
        <v>1</v>
      </c>
      <c r="U10" s="28">
        <v>1</v>
      </c>
      <c r="V10" s="39">
        <v>1</v>
      </c>
      <c r="W10" s="26">
        <v>2</v>
      </c>
      <c r="X10" s="3">
        <v>2</v>
      </c>
      <c r="Y10" s="26">
        <v>1</v>
      </c>
      <c r="Z10" s="26">
        <v>1</v>
      </c>
      <c r="AA10" s="26">
        <v>2</v>
      </c>
      <c r="AB10" s="26">
        <v>1</v>
      </c>
      <c r="AC10" s="26">
        <v>1</v>
      </c>
      <c r="AD10" s="26">
        <v>1</v>
      </c>
      <c r="AE10" s="26">
        <v>2</v>
      </c>
      <c r="AF10" s="26">
        <v>2</v>
      </c>
      <c r="AG10" s="26">
        <v>2</v>
      </c>
      <c r="AH10" s="26">
        <v>2</v>
      </c>
    </row>
    <row r="11" spans="1:34" x14ac:dyDescent="0.2">
      <c r="A11" s="10">
        <v>10</v>
      </c>
      <c r="B11" s="3">
        <v>2</v>
      </c>
      <c r="C11" s="3">
        <v>2</v>
      </c>
      <c r="D11" s="26">
        <v>44</v>
      </c>
      <c r="E11" s="26">
        <v>3</v>
      </c>
      <c r="F11" s="26">
        <v>2</v>
      </c>
      <c r="G11" s="2">
        <v>2</v>
      </c>
      <c r="H11" s="2">
        <v>31</v>
      </c>
      <c r="I11" s="3">
        <v>1</v>
      </c>
      <c r="J11" s="45">
        <v>16.8</v>
      </c>
      <c r="K11" s="45">
        <v>1668</v>
      </c>
      <c r="L11" s="45">
        <v>140</v>
      </c>
      <c r="M11" s="22">
        <v>103.83</v>
      </c>
      <c r="N11" s="38">
        <v>3.48</v>
      </c>
      <c r="O11" s="38">
        <v>4.3899999999999997</v>
      </c>
      <c r="P11" s="38">
        <v>79</v>
      </c>
      <c r="Q11" s="3">
        <v>1</v>
      </c>
      <c r="R11" s="3">
        <v>1</v>
      </c>
      <c r="S11" s="27">
        <v>1</v>
      </c>
      <c r="T11" s="28">
        <v>2</v>
      </c>
      <c r="U11" s="28">
        <v>1</v>
      </c>
      <c r="V11" s="39">
        <v>1</v>
      </c>
      <c r="W11" s="26">
        <v>1</v>
      </c>
      <c r="X11" s="3">
        <v>2</v>
      </c>
      <c r="Y11" s="26">
        <v>1</v>
      </c>
      <c r="Z11" s="26">
        <v>1</v>
      </c>
      <c r="AA11" s="26">
        <v>2</v>
      </c>
      <c r="AB11" s="26">
        <v>1</v>
      </c>
      <c r="AC11" s="26">
        <v>1</v>
      </c>
      <c r="AD11" s="26">
        <v>1</v>
      </c>
      <c r="AE11" s="26">
        <v>2</v>
      </c>
      <c r="AF11" s="26">
        <v>2</v>
      </c>
      <c r="AG11" s="26">
        <v>2</v>
      </c>
      <c r="AH11" s="26">
        <v>2</v>
      </c>
    </row>
    <row r="12" spans="1:34" x14ac:dyDescent="0.2">
      <c r="A12" s="10">
        <v>11</v>
      </c>
      <c r="B12" s="3">
        <v>2</v>
      </c>
      <c r="C12" s="7">
        <v>2</v>
      </c>
      <c r="D12" s="7">
        <v>67</v>
      </c>
      <c r="E12" s="7">
        <v>3</v>
      </c>
      <c r="F12" s="7">
        <v>2</v>
      </c>
      <c r="G12" s="2">
        <v>2</v>
      </c>
      <c r="H12" s="11">
        <v>48</v>
      </c>
      <c r="I12" s="7">
        <v>3</v>
      </c>
      <c r="J12" s="45">
        <v>18.100000000000001</v>
      </c>
      <c r="K12" s="45">
        <v>2152</v>
      </c>
      <c r="L12" s="45">
        <v>134</v>
      </c>
      <c r="M12" s="25">
        <v>82.53</v>
      </c>
      <c r="N12" s="38">
        <v>2.11</v>
      </c>
      <c r="O12" s="38">
        <v>2.63</v>
      </c>
      <c r="P12" s="38">
        <v>80</v>
      </c>
      <c r="Q12" s="7">
        <v>1</v>
      </c>
      <c r="R12" s="7">
        <v>1</v>
      </c>
      <c r="S12" s="7">
        <v>2</v>
      </c>
      <c r="T12" s="7">
        <v>1</v>
      </c>
      <c r="U12" s="7">
        <v>1</v>
      </c>
      <c r="V12" s="18">
        <v>2</v>
      </c>
      <c r="W12" s="7">
        <v>2</v>
      </c>
      <c r="X12" s="7">
        <v>2</v>
      </c>
      <c r="Y12" s="7">
        <v>2</v>
      </c>
      <c r="Z12" s="7">
        <v>2</v>
      </c>
      <c r="AA12" s="7">
        <v>2</v>
      </c>
      <c r="AB12" s="7">
        <v>2</v>
      </c>
      <c r="AC12" s="7">
        <v>1</v>
      </c>
      <c r="AD12" s="7">
        <v>1</v>
      </c>
      <c r="AE12" s="7">
        <v>2</v>
      </c>
      <c r="AF12" s="7">
        <v>2</v>
      </c>
      <c r="AG12" s="7">
        <v>2</v>
      </c>
      <c r="AH12" s="7">
        <v>1</v>
      </c>
    </row>
    <row r="13" spans="1:34" x14ac:dyDescent="0.2">
      <c r="A13" s="10">
        <v>12</v>
      </c>
      <c r="B13" s="3">
        <v>2</v>
      </c>
      <c r="C13" s="2">
        <v>1</v>
      </c>
      <c r="D13" s="7">
        <v>65</v>
      </c>
      <c r="E13" s="7">
        <v>3</v>
      </c>
      <c r="F13" s="7">
        <v>3</v>
      </c>
      <c r="G13" s="2">
        <v>3</v>
      </c>
      <c r="H13" s="11">
        <v>66</v>
      </c>
      <c r="I13" s="11">
        <v>2</v>
      </c>
      <c r="J13" s="45">
        <v>13.4</v>
      </c>
      <c r="K13" s="45">
        <v>1243</v>
      </c>
      <c r="L13" s="44">
        <v>80</v>
      </c>
      <c r="M13" s="25">
        <v>41.67</v>
      </c>
      <c r="N13" s="38">
        <v>1.19</v>
      </c>
      <c r="O13" s="38">
        <v>1.69</v>
      </c>
      <c r="P13" s="38">
        <v>70</v>
      </c>
      <c r="Q13" s="7">
        <v>1</v>
      </c>
      <c r="R13" s="7">
        <v>1</v>
      </c>
      <c r="S13" s="7">
        <v>1</v>
      </c>
      <c r="T13" s="7">
        <v>2</v>
      </c>
      <c r="U13" s="7">
        <v>1</v>
      </c>
      <c r="V13" s="18">
        <v>2</v>
      </c>
      <c r="W13" s="7">
        <v>2</v>
      </c>
      <c r="X13" s="7">
        <v>2</v>
      </c>
      <c r="Y13" s="7">
        <v>1</v>
      </c>
      <c r="Z13" s="7">
        <v>2</v>
      </c>
      <c r="AA13" s="7">
        <v>1</v>
      </c>
      <c r="AB13" s="7">
        <v>1</v>
      </c>
      <c r="AC13" s="7">
        <v>1</v>
      </c>
      <c r="AD13" s="7">
        <v>1</v>
      </c>
      <c r="AE13" s="7">
        <v>2</v>
      </c>
      <c r="AF13" s="7">
        <v>2</v>
      </c>
      <c r="AG13" s="7">
        <v>2</v>
      </c>
      <c r="AH13" s="7">
        <v>2</v>
      </c>
    </row>
    <row r="14" spans="1:34" x14ac:dyDescent="0.2">
      <c r="A14" s="10">
        <v>13</v>
      </c>
      <c r="B14" s="3">
        <v>2</v>
      </c>
      <c r="C14" s="2">
        <v>2</v>
      </c>
      <c r="D14" s="3">
        <v>49</v>
      </c>
      <c r="E14" s="2">
        <v>3</v>
      </c>
      <c r="F14" s="3">
        <v>1</v>
      </c>
      <c r="G14" s="2">
        <v>3</v>
      </c>
      <c r="H14" s="7">
        <v>43</v>
      </c>
      <c r="I14" s="2">
        <v>3</v>
      </c>
      <c r="J14" s="56">
        <v>15</v>
      </c>
      <c r="K14" s="45">
        <v>1772</v>
      </c>
      <c r="L14" s="44">
        <v>72</v>
      </c>
      <c r="M14" s="25">
        <v>49.68</v>
      </c>
      <c r="N14" s="38">
        <v>1.43</v>
      </c>
      <c r="O14" s="38">
        <v>2.33</v>
      </c>
      <c r="P14" s="38">
        <v>61</v>
      </c>
      <c r="Q14" s="3">
        <v>2</v>
      </c>
      <c r="R14" s="3">
        <v>2</v>
      </c>
      <c r="S14" s="3">
        <v>1</v>
      </c>
      <c r="T14" s="3">
        <v>1</v>
      </c>
      <c r="U14" s="3">
        <v>1</v>
      </c>
      <c r="V14" s="23">
        <v>2</v>
      </c>
      <c r="W14" s="2">
        <v>2</v>
      </c>
      <c r="X14" s="2">
        <v>2</v>
      </c>
      <c r="Y14" s="3">
        <v>1</v>
      </c>
      <c r="Z14" s="3">
        <v>1</v>
      </c>
      <c r="AA14" s="2">
        <v>2</v>
      </c>
      <c r="AB14" s="3">
        <v>1</v>
      </c>
      <c r="AC14" s="3">
        <v>1</v>
      </c>
      <c r="AD14" s="3">
        <v>1</v>
      </c>
      <c r="AE14" s="3">
        <v>2</v>
      </c>
      <c r="AF14" s="3">
        <v>2</v>
      </c>
      <c r="AG14" s="3">
        <v>2</v>
      </c>
      <c r="AH14" s="3">
        <v>1</v>
      </c>
    </row>
    <row r="15" spans="1:34" x14ac:dyDescent="0.2">
      <c r="A15" s="10">
        <v>14</v>
      </c>
      <c r="B15" s="3">
        <v>2</v>
      </c>
      <c r="C15" s="2">
        <v>1</v>
      </c>
      <c r="D15" s="2">
        <v>43</v>
      </c>
      <c r="E15" s="2">
        <v>2</v>
      </c>
      <c r="F15" s="2">
        <v>2</v>
      </c>
      <c r="G15" s="2">
        <v>1</v>
      </c>
      <c r="H15" s="2">
        <v>33</v>
      </c>
      <c r="I15" s="2">
        <v>1</v>
      </c>
      <c r="J15" s="45">
        <v>20.6</v>
      </c>
      <c r="K15" s="45">
        <v>1238</v>
      </c>
      <c r="L15" s="45">
        <v>102</v>
      </c>
      <c r="M15" s="25">
        <v>85.25</v>
      </c>
      <c r="N15" s="38">
        <v>2.17</v>
      </c>
      <c r="O15" s="38">
        <v>2.76</v>
      </c>
      <c r="P15" s="38">
        <v>79</v>
      </c>
      <c r="Q15" s="2">
        <v>4</v>
      </c>
      <c r="R15" s="2">
        <v>2</v>
      </c>
      <c r="S15" s="2">
        <v>2</v>
      </c>
      <c r="T15" s="2">
        <v>2</v>
      </c>
      <c r="U15" s="2">
        <v>2</v>
      </c>
      <c r="V15" s="19">
        <v>2</v>
      </c>
      <c r="W15" s="2">
        <v>2</v>
      </c>
      <c r="X15" s="2">
        <v>2</v>
      </c>
      <c r="Y15" s="2">
        <v>1</v>
      </c>
      <c r="Z15" s="2">
        <v>1</v>
      </c>
      <c r="AA15" s="2">
        <v>2</v>
      </c>
      <c r="AB15" s="2">
        <v>1</v>
      </c>
      <c r="AC15" s="2">
        <v>2</v>
      </c>
      <c r="AD15" s="2">
        <v>2</v>
      </c>
      <c r="AE15" s="2">
        <v>2</v>
      </c>
      <c r="AF15" s="2">
        <v>2</v>
      </c>
      <c r="AG15" s="2">
        <v>2</v>
      </c>
      <c r="AH15" s="2">
        <v>2</v>
      </c>
    </row>
    <row r="16" spans="1:34" x14ac:dyDescent="0.2">
      <c r="A16" s="10">
        <v>15</v>
      </c>
      <c r="B16" s="3">
        <v>3</v>
      </c>
      <c r="C16" s="3">
        <v>1</v>
      </c>
      <c r="D16" s="3">
        <v>63</v>
      </c>
      <c r="E16" s="26">
        <v>1</v>
      </c>
      <c r="F16" s="26">
        <v>3</v>
      </c>
      <c r="G16" s="29">
        <v>2</v>
      </c>
      <c r="H16" s="2">
        <v>35</v>
      </c>
      <c r="I16" s="3">
        <v>1</v>
      </c>
      <c r="J16" s="45">
        <v>18.2</v>
      </c>
      <c r="K16" s="45">
        <v>874</v>
      </c>
      <c r="L16" s="45">
        <v>61</v>
      </c>
      <c r="M16" s="22">
        <v>72.680000000000007</v>
      </c>
      <c r="N16" s="22">
        <v>1.1200000000000001</v>
      </c>
      <c r="O16" s="22">
        <v>1.89</v>
      </c>
      <c r="P16" s="22">
        <v>59</v>
      </c>
      <c r="Q16" s="3">
        <v>1</v>
      </c>
      <c r="R16" s="3">
        <v>1</v>
      </c>
      <c r="S16" s="27">
        <v>1</v>
      </c>
      <c r="T16" s="28">
        <v>2</v>
      </c>
      <c r="U16" s="28">
        <v>2</v>
      </c>
      <c r="V16" s="39">
        <v>2</v>
      </c>
      <c r="W16" s="26">
        <v>1</v>
      </c>
      <c r="X16" s="3">
        <v>2</v>
      </c>
      <c r="Y16" s="26">
        <v>1</v>
      </c>
      <c r="Z16" s="26">
        <v>1</v>
      </c>
      <c r="AA16" s="26">
        <v>1</v>
      </c>
      <c r="AB16" s="26">
        <v>1</v>
      </c>
      <c r="AC16" s="26">
        <v>2</v>
      </c>
      <c r="AD16" s="26">
        <v>1</v>
      </c>
      <c r="AE16" s="26">
        <v>1</v>
      </c>
      <c r="AF16" s="26">
        <v>2</v>
      </c>
      <c r="AG16" s="26">
        <v>2</v>
      </c>
      <c r="AH16" s="26">
        <v>2</v>
      </c>
    </row>
    <row r="17" spans="1:34" x14ac:dyDescent="0.2">
      <c r="A17" s="10">
        <v>16</v>
      </c>
      <c r="B17" s="3">
        <v>3</v>
      </c>
      <c r="C17" s="3">
        <v>2</v>
      </c>
      <c r="D17" s="26">
        <v>53</v>
      </c>
      <c r="E17" s="26">
        <v>3</v>
      </c>
      <c r="F17" s="26">
        <v>1</v>
      </c>
      <c r="G17" s="2">
        <v>1</v>
      </c>
      <c r="H17" s="2">
        <v>62</v>
      </c>
      <c r="I17" s="3">
        <v>2</v>
      </c>
      <c r="J17" s="45">
        <v>20.6</v>
      </c>
      <c r="K17" s="45">
        <v>2023</v>
      </c>
      <c r="L17" s="45">
        <v>165</v>
      </c>
      <c r="M17" s="22">
        <v>126</v>
      </c>
      <c r="N17" s="22">
        <v>2.73</v>
      </c>
      <c r="O17" s="22">
        <v>3.91</v>
      </c>
      <c r="P17" s="22">
        <v>70</v>
      </c>
      <c r="Q17" s="3">
        <v>1</v>
      </c>
      <c r="R17" s="3">
        <v>1</v>
      </c>
      <c r="S17" s="27">
        <v>2</v>
      </c>
      <c r="T17" s="28">
        <v>2</v>
      </c>
      <c r="U17" s="28">
        <v>1</v>
      </c>
      <c r="V17" s="39">
        <v>2</v>
      </c>
      <c r="W17" s="26">
        <v>2</v>
      </c>
      <c r="X17" s="3">
        <v>2</v>
      </c>
      <c r="Y17" s="26">
        <v>1</v>
      </c>
      <c r="Z17" s="26">
        <v>1</v>
      </c>
      <c r="AA17" s="26">
        <v>2</v>
      </c>
      <c r="AB17" s="26">
        <v>2</v>
      </c>
      <c r="AC17" s="26">
        <v>1</v>
      </c>
      <c r="AD17" s="26">
        <v>1</v>
      </c>
      <c r="AE17" s="26">
        <v>2</v>
      </c>
      <c r="AF17" s="26">
        <v>2</v>
      </c>
      <c r="AG17" s="26">
        <v>2</v>
      </c>
      <c r="AH17" s="26">
        <v>2</v>
      </c>
    </row>
    <row r="18" spans="1:34" x14ac:dyDescent="0.2">
      <c r="A18" s="10">
        <v>17</v>
      </c>
      <c r="B18" s="7">
        <v>3</v>
      </c>
      <c r="C18" s="7">
        <v>2</v>
      </c>
      <c r="D18" s="30">
        <v>56</v>
      </c>
      <c r="E18" s="26">
        <v>1</v>
      </c>
      <c r="F18" s="30">
        <v>2</v>
      </c>
      <c r="G18" s="2">
        <v>3</v>
      </c>
      <c r="H18" s="11">
        <v>22</v>
      </c>
      <c r="I18" s="7">
        <v>1</v>
      </c>
      <c r="J18" s="45">
        <v>15.9</v>
      </c>
      <c r="K18" s="45">
        <v>1142</v>
      </c>
      <c r="L18" s="45">
        <v>95</v>
      </c>
      <c r="M18" s="22">
        <v>129.38</v>
      </c>
      <c r="N18" s="22">
        <v>2.92</v>
      </c>
      <c r="O18" s="22">
        <v>3.47</v>
      </c>
      <c r="P18" s="22">
        <v>84</v>
      </c>
      <c r="Q18" s="7">
        <v>1</v>
      </c>
      <c r="R18" s="7">
        <v>1</v>
      </c>
      <c r="S18" s="31">
        <v>2</v>
      </c>
      <c r="T18" s="32">
        <v>2</v>
      </c>
      <c r="U18" s="32">
        <v>1</v>
      </c>
      <c r="V18" s="39">
        <v>1</v>
      </c>
      <c r="W18" s="26">
        <v>1</v>
      </c>
      <c r="X18" s="3">
        <v>2</v>
      </c>
      <c r="Y18" s="30">
        <v>1</v>
      </c>
      <c r="Z18" s="30">
        <v>1</v>
      </c>
      <c r="AA18" s="26">
        <v>2</v>
      </c>
      <c r="AB18" s="30">
        <v>1</v>
      </c>
      <c r="AC18" s="30">
        <v>2</v>
      </c>
      <c r="AD18" s="30">
        <v>1</v>
      </c>
      <c r="AE18" s="30">
        <v>2</v>
      </c>
      <c r="AF18" s="30">
        <v>2</v>
      </c>
      <c r="AG18" s="30">
        <v>1</v>
      </c>
      <c r="AH18" s="30">
        <v>2</v>
      </c>
    </row>
    <row r="19" spans="1:34" x14ac:dyDescent="0.2">
      <c r="A19" s="10">
        <v>18</v>
      </c>
      <c r="B19" s="3">
        <v>3</v>
      </c>
      <c r="C19" s="3">
        <v>2</v>
      </c>
      <c r="D19" s="3">
        <v>39</v>
      </c>
      <c r="E19" s="3">
        <v>3</v>
      </c>
      <c r="F19" s="3">
        <v>1</v>
      </c>
      <c r="G19" s="2">
        <v>1</v>
      </c>
      <c r="H19" s="21">
        <v>66.78</v>
      </c>
      <c r="I19" s="3">
        <v>2</v>
      </c>
      <c r="J19" s="45">
        <v>25.8</v>
      </c>
      <c r="K19" s="45">
        <v>2271</v>
      </c>
      <c r="L19" s="45">
        <v>163</v>
      </c>
      <c r="M19" s="22">
        <v>131.57</v>
      </c>
      <c r="N19" s="22">
        <v>3.4</v>
      </c>
      <c r="O19" s="22">
        <v>4</v>
      </c>
      <c r="P19" s="22">
        <v>85</v>
      </c>
      <c r="Q19" s="3">
        <v>1</v>
      </c>
      <c r="R19" s="3">
        <v>1</v>
      </c>
      <c r="S19" s="3">
        <v>1</v>
      </c>
      <c r="T19" s="3">
        <v>2</v>
      </c>
      <c r="U19" s="3">
        <v>1</v>
      </c>
      <c r="V19" s="39">
        <v>2</v>
      </c>
      <c r="W19" s="3">
        <v>2</v>
      </c>
      <c r="X19" s="3">
        <v>2</v>
      </c>
      <c r="Y19" s="3">
        <v>1</v>
      </c>
      <c r="Z19" s="3">
        <v>2</v>
      </c>
      <c r="AA19" s="3">
        <v>1</v>
      </c>
      <c r="AB19" s="3">
        <v>2</v>
      </c>
      <c r="AC19" s="3">
        <v>1</v>
      </c>
      <c r="AD19" s="3">
        <v>1</v>
      </c>
      <c r="AE19" s="3">
        <v>2</v>
      </c>
      <c r="AF19" s="3">
        <v>2</v>
      </c>
      <c r="AG19" s="3">
        <v>2</v>
      </c>
      <c r="AH19" s="3">
        <v>2</v>
      </c>
    </row>
    <row r="20" spans="1:34" x14ac:dyDescent="0.2">
      <c r="A20" s="10">
        <v>19</v>
      </c>
      <c r="B20" s="3">
        <v>3</v>
      </c>
      <c r="C20" s="7">
        <v>2</v>
      </c>
      <c r="D20" s="7">
        <v>47</v>
      </c>
      <c r="E20" s="7">
        <v>2</v>
      </c>
      <c r="F20" s="7">
        <v>1</v>
      </c>
      <c r="G20" s="2">
        <v>1</v>
      </c>
      <c r="H20" s="11">
        <v>43</v>
      </c>
      <c r="I20" s="7">
        <v>3</v>
      </c>
      <c r="J20" s="45">
        <v>23.2</v>
      </c>
      <c r="K20" s="45">
        <v>1832</v>
      </c>
      <c r="L20" s="45">
        <v>127</v>
      </c>
      <c r="M20" s="25">
        <v>73.11</v>
      </c>
      <c r="N20" s="38">
        <v>2.73</v>
      </c>
      <c r="O20" s="38">
        <v>3.11</v>
      </c>
      <c r="P20" s="38">
        <v>88</v>
      </c>
      <c r="Q20" s="7">
        <v>1</v>
      </c>
      <c r="R20" s="7">
        <v>1</v>
      </c>
      <c r="S20" s="7">
        <v>1</v>
      </c>
      <c r="T20" s="7">
        <v>1</v>
      </c>
      <c r="U20" s="7">
        <v>1</v>
      </c>
      <c r="V20" s="18">
        <v>2</v>
      </c>
      <c r="W20" s="7">
        <v>1</v>
      </c>
      <c r="X20" s="7">
        <v>2</v>
      </c>
      <c r="Y20" s="7">
        <v>1</v>
      </c>
      <c r="Z20" s="7">
        <v>1</v>
      </c>
      <c r="AA20" s="7">
        <v>2</v>
      </c>
      <c r="AB20" s="7">
        <v>1</v>
      </c>
      <c r="AC20" s="7">
        <v>2</v>
      </c>
      <c r="AD20" s="7">
        <v>1</v>
      </c>
      <c r="AE20" s="7">
        <v>2</v>
      </c>
      <c r="AF20" s="7">
        <v>1</v>
      </c>
      <c r="AG20" s="7">
        <v>2</v>
      </c>
      <c r="AH20" s="7">
        <v>1</v>
      </c>
    </row>
    <row r="21" spans="1:34" x14ac:dyDescent="0.2">
      <c r="A21" s="10">
        <v>20</v>
      </c>
      <c r="B21" s="3">
        <v>3</v>
      </c>
      <c r="C21" s="7">
        <v>2</v>
      </c>
      <c r="D21" s="7">
        <v>57</v>
      </c>
      <c r="E21" s="7">
        <v>2</v>
      </c>
      <c r="F21" s="7">
        <v>1</v>
      </c>
      <c r="G21" s="2">
        <v>1</v>
      </c>
      <c r="H21" s="11">
        <v>53</v>
      </c>
      <c r="I21" s="7">
        <v>2</v>
      </c>
      <c r="J21" s="56">
        <v>22</v>
      </c>
      <c r="K21" s="45">
        <v>1737</v>
      </c>
      <c r="L21" s="45">
        <v>141</v>
      </c>
      <c r="M21" s="25"/>
      <c r="N21" s="38"/>
      <c r="O21" s="38"/>
      <c r="P21" s="38"/>
      <c r="Q21" s="7">
        <v>1</v>
      </c>
      <c r="R21" s="7">
        <v>2</v>
      </c>
      <c r="S21" s="7">
        <v>2</v>
      </c>
      <c r="T21" s="7">
        <v>1</v>
      </c>
      <c r="U21" s="7">
        <v>1</v>
      </c>
      <c r="V21" s="18">
        <v>2</v>
      </c>
      <c r="W21" s="7">
        <v>1</v>
      </c>
      <c r="X21" s="7">
        <v>2</v>
      </c>
      <c r="Y21" s="7">
        <v>1</v>
      </c>
      <c r="Z21" s="7">
        <v>1</v>
      </c>
      <c r="AA21" s="7">
        <v>2</v>
      </c>
      <c r="AB21" s="7">
        <v>2</v>
      </c>
      <c r="AC21" s="7">
        <v>2</v>
      </c>
      <c r="AD21" s="7">
        <v>1</v>
      </c>
      <c r="AE21" s="7">
        <v>2</v>
      </c>
      <c r="AF21" s="7">
        <v>2</v>
      </c>
      <c r="AG21" s="7">
        <v>2</v>
      </c>
      <c r="AH21" s="7">
        <v>1</v>
      </c>
    </row>
    <row r="22" spans="1:34" x14ac:dyDescent="0.2">
      <c r="A22" s="10">
        <v>21</v>
      </c>
      <c r="B22" s="3">
        <v>3</v>
      </c>
      <c r="C22" s="7">
        <v>2</v>
      </c>
      <c r="D22" s="7">
        <v>69</v>
      </c>
      <c r="E22" s="7">
        <v>2</v>
      </c>
      <c r="F22" s="7">
        <v>1</v>
      </c>
      <c r="G22" s="2">
        <v>2</v>
      </c>
      <c r="H22" s="11">
        <v>46</v>
      </c>
      <c r="I22" s="7">
        <v>3</v>
      </c>
      <c r="J22" s="45">
        <v>17.7</v>
      </c>
      <c r="K22" s="45">
        <v>1437</v>
      </c>
      <c r="L22" s="45">
        <v>129</v>
      </c>
      <c r="M22" s="25">
        <v>88.34</v>
      </c>
      <c r="N22" s="38">
        <v>1.93</v>
      </c>
      <c r="O22" s="38">
        <v>2.74</v>
      </c>
      <c r="P22" s="38">
        <v>70</v>
      </c>
      <c r="Q22" s="7">
        <v>1</v>
      </c>
      <c r="R22" s="7">
        <v>1</v>
      </c>
      <c r="S22" s="7">
        <v>1</v>
      </c>
      <c r="T22" s="7">
        <v>2</v>
      </c>
      <c r="U22" s="7">
        <v>1</v>
      </c>
      <c r="V22" s="18">
        <v>2</v>
      </c>
      <c r="W22" s="7">
        <v>2</v>
      </c>
      <c r="X22" s="7">
        <v>2</v>
      </c>
      <c r="Y22" s="7">
        <v>1</v>
      </c>
      <c r="Z22" s="7">
        <v>1</v>
      </c>
      <c r="AA22" s="7">
        <v>2</v>
      </c>
      <c r="AB22" s="7">
        <v>2</v>
      </c>
      <c r="AC22" s="7">
        <v>1</v>
      </c>
      <c r="AD22" s="7">
        <v>1</v>
      </c>
      <c r="AE22" s="7">
        <v>2</v>
      </c>
      <c r="AF22" s="7">
        <v>2</v>
      </c>
      <c r="AG22" s="7">
        <v>2</v>
      </c>
      <c r="AH22" s="7">
        <v>2</v>
      </c>
    </row>
    <row r="23" spans="1:34" x14ac:dyDescent="0.2">
      <c r="A23" s="10">
        <v>22</v>
      </c>
      <c r="B23" s="3">
        <v>3</v>
      </c>
      <c r="C23" s="2">
        <v>2</v>
      </c>
      <c r="D23" s="7">
        <v>64</v>
      </c>
      <c r="E23" s="2">
        <v>3</v>
      </c>
      <c r="F23" s="7">
        <v>2</v>
      </c>
      <c r="G23" s="2">
        <v>2</v>
      </c>
      <c r="H23" s="7">
        <v>46</v>
      </c>
      <c r="I23" s="2">
        <v>3</v>
      </c>
      <c r="J23" s="45">
        <v>17.899999999999999</v>
      </c>
      <c r="K23" s="45">
        <v>1524</v>
      </c>
      <c r="L23" s="44">
        <v>105</v>
      </c>
      <c r="M23" s="25">
        <v>34.409999999999997</v>
      </c>
      <c r="N23" s="38">
        <v>2.14</v>
      </c>
      <c r="O23" s="38">
        <v>2.5499999999999998</v>
      </c>
      <c r="P23" s="38">
        <v>84</v>
      </c>
      <c r="Q23" s="23">
        <v>4</v>
      </c>
      <c r="R23" s="7">
        <v>1</v>
      </c>
      <c r="S23" s="7">
        <v>2</v>
      </c>
      <c r="T23" s="7">
        <v>2</v>
      </c>
      <c r="U23" s="7">
        <v>2</v>
      </c>
      <c r="V23" s="18">
        <v>2</v>
      </c>
      <c r="W23" s="2">
        <v>2</v>
      </c>
      <c r="X23" s="2">
        <v>2</v>
      </c>
      <c r="Y23" s="7">
        <v>1</v>
      </c>
      <c r="Z23" s="7">
        <v>1</v>
      </c>
      <c r="AA23" s="2">
        <v>2</v>
      </c>
      <c r="AB23" s="7">
        <v>1</v>
      </c>
      <c r="AC23" s="7">
        <v>2</v>
      </c>
      <c r="AD23" s="7">
        <v>2</v>
      </c>
      <c r="AE23" s="7">
        <v>2</v>
      </c>
      <c r="AF23" s="7">
        <v>1</v>
      </c>
      <c r="AG23" s="7">
        <v>1</v>
      </c>
      <c r="AH23" s="7">
        <v>2</v>
      </c>
    </row>
    <row r="24" spans="1:34" x14ac:dyDescent="0.2">
      <c r="I24" s="2"/>
      <c r="AA24" s="2"/>
    </row>
    <row r="25" spans="1:34" x14ac:dyDescent="0.2">
      <c r="I25" s="2"/>
      <c r="AA25" s="2"/>
    </row>
    <row r="26" spans="1:34" x14ac:dyDescent="0.2">
      <c r="I26" s="2"/>
      <c r="AA26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04B1C-049D-9442-8D82-2E426800358A}">
  <dimension ref="A1:K27"/>
  <sheetViews>
    <sheetView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6" sqref="B16"/>
    </sheetView>
  </sheetViews>
  <sheetFormatPr baseColWidth="10" defaultRowHeight="16" x14ac:dyDescent="0.2"/>
  <cols>
    <col min="1" max="1" width="11.5" customWidth="1"/>
    <col min="2" max="2" width="28.33203125" style="3" customWidth="1"/>
    <col min="3" max="3" width="19" style="3" bestFit="1" customWidth="1"/>
    <col min="4" max="4" width="18.5" style="3" bestFit="1" customWidth="1"/>
    <col min="5" max="5" width="18.5" style="3" customWidth="1"/>
    <col min="6" max="7" width="15.5" style="3" bestFit="1" customWidth="1"/>
    <col min="8" max="8" width="15.5" style="3" customWidth="1"/>
    <col min="9" max="10" width="11.83203125" style="3" bestFit="1" customWidth="1"/>
    <col min="11" max="11" width="13.1640625" style="2" bestFit="1" customWidth="1"/>
  </cols>
  <sheetData>
    <row r="1" spans="1:11" x14ac:dyDescent="0.2">
      <c r="A1" s="57" t="s">
        <v>53</v>
      </c>
      <c r="B1" s="12" t="s">
        <v>34</v>
      </c>
      <c r="C1" s="5" t="s">
        <v>58</v>
      </c>
      <c r="D1" s="5" t="s">
        <v>59</v>
      </c>
      <c r="E1" s="5" t="s">
        <v>18</v>
      </c>
      <c r="F1" s="5" t="s">
        <v>60</v>
      </c>
      <c r="G1" s="5" t="s">
        <v>61</v>
      </c>
      <c r="H1" s="5" t="s">
        <v>19</v>
      </c>
      <c r="I1" s="5" t="s">
        <v>62</v>
      </c>
      <c r="J1" s="5" t="s">
        <v>63</v>
      </c>
      <c r="K1" s="5" t="s">
        <v>20</v>
      </c>
    </row>
    <row r="2" spans="1:11" s="3" customFormat="1" ht="15" x14ac:dyDescent="0.2">
      <c r="A2" s="54">
        <v>2</v>
      </c>
      <c r="B2" s="3">
        <v>1</v>
      </c>
      <c r="C2" s="4">
        <v>4.5617457627118645</v>
      </c>
      <c r="D2" s="4">
        <v>4.8861864406779656</v>
      </c>
      <c r="E2" s="4">
        <v>0.3244406779661011</v>
      </c>
      <c r="F2" s="4">
        <v>4.6913333333333336</v>
      </c>
      <c r="G2" s="4">
        <v>5.3305000000000007</v>
      </c>
      <c r="H2" s="4">
        <v>0.6391666666666671</v>
      </c>
      <c r="I2" s="4">
        <v>2.8407451305316043</v>
      </c>
      <c r="J2" s="4">
        <v>9.0932584074787357</v>
      </c>
      <c r="K2" s="13">
        <v>6.2525132769471314</v>
      </c>
    </row>
    <row r="3" spans="1:11" x14ac:dyDescent="0.2">
      <c r="A3" s="54">
        <v>5</v>
      </c>
      <c r="B3" s="3">
        <v>1</v>
      </c>
      <c r="C3" s="4">
        <v>2.8599999999999994</v>
      </c>
      <c r="D3" s="4">
        <v>3.3874074074074083</v>
      </c>
      <c r="E3" s="4">
        <v>0.52740740740740888</v>
      </c>
      <c r="F3" s="4">
        <v>3.1101999999999999</v>
      </c>
      <c r="G3" s="4">
        <v>3.6952000000000007</v>
      </c>
      <c r="H3" s="4">
        <v>0.58500000000000085</v>
      </c>
      <c r="I3" s="4">
        <v>8.7482517482517643</v>
      </c>
      <c r="J3" s="4">
        <v>9.0863765580581592</v>
      </c>
      <c r="K3" s="13">
        <v>0.33812480980639492</v>
      </c>
    </row>
    <row r="4" spans="1:11" x14ac:dyDescent="0.2">
      <c r="A4" s="54">
        <v>6</v>
      </c>
      <c r="B4" s="3">
        <v>1</v>
      </c>
      <c r="C4" s="4">
        <v>5.7080909090909104</v>
      </c>
      <c r="D4" s="4">
        <v>5.2317192982456131</v>
      </c>
      <c r="E4" s="4">
        <v>-0.47637161084529733</v>
      </c>
      <c r="F4" s="4">
        <v>5.8927999999999994</v>
      </c>
      <c r="G4" s="4">
        <v>5.3064</v>
      </c>
      <c r="H4" s="4">
        <v>-0.58639999999999937</v>
      </c>
      <c r="I4" s="4">
        <v>3.2359171192405958</v>
      </c>
      <c r="J4" s="4">
        <v>1.4274600279000076</v>
      </c>
      <c r="K4" s="13">
        <v>-1.8084570913405882</v>
      </c>
    </row>
    <row r="5" spans="1:11" x14ac:dyDescent="0.2">
      <c r="A5" s="54">
        <v>7</v>
      </c>
      <c r="B5" s="3">
        <v>1</v>
      </c>
      <c r="C5" s="4">
        <v>5.2318367346938786</v>
      </c>
      <c r="D5" s="4">
        <v>5.4504666666666681</v>
      </c>
      <c r="E5" s="4">
        <v>0.21862993197278957</v>
      </c>
      <c r="F5" s="4">
        <v>5.6168333333333331</v>
      </c>
      <c r="G5" s="4">
        <v>5.5098000000000003</v>
      </c>
      <c r="H5" s="4">
        <v>-0.10703333333333287</v>
      </c>
      <c r="I5" s="4">
        <v>7.3587273105528439</v>
      </c>
      <c r="J5" s="4">
        <v>1.0885918025367636</v>
      </c>
      <c r="K5" s="13">
        <v>-6.2701355080160805</v>
      </c>
    </row>
    <row r="6" spans="1:11" x14ac:dyDescent="0.2">
      <c r="A6" s="54">
        <v>8</v>
      </c>
      <c r="B6" s="3">
        <v>1</v>
      </c>
      <c r="C6" s="4">
        <v>4.3223275862068968</v>
      </c>
      <c r="D6" s="4">
        <v>3.7224716981132069</v>
      </c>
      <c r="E6" s="4">
        <v>-0.59985588809368995</v>
      </c>
      <c r="F6" s="4">
        <v>4.5239999999999991</v>
      </c>
      <c r="G6" s="4">
        <v>3.8843999999999994</v>
      </c>
      <c r="H6" s="4">
        <v>-0.63959999999999972</v>
      </c>
      <c r="I6" s="4">
        <v>4.665828995392781</v>
      </c>
      <c r="J6" s="4">
        <v>4.3500210349179671</v>
      </c>
      <c r="K6" s="13">
        <v>-0.31580796047481385</v>
      </c>
    </row>
    <row r="7" spans="1:11" x14ac:dyDescent="0.2">
      <c r="A7" s="54">
        <v>9</v>
      </c>
      <c r="B7" s="3">
        <v>2</v>
      </c>
      <c r="C7" s="4">
        <v>4.3638214285714287</v>
      </c>
      <c r="D7" s="4">
        <v>5.2171481481481479</v>
      </c>
      <c r="E7" s="4">
        <v>0.85332671957671913</v>
      </c>
      <c r="F7" s="4">
        <v>4.7290000000000001</v>
      </c>
      <c r="G7" s="4">
        <v>5.4001666666666663</v>
      </c>
      <c r="H7" s="4">
        <v>0.67116666666666625</v>
      </c>
      <c r="I7" s="4">
        <v>8.3683206887803099</v>
      </c>
      <c r="J7" s="4">
        <v>3.5080184292539554</v>
      </c>
      <c r="K7" s="13">
        <v>-4.860302259526355</v>
      </c>
    </row>
    <row r="8" spans="1:11" x14ac:dyDescent="0.2">
      <c r="A8" s="55">
        <v>10</v>
      </c>
      <c r="B8" s="3">
        <v>2</v>
      </c>
      <c r="C8" s="4">
        <v>4.0998103448275858</v>
      </c>
      <c r="D8" s="4">
        <v>3.9732711864406776</v>
      </c>
      <c r="E8" s="4">
        <v>-0.12653915838690821</v>
      </c>
      <c r="F8" s="4">
        <v>4.3963999999999999</v>
      </c>
      <c r="G8" s="4">
        <v>4.4849999999999994</v>
      </c>
      <c r="H8" s="4">
        <v>8.8599999999999568E-2</v>
      </c>
      <c r="I8" s="4">
        <v>7.2342286649088132</v>
      </c>
      <c r="J8" s="4">
        <v>12.87928232298025</v>
      </c>
      <c r="K8" s="13">
        <v>5.6450536580714372</v>
      </c>
    </row>
    <row r="9" spans="1:11" x14ac:dyDescent="0.2">
      <c r="A9" s="55">
        <v>11</v>
      </c>
      <c r="B9" s="3">
        <v>2</v>
      </c>
      <c r="C9" s="4">
        <v>4.4072586206896549</v>
      </c>
      <c r="D9" s="4">
        <v>4.1141282051250005</v>
      </c>
      <c r="E9" s="4">
        <v>-0.29313041556465436</v>
      </c>
      <c r="F9" s="4">
        <v>4.5221666666666662</v>
      </c>
      <c r="G9" s="4">
        <v>4.4180000000000001</v>
      </c>
      <c r="H9" s="4">
        <v>-0.10416666666666607</v>
      </c>
      <c r="I9" s="4">
        <v>2.6072453619486105</v>
      </c>
      <c r="J9" s="4">
        <v>7.3860555559854504</v>
      </c>
      <c r="K9" s="13">
        <v>4.7788101940368399</v>
      </c>
    </row>
    <row r="10" spans="1:11" x14ac:dyDescent="0.2">
      <c r="A10" s="54">
        <v>12</v>
      </c>
      <c r="B10" s="3">
        <v>2</v>
      </c>
      <c r="C10" s="4">
        <v>4.8191147540983597</v>
      </c>
      <c r="D10" s="4">
        <v>4.9498983050847478</v>
      </c>
      <c r="E10" s="4">
        <v>0.13078355098638816</v>
      </c>
      <c r="F10" s="4">
        <v>5.0218000000000007</v>
      </c>
      <c r="G10" s="4">
        <v>5.1444000000000001</v>
      </c>
      <c r="H10" s="4">
        <v>0.12259999999999938</v>
      </c>
      <c r="I10" s="4">
        <v>4.2058605416953343</v>
      </c>
      <c r="J10" s="4">
        <v>3.9294078974400701</v>
      </c>
      <c r="K10" s="13">
        <v>-0.27645264425526417</v>
      </c>
    </row>
    <row r="11" spans="1:11" x14ac:dyDescent="0.2">
      <c r="A11" s="54">
        <v>13</v>
      </c>
      <c r="B11" s="3">
        <v>2</v>
      </c>
      <c r="C11" s="4">
        <v>5.1069666666666675</v>
      </c>
      <c r="D11" s="4">
        <v>5.0363750000000014</v>
      </c>
      <c r="E11" s="4">
        <v>-7.0591666666666164E-2</v>
      </c>
      <c r="F11" s="4">
        <v>5.2145999999999999</v>
      </c>
      <c r="G11" s="4">
        <v>5.0778000000000008</v>
      </c>
      <c r="H11" s="4">
        <v>-0.13679999999999914</v>
      </c>
      <c r="I11" s="4">
        <v>2.1075785365089321</v>
      </c>
      <c r="J11" s="4">
        <v>0.82251619468366366</v>
      </c>
      <c r="K11" s="13">
        <v>-1.2850623418252685</v>
      </c>
    </row>
    <row r="12" spans="1:11" x14ac:dyDescent="0.2">
      <c r="A12" s="54">
        <v>14</v>
      </c>
      <c r="B12" s="3">
        <v>2</v>
      </c>
      <c r="C12" s="4">
        <v>3.4471489361702128</v>
      </c>
      <c r="D12" s="4">
        <v>3.8369333333333326</v>
      </c>
      <c r="E12" s="4">
        <v>0.38978439716311986</v>
      </c>
      <c r="F12" s="4">
        <v>3.5396000000000001</v>
      </c>
      <c r="G12" s="4">
        <v>3.8827999999999996</v>
      </c>
      <c r="H12" s="4">
        <v>0.34319999999999951</v>
      </c>
      <c r="I12" s="4">
        <v>2.6819573375469106</v>
      </c>
      <c r="J12" s="4">
        <v>1.1953991034506799</v>
      </c>
      <c r="K12" s="13">
        <v>-1.4865582340962307</v>
      </c>
    </row>
    <row r="13" spans="1:11" x14ac:dyDescent="0.2">
      <c r="A13" s="54">
        <v>15</v>
      </c>
      <c r="B13" s="3">
        <v>3</v>
      </c>
      <c r="C13" s="4">
        <v>3.2677758620689668</v>
      </c>
      <c r="D13" s="4">
        <v>3.7064827586206905</v>
      </c>
      <c r="E13" s="4">
        <v>0.43870689655172379</v>
      </c>
      <c r="F13" s="4">
        <v>3.4972857142857139</v>
      </c>
      <c r="G13" s="4">
        <v>4.0801666666666669</v>
      </c>
      <c r="H13" s="4">
        <v>0.58288095238095305</v>
      </c>
      <c r="I13" s="4">
        <v>7.0234270006338431</v>
      </c>
      <c r="J13" s="4">
        <v>10.081900615262459</v>
      </c>
      <c r="K13" s="13">
        <v>3.0584736146286158</v>
      </c>
    </row>
    <row r="14" spans="1:11" x14ac:dyDescent="0.2">
      <c r="A14" s="55">
        <v>17</v>
      </c>
      <c r="B14" s="3">
        <v>3</v>
      </c>
      <c r="C14" s="4">
        <v>4.9494038461538459</v>
      </c>
      <c r="D14" s="4">
        <v>4.7080819672131131</v>
      </c>
      <c r="E14" s="4">
        <v>-0.24132187894073276</v>
      </c>
      <c r="F14" s="4">
        <v>5.0894000000000004</v>
      </c>
      <c r="G14" s="4">
        <v>4.9075999999999995</v>
      </c>
      <c r="H14" s="4">
        <v>-0.18180000000000085</v>
      </c>
      <c r="I14" s="4">
        <v>2.8285457844573489</v>
      </c>
      <c r="J14" s="4">
        <v>4.2377773831535155</v>
      </c>
      <c r="K14" s="13">
        <v>1.4092315986961665</v>
      </c>
    </row>
    <row r="15" spans="1:11" x14ac:dyDescent="0.2">
      <c r="A15" s="55">
        <v>19</v>
      </c>
      <c r="B15" s="3">
        <v>3</v>
      </c>
      <c r="C15" s="4">
        <v>3.4986229508196725</v>
      </c>
      <c r="D15" s="4">
        <v>4.1944375000000003</v>
      </c>
      <c r="E15" s="4">
        <v>0.69581454918032781</v>
      </c>
      <c r="F15" s="4">
        <v>3.7320000000000007</v>
      </c>
      <c r="G15" s="4">
        <v>4.4551666666666669</v>
      </c>
      <c r="H15" s="4">
        <v>0.72316666666666629</v>
      </c>
      <c r="I15" s="4">
        <v>6.6705401656858054</v>
      </c>
      <c r="J15" s="4">
        <v>6.2160698941554537</v>
      </c>
      <c r="K15" s="13">
        <v>-0.45447027153035169</v>
      </c>
    </row>
    <row r="16" spans="1:11" x14ac:dyDescent="0.2">
      <c r="A16" s="54">
        <v>22</v>
      </c>
      <c r="B16" s="3">
        <v>3</v>
      </c>
      <c r="C16" s="4">
        <v>5.7248333333333337</v>
      </c>
      <c r="D16" s="4">
        <v>4.8032142857142874</v>
      </c>
      <c r="E16" s="4">
        <v>-0.92161904761904623</v>
      </c>
      <c r="F16" s="4">
        <v>5.8363999999999994</v>
      </c>
      <c r="G16" s="4">
        <v>4.8756000000000004</v>
      </c>
      <c r="H16" s="4">
        <v>-0.96079999999999899</v>
      </c>
      <c r="I16" s="4">
        <v>1.9488194707269331</v>
      </c>
      <c r="J16" s="4">
        <v>1.5070265447244864</v>
      </c>
      <c r="K16" s="13">
        <v>-0.44179292600244668</v>
      </c>
    </row>
    <row r="17" spans="1:10" x14ac:dyDescent="0.2">
      <c r="A17" s="54"/>
      <c r="C17" s="4"/>
      <c r="D17" s="4"/>
      <c r="E17" s="4"/>
      <c r="F17" s="4"/>
      <c r="G17" s="4"/>
      <c r="H17" s="4"/>
      <c r="I17" s="4"/>
      <c r="J17" s="4"/>
    </row>
    <row r="18" spans="1:10" x14ac:dyDescent="0.2">
      <c r="A18" s="54"/>
      <c r="C18" s="4"/>
      <c r="D18" s="4"/>
      <c r="E18" s="4"/>
      <c r="F18" s="4"/>
      <c r="G18" s="4"/>
      <c r="H18" s="4"/>
      <c r="I18" s="4"/>
      <c r="J18" s="4"/>
    </row>
    <row r="19" spans="1:10" x14ac:dyDescent="0.2">
      <c r="A19" s="54"/>
    </row>
    <row r="20" spans="1:10" x14ac:dyDescent="0.2">
      <c r="A20" s="54"/>
    </row>
    <row r="21" spans="1:10" x14ac:dyDescent="0.2">
      <c r="A21" s="54"/>
    </row>
    <row r="22" spans="1:10" x14ac:dyDescent="0.2">
      <c r="A22" s="54"/>
    </row>
    <row r="23" spans="1:10" x14ac:dyDescent="0.2">
      <c r="A23" s="55"/>
    </row>
    <row r="24" spans="1:10" x14ac:dyDescent="0.2">
      <c r="A24" s="53"/>
    </row>
    <row r="25" spans="1:10" x14ac:dyDescent="0.2">
      <c r="A25" s="53"/>
    </row>
    <row r="26" spans="1:10" x14ac:dyDescent="0.2">
      <c r="A26" s="53"/>
    </row>
    <row r="27" spans="1:10" x14ac:dyDescent="0.2">
      <c r="A27" s="53"/>
    </row>
  </sheetData>
  <sortState xmlns:xlrd2="http://schemas.microsoft.com/office/spreadsheetml/2017/richdata2" ref="B2:K18">
    <sortCondition ref="B2:B18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23B9-6298-0F46-B6BD-1EB74728CBBA}">
  <dimension ref="A1:AB26"/>
  <sheetViews>
    <sheetView zoomScale="115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R4" activeCellId="3" sqref="J10 L4 L10 R4"/>
    </sheetView>
  </sheetViews>
  <sheetFormatPr baseColWidth="10" defaultRowHeight="16" x14ac:dyDescent="0.2"/>
  <cols>
    <col min="1" max="1" width="10.83203125" style="6"/>
    <col min="2" max="2" width="24.1640625" style="49" customWidth="1"/>
    <col min="3" max="4" width="21.1640625" style="49" customWidth="1"/>
    <col min="5" max="5" width="24.83203125" style="49" customWidth="1"/>
    <col min="6" max="6" width="24.5" style="49" customWidth="1"/>
    <col min="7" max="7" width="10.1640625" style="49" bestFit="1" customWidth="1"/>
    <col min="8" max="8" width="10.33203125" style="45" bestFit="1" customWidth="1"/>
    <col min="9" max="9" width="12.33203125" style="49" bestFit="1" customWidth="1"/>
    <col min="10" max="10" width="12.5" style="52" bestFit="1" customWidth="1"/>
    <col min="11" max="11" width="12.33203125" style="52" bestFit="1" customWidth="1"/>
    <col min="12" max="12" width="12.5" style="52" bestFit="1" customWidth="1"/>
    <col min="13" max="13" width="13.5" style="52" bestFit="1" customWidth="1"/>
    <col min="14" max="14" width="13.83203125" style="45" bestFit="1" customWidth="1"/>
    <col min="15" max="15" width="18.5" style="52" bestFit="1" customWidth="1"/>
    <col min="16" max="16" width="18.83203125" style="45" bestFit="1" customWidth="1"/>
    <col min="17" max="17" width="18.5" style="45" bestFit="1" customWidth="1"/>
    <col min="18" max="18" width="18.83203125" style="45" bestFit="1" customWidth="1"/>
    <col min="19" max="19" width="20.5" style="52" bestFit="1" customWidth="1"/>
    <col min="20" max="20" width="20.6640625" style="45" bestFit="1" customWidth="1"/>
    <col min="21" max="21" width="20.6640625" style="45" customWidth="1"/>
    <col min="22" max="22" width="17.83203125" style="49" bestFit="1" customWidth="1"/>
    <col min="23" max="23" width="18" style="45" bestFit="1" customWidth="1"/>
    <col min="24" max="24" width="21.6640625" style="45" customWidth="1"/>
    <col min="25" max="25" width="15.6640625" style="52" bestFit="1" customWidth="1"/>
    <col min="26" max="26" width="15.83203125" style="45" bestFit="1" customWidth="1"/>
    <col min="27" max="27" width="11.5" style="52" bestFit="1" customWidth="1"/>
    <col min="28" max="28" width="11.6640625" style="45" bestFit="1" customWidth="1"/>
    <col min="29" max="16384" width="10.83203125" style="43"/>
  </cols>
  <sheetData>
    <row r="1" spans="1:28" x14ac:dyDescent="0.2">
      <c r="A1" s="57" t="s">
        <v>53</v>
      </c>
      <c r="B1" s="12" t="s">
        <v>34</v>
      </c>
      <c r="C1" s="40" t="s">
        <v>64</v>
      </c>
      <c r="D1" s="40" t="s">
        <v>65</v>
      </c>
      <c r="E1" s="41" t="s">
        <v>66</v>
      </c>
      <c r="F1" s="41" t="s">
        <v>67</v>
      </c>
      <c r="G1" s="42" t="s">
        <v>68</v>
      </c>
      <c r="H1" s="42" t="s">
        <v>69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70</v>
      </c>
      <c r="N1" s="40" t="s">
        <v>71</v>
      </c>
      <c r="O1" s="40" t="s">
        <v>12</v>
      </c>
      <c r="P1" s="40" t="s">
        <v>13</v>
      </c>
      <c r="Q1" s="40" t="s">
        <v>14</v>
      </c>
      <c r="R1" s="40" t="s">
        <v>15</v>
      </c>
      <c r="S1" s="40" t="s">
        <v>40</v>
      </c>
      <c r="T1" s="40" t="s">
        <v>72</v>
      </c>
      <c r="U1" s="40" t="s">
        <v>73</v>
      </c>
      <c r="V1" s="40" t="s">
        <v>41</v>
      </c>
      <c r="W1" s="40" t="s">
        <v>75</v>
      </c>
      <c r="X1" s="40" t="s">
        <v>74</v>
      </c>
      <c r="Y1" s="40" t="s">
        <v>16</v>
      </c>
      <c r="Z1" s="40" t="s">
        <v>17</v>
      </c>
      <c r="AA1" s="40" t="s">
        <v>76</v>
      </c>
      <c r="AB1" s="40" t="s">
        <v>77</v>
      </c>
    </row>
    <row r="2" spans="1:28" x14ac:dyDescent="0.2">
      <c r="A2" s="6">
        <v>1</v>
      </c>
      <c r="B2" s="45">
        <v>1</v>
      </c>
      <c r="C2" s="46">
        <v>9.5</v>
      </c>
      <c r="D2" s="46">
        <v>13.199999999999998</v>
      </c>
      <c r="E2" s="45">
        <v>100</v>
      </c>
      <c r="F2" s="45">
        <v>137</v>
      </c>
      <c r="G2" s="46">
        <v>1.25</v>
      </c>
      <c r="H2" s="46">
        <v>1.17</v>
      </c>
      <c r="I2" s="45">
        <v>107</v>
      </c>
      <c r="J2" s="45">
        <v>113</v>
      </c>
      <c r="K2" s="45">
        <v>132</v>
      </c>
      <c r="L2" s="45">
        <v>131</v>
      </c>
      <c r="M2" s="45">
        <v>151</v>
      </c>
      <c r="N2" s="45">
        <v>149</v>
      </c>
      <c r="O2" s="45">
        <v>12.5</v>
      </c>
      <c r="P2" s="45">
        <v>14.9</v>
      </c>
      <c r="Q2" s="45">
        <v>19.100000000000001</v>
      </c>
      <c r="R2" s="45">
        <v>21.5</v>
      </c>
      <c r="S2" s="45">
        <v>22.5</v>
      </c>
      <c r="T2" s="45">
        <v>23.8</v>
      </c>
      <c r="U2" s="45">
        <f t="shared" ref="U2:U23" si="0">T2-S2</f>
        <v>1.3000000000000007</v>
      </c>
      <c r="V2" s="45">
        <v>1578</v>
      </c>
      <c r="W2" s="45">
        <v>1761</v>
      </c>
      <c r="X2" s="45">
        <f>W2-V2</f>
        <v>183</v>
      </c>
      <c r="Y2" s="45">
        <v>39.799999999999997</v>
      </c>
      <c r="Z2" s="45">
        <v>39</v>
      </c>
      <c r="AA2" s="45">
        <v>6.4</v>
      </c>
      <c r="AB2" s="45">
        <v>6.8</v>
      </c>
    </row>
    <row r="3" spans="1:28" x14ac:dyDescent="0.2">
      <c r="A3" s="6">
        <v>2</v>
      </c>
      <c r="B3" s="45">
        <v>1</v>
      </c>
      <c r="C3" s="46">
        <v>13.949999999999998</v>
      </c>
      <c r="D3" s="46">
        <v>11.933333333333334</v>
      </c>
      <c r="E3" s="45">
        <v>144</v>
      </c>
      <c r="F3" s="45">
        <v>184</v>
      </c>
      <c r="G3" s="46">
        <v>1.17</v>
      </c>
      <c r="H3" s="46">
        <v>1.26</v>
      </c>
      <c r="I3" s="45">
        <v>97</v>
      </c>
      <c r="J3" s="45">
        <v>110</v>
      </c>
      <c r="K3" s="45">
        <v>113</v>
      </c>
      <c r="L3" s="45">
        <v>134</v>
      </c>
      <c r="M3" s="45">
        <v>133</v>
      </c>
      <c r="N3" s="45">
        <v>150</v>
      </c>
      <c r="O3" s="45">
        <v>13.8</v>
      </c>
      <c r="P3" s="45">
        <v>16.600000000000001</v>
      </c>
      <c r="Q3" s="45">
        <v>17.5</v>
      </c>
      <c r="R3" s="45">
        <v>23.4</v>
      </c>
      <c r="S3" s="45">
        <v>23.3</v>
      </c>
      <c r="T3" s="45">
        <v>26.5</v>
      </c>
      <c r="U3" s="45">
        <f t="shared" si="0"/>
        <v>3.1999999999999993</v>
      </c>
      <c r="V3" s="45">
        <v>2165</v>
      </c>
      <c r="W3" s="45">
        <v>2482</v>
      </c>
      <c r="X3" s="45">
        <f t="shared" ref="X3:X23" si="1">W3-V3</f>
        <v>317</v>
      </c>
      <c r="Y3" s="45">
        <v>22.1</v>
      </c>
      <c r="Z3" s="45">
        <v>20.399999999999999</v>
      </c>
      <c r="AA3" s="45">
        <v>6.7</v>
      </c>
      <c r="AB3" s="45">
        <v>7.6</v>
      </c>
    </row>
    <row r="4" spans="1:28" x14ac:dyDescent="0.2">
      <c r="A4" s="6">
        <v>3</v>
      </c>
      <c r="B4" s="45">
        <v>1</v>
      </c>
      <c r="C4" s="46">
        <v>7.5</v>
      </c>
      <c r="D4" s="46">
        <v>7.4666666666666668</v>
      </c>
      <c r="E4" s="45">
        <v>80</v>
      </c>
      <c r="F4" s="45">
        <v>79</v>
      </c>
      <c r="G4" s="46">
        <v>1.3</v>
      </c>
      <c r="H4" s="46">
        <v>1.06</v>
      </c>
      <c r="I4" s="45">
        <v>91</v>
      </c>
      <c r="J4" s="45">
        <v>89</v>
      </c>
      <c r="K4" s="45">
        <v>91</v>
      </c>
      <c r="L4" s="48"/>
      <c r="M4" s="45">
        <v>92</v>
      </c>
      <c r="N4" s="45">
        <v>102</v>
      </c>
      <c r="O4" s="45">
        <v>11.4</v>
      </c>
      <c r="P4" s="45">
        <v>10.1</v>
      </c>
      <c r="Q4" s="45">
        <v>15.4</v>
      </c>
      <c r="R4" s="48"/>
      <c r="S4" s="45">
        <v>15.4</v>
      </c>
      <c r="T4" s="45">
        <v>14.1</v>
      </c>
      <c r="U4" s="45">
        <f t="shared" si="0"/>
        <v>-1.3000000000000007</v>
      </c>
      <c r="V4" s="45">
        <v>1308</v>
      </c>
      <c r="W4" s="45">
        <v>1195</v>
      </c>
      <c r="X4" s="45">
        <f t="shared" si="1"/>
        <v>-113</v>
      </c>
      <c r="Y4" s="45">
        <v>26.4</v>
      </c>
      <c r="Z4" s="45">
        <v>31.3</v>
      </c>
      <c r="AA4" s="45">
        <v>4.4000000000000004</v>
      </c>
      <c r="AB4" s="56">
        <v>4</v>
      </c>
    </row>
    <row r="5" spans="1:28" x14ac:dyDescent="0.2">
      <c r="A5" s="6">
        <v>4</v>
      </c>
      <c r="B5" s="45">
        <v>1</v>
      </c>
      <c r="C5" s="46">
        <v>6.666666666666667</v>
      </c>
      <c r="D5" s="46">
        <v>7.6500000000000012</v>
      </c>
      <c r="E5" s="45">
        <v>71</v>
      </c>
      <c r="F5" s="45">
        <v>81</v>
      </c>
      <c r="G5" s="46">
        <v>1.41</v>
      </c>
      <c r="H5" s="46">
        <v>1.22</v>
      </c>
      <c r="I5" s="45">
        <v>75</v>
      </c>
      <c r="J5" s="45">
        <v>84</v>
      </c>
      <c r="K5" s="45">
        <v>82</v>
      </c>
      <c r="L5" s="45">
        <v>98</v>
      </c>
      <c r="M5" s="45">
        <v>89</v>
      </c>
      <c r="N5" s="45">
        <v>99</v>
      </c>
      <c r="O5" s="45">
        <v>6.7</v>
      </c>
      <c r="P5" s="45">
        <v>13.3</v>
      </c>
      <c r="Q5" s="45">
        <v>13.1</v>
      </c>
      <c r="R5" s="45">
        <v>16.8</v>
      </c>
      <c r="S5" s="45">
        <v>12.9</v>
      </c>
      <c r="T5" s="45">
        <v>16.600000000000001</v>
      </c>
      <c r="U5" s="45">
        <f t="shared" si="0"/>
        <v>3.7000000000000011</v>
      </c>
      <c r="V5" s="45">
        <v>985</v>
      </c>
      <c r="W5" s="45">
        <v>1109</v>
      </c>
      <c r="X5" s="45">
        <f t="shared" si="1"/>
        <v>124</v>
      </c>
      <c r="Y5" s="45">
        <v>24.4</v>
      </c>
      <c r="Z5" s="45">
        <v>30.5</v>
      </c>
      <c r="AA5" s="45">
        <v>3.7</v>
      </c>
      <c r="AB5" s="45">
        <v>4.7</v>
      </c>
    </row>
    <row r="6" spans="1:28" x14ac:dyDescent="0.2">
      <c r="A6" s="6">
        <v>5</v>
      </c>
      <c r="B6" s="45">
        <v>1</v>
      </c>
      <c r="C6" s="46">
        <v>7.9833333333333334</v>
      </c>
      <c r="D6" s="46">
        <v>10.616666666666667</v>
      </c>
      <c r="E6" s="45">
        <v>85</v>
      </c>
      <c r="F6" s="45">
        <v>111</v>
      </c>
      <c r="G6" s="46">
        <v>1.1399999999999999</v>
      </c>
      <c r="H6" s="46">
        <v>1.22</v>
      </c>
      <c r="I6" s="45">
        <v>105</v>
      </c>
      <c r="J6" s="45">
        <v>105</v>
      </c>
      <c r="K6" s="45">
        <v>113</v>
      </c>
      <c r="L6" s="45">
        <v>128</v>
      </c>
      <c r="M6" s="45">
        <v>128</v>
      </c>
      <c r="N6" s="45">
        <v>148</v>
      </c>
      <c r="O6" s="45">
        <v>11.8</v>
      </c>
      <c r="P6" s="45">
        <v>13.8</v>
      </c>
      <c r="Q6" s="45">
        <v>16.3</v>
      </c>
      <c r="R6" s="45">
        <v>22.2</v>
      </c>
      <c r="S6" s="45">
        <v>21.4</v>
      </c>
      <c r="T6" s="45">
        <v>25.8</v>
      </c>
      <c r="U6" s="45">
        <f t="shared" si="0"/>
        <v>4.4000000000000021</v>
      </c>
      <c r="V6" s="45">
        <v>1218</v>
      </c>
      <c r="W6" s="45">
        <v>1447</v>
      </c>
      <c r="X6" s="45">
        <f t="shared" si="1"/>
        <v>229</v>
      </c>
      <c r="Y6" s="45">
        <v>28.8</v>
      </c>
      <c r="Z6" s="45">
        <v>37.6</v>
      </c>
      <c r="AA6" s="45">
        <v>6.1</v>
      </c>
      <c r="AB6" s="45">
        <v>7.4</v>
      </c>
    </row>
    <row r="7" spans="1:28" x14ac:dyDescent="0.2">
      <c r="A7" s="6">
        <v>6</v>
      </c>
      <c r="B7" s="45">
        <v>1</v>
      </c>
      <c r="C7" s="46">
        <v>12.1</v>
      </c>
      <c r="D7" s="46">
        <v>13.716666666666667</v>
      </c>
      <c r="E7" s="45">
        <v>126</v>
      </c>
      <c r="F7" s="45">
        <v>119</v>
      </c>
      <c r="G7" s="47">
        <v>1.06</v>
      </c>
      <c r="H7" s="48">
        <v>1.07</v>
      </c>
      <c r="I7" s="45">
        <v>99</v>
      </c>
      <c r="J7" s="45">
        <v>105</v>
      </c>
      <c r="K7" s="45">
        <v>111</v>
      </c>
      <c r="L7" s="45">
        <v>128</v>
      </c>
      <c r="M7" s="45">
        <v>116</v>
      </c>
      <c r="N7" s="45">
        <v>132</v>
      </c>
      <c r="O7" s="45">
        <v>9.6</v>
      </c>
      <c r="P7" s="45">
        <v>14.4</v>
      </c>
      <c r="Q7" s="45">
        <v>13</v>
      </c>
      <c r="R7" s="45">
        <v>15.7</v>
      </c>
      <c r="S7" s="45">
        <v>16.100000000000001</v>
      </c>
      <c r="T7" s="45">
        <v>16.600000000000001</v>
      </c>
      <c r="U7" s="45">
        <f t="shared" si="0"/>
        <v>0.5</v>
      </c>
      <c r="V7" s="45">
        <v>1852</v>
      </c>
      <c r="W7" s="45">
        <v>1658</v>
      </c>
      <c r="X7" s="45">
        <f t="shared" si="1"/>
        <v>-194</v>
      </c>
      <c r="Y7" s="45">
        <v>32.299999999999997</v>
      </c>
      <c r="Z7" s="45">
        <v>30.6</v>
      </c>
      <c r="AA7" s="45">
        <v>4.5999999999999996</v>
      </c>
      <c r="AB7" s="45">
        <v>4.7</v>
      </c>
    </row>
    <row r="8" spans="1:28" x14ac:dyDescent="0.2">
      <c r="A8" s="6">
        <v>7</v>
      </c>
      <c r="B8" s="45">
        <v>1</v>
      </c>
      <c r="C8" s="46">
        <v>9.2666666666666675</v>
      </c>
      <c r="D8" s="46">
        <v>11.416666666666666</v>
      </c>
      <c r="E8" s="44">
        <v>97</v>
      </c>
      <c r="F8" s="45">
        <v>119</v>
      </c>
      <c r="G8" s="46">
        <v>1.2</v>
      </c>
      <c r="H8" s="48">
        <v>1.23</v>
      </c>
      <c r="I8" s="45">
        <v>116</v>
      </c>
      <c r="J8" s="45">
        <v>107</v>
      </c>
      <c r="K8" s="45">
        <v>128</v>
      </c>
      <c r="L8" s="45">
        <v>128</v>
      </c>
      <c r="M8" s="45">
        <v>156</v>
      </c>
      <c r="N8" s="45">
        <v>135</v>
      </c>
      <c r="O8" s="45">
        <v>10.3</v>
      </c>
      <c r="P8" s="45">
        <v>14.4</v>
      </c>
      <c r="Q8" s="45">
        <v>12.9</v>
      </c>
      <c r="R8" s="45">
        <v>15.7</v>
      </c>
      <c r="S8" s="45">
        <v>13.9</v>
      </c>
      <c r="T8" s="45">
        <v>16.600000000000001</v>
      </c>
      <c r="U8" s="45">
        <f t="shared" si="0"/>
        <v>2.7000000000000011</v>
      </c>
      <c r="V8" s="45">
        <v>1392</v>
      </c>
      <c r="W8" s="45">
        <v>1658</v>
      </c>
      <c r="X8" s="45">
        <f t="shared" si="1"/>
        <v>266</v>
      </c>
      <c r="Y8" s="45">
        <v>34.71</v>
      </c>
      <c r="Z8" s="45">
        <v>30.6</v>
      </c>
      <c r="AA8" s="56">
        <v>4</v>
      </c>
      <c r="AB8" s="45">
        <v>4.7</v>
      </c>
    </row>
    <row r="9" spans="1:28" x14ac:dyDescent="0.2">
      <c r="A9" s="6">
        <v>8</v>
      </c>
      <c r="B9" s="45">
        <v>1</v>
      </c>
      <c r="C9" s="46">
        <v>6.666666666666667</v>
      </c>
      <c r="D9" s="46">
        <v>8.4166666666666661</v>
      </c>
      <c r="E9" s="44">
        <v>71</v>
      </c>
      <c r="F9" s="45">
        <v>89</v>
      </c>
      <c r="G9" s="46">
        <v>1.38</v>
      </c>
      <c r="H9" s="48">
        <v>1.17</v>
      </c>
      <c r="I9" s="45">
        <v>112</v>
      </c>
      <c r="J9" s="45">
        <v>90</v>
      </c>
      <c r="K9" s="45">
        <v>135</v>
      </c>
      <c r="L9" s="45">
        <v>110</v>
      </c>
      <c r="M9" s="45">
        <v>135</v>
      </c>
      <c r="N9" s="45">
        <v>120</v>
      </c>
      <c r="O9" s="45">
        <v>12.1</v>
      </c>
      <c r="P9" s="45">
        <v>12.6</v>
      </c>
      <c r="Q9" s="45">
        <v>13.6</v>
      </c>
      <c r="R9" s="45">
        <v>16</v>
      </c>
      <c r="S9" s="45">
        <v>14.3</v>
      </c>
      <c r="T9" s="45">
        <v>17.100000000000001</v>
      </c>
      <c r="U9" s="45">
        <f t="shared" si="0"/>
        <v>2.8000000000000007</v>
      </c>
      <c r="V9" s="45">
        <v>1000</v>
      </c>
      <c r="W9" s="45">
        <v>1197</v>
      </c>
      <c r="X9" s="45">
        <f t="shared" si="1"/>
        <v>197</v>
      </c>
      <c r="Y9" s="45">
        <v>32.57</v>
      </c>
      <c r="Z9" s="45">
        <v>35.200000000000003</v>
      </c>
      <c r="AA9" s="45">
        <v>4.0999999999999996</v>
      </c>
      <c r="AB9" s="45">
        <v>4.9000000000000004</v>
      </c>
    </row>
    <row r="10" spans="1:28" x14ac:dyDescent="0.2">
      <c r="A10" s="6">
        <v>9</v>
      </c>
      <c r="B10" s="45">
        <v>2</v>
      </c>
      <c r="C10" s="46">
        <v>9.2166666666666668</v>
      </c>
      <c r="D10" s="46">
        <v>10.516666666666669</v>
      </c>
      <c r="E10" s="45">
        <v>97</v>
      </c>
      <c r="F10" s="45">
        <v>110</v>
      </c>
      <c r="G10" s="46">
        <v>1.41</v>
      </c>
      <c r="H10" s="48">
        <v>1.18</v>
      </c>
      <c r="I10" s="45">
        <v>11</v>
      </c>
      <c r="J10" s="48"/>
      <c r="K10" s="45">
        <v>102</v>
      </c>
      <c r="L10" s="48"/>
      <c r="M10" s="45">
        <v>114</v>
      </c>
      <c r="N10" s="45">
        <v>111</v>
      </c>
      <c r="O10" s="45">
        <v>12.1</v>
      </c>
      <c r="P10" s="45">
        <v>10.7</v>
      </c>
      <c r="Q10" s="45">
        <v>14.6</v>
      </c>
      <c r="R10" s="45">
        <v>15.5</v>
      </c>
      <c r="S10" s="45">
        <v>17.399999999999999</v>
      </c>
      <c r="T10" s="45">
        <v>17.2</v>
      </c>
      <c r="U10" s="45">
        <f t="shared" si="0"/>
        <v>-0.19999999999999929</v>
      </c>
      <c r="V10" s="45">
        <v>1321</v>
      </c>
      <c r="W10" s="45">
        <v>1276</v>
      </c>
      <c r="X10" s="45">
        <f t="shared" si="1"/>
        <v>-45</v>
      </c>
      <c r="Y10" s="45">
        <v>28.8</v>
      </c>
      <c r="Z10" s="45">
        <v>40.5</v>
      </c>
      <c r="AA10" s="56">
        <v>5</v>
      </c>
      <c r="AB10" s="45">
        <v>4.9000000000000004</v>
      </c>
    </row>
    <row r="11" spans="1:28" x14ac:dyDescent="0.2">
      <c r="A11" s="6">
        <v>10</v>
      </c>
      <c r="B11" s="45">
        <v>2</v>
      </c>
      <c r="C11" s="46">
        <v>13.533333333333333</v>
      </c>
      <c r="D11" s="46">
        <v>10.550000000000002</v>
      </c>
      <c r="E11" s="45">
        <v>140</v>
      </c>
      <c r="F11" s="45">
        <v>163</v>
      </c>
      <c r="G11" s="46">
        <v>1.1399999999999999</v>
      </c>
      <c r="H11" s="46">
        <v>1.18</v>
      </c>
      <c r="I11" s="45">
        <v>104</v>
      </c>
      <c r="J11" s="45">
        <v>110</v>
      </c>
      <c r="K11" s="45">
        <v>118</v>
      </c>
      <c r="L11" s="45">
        <v>118</v>
      </c>
      <c r="M11" s="45">
        <v>131</v>
      </c>
      <c r="N11" s="45">
        <v>131</v>
      </c>
      <c r="O11" s="45">
        <v>11.3</v>
      </c>
      <c r="P11" s="45">
        <v>17</v>
      </c>
      <c r="Q11" s="45">
        <v>14.5</v>
      </c>
      <c r="R11" s="45">
        <v>20.8</v>
      </c>
      <c r="S11" s="45">
        <v>16.8</v>
      </c>
      <c r="T11" s="45">
        <v>21.9</v>
      </c>
      <c r="U11" s="45">
        <f t="shared" si="0"/>
        <v>5.0999999999999979</v>
      </c>
      <c r="V11" s="45">
        <v>1668</v>
      </c>
      <c r="W11" s="45">
        <v>2155</v>
      </c>
      <c r="X11" s="45">
        <f t="shared" si="1"/>
        <v>487</v>
      </c>
      <c r="Y11" s="45">
        <v>29.5</v>
      </c>
      <c r="Z11" s="45">
        <v>33.1</v>
      </c>
      <c r="AA11" s="45">
        <v>4.8</v>
      </c>
      <c r="AB11" s="45">
        <v>6.3</v>
      </c>
    </row>
    <row r="12" spans="1:28" x14ac:dyDescent="0.2">
      <c r="A12" s="6">
        <v>11</v>
      </c>
      <c r="B12" s="45">
        <v>2</v>
      </c>
      <c r="C12" s="46">
        <v>13.166666666666664</v>
      </c>
      <c r="D12" s="46">
        <v>13.933333333333335</v>
      </c>
      <c r="E12" s="45">
        <v>134</v>
      </c>
      <c r="F12" s="45">
        <v>140</v>
      </c>
      <c r="G12" s="47">
        <v>1.04</v>
      </c>
      <c r="H12" s="48">
        <v>1.18</v>
      </c>
      <c r="I12" s="45">
        <v>110</v>
      </c>
      <c r="J12" s="45">
        <v>93</v>
      </c>
      <c r="K12" s="45">
        <v>119</v>
      </c>
      <c r="L12" s="45">
        <v>118</v>
      </c>
      <c r="M12" s="45">
        <v>113</v>
      </c>
      <c r="N12" s="45">
        <v>135</v>
      </c>
      <c r="O12" s="45">
        <v>17.899999999999999</v>
      </c>
      <c r="P12" s="45">
        <v>14.5</v>
      </c>
      <c r="Q12" s="45">
        <v>25.1</v>
      </c>
      <c r="R12" s="45">
        <v>21.1</v>
      </c>
      <c r="S12" s="45">
        <v>18.100000000000001</v>
      </c>
      <c r="T12" s="45">
        <v>24.5</v>
      </c>
      <c r="U12" s="45">
        <f t="shared" si="0"/>
        <v>6.3999999999999986</v>
      </c>
      <c r="V12" s="45">
        <v>2152</v>
      </c>
      <c r="W12" s="45">
        <v>2134</v>
      </c>
      <c r="X12" s="45">
        <f t="shared" si="1"/>
        <v>-18</v>
      </c>
      <c r="Y12" s="45">
        <v>27.2</v>
      </c>
      <c r="Z12" s="45">
        <v>26.8</v>
      </c>
      <c r="AA12" s="45">
        <v>5.2</v>
      </c>
      <c r="AB12" s="56">
        <v>7</v>
      </c>
    </row>
    <row r="13" spans="1:28" x14ac:dyDescent="0.2">
      <c r="A13" s="6">
        <v>12</v>
      </c>
      <c r="B13" s="45">
        <v>2</v>
      </c>
      <c r="C13" s="46">
        <v>7.5166666666666666</v>
      </c>
      <c r="D13" s="46">
        <v>12.283333333333333</v>
      </c>
      <c r="E13" s="44">
        <v>80</v>
      </c>
      <c r="F13" s="45">
        <v>74</v>
      </c>
      <c r="G13" s="46">
        <v>1.24</v>
      </c>
      <c r="H13" s="48">
        <v>1.1200000000000001</v>
      </c>
      <c r="I13" s="45">
        <v>94</v>
      </c>
      <c r="J13" s="45">
        <v>111</v>
      </c>
      <c r="K13" s="45">
        <v>109</v>
      </c>
      <c r="L13" s="45">
        <v>122</v>
      </c>
      <c r="M13" s="45">
        <v>107</v>
      </c>
      <c r="N13" s="45">
        <v>130</v>
      </c>
      <c r="O13" s="45">
        <v>10.199999999999999</v>
      </c>
      <c r="P13" s="45">
        <v>12.6</v>
      </c>
      <c r="Q13" s="45">
        <v>13.3</v>
      </c>
      <c r="R13" s="45">
        <v>16.600000000000001</v>
      </c>
      <c r="S13" s="45">
        <v>13.4</v>
      </c>
      <c r="T13" s="45">
        <v>16.100000000000001</v>
      </c>
      <c r="U13" s="45">
        <f t="shared" si="0"/>
        <v>2.7000000000000011</v>
      </c>
      <c r="V13" s="45">
        <v>1243</v>
      </c>
      <c r="W13" s="45">
        <v>1500</v>
      </c>
      <c r="X13" s="45">
        <f t="shared" si="1"/>
        <v>257</v>
      </c>
      <c r="Y13" s="45">
        <v>24.2</v>
      </c>
      <c r="Z13" s="45">
        <v>24.6</v>
      </c>
      <c r="AA13" s="45">
        <v>3.8</v>
      </c>
      <c r="AB13" s="45">
        <v>4.5999999999999996</v>
      </c>
    </row>
    <row r="14" spans="1:28" x14ac:dyDescent="0.2">
      <c r="A14" s="6">
        <v>13</v>
      </c>
      <c r="B14" s="45">
        <v>2</v>
      </c>
      <c r="C14" s="46">
        <v>6.7666666666666666</v>
      </c>
      <c r="D14" s="46">
        <v>7.666666666666667</v>
      </c>
      <c r="E14" s="44">
        <v>72</v>
      </c>
      <c r="F14" s="45">
        <v>82</v>
      </c>
      <c r="G14" s="46">
        <v>1.05</v>
      </c>
      <c r="H14" s="48">
        <v>0.95</v>
      </c>
      <c r="I14" s="45">
        <v>109</v>
      </c>
      <c r="J14" s="45">
        <v>109</v>
      </c>
      <c r="K14" s="45">
        <v>118</v>
      </c>
      <c r="L14" s="45">
        <v>128</v>
      </c>
      <c r="M14" s="45">
        <v>118</v>
      </c>
      <c r="N14" s="45">
        <v>128</v>
      </c>
      <c r="O14" s="45">
        <v>13.6</v>
      </c>
      <c r="P14" s="45">
        <v>17.7</v>
      </c>
      <c r="Q14" s="45">
        <v>16.7</v>
      </c>
      <c r="R14" s="45">
        <v>19.600000000000001</v>
      </c>
      <c r="S14" s="45">
        <v>15</v>
      </c>
      <c r="T14" s="45">
        <v>17.7</v>
      </c>
      <c r="U14" s="45">
        <f t="shared" si="0"/>
        <v>2.6999999999999993</v>
      </c>
      <c r="V14" s="45">
        <v>1772</v>
      </c>
      <c r="W14" s="45">
        <v>2094</v>
      </c>
      <c r="X14" s="45">
        <f t="shared" si="1"/>
        <v>322</v>
      </c>
      <c r="Y14" s="45">
        <v>19.13</v>
      </c>
      <c r="Z14" s="45">
        <v>21.8</v>
      </c>
      <c r="AA14" s="45">
        <v>4.3</v>
      </c>
      <c r="AB14" s="45">
        <v>5.0999999999999996</v>
      </c>
    </row>
    <row r="15" spans="1:28" x14ac:dyDescent="0.2">
      <c r="A15" s="6">
        <v>14</v>
      </c>
      <c r="B15" s="45">
        <v>2</v>
      </c>
      <c r="C15" s="46">
        <v>9.7333333333333325</v>
      </c>
      <c r="D15" s="46">
        <v>9.8000000000000007</v>
      </c>
      <c r="E15" s="45">
        <v>102</v>
      </c>
      <c r="F15" s="45">
        <v>103</v>
      </c>
      <c r="G15" s="46">
        <v>1.25</v>
      </c>
      <c r="H15" s="48">
        <v>1.1399999999999999</v>
      </c>
      <c r="I15" s="45">
        <v>129</v>
      </c>
      <c r="J15" s="45">
        <v>115</v>
      </c>
      <c r="K15" s="45">
        <v>150</v>
      </c>
      <c r="L15" s="45">
        <v>130</v>
      </c>
      <c r="M15" s="45">
        <v>153</v>
      </c>
      <c r="N15" s="45">
        <v>140</v>
      </c>
      <c r="O15" s="45">
        <v>17.5</v>
      </c>
      <c r="P15" s="45">
        <v>17.7</v>
      </c>
      <c r="Q15" s="45">
        <v>23.2</v>
      </c>
      <c r="R15" s="45">
        <v>21.7</v>
      </c>
      <c r="S15" s="45">
        <v>20.6</v>
      </c>
      <c r="T15" s="45">
        <v>22.2</v>
      </c>
      <c r="U15" s="45">
        <f t="shared" si="0"/>
        <v>1.5999999999999979</v>
      </c>
      <c r="V15" s="45">
        <v>1238</v>
      </c>
      <c r="W15" s="45">
        <v>1335</v>
      </c>
      <c r="X15" s="45">
        <f t="shared" si="1"/>
        <v>97</v>
      </c>
      <c r="Y15" s="45">
        <v>33.9</v>
      </c>
      <c r="Z15" s="45">
        <v>35.700000000000003</v>
      </c>
      <c r="AA15" s="45">
        <v>5.9</v>
      </c>
      <c r="AB15" s="45">
        <v>6.4</v>
      </c>
    </row>
    <row r="16" spans="1:28" x14ac:dyDescent="0.2">
      <c r="A16" s="6">
        <v>15</v>
      </c>
      <c r="B16" s="45">
        <v>3</v>
      </c>
      <c r="C16" s="46">
        <v>5.6666666666666679</v>
      </c>
      <c r="D16" s="46">
        <v>6.7333333333333334</v>
      </c>
      <c r="E16" s="45">
        <v>61</v>
      </c>
      <c r="F16" s="45">
        <v>72</v>
      </c>
      <c r="G16" s="46">
        <v>1.2</v>
      </c>
      <c r="H16" s="46">
        <v>1.24</v>
      </c>
      <c r="I16" s="45">
        <v>77</v>
      </c>
      <c r="J16" s="45">
        <v>76</v>
      </c>
      <c r="K16" s="45">
        <v>90</v>
      </c>
      <c r="L16" s="45">
        <v>100</v>
      </c>
      <c r="M16" s="45">
        <v>116</v>
      </c>
      <c r="N16" s="45">
        <v>142</v>
      </c>
      <c r="O16" s="45">
        <v>10.3</v>
      </c>
      <c r="P16" s="45">
        <v>9.6</v>
      </c>
      <c r="Q16" s="45">
        <v>15.1</v>
      </c>
      <c r="R16" s="45">
        <v>14.6</v>
      </c>
      <c r="S16" s="45">
        <v>18.2</v>
      </c>
      <c r="T16" s="45">
        <v>19.899999999999999</v>
      </c>
      <c r="U16" s="45">
        <f t="shared" si="0"/>
        <v>1.6999999999999993</v>
      </c>
      <c r="V16" s="45">
        <v>874</v>
      </c>
      <c r="W16" s="45">
        <v>989</v>
      </c>
      <c r="X16" s="45">
        <f t="shared" si="1"/>
        <v>115</v>
      </c>
      <c r="Y16" s="45">
        <v>22.2</v>
      </c>
      <c r="Z16" s="45">
        <v>28.4</v>
      </c>
      <c r="AA16" s="45">
        <v>5.2</v>
      </c>
      <c r="AB16" s="45">
        <v>5.7</v>
      </c>
    </row>
    <row r="17" spans="1:28" x14ac:dyDescent="0.2">
      <c r="A17" s="6">
        <v>16</v>
      </c>
      <c r="B17" s="45">
        <v>3</v>
      </c>
      <c r="C17" s="46">
        <v>8.0333333333333332</v>
      </c>
      <c r="D17" s="46">
        <v>9.1166666666666671</v>
      </c>
      <c r="E17" s="45">
        <v>165</v>
      </c>
      <c r="F17" s="45">
        <v>187</v>
      </c>
      <c r="G17" s="46">
        <v>1.42</v>
      </c>
      <c r="H17" s="46">
        <v>1.19</v>
      </c>
      <c r="I17" s="45">
        <v>99</v>
      </c>
      <c r="J17" s="45">
        <v>107</v>
      </c>
      <c r="K17" s="45">
        <v>126</v>
      </c>
      <c r="L17" s="45">
        <v>127</v>
      </c>
      <c r="M17" s="45">
        <v>141</v>
      </c>
      <c r="N17" s="45">
        <v>140</v>
      </c>
      <c r="O17" s="45">
        <v>10.5</v>
      </c>
      <c r="P17" s="45">
        <v>14.9</v>
      </c>
      <c r="Q17" s="45">
        <v>16.5</v>
      </c>
      <c r="R17" s="45">
        <v>20.3</v>
      </c>
      <c r="S17" s="45">
        <v>20.6</v>
      </c>
      <c r="T17" s="45">
        <v>23.4</v>
      </c>
      <c r="U17" s="45">
        <f t="shared" si="0"/>
        <v>2.7999999999999972</v>
      </c>
      <c r="V17" s="45">
        <v>2023</v>
      </c>
      <c r="W17" s="45">
        <v>2153</v>
      </c>
      <c r="X17" s="45">
        <f t="shared" si="1"/>
        <v>130</v>
      </c>
      <c r="Y17" s="45">
        <v>21.7</v>
      </c>
      <c r="Z17" s="45">
        <v>26.3</v>
      </c>
      <c r="AA17" s="45">
        <v>5.9</v>
      </c>
      <c r="AB17" s="45">
        <v>6.7</v>
      </c>
    </row>
    <row r="18" spans="1:28" x14ac:dyDescent="0.2">
      <c r="A18" s="6">
        <v>17</v>
      </c>
      <c r="B18" s="45">
        <v>3</v>
      </c>
      <c r="C18" s="46">
        <v>9.0500000000000025</v>
      </c>
      <c r="D18" s="46">
        <v>9.0666666666666664</v>
      </c>
      <c r="E18" s="45">
        <v>95</v>
      </c>
      <c r="F18" s="45">
        <v>95</v>
      </c>
      <c r="G18" s="46">
        <v>1.26</v>
      </c>
      <c r="H18" s="46">
        <v>1.31</v>
      </c>
      <c r="I18" s="45">
        <v>99</v>
      </c>
      <c r="J18" s="45">
        <v>106</v>
      </c>
      <c r="K18" s="45">
        <v>115</v>
      </c>
      <c r="L18" s="45">
        <v>119</v>
      </c>
      <c r="M18" s="45">
        <v>136</v>
      </c>
      <c r="N18" s="45">
        <v>157</v>
      </c>
      <c r="O18" s="45">
        <v>10.3</v>
      </c>
      <c r="P18" s="45">
        <v>8.6</v>
      </c>
      <c r="Q18" s="45">
        <v>14.7</v>
      </c>
      <c r="R18" s="45">
        <v>12.9</v>
      </c>
      <c r="S18" s="45">
        <v>15.9</v>
      </c>
      <c r="T18" s="45">
        <v>13.1</v>
      </c>
      <c r="U18" s="45">
        <f t="shared" si="0"/>
        <v>-2.8000000000000007</v>
      </c>
      <c r="V18" s="45">
        <v>1142</v>
      </c>
      <c r="W18" s="45">
        <v>945</v>
      </c>
      <c r="X18" s="45">
        <f t="shared" si="1"/>
        <v>-197</v>
      </c>
      <c r="Y18" s="45">
        <v>27</v>
      </c>
      <c r="Z18" s="45">
        <v>32</v>
      </c>
      <c r="AA18" s="45">
        <v>4.5</v>
      </c>
      <c r="AB18" s="45">
        <v>3.8</v>
      </c>
    </row>
    <row r="19" spans="1:28" x14ac:dyDescent="0.2">
      <c r="A19" s="6">
        <v>18</v>
      </c>
      <c r="B19" s="45">
        <v>3</v>
      </c>
      <c r="C19" s="46">
        <v>10.566666666666666</v>
      </c>
      <c r="D19" s="46">
        <v>10.566666666666666</v>
      </c>
      <c r="E19" s="45">
        <v>163</v>
      </c>
      <c r="F19" s="45">
        <v>142</v>
      </c>
      <c r="G19" s="46">
        <v>1.37</v>
      </c>
      <c r="H19" s="46">
        <v>1.22</v>
      </c>
      <c r="I19" s="45">
        <v>109</v>
      </c>
      <c r="J19" s="45">
        <v>121</v>
      </c>
      <c r="K19" s="45">
        <v>141</v>
      </c>
      <c r="L19" s="45">
        <v>138</v>
      </c>
      <c r="M19" s="45">
        <v>170</v>
      </c>
      <c r="N19" s="45">
        <v>152</v>
      </c>
      <c r="O19" s="45">
        <v>11.5</v>
      </c>
      <c r="P19" s="45">
        <v>16.8</v>
      </c>
      <c r="Q19" s="45">
        <v>20.3</v>
      </c>
      <c r="R19" s="45">
        <v>14.3</v>
      </c>
      <c r="S19" s="45">
        <v>25.8</v>
      </c>
      <c r="T19" s="45">
        <v>23.5</v>
      </c>
      <c r="U19" s="45">
        <f t="shared" si="0"/>
        <v>-2.3000000000000007</v>
      </c>
      <c r="V19" s="45">
        <v>2271</v>
      </c>
      <c r="W19" s="45">
        <v>2069</v>
      </c>
      <c r="X19" s="45">
        <f t="shared" si="1"/>
        <v>-202</v>
      </c>
      <c r="Y19" s="45">
        <v>31</v>
      </c>
      <c r="Z19" s="45">
        <v>32.6</v>
      </c>
      <c r="AA19" s="45">
        <v>7.4</v>
      </c>
      <c r="AB19" s="45">
        <v>6.7</v>
      </c>
    </row>
    <row r="20" spans="1:28" x14ac:dyDescent="0.2">
      <c r="A20" s="6">
        <v>19</v>
      </c>
      <c r="B20" s="45">
        <v>3</v>
      </c>
      <c r="C20" s="46">
        <v>12.25</v>
      </c>
      <c r="D20" s="46">
        <v>13.983333333333331</v>
      </c>
      <c r="E20" s="45">
        <v>127</v>
      </c>
      <c r="F20" s="45">
        <v>144</v>
      </c>
      <c r="G20" s="46">
        <v>1.02</v>
      </c>
      <c r="H20" s="46">
        <v>1.1499999999999999</v>
      </c>
      <c r="I20" s="45">
        <v>141</v>
      </c>
      <c r="J20" s="45">
        <v>102</v>
      </c>
      <c r="K20" s="45">
        <v>143</v>
      </c>
      <c r="L20" s="45">
        <v>123</v>
      </c>
      <c r="M20" s="45">
        <v>146</v>
      </c>
      <c r="N20" s="45">
        <v>148</v>
      </c>
      <c r="O20" s="45">
        <v>28.4</v>
      </c>
      <c r="P20" s="45">
        <v>13.2</v>
      </c>
      <c r="Q20" s="45">
        <v>19.600000000000001</v>
      </c>
      <c r="R20" s="45">
        <v>17.399999999999999</v>
      </c>
      <c r="S20" s="45">
        <v>23.2</v>
      </c>
      <c r="T20" s="45">
        <v>25.1</v>
      </c>
      <c r="U20" s="45">
        <f t="shared" si="0"/>
        <v>1.9000000000000021</v>
      </c>
      <c r="V20" s="45">
        <v>1832</v>
      </c>
      <c r="W20" s="45">
        <v>1932</v>
      </c>
      <c r="X20" s="45">
        <f t="shared" si="1"/>
        <v>100</v>
      </c>
      <c r="Y20" s="45">
        <v>29.2</v>
      </c>
      <c r="Z20" s="45">
        <v>34</v>
      </c>
      <c r="AA20" s="45">
        <v>6.6</v>
      </c>
      <c r="AB20" s="45">
        <v>7.2</v>
      </c>
    </row>
    <row r="21" spans="1:28" x14ac:dyDescent="0.2">
      <c r="A21" s="6">
        <v>20</v>
      </c>
      <c r="B21" s="45">
        <v>3</v>
      </c>
      <c r="C21" s="46">
        <v>13.6</v>
      </c>
      <c r="D21" s="46">
        <v>13.4</v>
      </c>
      <c r="E21" s="45">
        <v>141</v>
      </c>
      <c r="F21" s="45">
        <v>139</v>
      </c>
      <c r="G21" s="46">
        <v>1.25</v>
      </c>
      <c r="H21" s="48">
        <v>1.28</v>
      </c>
      <c r="I21" s="45">
        <v>88</v>
      </c>
      <c r="J21" s="45">
        <v>86</v>
      </c>
      <c r="K21" s="45">
        <v>107</v>
      </c>
      <c r="L21" s="45">
        <v>105</v>
      </c>
      <c r="M21" s="45">
        <v>128</v>
      </c>
      <c r="N21" s="45">
        <v>129</v>
      </c>
      <c r="O21" s="45">
        <v>9.3000000000000007</v>
      </c>
      <c r="P21" s="45">
        <v>11.3</v>
      </c>
      <c r="Q21" s="45">
        <v>17.399999999999999</v>
      </c>
      <c r="R21" s="45">
        <v>17.100000000000001</v>
      </c>
      <c r="S21" s="45">
        <v>22</v>
      </c>
      <c r="T21" s="45">
        <v>22</v>
      </c>
      <c r="U21" s="45">
        <f t="shared" si="0"/>
        <v>0</v>
      </c>
      <c r="V21" s="45">
        <v>1737</v>
      </c>
      <c r="W21" s="45">
        <v>1807</v>
      </c>
      <c r="X21" s="45">
        <f t="shared" si="1"/>
        <v>70</v>
      </c>
      <c r="Y21" s="45">
        <v>27.5</v>
      </c>
      <c r="Z21" s="45">
        <v>30.8</v>
      </c>
      <c r="AA21" s="45">
        <v>6.3</v>
      </c>
      <c r="AB21" s="45">
        <v>6.3</v>
      </c>
    </row>
    <row r="22" spans="1:28" x14ac:dyDescent="0.2">
      <c r="A22" s="6">
        <v>21</v>
      </c>
      <c r="B22" s="45">
        <v>3</v>
      </c>
      <c r="C22" s="46">
        <v>12.483333333333331</v>
      </c>
      <c r="D22" s="46">
        <v>11.833333333333334</v>
      </c>
      <c r="E22" s="45">
        <v>129</v>
      </c>
      <c r="F22" s="45">
        <v>123</v>
      </c>
      <c r="G22" s="46">
        <v>1.17</v>
      </c>
      <c r="H22" s="48">
        <v>1.22</v>
      </c>
      <c r="I22" s="45">
        <v>83</v>
      </c>
      <c r="J22" s="45">
        <v>81</v>
      </c>
      <c r="K22" s="45">
        <v>110</v>
      </c>
      <c r="L22" s="45">
        <v>109</v>
      </c>
      <c r="M22" s="45">
        <v>135</v>
      </c>
      <c r="N22" s="45">
        <v>140</v>
      </c>
      <c r="O22" s="45">
        <v>11</v>
      </c>
      <c r="P22" s="45">
        <v>16.3</v>
      </c>
      <c r="Q22" s="45">
        <v>17.8</v>
      </c>
      <c r="R22" s="45">
        <v>15.8</v>
      </c>
      <c r="S22" s="45">
        <v>17.7</v>
      </c>
      <c r="T22" s="45">
        <v>16.3</v>
      </c>
      <c r="U22" s="45">
        <f t="shared" si="0"/>
        <v>-1.3999999999999986</v>
      </c>
      <c r="V22" s="45">
        <v>1437</v>
      </c>
      <c r="W22" s="45">
        <v>1317</v>
      </c>
      <c r="X22" s="45">
        <f t="shared" si="1"/>
        <v>-120</v>
      </c>
      <c r="Y22" s="45">
        <v>44.3</v>
      </c>
      <c r="Z22" s="45">
        <v>48.3</v>
      </c>
      <c r="AA22" s="45">
        <v>5.0999999999999996</v>
      </c>
      <c r="AB22" s="45">
        <v>4.5999999999999996</v>
      </c>
    </row>
    <row r="23" spans="1:28" x14ac:dyDescent="0.2">
      <c r="A23" s="6">
        <v>22</v>
      </c>
      <c r="B23" s="45">
        <v>3</v>
      </c>
      <c r="C23" s="46">
        <v>10.066666666666666</v>
      </c>
      <c r="D23" s="46">
        <v>8.2333333333333325</v>
      </c>
      <c r="E23" s="44">
        <v>105</v>
      </c>
      <c r="F23" s="45">
        <v>87</v>
      </c>
      <c r="G23" s="46">
        <v>1.24</v>
      </c>
      <c r="H23" s="48">
        <v>1.1100000000000001</v>
      </c>
      <c r="I23" s="45">
        <v>115</v>
      </c>
      <c r="J23" s="45">
        <v>91</v>
      </c>
      <c r="K23" s="45">
        <v>150</v>
      </c>
      <c r="L23" s="45">
        <v>110</v>
      </c>
      <c r="M23" s="45">
        <v>164</v>
      </c>
      <c r="N23" s="45">
        <v>111</v>
      </c>
      <c r="O23" s="45">
        <v>16.899999999999999</v>
      </c>
      <c r="P23" s="45">
        <v>14.1</v>
      </c>
      <c r="Q23" s="45">
        <v>17.399999999999999</v>
      </c>
      <c r="R23" s="45">
        <v>16.8</v>
      </c>
      <c r="S23" s="45">
        <v>17.899999999999999</v>
      </c>
      <c r="T23" s="45">
        <v>17.399999999999999</v>
      </c>
      <c r="U23" s="45">
        <f t="shared" si="0"/>
        <v>-0.5</v>
      </c>
      <c r="V23" s="45">
        <v>1524</v>
      </c>
      <c r="W23" s="45">
        <v>1479</v>
      </c>
      <c r="X23" s="45">
        <f t="shared" si="1"/>
        <v>-45</v>
      </c>
      <c r="Y23" s="45">
        <v>26.6</v>
      </c>
      <c r="Z23" s="45">
        <v>30.4</v>
      </c>
      <c r="AA23" s="45">
        <v>5.0999999999999996</v>
      </c>
      <c r="AB23" s="56">
        <v>5</v>
      </c>
    </row>
    <row r="24" spans="1:28" x14ac:dyDescent="0.2">
      <c r="E24" s="44"/>
      <c r="G24" s="50"/>
      <c r="H24" s="48"/>
      <c r="I24" s="51"/>
    </row>
    <row r="25" spans="1:28" x14ac:dyDescent="0.2">
      <c r="E25" s="44"/>
      <c r="G25" s="50"/>
      <c r="H25" s="48"/>
      <c r="I25" s="51"/>
    </row>
    <row r="26" spans="1:28" x14ac:dyDescent="0.2">
      <c r="E26" s="44"/>
      <c r="G26" s="50"/>
      <c r="H26" s="48"/>
      <c r="I26" s="5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60D3-5386-A742-96E5-A89282157B4A}">
  <sheetPr codeName="Planilha44"/>
  <dimension ref="A1:Q25"/>
  <sheetViews>
    <sheetView zoomScale="150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B19" sqref="B19"/>
    </sheetView>
  </sheetViews>
  <sheetFormatPr baseColWidth="10" defaultRowHeight="16" x14ac:dyDescent="0.2"/>
  <cols>
    <col min="1" max="1" width="14" style="1" customWidth="1"/>
    <col min="2" max="2" width="25.5" customWidth="1"/>
    <col min="3" max="3" width="23.6640625" customWidth="1"/>
    <col min="4" max="4" width="23" customWidth="1"/>
    <col min="5" max="5" width="12.1640625" customWidth="1"/>
    <col min="6" max="6" width="22.1640625" customWidth="1"/>
    <col min="7" max="7" width="25.5" customWidth="1"/>
    <col min="8" max="8" width="22.1640625" customWidth="1"/>
    <col min="9" max="9" width="23" customWidth="1"/>
    <col min="10" max="10" width="23.1640625" customWidth="1"/>
    <col min="11" max="11" width="22.33203125" customWidth="1"/>
    <col min="12" max="12" width="22.5" customWidth="1"/>
    <col min="13" max="13" width="16.33203125" customWidth="1"/>
    <col min="16" max="16" width="18.5" customWidth="1"/>
    <col min="17" max="17" width="18.83203125" customWidth="1"/>
  </cols>
  <sheetData>
    <row r="1" spans="1:17" x14ac:dyDescent="0.2">
      <c r="A1" s="57" t="s">
        <v>53</v>
      </c>
      <c r="B1" s="12" t="s">
        <v>34</v>
      </c>
      <c r="C1" s="12" t="s">
        <v>78</v>
      </c>
      <c r="D1" s="12" t="s">
        <v>79</v>
      </c>
      <c r="E1" s="12" t="s">
        <v>80</v>
      </c>
      <c r="F1" s="12" t="s">
        <v>81</v>
      </c>
      <c r="G1" s="12" t="s">
        <v>82</v>
      </c>
      <c r="H1" s="12" t="s">
        <v>0</v>
      </c>
      <c r="I1" s="12" t="s">
        <v>1</v>
      </c>
      <c r="J1" s="12" t="s">
        <v>2</v>
      </c>
      <c r="K1" s="12" t="s">
        <v>3</v>
      </c>
      <c r="L1" s="12" t="s">
        <v>4</v>
      </c>
      <c r="M1" s="12" t="s">
        <v>5</v>
      </c>
      <c r="N1" s="12" t="s">
        <v>83</v>
      </c>
      <c r="O1" s="12" t="s">
        <v>84</v>
      </c>
      <c r="P1" s="12" t="s">
        <v>6</v>
      </c>
      <c r="Q1" s="12" t="s">
        <v>7</v>
      </c>
    </row>
    <row r="2" spans="1:17" x14ac:dyDescent="0.2">
      <c r="A2" s="3">
        <v>1</v>
      </c>
      <c r="B2" s="6">
        <v>1</v>
      </c>
      <c r="C2" s="13">
        <v>111.9</v>
      </c>
      <c r="D2" s="13">
        <v>125.4</v>
      </c>
      <c r="E2" s="13">
        <f>D2-C2</f>
        <v>13.5</v>
      </c>
      <c r="F2" s="13">
        <v>151.19999999999999</v>
      </c>
      <c r="G2" s="13">
        <v>169.5</v>
      </c>
      <c r="H2" s="13">
        <v>118.7</v>
      </c>
      <c r="I2" s="4">
        <v>159.80000000000001</v>
      </c>
      <c r="J2" s="4">
        <v>160.5</v>
      </c>
      <c r="K2" s="4">
        <v>216</v>
      </c>
      <c r="L2" s="4">
        <v>1955.2</v>
      </c>
      <c r="M2" s="4">
        <v>2352.6999999999998</v>
      </c>
      <c r="N2" s="4">
        <v>30.2</v>
      </c>
      <c r="O2" s="4">
        <v>45.3</v>
      </c>
      <c r="P2" s="13">
        <v>137.19999999999999</v>
      </c>
      <c r="Q2" s="13">
        <v>160.80000000000001</v>
      </c>
    </row>
    <row r="3" spans="1:17" x14ac:dyDescent="0.2">
      <c r="A3" s="3">
        <v>2</v>
      </c>
      <c r="B3" s="6">
        <v>1</v>
      </c>
      <c r="C3" s="13">
        <v>142.6</v>
      </c>
      <c r="D3" s="13">
        <v>160.6</v>
      </c>
      <c r="E3" s="13">
        <f t="shared" ref="E3:E19" si="0">D3-C3</f>
        <v>18</v>
      </c>
      <c r="F3" s="13">
        <v>152.4</v>
      </c>
      <c r="G3" s="13">
        <v>170.9</v>
      </c>
      <c r="H3" s="13">
        <v>154.1</v>
      </c>
      <c r="I3" s="4">
        <v>171.3</v>
      </c>
      <c r="J3" s="4">
        <v>164.8</v>
      </c>
      <c r="K3" s="4">
        <v>182.2</v>
      </c>
      <c r="L3" s="4">
        <v>2137.6</v>
      </c>
      <c r="M3" s="4">
        <v>2396.1</v>
      </c>
      <c r="N3" s="4">
        <v>48.8</v>
      </c>
      <c r="O3" s="4">
        <v>48.1</v>
      </c>
      <c r="P3" s="13">
        <v>193.4</v>
      </c>
      <c r="Q3" s="13">
        <v>225.2</v>
      </c>
    </row>
    <row r="4" spans="1:17" x14ac:dyDescent="0.2">
      <c r="A4" s="3">
        <v>3</v>
      </c>
      <c r="B4" s="7">
        <v>1</v>
      </c>
      <c r="C4" s="9">
        <v>69.900000000000006</v>
      </c>
      <c r="D4" s="9">
        <v>82</v>
      </c>
      <c r="E4" s="13">
        <f t="shared" si="0"/>
        <v>12.099999999999994</v>
      </c>
      <c r="F4" s="9">
        <v>81.5</v>
      </c>
      <c r="G4" s="8">
        <v>95.5</v>
      </c>
      <c r="H4" s="8">
        <v>69.8</v>
      </c>
      <c r="I4" s="9">
        <v>85.7</v>
      </c>
      <c r="J4" s="9">
        <v>81.400000000000006</v>
      </c>
      <c r="K4" s="9">
        <v>99.8</v>
      </c>
      <c r="L4" s="9">
        <v>1234.8</v>
      </c>
      <c r="M4" s="9">
        <v>1388.5</v>
      </c>
      <c r="N4" s="25">
        <v>5.0999999999999996</v>
      </c>
      <c r="O4" s="25">
        <v>37.200000000000003</v>
      </c>
      <c r="P4" s="8">
        <v>107.9</v>
      </c>
      <c r="Q4" s="8">
        <v>125.7</v>
      </c>
    </row>
    <row r="5" spans="1:17" x14ac:dyDescent="0.2">
      <c r="A5" s="3">
        <v>4</v>
      </c>
      <c r="B5" s="6">
        <v>1</v>
      </c>
      <c r="C5" s="9">
        <v>55.1</v>
      </c>
      <c r="D5" s="9">
        <v>60.9</v>
      </c>
      <c r="E5" s="13">
        <f t="shared" si="0"/>
        <v>5.7999999999999972</v>
      </c>
      <c r="F5" s="9">
        <v>82.5</v>
      </c>
      <c r="G5" s="8">
        <v>91.2</v>
      </c>
      <c r="H5" s="9">
        <v>63.4</v>
      </c>
      <c r="I5" s="9">
        <v>75.3</v>
      </c>
      <c r="J5" s="9">
        <v>95</v>
      </c>
      <c r="K5" s="9">
        <v>112.9</v>
      </c>
      <c r="L5" s="9">
        <v>1016.4</v>
      </c>
      <c r="M5" s="9">
        <v>1222.2</v>
      </c>
      <c r="N5" s="25">
        <v>36.1</v>
      </c>
      <c r="O5" s="25">
        <v>38.6</v>
      </c>
      <c r="P5" s="8">
        <v>73.2</v>
      </c>
      <c r="Q5" s="8">
        <v>81.5</v>
      </c>
    </row>
    <row r="6" spans="1:17" x14ac:dyDescent="0.2">
      <c r="A6" s="3">
        <v>5</v>
      </c>
      <c r="B6" s="6">
        <v>1</v>
      </c>
      <c r="C6" s="9">
        <v>66.400000000000006</v>
      </c>
      <c r="D6" s="9">
        <v>66.3</v>
      </c>
      <c r="E6" s="13">
        <f t="shared" si="0"/>
        <v>-0.10000000000000853</v>
      </c>
      <c r="F6" s="9">
        <v>117</v>
      </c>
      <c r="G6" s="8">
        <v>116.8</v>
      </c>
      <c r="H6" s="9">
        <v>76.400000000000006</v>
      </c>
      <c r="I6" s="9">
        <v>81.400000000000006</v>
      </c>
      <c r="J6" s="9">
        <v>134.6</v>
      </c>
      <c r="K6" s="9">
        <v>143.4</v>
      </c>
      <c r="L6" s="9">
        <v>1232.8</v>
      </c>
      <c r="M6" s="9">
        <v>1197.7</v>
      </c>
      <c r="N6" s="25">
        <v>18.399999999999999</v>
      </c>
      <c r="O6" s="25">
        <v>36.6</v>
      </c>
      <c r="P6" s="8">
        <v>100.8</v>
      </c>
      <c r="Q6" s="8">
        <v>100.2</v>
      </c>
    </row>
    <row r="7" spans="1:17" x14ac:dyDescent="0.2">
      <c r="A7" s="3">
        <v>6</v>
      </c>
      <c r="B7" s="6">
        <v>1</v>
      </c>
      <c r="C7" s="17">
        <v>144</v>
      </c>
      <c r="D7" s="17">
        <v>159.19999999999999</v>
      </c>
      <c r="E7" s="13">
        <f t="shared" si="0"/>
        <v>15.199999999999989</v>
      </c>
      <c r="F7" s="17">
        <v>125.4</v>
      </c>
      <c r="G7" s="17">
        <v>139.69999999999999</v>
      </c>
      <c r="H7" s="17">
        <v>177.4</v>
      </c>
      <c r="I7" s="17">
        <v>158.4</v>
      </c>
      <c r="J7" s="17">
        <v>154.4</v>
      </c>
      <c r="K7" s="17">
        <v>139</v>
      </c>
      <c r="L7" s="17">
        <v>2627.7</v>
      </c>
      <c r="M7" s="17">
        <v>2613.6</v>
      </c>
      <c r="N7" s="34">
        <v>45.2</v>
      </c>
      <c r="O7" s="34">
        <v>39.9</v>
      </c>
      <c r="P7" s="17">
        <v>210.4</v>
      </c>
      <c r="Q7" s="17">
        <v>248.9</v>
      </c>
    </row>
    <row r="8" spans="1:17" x14ac:dyDescent="0.2">
      <c r="A8" s="2">
        <v>7</v>
      </c>
      <c r="B8" s="6">
        <v>1</v>
      </c>
      <c r="C8" s="17">
        <v>119.7</v>
      </c>
      <c r="D8" s="17">
        <v>117.3</v>
      </c>
      <c r="E8" s="13">
        <f t="shared" si="0"/>
        <v>-2.4000000000000057</v>
      </c>
      <c r="F8" s="17">
        <v>111.3</v>
      </c>
      <c r="G8" s="17">
        <v>122.4</v>
      </c>
      <c r="H8" s="17">
        <v>145.80000000000001</v>
      </c>
      <c r="I8" s="17">
        <v>140.30000000000001</v>
      </c>
      <c r="J8" s="17">
        <v>135.5</v>
      </c>
      <c r="K8" s="17">
        <v>146.4</v>
      </c>
      <c r="L8" s="17">
        <v>1992.9</v>
      </c>
      <c r="M8" s="17">
        <v>2144.1999999999998</v>
      </c>
      <c r="N8" s="34">
        <v>48.3</v>
      </c>
      <c r="O8" s="34">
        <v>43.1</v>
      </c>
      <c r="P8" s="17">
        <v>165</v>
      </c>
      <c r="Q8" s="17">
        <v>190.9</v>
      </c>
    </row>
    <row r="9" spans="1:17" x14ac:dyDescent="0.2">
      <c r="A9" s="2">
        <v>9</v>
      </c>
      <c r="B9" s="60">
        <v>2</v>
      </c>
      <c r="C9" s="13">
        <v>94.3</v>
      </c>
      <c r="D9" s="13">
        <v>101.3</v>
      </c>
      <c r="E9" s="13">
        <f t="shared" si="0"/>
        <v>7</v>
      </c>
      <c r="F9" s="13">
        <v>125.2</v>
      </c>
      <c r="G9" s="13">
        <v>133.6</v>
      </c>
      <c r="H9" s="13">
        <v>112.5</v>
      </c>
      <c r="I9" s="4">
        <v>112.9</v>
      </c>
      <c r="J9" s="4">
        <v>149.30000000000001</v>
      </c>
      <c r="K9" s="4">
        <v>148.9</v>
      </c>
      <c r="L9" s="4">
        <v>1788.3</v>
      </c>
      <c r="M9" s="4">
        <v>598.70000000000005</v>
      </c>
      <c r="N9" s="35">
        <v>32.1</v>
      </c>
      <c r="O9" s="35">
        <v>31.8</v>
      </c>
      <c r="P9" s="13">
        <v>143.30000000000001</v>
      </c>
      <c r="Q9" s="13">
        <v>169.6</v>
      </c>
    </row>
    <row r="10" spans="1:17" x14ac:dyDescent="0.2">
      <c r="A10" s="3">
        <v>10</v>
      </c>
      <c r="B10" s="60">
        <v>2</v>
      </c>
      <c r="C10" s="13">
        <v>188.1</v>
      </c>
      <c r="D10" s="13">
        <v>185.4</v>
      </c>
      <c r="E10" s="13">
        <f t="shared" si="0"/>
        <v>-2.6999999999999886</v>
      </c>
      <c r="F10" s="13">
        <v>190.1</v>
      </c>
      <c r="G10" s="13">
        <v>186.5</v>
      </c>
      <c r="H10" s="13">
        <v>199</v>
      </c>
      <c r="I10" s="4">
        <v>199</v>
      </c>
      <c r="J10" s="4">
        <v>201.1</v>
      </c>
      <c r="K10" s="4">
        <v>200.1</v>
      </c>
      <c r="L10" s="4">
        <v>3098.7</v>
      </c>
      <c r="M10" s="4">
        <v>3497.4</v>
      </c>
      <c r="N10" s="35">
        <v>37.700000000000003</v>
      </c>
      <c r="O10" s="35">
        <v>46</v>
      </c>
      <c r="P10" s="13">
        <v>293.7</v>
      </c>
      <c r="Q10" s="13">
        <v>294.89999999999998</v>
      </c>
    </row>
    <row r="11" spans="1:17" x14ac:dyDescent="0.2">
      <c r="A11" s="3">
        <v>12</v>
      </c>
      <c r="B11" s="60">
        <v>2</v>
      </c>
      <c r="C11" s="17">
        <v>81.3</v>
      </c>
      <c r="D11" s="17">
        <v>79.5</v>
      </c>
      <c r="E11" s="13">
        <f t="shared" si="0"/>
        <v>-1.7999999999999972</v>
      </c>
      <c r="F11" s="17">
        <v>84.9</v>
      </c>
      <c r="G11" s="17">
        <v>83</v>
      </c>
      <c r="H11" s="17">
        <v>97.9</v>
      </c>
      <c r="I11" s="17">
        <v>87.9</v>
      </c>
      <c r="J11" s="17">
        <v>102.2</v>
      </c>
      <c r="K11" s="17">
        <v>91.7</v>
      </c>
      <c r="L11" s="17">
        <v>1489.8</v>
      </c>
      <c r="M11" s="17">
        <v>1569.9</v>
      </c>
      <c r="N11" s="17">
        <v>41.1</v>
      </c>
      <c r="O11" s="17">
        <v>17.7</v>
      </c>
      <c r="P11" s="17">
        <v>128.1</v>
      </c>
      <c r="Q11" s="17">
        <v>138.6</v>
      </c>
    </row>
    <row r="12" spans="1:17" x14ac:dyDescent="0.2">
      <c r="A12" s="3">
        <v>13</v>
      </c>
      <c r="B12" s="60">
        <v>2</v>
      </c>
      <c r="C12" s="17">
        <v>129.4</v>
      </c>
      <c r="D12" s="17">
        <v>145.69999999999999</v>
      </c>
      <c r="E12" s="13">
        <f t="shared" si="0"/>
        <v>16.299999999999983</v>
      </c>
      <c r="F12" s="17">
        <v>101.4</v>
      </c>
      <c r="G12" s="17">
        <v>119.7</v>
      </c>
      <c r="H12" s="17">
        <v>142</v>
      </c>
      <c r="I12" s="17">
        <v>171.6</v>
      </c>
      <c r="J12" s="17">
        <v>111.3</v>
      </c>
      <c r="K12" s="17">
        <v>141.1</v>
      </c>
      <c r="L12" s="17">
        <v>2399.8000000000002</v>
      </c>
      <c r="M12" s="17">
        <v>2882.6</v>
      </c>
      <c r="N12" s="17">
        <v>31.9</v>
      </c>
      <c r="O12" s="17">
        <v>34.1</v>
      </c>
      <c r="P12" s="17">
        <v>210</v>
      </c>
      <c r="Q12" s="17">
        <v>241.8</v>
      </c>
    </row>
    <row r="13" spans="1:17" x14ac:dyDescent="0.2">
      <c r="A13" s="2">
        <v>14</v>
      </c>
      <c r="B13" s="60">
        <v>2</v>
      </c>
      <c r="C13" s="17">
        <v>71.5</v>
      </c>
      <c r="D13" s="17">
        <v>80.400000000000006</v>
      </c>
      <c r="E13" s="13">
        <f t="shared" si="0"/>
        <v>8.9000000000000057</v>
      </c>
      <c r="F13" s="17">
        <v>111.6</v>
      </c>
      <c r="G13" s="17">
        <v>123.8</v>
      </c>
      <c r="H13" s="17">
        <v>85.7</v>
      </c>
      <c r="I13" s="17">
        <v>92.1</v>
      </c>
      <c r="J13" s="17">
        <v>133.9</v>
      </c>
      <c r="K13" s="17">
        <v>141.9</v>
      </c>
      <c r="L13" s="17">
        <v>1304.7</v>
      </c>
      <c r="M13" s="17">
        <v>1358</v>
      </c>
      <c r="N13" s="17">
        <v>50.4</v>
      </c>
      <c r="O13" s="17">
        <v>48.3</v>
      </c>
      <c r="P13" s="17">
        <v>101.1</v>
      </c>
      <c r="Q13" s="17">
        <v>111.4</v>
      </c>
    </row>
    <row r="14" spans="1:17" x14ac:dyDescent="0.2">
      <c r="A14" s="2">
        <v>15</v>
      </c>
      <c r="B14" s="6">
        <v>3</v>
      </c>
      <c r="C14" s="13">
        <v>50.1</v>
      </c>
      <c r="D14" s="13">
        <v>49.7</v>
      </c>
      <c r="E14" s="13">
        <f t="shared" si="0"/>
        <v>-0.39999999999999858</v>
      </c>
      <c r="F14" s="13">
        <v>105.1</v>
      </c>
      <c r="G14" s="13">
        <v>99.4</v>
      </c>
      <c r="H14" s="13">
        <v>56.1</v>
      </c>
      <c r="I14" s="4">
        <v>55.2</v>
      </c>
      <c r="J14" s="4">
        <v>117.7</v>
      </c>
      <c r="K14" s="4">
        <v>110.5</v>
      </c>
      <c r="L14" s="4">
        <v>905.4</v>
      </c>
      <c r="M14" s="4">
        <v>838.8</v>
      </c>
      <c r="N14" s="4">
        <v>34.700000000000003</v>
      </c>
      <c r="O14" s="4">
        <v>38.799999999999997</v>
      </c>
      <c r="P14" s="13">
        <v>62.5</v>
      </c>
      <c r="Q14" s="13">
        <v>69.2</v>
      </c>
    </row>
    <row r="15" spans="1:17" x14ac:dyDescent="0.2">
      <c r="A15" s="3">
        <v>16</v>
      </c>
      <c r="B15" s="6">
        <v>3</v>
      </c>
      <c r="C15" s="13">
        <v>177.8</v>
      </c>
      <c r="D15" s="13">
        <v>169.5</v>
      </c>
      <c r="E15" s="13">
        <f t="shared" si="0"/>
        <v>-8.3000000000000114</v>
      </c>
      <c r="F15" s="13">
        <v>182.2</v>
      </c>
      <c r="G15" s="13">
        <v>201.8</v>
      </c>
      <c r="H15" s="13">
        <v>178.4</v>
      </c>
      <c r="I15" s="4">
        <v>183</v>
      </c>
      <c r="J15" s="4">
        <v>182.2</v>
      </c>
      <c r="K15" s="4">
        <v>217.9</v>
      </c>
      <c r="L15" s="4">
        <v>2762.3</v>
      </c>
      <c r="M15" s="4">
        <v>2838.3</v>
      </c>
      <c r="N15" s="4">
        <v>41.1</v>
      </c>
      <c r="O15" s="4">
        <v>42</v>
      </c>
      <c r="P15" s="13">
        <v>243.4</v>
      </c>
      <c r="Q15" s="13">
        <v>240.9</v>
      </c>
    </row>
    <row r="16" spans="1:17" x14ac:dyDescent="0.2">
      <c r="A16" s="3">
        <v>17</v>
      </c>
      <c r="B16" s="7">
        <v>3</v>
      </c>
      <c r="C16" s="8">
        <v>113.6</v>
      </c>
      <c r="D16" s="8">
        <v>122.7</v>
      </c>
      <c r="E16" s="13">
        <f t="shared" si="0"/>
        <v>9.1000000000000085</v>
      </c>
      <c r="F16" s="8">
        <v>156.30000000000001</v>
      </c>
      <c r="G16" s="8">
        <v>168.9</v>
      </c>
      <c r="H16" s="8">
        <v>128.6</v>
      </c>
      <c r="I16" s="9">
        <v>140.1</v>
      </c>
      <c r="J16" s="9">
        <v>177</v>
      </c>
      <c r="K16" s="9">
        <v>192.9</v>
      </c>
      <c r="L16" s="9">
        <v>1782</v>
      </c>
      <c r="M16" s="9">
        <v>2024.1</v>
      </c>
      <c r="N16" s="9">
        <v>50.8</v>
      </c>
      <c r="O16" s="9">
        <v>50.9</v>
      </c>
      <c r="P16" s="8">
        <v>157</v>
      </c>
      <c r="Q16" s="8">
        <v>176.8</v>
      </c>
    </row>
    <row r="17" spans="1:17" x14ac:dyDescent="0.2">
      <c r="A17" s="3">
        <v>18</v>
      </c>
      <c r="B17" s="6">
        <v>3</v>
      </c>
      <c r="C17" s="13">
        <v>113.7</v>
      </c>
      <c r="D17" s="13">
        <v>132.6</v>
      </c>
      <c r="E17" s="13">
        <f t="shared" si="0"/>
        <v>18.899999999999991</v>
      </c>
      <c r="F17" s="13">
        <v>127.8</v>
      </c>
      <c r="G17" s="13">
        <v>149</v>
      </c>
      <c r="H17" s="13">
        <v>134</v>
      </c>
      <c r="I17" s="4">
        <v>161</v>
      </c>
      <c r="J17" s="4">
        <v>150.6</v>
      </c>
      <c r="K17" s="4">
        <v>180.9</v>
      </c>
      <c r="L17" s="4">
        <v>2313.9</v>
      </c>
      <c r="M17" s="4">
        <v>2626</v>
      </c>
      <c r="N17" s="4">
        <v>16.100000000000001</v>
      </c>
      <c r="O17" s="4">
        <v>38.200000000000003</v>
      </c>
      <c r="P17" s="13">
        <v>194.8</v>
      </c>
      <c r="Q17" s="13">
        <v>205.3</v>
      </c>
    </row>
    <row r="18" spans="1:17" x14ac:dyDescent="0.2">
      <c r="A18" s="3">
        <v>19</v>
      </c>
      <c r="B18" s="6">
        <v>3</v>
      </c>
      <c r="C18" s="9">
        <v>134.80000000000001</v>
      </c>
      <c r="D18" s="9">
        <v>133.4</v>
      </c>
      <c r="E18" s="13">
        <f t="shared" si="0"/>
        <v>-1.4000000000000057</v>
      </c>
      <c r="F18" s="9">
        <v>171.6</v>
      </c>
      <c r="G18" s="8">
        <v>169.9</v>
      </c>
      <c r="H18" s="9">
        <v>165.6</v>
      </c>
      <c r="I18" s="9">
        <v>163.19999999999999</v>
      </c>
      <c r="J18" s="9">
        <v>210.8</v>
      </c>
      <c r="K18" s="9">
        <v>207.8</v>
      </c>
      <c r="L18" s="9">
        <v>2548.6</v>
      </c>
      <c r="M18" s="9">
        <v>2540</v>
      </c>
      <c r="N18" s="9">
        <v>49.3</v>
      </c>
      <c r="O18" s="9">
        <v>43.5</v>
      </c>
      <c r="P18" s="8">
        <v>179.7</v>
      </c>
      <c r="Q18" s="8">
        <v>190.1</v>
      </c>
    </row>
    <row r="19" spans="1:17" x14ac:dyDescent="0.2">
      <c r="A19" s="3">
        <v>21</v>
      </c>
      <c r="B19" s="6">
        <v>3</v>
      </c>
      <c r="C19" s="9">
        <v>110.4</v>
      </c>
      <c r="D19" s="9">
        <v>101.7</v>
      </c>
      <c r="E19" s="13">
        <f t="shared" si="0"/>
        <v>-8.7000000000000028</v>
      </c>
      <c r="F19" s="9">
        <v>132.9</v>
      </c>
      <c r="G19" s="9">
        <v>122.4</v>
      </c>
      <c r="H19" s="9">
        <v>134.9</v>
      </c>
      <c r="I19" s="9">
        <v>125.6</v>
      </c>
      <c r="J19" s="9">
        <v>162.4</v>
      </c>
      <c r="K19" s="9">
        <v>151.1</v>
      </c>
      <c r="L19" s="9">
        <v>2051</v>
      </c>
      <c r="M19" s="9">
        <v>1840.2</v>
      </c>
      <c r="N19" s="9">
        <v>43</v>
      </c>
      <c r="O19" s="9">
        <v>46.9</v>
      </c>
      <c r="P19" s="9">
        <v>168.4</v>
      </c>
      <c r="Q19" s="9">
        <v>131.9</v>
      </c>
    </row>
    <row r="20" spans="1:17" x14ac:dyDescent="0.2">
      <c r="A20" s="3"/>
    </row>
    <row r="21" spans="1:17" x14ac:dyDescent="0.2">
      <c r="A21" s="3"/>
    </row>
    <row r="22" spans="1:17" x14ac:dyDescent="0.2">
      <c r="A22" s="3"/>
    </row>
    <row r="24" spans="1:17" x14ac:dyDescent="0.2">
      <c r="A24" s="3"/>
    </row>
    <row r="25" spans="1:17" x14ac:dyDescent="0.2">
      <c r="A25" s="3"/>
    </row>
  </sheetData>
  <sortState xmlns:xlrd2="http://schemas.microsoft.com/office/spreadsheetml/2017/richdata2" ref="B2:Q19">
    <sortCondition ref="B2:B19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E7B0-EC17-C942-9979-18842BA02A30}">
  <dimension ref="A1:O27"/>
  <sheetViews>
    <sheetView zoomScaleNormal="1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5" sqref="H5"/>
    </sheetView>
  </sheetViews>
  <sheetFormatPr baseColWidth="10" defaultRowHeight="16" x14ac:dyDescent="0.2"/>
  <cols>
    <col min="1" max="1" width="13" style="6" customWidth="1"/>
    <col min="2" max="2" width="23.5" style="6" customWidth="1"/>
    <col min="3" max="4" width="13.1640625" style="6" customWidth="1"/>
    <col min="5" max="5" width="20.5" style="6" customWidth="1"/>
    <col min="6" max="6" width="20.1640625" style="6" customWidth="1"/>
    <col min="7" max="7" width="16.6640625" style="6" customWidth="1"/>
    <col min="8" max="8" width="16.1640625" style="6" customWidth="1"/>
    <col min="9" max="16384" width="10.83203125" style="6"/>
  </cols>
  <sheetData>
    <row r="1" spans="1:15" ht="48" x14ac:dyDescent="0.2">
      <c r="A1" s="57" t="s">
        <v>53</v>
      </c>
      <c r="B1" s="12" t="s">
        <v>34</v>
      </c>
      <c r="C1" s="12" t="s">
        <v>85</v>
      </c>
      <c r="D1" s="12" t="s">
        <v>86</v>
      </c>
      <c r="E1" s="12" t="s">
        <v>87</v>
      </c>
      <c r="F1" s="12" t="s">
        <v>88</v>
      </c>
      <c r="G1" s="12" t="s">
        <v>89</v>
      </c>
      <c r="H1" s="12" t="s">
        <v>90</v>
      </c>
      <c r="I1" s="12" t="s">
        <v>91</v>
      </c>
      <c r="J1" s="12" t="s">
        <v>92</v>
      </c>
      <c r="K1" s="12" t="s">
        <v>93</v>
      </c>
      <c r="L1" s="24" t="s">
        <v>94</v>
      </c>
      <c r="M1" s="24" t="s">
        <v>95</v>
      </c>
      <c r="N1" s="24" t="s">
        <v>96</v>
      </c>
      <c r="O1" s="24" t="s">
        <v>97</v>
      </c>
    </row>
    <row r="2" spans="1:15" x14ac:dyDescent="0.2">
      <c r="A2" s="54">
        <v>1</v>
      </c>
      <c r="B2" s="3">
        <v>1</v>
      </c>
      <c r="C2" s="3">
        <v>4</v>
      </c>
      <c r="D2" s="3">
        <v>4</v>
      </c>
      <c r="E2" s="3">
        <v>3</v>
      </c>
      <c r="F2" s="3">
        <v>4</v>
      </c>
      <c r="G2" s="3">
        <v>2</v>
      </c>
      <c r="H2" s="3">
        <v>3</v>
      </c>
      <c r="I2" s="3">
        <v>9</v>
      </c>
      <c r="J2" s="3">
        <v>11</v>
      </c>
      <c r="K2" s="3">
        <v>2</v>
      </c>
      <c r="L2" s="17">
        <v>3.76</v>
      </c>
      <c r="M2" s="17">
        <v>2.92</v>
      </c>
      <c r="N2" s="17">
        <v>15.55</v>
      </c>
      <c r="O2" s="17">
        <v>12.28</v>
      </c>
    </row>
    <row r="3" spans="1:15" x14ac:dyDescent="0.2">
      <c r="A3" s="54">
        <v>2</v>
      </c>
      <c r="B3" s="3">
        <v>1</v>
      </c>
      <c r="C3" s="3">
        <v>4</v>
      </c>
      <c r="D3" s="3">
        <v>4</v>
      </c>
      <c r="E3" s="3">
        <v>4</v>
      </c>
      <c r="F3" s="3">
        <v>4</v>
      </c>
      <c r="G3" s="3">
        <v>3</v>
      </c>
      <c r="H3" s="3">
        <v>4</v>
      </c>
      <c r="I3" s="3">
        <v>11</v>
      </c>
      <c r="J3" s="3">
        <v>12</v>
      </c>
      <c r="K3" s="3">
        <v>1</v>
      </c>
      <c r="L3" s="17">
        <v>3.2</v>
      </c>
      <c r="M3" s="17">
        <v>3.5</v>
      </c>
      <c r="N3" s="17">
        <v>12.81</v>
      </c>
      <c r="O3" s="17">
        <v>11.1</v>
      </c>
    </row>
    <row r="4" spans="1:15" x14ac:dyDescent="0.2">
      <c r="A4" s="54">
        <v>4</v>
      </c>
      <c r="B4" s="3">
        <v>1</v>
      </c>
      <c r="C4" s="3">
        <v>0</v>
      </c>
      <c r="D4" s="3">
        <v>4</v>
      </c>
      <c r="E4" s="3">
        <v>3</v>
      </c>
      <c r="F4" s="3">
        <v>2</v>
      </c>
      <c r="G4" s="3">
        <v>2</v>
      </c>
      <c r="H4" s="3">
        <v>1</v>
      </c>
      <c r="I4" s="3">
        <v>5</v>
      </c>
      <c r="J4" s="3">
        <v>7</v>
      </c>
      <c r="K4" s="3">
        <v>2</v>
      </c>
      <c r="L4" s="17">
        <v>4.6399999999999997</v>
      </c>
      <c r="M4" s="17">
        <v>5.53</v>
      </c>
      <c r="N4" s="17">
        <v>14.11</v>
      </c>
      <c r="O4" s="17">
        <v>17.5</v>
      </c>
    </row>
    <row r="5" spans="1:15" x14ac:dyDescent="0.2">
      <c r="A5" s="54">
        <v>3</v>
      </c>
      <c r="B5" s="3">
        <v>1</v>
      </c>
      <c r="C5" s="3">
        <v>2</v>
      </c>
      <c r="D5" s="3">
        <v>4</v>
      </c>
      <c r="E5" s="3">
        <v>4</v>
      </c>
      <c r="F5" s="3">
        <v>3</v>
      </c>
      <c r="G5" s="3">
        <v>2</v>
      </c>
      <c r="H5" s="3">
        <v>2</v>
      </c>
      <c r="I5" s="3">
        <v>8</v>
      </c>
      <c r="J5" s="3">
        <v>9</v>
      </c>
      <c r="K5" s="3">
        <v>1</v>
      </c>
      <c r="L5" s="17">
        <v>3.34</v>
      </c>
      <c r="M5" s="17">
        <v>4.0199999999999996</v>
      </c>
      <c r="N5" s="17">
        <v>13.92</v>
      </c>
      <c r="O5" s="17">
        <v>14.6</v>
      </c>
    </row>
    <row r="6" spans="1:15" x14ac:dyDescent="0.2">
      <c r="A6" s="54">
        <v>5</v>
      </c>
      <c r="B6" s="3">
        <v>1</v>
      </c>
      <c r="C6" s="3">
        <v>4</v>
      </c>
      <c r="D6" s="3">
        <v>4</v>
      </c>
      <c r="E6" s="3">
        <v>3</v>
      </c>
      <c r="F6" s="3">
        <v>3</v>
      </c>
      <c r="G6" s="3">
        <v>3</v>
      </c>
      <c r="H6" s="3">
        <v>4</v>
      </c>
      <c r="I6" s="3">
        <v>10</v>
      </c>
      <c r="J6" s="3">
        <v>11</v>
      </c>
      <c r="K6" s="3">
        <v>1</v>
      </c>
      <c r="L6" s="17">
        <v>3.98</v>
      </c>
      <c r="M6" s="17">
        <v>3.8</v>
      </c>
      <c r="N6" s="17">
        <v>13.19</v>
      </c>
      <c r="O6" s="17">
        <v>9.57</v>
      </c>
    </row>
    <row r="7" spans="1:15" x14ac:dyDescent="0.2">
      <c r="A7" s="54">
        <v>7</v>
      </c>
      <c r="B7" s="3">
        <v>1</v>
      </c>
      <c r="C7" s="3">
        <v>4</v>
      </c>
      <c r="D7" s="3">
        <v>4</v>
      </c>
      <c r="E7" s="3">
        <v>4</v>
      </c>
      <c r="F7" s="3">
        <v>3</v>
      </c>
      <c r="G7" s="3">
        <v>2</v>
      </c>
      <c r="H7" s="3">
        <v>3</v>
      </c>
      <c r="I7" s="3">
        <v>10</v>
      </c>
      <c r="J7" s="3">
        <v>10</v>
      </c>
      <c r="K7" s="3">
        <v>0</v>
      </c>
      <c r="L7" s="17">
        <v>3.05</v>
      </c>
      <c r="M7" s="17">
        <v>3.74</v>
      </c>
      <c r="N7" s="17">
        <v>15.92</v>
      </c>
      <c r="O7" s="17">
        <v>13.21</v>
      </c>
    </row>
    <row r="8" spans="1:15" x14ac:dyDescent="0.2">
      <c r="A8" s="54">
        <v>6</v>
      </c>
      <c r="B8" s="3">
        <v>1</v>
      </c>
      <c r="C8" s="3">
        <v>4</v>
      </c>
      <c r="D8" s="3">
        <v>4</v>
      </c>
      <c r="E8" s="3">
        <v>4</v>
      </c>
      <c r="F8" s="3">
        <v>4</v>
      </c>
      <c r="G8" s="3">
        <v>4</v>
      </c>
      <c r="H8" s="3">
        <v>3</v>
      </c>
      <c r="I8" s="3">
        <v>12</v>
      </c>
      <c r="J8" s="3">
        <v>11</v>
      </c>
      <c r="K8" s="3">
        <v>-1</v>
      </c>
      <c r="L8" s="17">
        <v>2.89</v>
      </c>
      <c r="M8" s="17">
        <v>2.77</v>
      </c>
      <c r="N8" s="17">
        <v>9.5</v>
      </c>
      <c r="O8" s="17">
        <v>11.7</v>
      </c>
    </row>
    <row r="9" spans="1:15" x14ac:dyDescent="0.2">
      <c r="A9" s="54">
        <v>8</v>
      </c>
      <c r="B9" s="3">
        <v>1</v>
      </c>
      <c r="C9" s="3">
        <v>4</v>
      </c>
      <c r="D9" s="3">
        <v>4</v>
      </c>
      <c r="E9" s="3">
        <v>3</v>
      </c>
      <c r="F9" s="3">
        <v>4</v>
      </c>
      <c r="G9" s="3">
        <v>3</v>
      </c>
      <c r="H9" s="3">
        <v>3</v>
      </c>
      <c r="I9" s="3">
        <v>10</v>
      </c>
      <c r="J9" s="3">
        <v>11</v>
      </c>
      <c r="K9" s="3">
        <v>1</v>
      </c>
      <c r="L9" s="17">
        <v>4.1900000000000004</v>
      </c>
      <c r="M9" s="17">
        <v>3.11</v>
      </c>
      <c r="N9" s="17">
        <v>12.59</v>
      </c>
      <c r="O9" s="17">
        <v>12.54</v>
      </c>
    </row>
    <row r="10" spans="1:15" x14ac:dyDescent="0.2">
      <c r="A10" s="54">
        <v>9</v>
      </c>
      <c r="B10" s="3">
        <v>2</v>
      </c>
      <c r="C10" s="3">
        <v>3</v>
      </c>
      <c r="D10" s="3">
        <v>4</v>
      </c>
      <c r="E10" s="3">
        <v>3</v>
      </c>
      <c r="F10" s="3">
        <v>4</v>
      </c>
      <c r="G10" s="3">
        <v>1</v>
      </c>
      <c r="H10" s="3">
        <v>4</v>
      </c>
      <c r="I10" s="3">
        <v>7</v>
      </c>
      <c r="J10" s="3">
        <v>12</v>
      </c>
      <c r="K10" s="3">
        <v>5</v>
      </c>
      <c r="L10" s="17">
        <v>3.82</v>
      </c>
      <c r="M10" s="17">
        <v>2.72</v>
      </c>
      <c r="N10" s="17">
        <v>17.2</v>
      </c>
      <c r="O10" s="17">
        <v>10.09</v>
      </c>
    </row>
    <row r="11" spans="1:15" x14ac:dyDescent="0.2">
      <c r="A11" s="54">
        <v>10</v>
      </c>
      <c r="B11" s="3">
        <v>2</v>
      </c>
      <c r="C11" s="3">
        <v>4</v>
      </c>
      <c r="D11" s="3">
        <v>4</v>
      </c>
      <c r="E11" s="3">
        <v>4</v>
      </c>
      <c r="F11" s="3">
        <v>4</v>
      </c>
      <c r="G11" s="3">
        <v>1</v>
      </c>
      <c r="H11" s="3">
        <v>3</v>
      </c>
      <c r="I11" s="3">
        <v>9</v>
      </c>
      <c r="J11" s="3">
        <v>11</v>
      </c>
      <c r="K11" s="3">
        <v>2</v>
      </c>
      <c r="L11" s="17">
        <v>2.62</v>
      </c>
      <c r="M11" s="17">
        <v>3.58</v>
      </c>
      <c r="N11" s="17">
        <v>17.329999999999998</v>
      </c>
      <c r="O11" s="17">
        <v>12.04</v>
      </c>
    </row>
    <row r="12" spans="1:15" x14ac:dyDescent="0.2">
      <c r="A12" s="54">
        <v>12</v>
      </c>
      <c r="B12" s="3">
        <v>2</v>
      </c>
      <c r="C12" s="3">
        <v>3</v>
      </c>
      <c r="D12" s="3">
        <v>4</v>
      </c>
      <c r="E12" s="3">
        <v>3</v>
      </c>
      <c r="F12" s="3">
        <v>4</v>
      </c>
      <c r="G12" s="3">
        <v>4</v>
      </c>
      <c r="H12" s="3">
        <v>4</v>
      </c>
      <c r="I12" s="3">
        <v>10</v>
      </c>
      <c r="J12" s="3">
        <v>12</v>
      </c>
      <c r="K12" s="3">
        <v>2</v>
      </c>
      <c r="L12" s="17">
        <v>4.0599999999999996</v>
      </c>
      <c r="M12" s="17">
        <v>2.84</v>
      </c>
      <c r="N12" s="17">
        <v>10.53</v>
      </c>
      <c r="O12" s="17">
        <v>9</v>
      </c>
    </row>
    <row r="13" spans="1:15" x14ac:dyDescent="0.2">
      <c r="A13" s="54">
        <v>14</v>
      </c>
      <c r="B13" s="3">
        <v>2</v>
      </c>
      <c r="C13" s="3">
        <v>4</v>
      </c>
      <c r="D13" s="3">
        <v>4</v>
      </c>
      <c r="E13" s="3">
        <v>3</v>
      </c>
      <c r="F13" s="3">
        <v>3</v>
      </c>
      <c r="G13" s="3">
        <v>3</v>
      </c>
      <c r="H13" s="3">
        <v>3</v>
      </c>
      <c r="I13" s="3">
        <v>10</v>
      </c>
      <c r="J13" s="3">
        <v>10</v>
      </c>
      <c r="K13" s="3">
        <v>0</v>
      </c>
      <c r="L13" s="17">
        <v>3.74</v>
      </c>
      <c r="M13" s="17">
        <v>3.91</v>
      </c>
      <c r="N13" s="17">
        <v>12.82</v>
      </c>
      <c r="O13" s="17">
        <v>11.74</v>
      </c>
    </row>
    <row r="14" spans="1:15" x14ac:dyDescent="0.2">
      <c r="A14" s="54">
        <v>13</v>
      </c>
      <c r="B14" s="3">
        <v>2</v>
      </c>
      <c r="C14" s="3">
        <v>4</v>
      </c>
      <c r="D14" s="3">
        <v>4</v>
      </c>
      <c r="E14" s="3">
        <v>4</v>
      </c>
      <c r="F14" s="3">
        <v>3</v>
      </c>
      <c r="G14" s="3">
        <v>2</v>
      </c>
      <c r="H14" s="3">
        <v>3</v>
      </c>
      <c r="I14" s="3">
        <v>10</v>
      </c>
      <c r="J14" s="3">
        <v>10</v>
      </c>
      <c r="K14" s="3">
        <v>0</v>
      </c>
      <c r="L14" s="17">
        <v>3.15</v>
      </c>
      <c r="M14" s="17">
        <v>3.92</v>
      </c>
      <c r="N14" s="17">
        <v>13.71</v>
      </c>
      <c r="O14" s="17">
        <v>12.09</v>
      </c>
    </row>
    <row r="15" spans="1:15" x14ac:dyDescent="0.2">
      <c r="A15" s="54">
        <v>15</v>
      </c>
      <c r="B15" s="23">
        <v>3</v>
      </c>
      <c r="C15" s="3">
        <v>4</v>
      </c>
      <c r="D15" s="3">
        <v>4</v>
      </c>
      <c r="E15" s="3">
        <v>3</v>
      </c>
      <c r="F15" s="3">
        <v>3</v>
      </c>
      <c r="G15" s="3">
        <v>2</v>
      </c>
      <c r="H15" s="3">
        <v>4</v>
      </c>
      <c r="I15" s="3">
        <v>9</v>
      </c>
      <c r="J15" s="3">
        <v>11</v>
      </c>
      <c r="K15" s="3">
        <v>2</v>
      </c>
      <c r="L15" s="17">
        <v>3.86</v>
      </c>
      <c r="M15" s="17">
        <v>4.16</v>
      </c>
      <c r="N15" s="17">
        <v>14.13</v>
      </c>
      <c r="O15" s="17">
        <v>10.97</v>
      </c>
    </row>
    <row r="16" spans="1:15" x14ac:dyDescent="0.2">
      <c r="A16" s="54">
        <v>16</v>
      </c>
      <c r="B16" s="23">
        <v>3</v>
      </c>
      <c r="C16" s="3">
        <v>4</v>
      </c>
      <c r="D16" s="3">
        <v>4</v>
      </c>
      <c r="E16" s="3">
        <v>3</v>
      </c>
      <c r="F16" s="3">
        <v>4</v>
      </c>
      <c r="G16" s="3">
        <v>4</v>
      </c>
      <c r="H16" s="3">
        <v>4</v>
      </c>
      <c r="I16" s="3">
        <v>11</v>
      </c>
      <c r="J16" s="3">
        <v>12</v>
      </c>
      <c r="K16" s="3">
        <v>1</v>
      </c>
      <c r="L16" s="17">
        <v>4.58</v>
      </c>
      <c r="M16" s="17">
        <v>3.01</v>
      </c>
      <c r="N16" s="17">
        <v>10.3</v>
      </c>
      <c r="O16" s="17">
        <v>11.02</v>
      </c>
    </row>
    <row r="17" spans="1:15" x14ac:dyDescent="0.2">
      <c r="A17" s="54">
        <v>17</v>
      </c>
      <c r="B17" s="23">
        <v>3</v>
      </c>
      <c r="C17" s="3">
        <v>4</v>
      </c>
      <c r="D17" s="3">
        <v>4</v>
      </c>
      <c r="E17" s="3">
        <v>4</v>
      </c>
      <c r="F17" s="3">
        <v>4</v>
      </c>
      <c r="G17" s="3">
        <v>3</v>
      </c>
      <c r="H17" s="3">
        <v>3</v>
      </c>
      <c r="I17" s="3">
        <v>11</v>
      </c>
      <c r="J17" s="3">
        <v>11</v>
      </c>
      <c r="K17" s="3">
        <v>0</v>
      </c>
      <c r="L17" s="17">
        <v>2.73</v>
      </c>
      <c r="M17" s="17">
        <v>2.87</v>
      </c>
      <c r="N17" s="17">
        <v>13.45</v>
      </c>
      <c r="O17" s="17">
        <v>11.79</v>
      </c>
    </row>
    <row r="18" spans="1:15" x14ac:dyDescent="0.2">
      <c r="A18" s="54">
        <v>19</v>
      </c>
      <c r="B18" s="23">
        <v>3</v>
      </c>
      <c r="C18" s="3">
        <v>4</v>
      </c>
      <c r="D18" s="3">
        <v>4</v>
      </c>
      <c r="E18" s="3">
        <v>4</v>
      </c>
      <c r="F18" s="3">
        <v>4</v>
      </c>
      <c r="G18" s="3">
        <v>2</v>
      </c>
      <c r="H18" s="3">
        <v>3</v>
      </c>
      <c r="I18" s="3">
        <v>10</v>
      </c>
      <c r="J18" s="3">
        <v>11</v>
      </c>
      <c r="K18" s="3">
        <v>1</v>
      </c>
      <c r="L18" s="17">
        <v>3.04</v>
      </c>
      <c r="M18" s="17">
        <v>2.86</v>
      </c>
      <c r="N18" s="17">
        <v>14.01</v>
      </c>
      <c r="O18" s="17">
        <v>13.19</v>
      </c>
    </row>
    <row r="19" spans="1:15" x14ac:dyDescent="0.2">
      <c r="A19" s="54">
        <v>22</v>
      </c>
      <c r="B19" s="23">
        <v>3</v>
      </c>
      <c r="C19" s="3">
        <v>4</v>
      </c>
      <c r="D19" s="3">
        <v>4</v>
      </c>
      <c r="E19" s="3">
        <v>3</v>
      </c>
      <c r="F19" s="3">
        <v>3</v>
      </c>
      <c r="G19" s="3">
        <v>3</v>
      </c>
      <c r="H19" s="3">
        <v>2</v>
      </c>
      <c r="I19" s="3">
        <v>10</v>
      </c>
      <c r="J19" s="3">
        <v>9</v>
      </c>
      <c r="K19" s="3">
        <v>-1</v>
      </c>
      <c r="L19" s="17">
        <v>3.66</v>
      </c>
      <c r="M19" s="17">
        <v>4.07</v>
      </c>
      <c r="N19" s="17">
        <v>12.64</v>
      </c>
      <c r="O19" s="17">
        <v>16.07</v>
      </c>
    </row>
    <row r="20" spans="1:15" x14ac:dyDescent="0.2">
      <c r="A20" s="54"/>
    </row>
    <row r="21" spans="1:15" x14ac:dyDescent="0.2">
      <c r="A21" s="54"/>
    </row>
    <row r="22" spans="1:15" x14ac:dyDescent="0.2">
      <c r="A22" s="54"/>
    </row>
    <row r="23" spans="1:15" x14ac:dyDescent="0.2">
      <c r="A23" s="54"/>
    </row>
    <row r="24" spans="1:15" x14ac:dyDescent="0.2">
      <c r="A24" s="59"/>
    </row>
    <row r="25" spans="1:15" x14ac:dyDescent="0.2">
      <c r="A25" s="59"/>
    </row>
    <row r="26" spans="1:15" x14ac:dyDescent="0.2">
      <c r="A26" s="59"/>
    </row>
    <row r="27" spans="1:15" x14ac:dyDescent="0.2">
      <c r="A27" s="59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DC8E-73BF-924C-A7AA-683A7926B4F6}">
  <dimension ref="A1:F2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2" sqref="C22"/>
    </sheetView>
  </sheetViews>
  <sheetFormatPr baseColWidth="10" defaultRowHeight="16" x14ac:dyDescent="0.2"/>
  <cols>
    <col min="1" max="1" width="12.6640625" style="37" customWidth="1"/>
    <col min="2" max="2" width="24.5" customWidth="1"/>
    <col min="3" max="3" width="22.1640625" customWidth="1"/>
    <col min="4" max="4" width="23.6640625" customWidth="1"/>
    <col min="5" max="6" width="24.33203125" customWidth="1"/>
  </cols>
  <sheetData>
    <row r="1" spans="1:6" x14ac:dyDescent="0.2">
      <c r="A1" s="58" t="s">
        <v>53</v>
      </c>
      <c r="B1" s="12" t="s">
        <v>34</v>
      </c>
      <c r="C1" s="12" t="s">
        <v>54</v>
      </c>
      <c r="D1" s="12" t="s">
        <v>55</v>
      </c>
      <c r="E1" s="12" t="s">
        <v>56</v>
      </c>
      <c r="F1" s="12" t="s">
        <v>57</v>
      </c>
    </row>
    <row r="2" spans="1:6" x14ac:dyDescent="0.2">
      <c r="A2" s="6">
        <v>1</v>
      </c>
      <c r="B2" s="3">
        <v>1</v>
      </c>
      <c r="C2" s="14"/>
      <c r="D2" s="14"/>
      <c r="E2" s="13"/>
      <c r="F2" s="13"/>
    </row>
    <row r="3" spans="1:6" x14ac:dyDescent="0.2">
      <c r="A3" s="6">
        <v>2</v>
      </c>
      <c r="B3" s="3">
        <v>1</v>
      </c>
      <c r="C3" s="13">
        <v>36.1</v>
      </c>
      <c r="D3" s="13">
        <v>35.799999999999997</v>
      </c>
      <c r="E3" s="13">
        <v>61.240425531914894</v>
      </c>
      <c r="F3" s="13">
        <v>62.006382978723408</v>
      </c>
    </row>
    <row r="4" spans="1:6" x14ac:dyDescent="0.2">
      <c r="A4" s="6">
        <v>3</v>
      </c>
      <c r="B4" s="7">
        <v>1</v>
      </c>
      <c r="C4" s="9">
        <v>37.299999999999997</v>
      </c>
      <c r="D4" s="9">
        <v>37.700000000000003</v>
      </c>
      <c r="E4" s="13">
        <v>60.540000000000006</v>
      </c>
      <c r="F4" s="13">
        <v>59.5</v>
      </c>
    </row>
    <row r="5" spans="1:6" x14ac:dyDescent="0.2">
      <c r="A5" s="6">
        <v>4</v>
      </c>
      <c r="B5" s="3">
        <v>1</v>
      </c>
      <c r="C5" s="16"/>
      <c r="D5" s="16"/>
      <c r="E5" s="13"/>
      <c r="F5" s="13"/>
    </row>
    <row r="6" spans="1:6" x14ac:dyDescent="0.2">
      <c r="A6" s="6">
        <v>5</v>
      </c>
      <c r="B6" s="3">
        <v>1</v>
      </c>
      <c r="C6" s="9">
        <v>36.799999999999997</v>
      </c>
      <c r="D6" s="9">
        <v>35.700000000000003</v>
      </c>
      <c r="E6" s="13">
        <v>60.310344827586199</v>
      </c>
      <c r="F6" s="13">
        <v>62.857142857142868</v>
      </c>
    </row>
    <row r="7" spans="1:6" x14ac:dyDescent="0.2">
      <c r="A7" s="6">
        <v>6</v>
      </c>
      <c r="B7" s="3">
        <v>1</v>
      </c>
      <c r="C7" s="8"/>
      <c r="D7" s="14"/>
      <c r="E7" s="13"/>
      <c r="F7" s="13"/>
    </row>
    <row r="8" spans="1:6" x14ac:dyDescent="0.2">
      <c r="A8" s="6">
        <v>7</v>
      </c>
      <c r="B8" s="3">
        <v>1</v>
      </c>
      <c r="C8" s="13">
        <v>37.200000000000003</v>
      </c>
      <c r="D8" s="8">
        <v>39.299999999999997</v>
      </c>
      <c r="E8" s="13">
        <v>59.744036697247701</v>
      </c>
      <c r="F8" s="13">
        <v>60.310679611650485</v>
      </c>
    </row>
    <row r="9" spans="1:6" x14ac:dyDescent="0.2">
      <c r="A9" s="6">
        <v>8</v>
      </c>
      <c r="B9" s="3">
        <v>1</v>
      </c>
      <c r="C9" s="13"/>
      <c r="D9" s="8"/>
      <c r="E9" s="13"/>
      <c r="F9" s="13"/>
    </row>
    <row r="10" spans="1:6" x14ac:dyDescent="0.2">
      <c r="A10" s="6">
        <v>9</v>
      </c>
      <c r="B10" s="23">
        <v>2</v>
      </c>
      <c r="C10" s="14"/>
      <c r="D10" s="14"/>
      <c r="E10" s="13"/>
      <c r="F10" s="13"/>
    </row>
    <row r="11" spans="1:6" x14ac:dyDescent="0.2">
      <c r="A11" s="6">
        <v>10</v>
      </c>
      <c r="B11" s="23">
        <v>2</v>
      </c>
      <c r="C11" s="13">
        <v>34.9</v>
      </c>
      <c r="D11" s="13">
        <v>33.6</v>
      </c>
      <c r="E11" s="13">
        <v>63.501010101010102</v>
      </c>
      <c r="F11" s="13">
        <v>64.214649033570709</v>
      </c>
    </row>
    <row r="12" spans="1:6" x14ac:dyDescent="0.2">
      <c r="A12" s="6">
        <v>11</v>
      </c>
      <c r="B12" s="23">
        <v>2</v>
      </c>
      <c r="C12" s="9">
        <v>31.7</v>
      </c>
      <c r="D12" s="9">
        <v>31.5</v>
      </c>
      <c r="E12" s="13">
        <v>65.986516853932585</v>
      </c>
      <c r="F12" s="13">
        <v>66.022727272727266</v>
      </c>
    </row>
    <row r="13" spans="1:6" x14ac:dyDescent="0.2">
      <c r="A13" s="6">
        <v>12</v>
      </c>
      <c r="B13" s="23">
        <v>2</v>
      </c>
      <c r="C13" s="8">
        <v>48.8</v>
      </c>
      <c r="D13" s="8">
        <v>48.7</v>
      </c>
      <c r="E13" s="13">
        <v>50.489270386266085</v>
      </c>
      <c r="F13" s="13">
        <v>49.95918367346939</v>
      </c>
    </row>
    <row r="14" spans="1:6" x14ac:dyDescent="0.2">
      <c r="A14" s="6">
        <v>14</v>
      </c>
      <c r="B14" s="23">
        <v>2</v>
      </c>
      <c r="C14" s="13">
        <v>45.2</v>
      </c>
      <c r="D14" s="8">
        <v>45.6</v>
      </c>
      <c r="E14" s="13">
        <v>51.36</v>
      </c>
      <c r="F14" s="13">
        <v>54.156249999999993</v>
      </c>
    </row>
    <row r="15" spans="1:6" x14ac:dyDescent="0.2">
      <c r="A15" s="6">
        <v>15</v>
      </c>
      <c r="B15" s="3">
        <v>3</v>
      </c>
      <c r="C15" s="13">
        <v>35</v>
      </c>
      <c r="D15" s="13">
        <v>37.6</v>
      </c>
      <c r="E15" s="13">
        <v>63.091666666666669</v>
      </c>
      <c r="F15" s="13">
        <v>60.196787148594382</v>
      </c>
    </row>
    <row r="16" spans="1:6" x14ac:dyDescent="0.2">
      <c r="A16" s="6">
        <v>16</v>
      </c>
      <c r="B16" s="3">
        <v>3</v>
      </c>
      <c r="C16" s="13">
        <v>37.5</v>
      </c>
      <c r="D16" s="13">
        <v>35.700000000000003</v>
      </c>
      <c r="E16" s="13">
        <v>60.509644670050761</v>
      </c>
      <c r="F16" s="13">
        <v>61.97195253505933</v>
      </c>
    </row>
    <row r="17" spans="1:6" x14ac:dyDescent="0.2">
      <c r="A17" s="6">
        <v>17</v>
      </c>
      <c r="B17" s="7">
        <v>3</v>
      </c>
      <c r="C17" s="15"/>
      <c r="D17" s="14"/>
      <c r="E17" s="13"/>
      <c r="F17" s="13"/>
    </row>
    <row r="18" spans="1:6" x14ac:dyDescent="0.2">
      <c r="A18" s="6">
        <v>18</v>
      </c>
      <c r="B18" s="3">
        <v>3</v>
      </c>
      <c r="C18" s="4">
        <v>31.6</v>
      </c>
      <c r="D18" s="13">
        <v>31.8</v>
      </c>
      <c r="E18" s="13">
        <v>65.097972972972968</v>
      </c>
      <c r="F18" s="13">
        <v>65.689772727272725</v>
      </c>
    </row>
    <row r="19" spans="1:6" x14ac:dyDescent="0.2">
      <c r="A19" s="6">
        <v>19</v>
      </c>
      <c r="B19" s="3">
        <v>3</v>
      </c>
      <c r="C19" s="9">
        <v>33.4</v>
      </c>
      <c r="D19" s="9">
        <v>33.1</v>
      </c>
      <c r="E19" s="13">
        <v>64.308860759493683</v>
      </c>
      <c r="F19" s="13">
        <v>64.31322207958921</v>
      </c>
    </row>
    <row r="20" spans="1:6" x14ac:dyDescent="0.2">
      <c r="A20" s="6">
        <v>20</v>
      </c>
      <c r="B20" s="3">
        <v>3</v>
      </c>
      <c r="C20" s="9">
        <v>28.8</v>
      </c>
      <c r="D20" s="9">
        <v>25.6</v>
      </c>
      <c r="E20" s="13">
        <v>69.965000000000003</v>
      </c>
      <c r="F20" s="13">
        <v>70.520345252774362</v>
      </c>
    </row>
    <row r="21" spans="1:6" x14ac:dyDescent="0.2">
      <c r="A21" s="6">
        <v>21</v>
      </c>
      <c r="B21" s="3">
        <v>3</v>
      </c>
      <c r="C21" s="9">
        <v>31.4</v>
      </c>
      <c r="D21" s="9">
        <v>31.2</v>
      </c>
      <c r="E21" s="13">
        <v>66.124078624078621</v>
      </c>
      <c r="F21" s="13">
        <v>65.642594859241129</v>
      </c>
    </row>
    <row r="22" spans="1:6" x14ac:dyDescent="0.2">
      <c r="A22" s="6">
        <v>22</v>
      </c>
      <c r="B22" s="3">
        <v>3</v>
      </c>
      <c r="C22" s="8">
        <v>39.6</v>
      </c>
      <c r="D22" s="11">
        <v>37.299999999999997</v>
      </c>
      <c r="E22" s="13">
        <v>57.750580046403705</v>
      </c>
      <c r="F22" s="13">
        <v>60.62945368171021</v>
      </c>
    </row>
    <row r="23" spans="1:6" x14ac:dyDescent="0.2">
      <c r="B23" s="3"/>
    </row>
    <row r="24" spans="1:6" x14ac:dyDescent="0.2">
      <c r="B24" s="3"/>
    </row>
    <row r="25" spans="1:6" x14ac:dyDescent="0.2">
      <c r="B25" s="3"/>
      <c r="C25" s="9"/>
      <c r="D25" s="8"/>
      <c r="E25" s="8"/>
      <c r="F25" s="8"/>
    </row>
    <row r="26" spans="1:6" x14ac:dyDescent="0.2">
      <c r="B26" s="3"/>
      <c r="C26" s="9"/>
      <c r="D26" s="8"/>
      <c r="E26" s="8"/>
      <c r="F26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2020-08-22T16:49:11Z</dcterms:created>
  <dcterms:modified xsi:type="dcterms:W3CDTF">2021-09-11T14:15:39Z</dcterms:modified>
</cp:coreProperties>
</file>