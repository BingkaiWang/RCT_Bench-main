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Investigacion\Core Ataxia\"/>
    </mc:Choice>
  </mc:AlternateContent>
  <bookViews>
    <workbookView xWindow="0" yWindow="0" windowWidth="23016" windowHeight="916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Z24" i="1" l="1"/>
  <c r="BZ23" i="1"/>
  <c r="BZ22" i="1"/>
  <c r="BZ21" i="1"/>
  <c r="BZ20" i="1"/>
  <c r="BZ19" i="1"/>
  <c r="BZ18" i="1"/>
  <c r="BZ17" i="1"/>
  <c r="BZ15" i="1"/>
  <c r="BZ14" i="1"/>
  <c r="BZ13" i="1"/>
  <c r="BZ10" i="1"/>
  <c r="BZ9" i="1"/>
  <c r="BZ6" i="1"/>
  <c r="BZ5" i="1"/>
  <c r="BZ4" i="1"/>
  <c r="BZ3" i="1"/>
  <c r="BB24" i="1"/>
  <c r="BB23" i="1"/>
  <c r="BB22" i="1"/>
  <c r="BB21" i="1"/>
  <c r="BB20" i="1"/>
  <c r="BB19" i="1"/>
  <c r="BB18" i="1"/>
  <c r="BB17" i="1"/>
  <c r="BB15" i="1"/>
  <c r="BB14" i="1"/>
  <c r="BB13" i="1"/>
  <c r="BB10" i="1"/>
  <c r="BB9" i="1"/>
  <c r="BB7" i="1"/>
  <c r="BB6" i="1"/>
  <c r="BB5" i="1"/>
  <c r="BB4" i="1"/>
  <c r="BB3" i="1"/>
  <c r="AF24" i="1"/>
  <c r="AF23" i="1"/>
  <c r="AF22" i="1"/>
  <c r="AF21" i="1"/>
  <c r="AF20" i="1"/>
  <c r="AF19" i="1"/>
  <c r="AF18" i="1"/>
  <c r="AF17" i="1"/>
  <c r="AF15" i="1"/>
  <c r="AF14" i="1"/>
  <c r="AF10" i="1"/>
  <c r="AF9" i="1"/>
  <c r="AF7" i="1"/>
  <c r="AF6" i="1"/>
  <c r="AF5" i="1"/>
  <c r="AF4" i="1"/>
  <c r="AF3" i="1"/>
</calcChain>
</file>

<file path=xl/sharedStrings.xml><?xml version="1.0" encoding="utf-8"?>
<sst xmlns="http://schemas.openxmlformats.org/spreadsheetml/2006/main" count="341" uniqueCount="108">
  <si>
    <t>Codig</t>
  </si>
  <si>
    <t>Grup</t>
  </si>
  <si>
    <t>Edat</t>
  </si>
  <si>
    <t>Genere</t>
  </si>
  <si>
    <t>Activitat</t>
  </si>
  <si>
    <t>Pes</t>
  </si>
  <si>
    <t>Alçada</t>
  </si>
  <si>
    <t>IMC</t>
  </si>
  <si>
    <t>Tipo_Ataxia</t>
  </si>
  <si>
    <t>Fisioterapia</t>
  </si>
  <si>
    <t>Horas_Fisio</t>
  </si>
  <si>
    <t>Exercici</t>
  </si>
  <si>
    <t>Dies_Setmana</t>
  </si>
  <si>
    <t>Caigudes</t>
  </si>
  <si>
    <t>N_Caigudes</t>
  </si>
  <si>
    <t>ABC_Equilibrio_Pre</t>
  </si>
  <si>
    <t>Sub_TIS_Equilibri_Dinamic_Pre</t>
  </si>
  <si>
    <t>Sub_TIS_Cordinacio_Pre</t>
  </si>
  <si>
    <t>TIS_Total_Pre</t>
  </si>
  <si>
    <t>T_STS</t>
  </si>
  <si>
    <t>STS_30_sec_Pre</t>
  </si>
  <si>
    <t>EQ_5D_Term_Pre</t>
  </si>
  <si>
    <t>EQ_5D_Mobilitat_Pre</t>
  </si>
  <si>
    <t>EQ_5D_Autocuidado_Pre</t>
  </si>
  <si>
    <t>EQ_5D_AVD_Pre</t>
  </si>
  <si>
    <t>EQ_5D_Dolor_Pre</t>
  </si>
  <si>
    <t>EQ_5D_Anxiedad_Pre</t>
  </si>
  <si>
    <t>EQ_5D_Total_Pre</t>
  </si>
  <si>
    <t>T_4mWT</t>
  </si>
  <si>
    <t>Velocitat_4metres_Pre</t>
  </si>
  <si>
    <t>Sara_Marxa_Pre</t>
  </si>
  <si>
    <t>Sara_Bipe_Pre</t>
  </si>
  <si>
    <t>Sara_Sedes_Pre</t>
  </si>
  <si>
    <t>Sara_Habla_Pre</t>
  </si>
  <si>
    <t>Sara_Finger_Pre</t>
  </si>
  <si>
    <t>Sara_Nariz_Dit_Pre</t>
  </si>
  <si>
    <t>Sara_Talon_Pre</t>
  </si>
  <si>
    <t>Sara_Mov_Ma_Pre</t>
  </si>
  <si>
    <t>Sara_Total_Pre</t>
  </si>
  <si>
    <t>ABC_Equilibrio_Post</t>
  </si>
  <si>
    <t>Sub_TIS_Equilibri_Dinamic_Post</t>
  </si>
  <si>
    <t>Sub_TIS_Cordinacio_Post</t>
  </si>
  <si>
    <t>TIS_Total_Post</t>
  </si>
  <si>
    <t>STS_30_sec_Post</t>
  </si>
  <si>
    <t>EQ_5D_Term_Post</t>
  </si>
  <si>
    <t>EQ_5D_Mobilitat_Post</t>
  </si>
  <si>
    <t>EQ_5D_Autocuidado_Post</t>
  </si>
  <si>
    <t>EQ_5D_AVD_Post</t>
  </si>
  <si>
    <t>EQ_5D_Dolor_Post</t>
  </si>
  <si>
    <t>EQ_5D_Anxiedad_Post</t>
  </si>
  <si>
    <t>EQ_5D_Total_Post</t>
  </si>
  <si>
    <t>Velocitat_4metres_Post</t>
  </si>
  <si>
    <t>Sara_Marxa_Post</t>
  </si>
  <si>
    <t>Sara_Bipe_Post</t>
  </si>
  <si>
    <t>Sara_Sedes_Post</t>
  </si>
  <si>
    <t>Sara_Habla_Post</t>
  </si>
  <si>
    <t>Sara_Finger_Post</t>
  </si>
  <si>
    <t>Sara_Nariz_Dit_Post</t>
  </si>
  <si>
    <t>Sara_Talon_Post</t>
  </si>
  <si>
    <t>Sara_Mov_Ma_Post</t>
  </si>
  <si>
    <t>Sara_Total_Post</t>
  </si>
  <si>
    <t>Caigudes_Pre_Post</t>
  </si>
  <si>
    <t>N_Caiduges_Pre_Post</t>
  </si>
  <si>
    <t>ABC_Equilibrio_5</t>
  </si>
  <si>
    <t>Sub_TIS_Equilibri_Dinamic_5</t>
  </si>
  <si>
    <t>Sub_TIS_Cordinacio_5</t>
  </si>
  <si>
    <t>TIS_Total_5</t>
  </si>
  <si>
    <t>STS_30_sec_5</t>
  </si>
  <si>
    <t>EQ_5D_Term_5</t>
  </si>
  <si>
    <t>EQ_5D_Mobilitat_5</t>
  </si>
  <si>
    <t>EQ_5D_Autocuidado_5</t>
  </si>
  <si>
    <t>EQ_5D_AVD_5</t>
  </si>
  <si>
    <t>EQ_5D_Dolor_5</t>
  </si>
  <si>
    <t>EQ_5D_Anxiedad_5</t>
  </si>
  <si>
    <t>EQ_5D_Total_5</t>
  </si>
  <si>
    <t>Velocitat_4metres_5</t>
  </si>
  <si>
    <t>Sara_Marxa_5</t>
  </si>
  <si>
    <t>Sara_Bipe_5</t>
  </si>
  <si>
    <t>Sara_Sedes_5</t>
  </si>
  <si>
    <t>Sara_Habla_5</t>
  </si>
  <si>
    <t>Sara_Finger_5</t>
  </si>
  <si>
    <t>Sara_Nariz_Dit_5</t>
  </si>
  <si>
    <t>Sara_Talon_5</t>
  </si>
  <si>
    <t>Sara_Mov_Ma_5</t>
  </si>
  <si>
    <t>Sara_Total_5</t>
  </si>
  <si>
    <t>Caigudes_Post_5</t>
  </si>
  <si>
    <t>N_Caiduges_Post_5</t>
  </si>
  <si>
    <t>GE</t>
  </si>
  <si>
    <t>Home</t>
  </si>
  <si>
    <t>Oficina</t>
  </si>
  <si>
    <t>SCA 3</t>
  </si>
  <si>
    <t>Si</t>
  </si>
  <si>
    <t>No</t>
  </si>
  <si>
    <t>Sanitari</t>
  </si>
  <si>
    <t>Friedrich</t>
  </si>
  <si>
    <t>Servei</t>
  </si>
  <si>
    <t>SCA 1</t>
  </si>
  <si>
    <t>Dona</t>
  </si>
  <si>
    <t>Jubilat</t>
  </si>
  <si>
    <t>GC</t>
  </si>
  <si>
    <t>Casa</t>
  </si>
  <si>
    <t>Canvas</t>
  </si>
  <si>
    <t>Docent</t>
  </si>
  <si>
    <t>SCA 4</t>
  </si>
  <si>
    <t>SCA 18</t>
  </si>
  <si>
    <t>SCA 7</t>
  </si>
  <si>
    <t>Data_Valoracio</t>
  </si>
  <si>
    <t>Data_Diganostic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</si>
</sst>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 applyBorder="1"/>
    <xf numFmtId="0" fontId="0" fillId="0" borderId="0" xfId="0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24"/>
  <sheetViews>
    <sheetView tabSelected="1" workbookViewId="0">
      <selection activeCell="BZ2" sqref="BZ2:BZ24"/>
    </sheetView>
  </sheetViews>
  <sheetFormatPr baseColWidth="10" defaultRowHeight="14.4" x14ac:dyDescent="0.3"/>
  <cols>
    <col min="1" max="1" width="5.5546875" bestFit="1" customWidth="1"/>
    <col min="2" max="2" width="4.88671875" bestFit="1" customWidth="1"/>
    <col min="3" max="3" width="4.6640625" bestFit="1" customWidth="1"/>
    <col min="4" max="4" width="6.88671875" bestFit="1" customWidth="1"/>
    <col min="5" max="5" width="7.77734375" bestFit="1" customWidth="1"/>
    <col min="6" max="6" width="3.77734375" bestFit="1" customWidth="1"/>
    <col min="7" max="7" width="6.44140625" bestFit="1" customWidth="1"/>
    <col min="8" max="8" width="5" bestFit="1" customWidth="1"/>
    <col min="9" max="9" width="10.6640625" bestFit="1" customWidth="1"/>
    <col min="10" max="10" width="13.6640625" bestFit="1" customWidth="1"/>
    <col min="11" max="11" width="14.33203125" bestFit="1" customWidth="1"/>
    <col min="12" max="13" width="10.44140625" bestFit="1" customWidth="1"/>
    <col min="14" max="14" width="7.21875" bestFit="1" customWidth="1"/>
    <col min="15" max="15" width="12.5546875" bestFit="1" customWidth="1"/>
    <col min="16" max="16" width="8.21875" bestFit="1" customWidth="1"/>
    <col min="17" max="17" width="10.5546875" bestFit="1" customWidth="1"/>
    <col min="18" max="18" width="16.6640625" bestFit="1" customWidth="1"/>
    <col min="19" max="19" width="26.33203125" bestFit="1" customWidth="1"/>
    <col min="20" max="20" width="20.88671875" bestFit="1" customWidth="1"/>
    <col min="21" max="21" width="12.33203125" bestFit="1" customWidth="1"/>
    <col min="22" max="22" width="5.77734375" bestFit="1" customWidth="1"/>
    <col min="23" max="23" width="14.109375" bestFit="1" customWidth="1"/>
    <col min="24" max="24" width="15.44140625" bestFit="1" customWidth="1"/>
    <col min="25" max="25" width="18.77734375" bestFit="1" customWidth="1"/>
    <col min="26" max="26" width="21.77734375" bestFit="1" customWidth="1"/>
    <col min="27" max="27" width="14.6640625" bestFit="1" customWidth="1"/>
    <col min="28" max="28" width="15.77734375" bestFit="1" customWidth="1"/>
    <col min="29" max="29" width="18.77734375" bestFit="1" customWidth="1"/>
    <col min="30" max="30" width="15.44140625" bestFit="1" customWidth="1"/>
    <col min="31" max="31" width="8.33203125" bestFit="1" customWidth="1"/>
    <col min="32" max="32" width="19.77734375" bestFit="1" customWidth="1"/>
    <col min="33" max="33" width="14.44140625" bestFit="1" customWidth="1"/>
    <col min="34" max="34" width="12.77734375" bestFit="1" customWidth="1"/>
    <col min="35" max="36" width="13.88671875" bestFit="1" customWidth="1"/>
    <col min="37" max="37" width="14.109375" bestFit="1" customWidth="1"/>
    <col min="38" max="38" width="16.88671875" bestFit="1" customWidth="1"/>
    <col min="39" max="39" width="13.77734375" bestFit="1" customWidth="1"/>
    <col min="40" max="40" width="16.6640625" bestFit="1" customWidth="1"/>
    <col min="41" max="41" width="13.44140625" bestFit="1" customWidth="1"/>
    <col min="42" max="42" width="17.5546875" bestFit="1" customWidth="1"/>
    <col min="43" max="43" width="27.21875" bestFit="1" customWidth="1"/>
    <col min="44" max="44" width="21.88671875" bestFit="1" customWidth="1"/>
    <col min="45" max="45" width="13.21875" bestFit="1" customWidth="1"/>
    <col min="46" max="46" width="15" bestFit="1" customWidth="1"/>
    <col min="47" max="47" width="16.44140625" bestFit="1" customWidth="1"/>
    <col min="48" max="48" width="19.6640625" bestFit="1" customWidth="1"/>
    <col min="49" max="49" width="22.6640625" bestFit="1" customWidth="1"/>
    <col min="50" max="50" width="15.5546875" bestFit="1" customWidth="1"/>
    <col min="51" max="51" width="16.77734375" bestFit="1" customWidth="1"/>
    <col min="52" max="52" width="19.6640625" bestFit="1" customWidth="1"/>
    <col min="53" max="53" width="16.44140625" bestFit="1" customWidth="1"/>
    <col min="54" max="54" width="20.6640625" bestFit="1" customWidth="1"/>
    <col min="55" max="55" width="15.33203125" bestFit="1" customWidth="1"/>
    <col min="56" max="56" width="13.6640625" bestFit="1" customWidth="1"/>
    <col min="57" max="58" width="14.77734375" bestFit="1" customWidth="1"/>
    <col min="59" max="59" width="15" bestFit="1" customWidth="1"/>
    <col min="60" max="60" width="17.77734375" bestFit="1" customWidth="1"/>
    <col min="61" max="61" width="14.6640625" bestFit="1" customWidth="1"/>
    <col min="62" max="62" width="17.5546875" bestFit="1" customWidth="1"/>
    <col min="63" max="63" width="14.33203125" bestFit="1" customWidth="1"/>
    <col min="64" max="64" width="16.5546875" bestFit="1" customWidth="1"/>
    <col min="65" max="65" width="18.88671875" bestFit="1" customWidth="1"/>
    <col min="66" max="66" width="14.88671875" bestFit="1" customWidth="1"/>
    <col min="67" max="67" width="24.5546875" bestFit="1" customWidth="1"/>
    <col min="68" max="68" width="19.21875" bestFit="1" customWidth="1"/>
    <col min="69" max="69" width="10.6640625" bestFit="1" customWidth="1"/>
    <col min="70" max="70" width="12.44140625" bestFit="1" customWidth="1"/>
    <col min="71" max="71" width="13.77734375" bestFit="1" customWidth="1"/>
    <col min="72" max="72" width="17.109375" bestFit="1" customWidth="1"/>
    <col min="73" max="73" width="20" bestFit="1" customWidth="1"/>
    <col min="74" max="74" width="13" bestFit="1" customWidth="1"/>
    <col min="75" max="75" width="14.109375" bestFit="1" customWidth="1"/>
    <col min="76" max="76" width="17.109375" bestFit="1" customWidth="1"/>
    <col min="77" max="77" width="13.77734375" bestFit="1" customWidth="1"/>
    <col min="78" max="78" width="18.109375" bestFit="1" customWidth="1"/>
    <col min="79" max="79" width="12.77734375" bestFit="1" customWidth="1"/>
    <col min="80" max="80" width="11.109375" bestFit="1" customWidth="1"/>
    <col min="81" max="82" width="12.21875" bestFit="1" customWidth="1"/>
    <col min="83" max="83" width="12.44140625" bestFit="1" customWidth="1"/>
    <col min="84" max="84" width="15.109375" bestFit="1" customWidth="1"/>
    <col min="85" max="85" width="12.109375" bestFit="1" customWidth="1"/>
    <col min="86" max="86" width="14.88671875" bestFit="1" customWidth="1"/>
    <col min="87" max="87" width="11.77734375" bestFit="1" customWidth="1"/>
    <col min="88" max="88" width="14.77734375" bestFit="1" customWidth="1"/>
    <col min="89" max="89" width="17.21875" bestFit="1" customWidth="1"/>
  </cols>
  <sheetData>
    <row r="1" spans="1:8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106</v>
      </c>
      <c r="K1" t="s">
        <v>107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</row>
    <row r="2" spans="1:89" x14ac:dyDescent="0.3">
      <c r="A2">
        <v>1</v>
      </c>
      <c r="B2" t="s">
        <v>87</v>
      </c>
      <c r="C2">
        <v>67</v>
      </c>
      <c r="D2" t="s">
        <v>88</v>
      </c>
      <c r="E2" t="s">
        <v>89</v>
      </c>
      <c r="F2">
        <v>86</v>
      </c>
      <c r="G2">
        <v>1.82</v>
      </c>
      <c r="H2">
        <v>26</v>
      </c>
      <c r="I2" t="s">
        <v>90</v>
      </c>
      <c r="J2" s="1">
        <v>44348</v>
      </c>
      <c r="K2" s="1">
        <v>42461</v>
      </c>
      <c r="L2" t="s">
        <v>91</v>
      </c>
      <c r="M2">
        <v>3</v>
      </c>
      <c r="N2" t="s">
        <v>91</v>
      </c>
      <c r="O2">
        <v>7</v>
      </c>
      <c r="P2" t="s">
        <v>92</v>
      </c>
      <c r="Q2">
        <v>0</v>
      </c>
      <c r="R2">
        <v>79.37</v>
      </c>
      <c r="S2">
        <v>9</v>
      </c>
      <c r="T2">
        <v>2</v>
      </c>
      <c r="U2">
        <v>11</v>
      </c>
      <c r="V2" t="s">
        <v>91</v>
      </c>
      <c r="W2">
        <v>11</v>
      </c>
      <c r="X2">
        <v>90</v>
      </c>
      <c r="Y2">
        <v>3</v>
      </c>
      <c r="Z2">
        <v>1</v>
      </c>
      <c r="AA2">
        <v>1</v>
      </c>
      <c r="AB2">
        <v>1</v>
      </c>
      <c r="AC2">
        <v>1</v>
      </c>
      <c r="AD2">
        <v>7</v>
      </c>
      <c r="AE2" t="s">
        <v>91</v>
      </c>
      <c r="AF2" s="3">
        <v>0.95</v>
      </c>
      <c r="AG2">
        <v>2</v>
      </c>
      <c r="AH2">
        <v>1</v>
      </c>
      <c r="AI2">
        <v>0</v>
      </c>
      <c r="AJ2">
        <v>0</v>
      </c>
      <c r="AK2">
        <v>1</v>
      </c>
      <c r="AL2">
        <v>1</v>
      </c>
      <c r="AM2">
        <v>0</v>
      </c>
      <c r="AN2">
        <v>0</v>
      </c>
      <c r="AO2">
        <v>5</v>
      </c>
      <c r="AP2">
        <v>79.37</v>
      </c>
      <c r="AQ2">
        <v>9</v>
      </c>
      <c r="AR2">
        <v>2</v>
      </c>
      <c r="AS2">
        <v>11</v>
      </c>
      <c r="AT2">
        <v>11</v>
      </c>
      <c r="AU2">
        <v>90</v>
      </c>
      <c r="AV2">
        <v>3</v>
      </c>
      <c r="AW2">
        <v>1</v>
      </c>
      <c r="AX2">
        <v>1</v>
      </c>
      <c r="AY2">
        <v>1</v>
      </c>
      <c r="AZ2">
        <v>1</v>
      </c>
      <c r="BA2">
        <v>7</v>
      </c>
      <c r="BB2" s="3">
        <v>0.95</v>
      </c>
      <c r="BC2">
        <v>2</v>
      </c>
      <c r="BD2">
        <v>1</v>
      </c>
      <c r="BE2">
        <v>0</v>
      </c>
      <c r="BF2">
        <v>0</v>
      </c>
      <c r="BG2">
        <v>1</v>
      </c>
      <c r="BH2">
        <v>1</v>
      </c>
      <c r="BI2">
        <v>0</v>
      </c>
      <c r="BJ2">
        <v>0</v>
      </c>
      <c r="BK2">
        <v>5</v>
      </c>
      <c r="BL2" t="s">
        <v>92</v>
      </c>
      <c r="BM2">
        <v>0</v>
      </c>
      <c r="BN2">
        <v>79.37</v>
      </c>
      <c r="BO2">
        <v>9</v>
      </c>
      <c r="BP2">
        <v>2</v>
      </c>
      <c r="BQ2">
        <v>11</v>
      </c>
      <c r="BR2">
        <v>11</v>
      </c>
      <c r="BS2">
        <v>90</v>
      </c>
      <c r="BT2">
        <v>3</v>
      </c>
      <c r="BU2">
        <v>1</v>
      </c>
      <c r="BV2">
        <v>1</v>
      </c>
      <c r="BW2">
        <v>1</v>
      </c>
      <c r="BX2">
        <v>1</v>
      </c>
      <c r="BY2">
        <v>7</v>
      </c>
      <c r="BZ2" s="3">
        <v>0.95</v>
      </c>
      <c r="CA2">
        <v>2</v>
      </c>
      <c r="CB2">
        <v>1</v>
      </c>
      <c r="CC2">
        <v>0</v>
      </c>
      <c r="CD2">
        <v>0</v>
      </c>
      <c r="CE2">
        <v>1</v>
      </c>
      <c r="CF2">
        <v>1</v>
      </c>
      <c r="CG2">
        <v>0</v>
      </c>
      <c r="CH2">
        <v>0</v>
      </c>
      <c r="CI2">
        <v>5</v>
      </c>
      <c r="CJ2" t="s">
        <v>92</v>
      </c>
      <c r="CK2">
        <v>0</v>
      </c>
    </row>
    <row r="3" spans="1:89" x14ac:dyDescent="0.3">
      <c r="A3">
        <v>2</v>
      </c>
      <c r="B3" t="s">
        <v>87</v>
      </c>
      <c r="C3">
        <v>65</v>
      </c>
      <c r="D3" t="s">
        <v>88</v>
      </c>
      <c r="E3" t="s">
        <v>93</v>
      </c>
      <c r="F3">
        <v>75</v>
      </c>
      <c r="G3">
        <v>1.73</v>
      </c>
      <c r="H3">
        <v>25.1</v>
      </c>
      <c r="I3" t="s">
        <v>94</v>
      </c>
      <c r="J3" s="1">
        <v>44322</v>
      </c>
      <c r="K3" s="1">
        <v>43617</v>
      </c>
      <c r="L3" t="s">
        <v>92</v>
      </c>
      <c r="M3">
        <v>0</v>
      </c>
      <c r="N3" t="s">
        <v>91</v>
      </c>
      <c r="O3">
        <v>7</v>
      </c>
      <c r="P3" t="s">
        <v>92</v>
      </c>
      <c r="Q3">
        <v>0</v>
      </c>
      <c r="R3">
        <v>96.8</v>
      </c>
      <c r="S3">
        <v>9</v>
      </c>
      <c r="T3">
        <v>2</v>
      </c>
      <c r="U3">
        <v>11</v>
      </c>
      <c r="V3" t="s">
        <v>91</v>
      </c>
      <c r="W3">
        <v>11</v>
      </c>
      <c r="X3">
        <v>90</v>
      </c>
      <c r="Y3">
        <v>2</v>
      </c>
      <c r="Z3">
        <v>1</v>
      </c>
      <c r="AA3">
        <v>2</v>
      </c>
      <c r="AB3">
        <v>2</v>
      </c>
      <c r="AC3">
        <v>2</v>
      </c>
      <c r="AD3">
        <v>9</v>
      </c>
      <c r="AE3" t="s">
        <v>91</v>
      </c>
      <c r="AF3" s="3">
        <f>4/AC3</f>
        <v>2</v>
      </c>
      <c r="AG3">
        <v>2</v>
      </c>
      <c r="AH3">
        <v>1</v>
      </c>
      <c r="AI3">
        <v>0</v>
      </c>
      <c r="AJ3">
        <v>0</v>
      </c>
      <c r="AK3">
        <v>1</v>
      </c>
      <c r="AL3">
        <v>1</v>
      </c>
      <c r="AM3">
        <v>0</v>
      </c>
      <c r="AN3">
        <v>0</v>
      </c>
      <c r="AO3">
        <v>5</v>
      </c>
      <c r="AP3">
        <v>98.75</v>
      </c>
      <c r="AQ3">
        <v>10</v>
      </c>
      <c r="AR3">
        <v>3</v>
      </c>
      <c r="AS3">
        <v>13</v>
      </c>
      <c r="AT3">
        <v>14</v>
      </c>
      <c r="AU3">
        <v>80</v>
      </c>
      <c r="AV3">
        <v>2</v>
      </c>
      <c r="AW3">
        <v>1</v>
      </c>
      <c r="AX3">
        <v>1</v>
      </c>
      <c r="AY3">
        <v>2</v>
      </c>
      <c r="AZ3">
        <v>1</v>
      </c>
      <c r="BA3">
        <v>7</v>
      </c>
      <c r="BB3" s="3">
        <f>4/AY3</f>
        <v>2</v>
      </c>
      <c r="BC3">
        <v>2</v>
      </c>
      <c r="BD3">
        <v>1</v>
      </c>
      <c r="BE3">
        <v>0</v>
      </c>
      <c r="BF3">
        <v>0</v>
      </c>
      <c r="BG3">
        <v>0</v>
      </c>
      <c r="BH3">
        <v>0.5</v>
      </c>
      <c r="BI3">
        <v>0</v>
      </c>
      <c r="BJ3">
        <v>0</v>
      </c>
      <c r="BK3">
        <v>3.5</v>
      </c>
      <c r="BL3" t="s">
        <v>92</v>
      </c>
      <c r="BM3">
        <v>0</v>
      </c>
      <c r="BN3">
        <v>98.75</v>
      </c>
      <c r="BO3">
        <v>10</v>
      </c>
      <c r="BP3">
        <v>4</v>
      </c>
      <c r="BQ3">
        <v>14</v>
      </c>
      <c r="BR3">
        <v>19</v>
      </c>
      <c r="BS3">
        <v>80</v>
      </c>
      <c r="BT3">
        <v>2</v>
      </c>
      <c r="BU3">
        <v>1</v>
      </c>
      <c r="BV3">
        <v>1</v>
      </c>
      <c r="BW3">
        <v>2</v>
      </c>
      <c r="BX3">
        <v>1</v>
      </c>
      <c r="BY3">
        <v>7</v>
      </c>
      <c r="BZ3" s="3">
        <f>4/BV3</f>
        <v>4</v>
      </c>
      <c r="CA3">
        <v>2</v>
      </c>
      <c r="CB3">
        <v>1</v>
      </c>
      <c r="CC3">
        <v>0</v>
      </c>
      <c r="CD3">
        <v>0</v>
      </c>
      <c r="CE3">
        <v>0.5</v>
      </c>
      <c r="CF3">
        <v>0.5</v>
      </c>
      <c r="CG3">
        <v>0</v>
      </c>
      <c r="CH3">
        <v>0</v>
      </c>
      <c r="CI3">
        <v>4</v>
      </c>
      <c r="CJ3" t="s">
        <v>92</v>
      </c>
      <c r="CK3">
        <v>0</v>
      </c>
    </row>
    <row r="4" spans="1:89" x14ac:dyDescent="0.3">
      <c r="A4">
        <v>3</v>
      </c>
      <c r="B4" t="s">
        <v>87</v>
      </c>
      <c r="C4">
        <v>64</v>
      </c>
      <c r="D4" t="s">
        <v>88</v>
      </c>
      <c r="E4" t="s">
        <v>95</v>
      </c>
      <c r="F4">
        <v>90</v>
      </c>
      <c r="G4">
        <v>1.72</v>
      </c>
      <c r="H4">
        <v>30.4</v>
      </c>
      <c r="I4" t="s">
        <v>96</v>
      </c>
      <c r="J4" s="1">
        <v>44315</v>
      </c>
      <c r="K4" s="1">
        <v>43101</v>
      </c>
      <c r="L4" t="s">
        <v>92</v>
      </c>
      <c r="M4">
        <v>0</v>
      </c>
      <c r="N4" t="s">
        <v>92</v>
      </c>
      <c r="O4">
        <v>0</v>
      </c>
      <c r="P4" t="s">
        <v>91</v>
      </c>
      <c r="Q4">
        <v>1</v>
      </c>
      <c r="R4">
        <v>53.1</v>
      </c>
      <c r="S4">
        <v>6</v>
      </c>
      <c r="T4">
        <v>2</v>
      </c>
      <c r="U4">
        <v>8</v>
      </c>
      <c r="V4" t="s">
        <v>91</v>
      </c>
      <c r="W4">
        <v>8</v>
      </c>
      <c r="X4">
        <v>50</v>
      </c>
      <c r="Y4">
        <v>3</v>
      </c>
      <c r="Z4">
        <v>2</v>
      </c>
      <c r="AA4">
        <v>2</v>
      </c>
      <c r="AB4">
        <v>1</v>
      </c>
      <c r="AC4">
        <v>3</v>
      </c>
      <c r="AD4">
        <v>11</v>
      </c>
      <c r="AE4" t="s">
        <v>91</v>
      </c>
      <c r="AF4" s="3">
        <f t="shared" ref="AF4:AF24" si="0">4/AC4</f>
        <v>1.3333333333333333</v>
      </c>
      <c r="AG4">
        <v>4</v>
      </c>
      <c r="AH4">
        <v>3</v>
      </c>
      <c r="AI4">
        <v>0</v>
      </c>
      <c r="AJ4">
        <v>1</v>
      </c>
      <c r="AK4">
        <v>1</v>
      </c>
      <c r="AL4">
        <v>0</v>
      </c>
      <c r="AM4">
        <v>0.5</v>
      </c>
      <c r="AN4">
        <v>0.5</v>
      </c>
      <c r="AO4">
        <v>10</v>
      </c>
      <c r="AP4">
        <v>76.87</v>
      </c>
      <c r="AQ4">
        <v>6</v>
      </c>
      <c r="AR4">
        <v>2</v>
      </c>
      <c r="AS4">
        <v>8</v>
      </c>
      <c r="AT4">
        <v>8</v>
      </c>
      <c r="AU4">
        <v>50</v>
      </c>
      <c r="AV4">
        <v>3</v>
      </c>
      <c r="AW4">
        <v>1</v>
      </c>
      <c r="AX4">
        <v>2</v>
      </c>
      <c r="AY4">
        <v>1</v>
      </c>
      <c r="AZ4">
        <v>4</v>
      </c>
      <c r="BA4">
        <v>11</v>
      </c>
      <c r="BB4" s="3">
        <f t="shared" ref="BB4:BB24" si="1">4/AY4</f>
        <v>4</v>
      </c>
      <c r="BC4">
        <v>6</v>
      </c>
      <c r="BD4">
        <v>2</v>
      </c>
      <c r="BE4">
        <v>0</v>
      </c>
      <c r="BF4">
        <v>0</v>
      </c>
      <c r="BG4">
        <v>0.5</v>
      </c>
      <c r="BH4">
        <v>1</v>
      </c>
      <c r="BI4">
        <v>0.5</v>
      </c>
      <c r="BJ4">
        <v>1</v>
      </c>
      <c r="BK4">
        <v>11</v>
      </c>
      <c r="BL4" t="s">
        <v>91</v>
      </c>
      <c r="BM4">
        <v>1</v>
      </c>
      <c r="BN4">
        <v>76.87</v>
      </c>
      <c r="BO4">
        <v>4</v>
      </c>
      <c r="BP4">
        <v>1</v>
      </c>
      <c r="BQ4">
        <v>5</v>
      </c>
      <c r="BR4">
        <v>8</v>
      </c>
      <c r="BS4">
        <v>55</v>
      </c>
      <c r="BT4">
        <v>3</v>
      </c>
      <c r="BU4">
        <v>1</v>
      </c>
      <c r="BV4">
        <v>2</v>
      </c>
      <c r="BW4">
        <v>1</v>
      </c>
      <c r="BX4">
        <v>4</v>
      </c>
      <c r="BY4">
        <v>11</v>
      </c>
      <c r="BZ4" s="3">
        <f t="shared" ref="BZ4:BZ24" si="2">4/BV4</f>
        <v>2</v>
      </c>
      <c r="CA4">
        <v>2</v>
      </c>
      <c r="CB4">
        <v>2</v>
      </c>
      <c r="CC4">
        <v>0</v>
      </c>
      <c r="CD4">
        <v>1</v>
      </c>
      <c r="CE4">
        <v>0.5</v>
      </c>
      <c r="CF4">
        <v>0.5</v>
      </c>
      <c r="CG4">
        <v>0.5</v>
      </c>
      <c r="CH4">
        <v>1</v>
      </c>
      <c r="CI4">
        <v>7.5</v>
      </c>
      <c r="CJ4" t="s">
        <v>91</v>
      </c>
      <c r="CK4">
        <v>2</v>
      </c>
    </row>
    <row r="5" spans="1:89" x14ac:dyDescent="0.3">
      <c r="A5">
        <v>4</v>
      </c>
      <c r="B5" t="s">
        <v>87</v>
      </c>
      <c r="C5">
        <v>53</v>
      </c>
      <c r="D5" t="s">
        <v>97</v>
      </c>
      <c r="E5" t="s">
        <v>95</v>
      </c>
      <c r="F5">
        <v>65</v>
      </c>
      <c r="G5">
        <v>1.61</v>
      </c>
      <c r="H5">
        <v>25.1</v>
      </c>
      <c r="I5" t="s">
        <v>94</v>
      </c>
      <c r="J5" s="1">
        <v>44301</v>
      </c>
      <c r="K5" s="1">
        <v>39814</v>
      </c>
      <c r="L5" t="s">
        <v>92</v>
      </c>
      <c r="M5">
        <v>0</v>
      </c>
      <c r="N5" t="s">
        <v>91</v>
      </c>
      <c r="O5">
        <v>7</v>
      </c>
      <c r="P5" t="s">
        <v>91</v>
      </c>
      <c r="Q5">
        <v>1</v>
      </c>
      <c r="R5">
        <v>64.400000000000006</v>
      </c>
      <c r="S5">
        <v>5</v>
      </c>
      <c r="T5">
        <v>2</v>
      </c>
      <c r="U5">
        <v>7</v>
      </c>
      <c r="V5" t="s">
        <v>91</v>
      </c>
      <c r="W5">
        <v>9</v>
      </c>
      <c r="X5">
        <v>85</v>
      </c>
      <c r="Y5">
        <v>2</v>
      </c>
      <c r="Z5">
        <v>1</v>
      </c>
      <c r="AA5">
        <v>1</v>
      </c>
      <c r="AB5">
        <v>1</v>
      </c>
      <c r="AC5">
        <v>1</v>
      </c>
      <c r="AD5">
        <v>6</v>
      </c>
      <c r="AE5" t="s">
        <v>91</v>
      </c>
      <c r="AF5" s="3">
        <f t="shared" si="0"/>
        <v>4</v>
      </c>
      <c r="AG5">
        <v>2</v>
      </c>
      <c r="AH5">
        <v>1</v>
      </c>
      <c r="AI5">
        <v>0</v>
      </c>
      <c r="AJ5">
        <v>1</v>
      </c>
      <c r="AK5">
        <v>1</v>
      </c>
      <c r="AL5">
        <v>0</v>
      </c>
      <c r="AM5">
        <v>1.5</v>
      </c>
      <c r="AN5">
        <v>0.5</v>
      </c>
      <c r="AO5">
        <v>7</v>
      </c>
      <c r="AP5">
        <v>64.400000000000006</v>
      </c>
      <c r="AQ5">
        <v>8</v>
      </c>
      <c r="AR5">
        <v>2</v>
      </c>
      <c r="AS5">
        <v>10</v>
      </c>
      <c r="AT5">
        <v>11</v>
      </c>
      <c r="AU5">
        <v>90</v>
      </c>
      <c r="AV5">
        <v>2</v>
      </c>
      <c r="AW5">
        <v>1</v>
      </c>
      <c r="AX5">
        <v>1</v>
      </c>
      <c r="AY5">
        <v>1</v>
      </c>
      <c r="AZ5">
        <v>1</v>
      </c>
      <c r="BA5">
        <v>6</v>
      </c>
      <c r="BB5" s="3">
        <f t="shared" si="1"/>
        <v>4</v>
      </c>
      <c r="BC5">
        <v>1</v>
      </c>
      <c r="BD5">
        <v>1</v>
      </c>
      <c r="BE5">
        <v>0</v>
      </c>
      <c r="BF5">
        <v>1</v>
      </c>
      <c r="BG5">
        <v>0</v>
      </c>
      <c r="BH5">
        <v>0</v>
      </c>
      <c r="BI5">
        <v>1.5</v>
      </c>
      <c r="BJ5">
        <v>0</v>
      </c>
      <c r="BK5">
        <v>4.5</v>
      </c>
      <c r="BL5" t="s">
        <v>92</v>
      </c>
      <c r="BM5">
        <v>0</v>
      </c>
      <c r="BN5">
        <v>76.2</v>
      </c>
      <c r="BO5">
        <v>8</v>
      </c>
      <c r="BP5">
        <v>2</v>
      </c>
      <c r="BQ5">
        <v>10</v>
      </c>
      <c r="BR5">
        <v>9</v>
      </c>
      <c r="BS5">
        <v>90</v>
      </c>
      <c r="BT5">
        <v>2</v>
      </c>
      <c r="BU5">
        <v>1</v>
      </c>
      <c r="BV5">
        <v>1</v>
      </c>
      <c r="BW5">
        <v>1</v>
      </c>
      <c r="BX5">
        <v>1</v>
      </c>
      <c r="BY5">
        <v>6</v>
      </c>
      <c r="BZ5" s="3">
        <f t="shared" si="2"/>
        <v>4</v>
      </c>
      <c r="CA5">
        <v>1</v>
      </c>
      <c r="CB5">
        <v>1</v>
      </c>
      <c r="CC5">
        <v>0</v>
      </c>
      <c r="CD5">
        <v>1</v>
      </c>
      <c r="CE5">
        <v>0</v>
      </c>
      <c r="CF5">
        <v>0</v>
      </c>
      <c r="CG5">
        <v>1</v>
      </c>
      <c r="CH5">
        <v>0</v>
      </c>
      <c r="CI5">
        <v>4</v>
      </c>
      <c r="CJ5" t="s">
        <v>92</v>
      </c>
      <c r="CK5">
        <v>0</v>
      </c>
    </row>
    <row r="6" spans="1:89" x14ac:dyDescent="0.3">
      <c r="A6">
        <v>5</v>
      </c>
      <c r="B6" t="s">
        <v>87</v>
      </c>
      <c r="C6">
        <v>50</v>
      </c>
      <c r="D6" t="s">
        <v>97</v>
      </c>
      <c r="E6" t="s">
        <v>98</v>
      </c>
      <c r="F6">
        <v>65</v>
      </c>
      <c r="G6">
        <v>1.62</v>
      </c>
      <c r="H6">
        <v>24.8</v>
      </c>
      <c r="I6" t="s">
        <v>96</v>
      </c>
      <c r="J6" s="1">
        <v>44340</v>
      </c>
      <c r="K6" s="1">
        <v>42005</v>
      </c>
      <c r="L6" t="s">
        <v>91</v>
      </c>
      <c r="M6">
        <v>1</v>
      </c>
      <c r="N6" t="s">
        <v>91</v>
      </c>
      <c r="O6">
        <v>1</v>
      </c>
      <c r="P6" t="s">
        <v>91</v>
      </c>
      <c r="Q6">
        <v>3</v>
      </c>
      <c r="R6">
        <v>27.8</v>
      </c>
      <c r="S6">
        <v>9</v>
      </c>
      <c r="T6">
        <v>1</v>
      </c>
      <c r="U6">
        <v>10</v>
      </c>
      <c r="V6" t="s">
        <v>91</v>
      </c>
      <c r="W6">
        <v>4</v>
      </c>
      <c r="X6">
        <v>80</v>
      </c>
      <c r="Y6">
        <v>3</v>
      </c>
      <c r="Z6">
        <v>3</v>
      </c>
      <c r="AA6">
        <v>4</v>
      </c>
      <c r="AB6">
        <v>2</v>
      </c>
      <c r="AC6">
        <v>1</v>
      </c>
      <c r="AD6">
        <v>13</v>
      </c>
      <c r="AE6" t="s">
        <v>91</v>
      </c>
      <c r="AF6" s="3">
        <f t="shared" si="0"/>
        <v>4</v>
      </c>
      <c r="AG6">
        <v>5</v>
      </c>
      <c r="AH6">
        <v>3</v>
      </c>
      <c r="AI6">
        <v>0</v>
      </c>
      <c r="AJ6">
        <v>1</v>
      </c>
      <c r="AK6">
        <v>1</v>
      </c>
      <c r="AL6">
        <v>1</v>
      </c>
      <c r="AM6">
        <v>1</v>
      </c>
      <c r="AN6">
        <v>1</v>
      </c>
      <c r="AO6">
        <v>13</v>
      </c>
      <c r="AP6">
        <v>27.8</v>
      </c>
      <c r="AQ6">
        <v>7</v>
      </c>
      <c r="AR6">
        <v>0</v>
      </c>
      <c r="AS6">
        <v>7</v>
      </c>
      <c r="AT6">
        <v>6</v>
      </c>
      <c r="AU6">
        <v>80</v>
      </c>
      <c r="AV6">
        <v>3</v>
      </c>
      <c r="AW6">
        <v>3</v>
      </c>
      <c r="AX6">
        <v>4</v>
      </c>
      <c r="AY6">
        <v>2</v>
      </c>
      <c r="AZ6">
        <v>1</v>
      </c>
      <c r="BA6">
        <v>13</v>
      </c>
      <c r="BB6" s="3">
        <f t="shared" si="1"/>
        <v>2</v>
      </c>
      <c r="BC6">
        <v>3</v>
      </c>
      <c r="BD6">
        <v>2</v>
      </c>
      <c r="BE6">
        <v>0</v>
      </c>
      <c r="BF6">
        <v>0</v>
      </c>
      <c r="BG6">
        <v>1</v>
      </c>
      <c r="BH6">
        <v>1</v>
      </c>
      <c r="BI6">
        <v>1.5</v>
      </c>
      <c r="BJ6">
        <v>0.5</v>
      </c>
      <c r="BK6">
        <v>9</v>
      </c>
      <c r="BL6" t="s">
        <v>92</v>
      </c>
      <c r="BM6">
        <v>0</v>
      </c>
      <c r="BN6">
        <v>42.5</v>
      </c>
      <c r="BO6">
        <v>6</v>
      </c>
      <c r="BP6">
        <v>1</v>
      </c>
      <c r="BQ6">
        <v>7</v>
      </c>
      <c r="BR6">
        <v>7</v>
      </c>
      <c r="BS6">
        <v>85</v>
      </c>
      <c r="BT6">
        <v>3</v>
      </c>
      <c r="BU6">
        <v>2</v>
      </c>
      <c r="BV6">
        <v>3</v>
      </c>
      <c r="BW6">
        <v>1</v>
      </c>
      <c r="BX6">
        <v>1</v>
      </c>
      <c r="BY6">
        <v>10</v>
      </c>
      <c r="BZ6" s="3">
        <f t="shared" si="2"/>
        <v>1.3333333333333333</v>
      </c>
      <c r="CA6">
        <v>4</v>
      </c>
      <c r="CB6">
        <v>3</v>
      </c>
      <c r="CC6">
        <v>0</v>
      </c>
      <c r="CD6">
        <v>2</v>
      </c>
      <c r="CE6">
        <v>0</v>
      </c>
      <c r="CF6">
        <v>1</v>
      </c>
      <c r="CG6">
        <v>1</v>
      </c>
      <c r="CH6">
        <v>1</v>
      </c>
      <c r="CI6">
        <v>12</v>
      </c>
      <c r="CJ6" t="s">
        <v>92</v>
      </c>
      <c r="CK6">
        <v>0</v>
      </c>
    </row>
    <row r="7" spans="1:89" x14ac:dyDescent="0.3">
      <c r="A7">
        <v>6</v>
      </c>
      <c r="B7" t="s">
        <v>99</v>
      </c>
      <c r="C7">
        <v>46</v>
      </c>
      <c r="D7" t="s">
        <v>88</v>
      </c>
      <c r="E7" t="s">
        <v>98</v>
      </c>
      <c r="F7">
        <v>52</v>
      </c>
      <c r="G7">
        <v>1.65</v>
      </c>
      <c r="H7">
        <v>19.100000000000001</v>
      </c>
      <c r="I7" t="s">
        <v>96</v>
      </c>
      <c r="J7" s="1">
        <v>44459</v>
      </c>
      <c r="K7" s="1">
        <v>40640</v>
      </c>
      <c r="L7" t="s">
        <v>91</v>
      </c>
      <c r="M7">
        <v>1.2</v>
      </c>
      <c r="N7" t="s">
        <v>92</v>
      </c>
      <c r="O7">
        <v>0</v>
      </c>
      <c r="P7" t="s">
        <v>91</v>
      </c>
      <c r="Q7">
        <v>2</v>
      </c>
      <c r="R7">
        <v>19.399999999999999</v>
      </c>
      <c r="S7">
        <v>4</v>
      </c>
      <c r="T7">
        <v>1</v>
      </c>
      <c r="U7">
        <v>5</v>
      </c>
      <c r="V7" t="s">
        <v>92</v>
      </c>
      <c r="W7">
        <v>0</v>
      </c>
      <c r="X7">
        <v>35</v>
      </c>
      <c r="Y7">
        <v>4</v>
      </c>
      <c r="Z7">
        <v>4</v>
      </c>
      <c r="AA7">
        <v>4</v>
      </c>
      <c r="AB7">
        <v>3</v>
      </c>
      <c r="AC7">
        <v>3</v>
      </c>
      <c r="AD7">
        <v>18</v>
      </c>
      <c r="AE7" t="s">
        <v>91</v>
      </c>
      <c r="AF7" s="3">
        <f t="shared" si="0"/>
        <v>1.3333333333333333</v>
      </c>
      <c r="AG7">
        <v>7</v>
      </c>
      <c r="AH7">
        <v>1</v>
      </c>
      <c r="AI7">
        <v>4</v>
      </c>
      <c r="AJ7">
        <v>2</v>
      </c>
      <c r="AK7">
        <v>1</v>
      </c>
      <c r="AL7">
        <v>1</v>
      </c>
      <c r="AM7">
        <v>2</v>
      </c>
      <c r="AN7">
        <v>1</v>
      </c>
      <c r="AO7">
        <v>19</v>
      </c>
      <c r="AP7">
        <v>19</v>
      </c>
      <c r="AQ7">
        <v>4</v>
      </c>
      <c r="AR7">
        <v>0</v>
      </c>
      <c r="AS7">
        <v>4</v>
      </c>
      <c r="AT7">
        <v>0</v>
      </c>
      <c r="AU7">
        <v>35</v>
      </c>
      <c r="AV7">
        <v>4</v>
      </c>
      <c r="AW7">
        <v>4</v>
      </c>
      <c r="AX7">
        <v>4</v>
      </c>
      <c r="AY7">
        <v>3</v>
      </c>
      <c r="AZ7">
        <v>3</v>
      </c>
      <c r="BA7">
        <v>18</v>
      </c>
      <c r="BB7" s="3">
        <f t="shared" si="1"/>
        <v>1.3333333333333333</v>
      </c>
      <c r="BC7">
        <v>7</v>
      </c>
      <c r="BD7">
        <v>5</v>
      </c>
      <c r="BE7">
        <v>1</v>
      </c>
      <c r="BF7">
        <v>3</v>
      </c>
      <c r="BG7">
        <v>1</v>
      </c>
      <c r="BH7">
        <v>1</v>
      </c>
      <c r="BI7">
        <v>1.5</v>
      </c>
      <c r="BJ7">
        <v>1</v>
      </c>
      <c r="BK7">
        <v>20.5</v>
      </c>
      <c r="BL7" t="s">
        <v>92</v>
      </c>
      <c r="BM7">
        <v>0</v>
      </c>
      <c r="BN7">
        <v>19</v>
      </c>
      <c r="BO7">
        <v>0</v>
      </c>
      <c r="BP7">
        <v>0</v>
      </c>
      <c r="BQ7">
        <v>0</v>
      </c>
      <c r="BR7">
        <v>0</v>
      </c>
      <c r="BS7">
        <v>35</v>
      </c>
      <c r="BT7">
        <v>4</v>
      </c>
      <c r="BU7">
        <v>4</v>
      </c>
      <c r="BV7">
        <v>4</v>
      </c>
      <c r="BW7">
        <v>3</v>
      </c>
      <c r="BX7">
        <v>3</v>
      </c>
      <c r="BY7">
        <v>18</v>
      </c>
      <c r="BZ7" s="3">
        <v>0</v>
      </c>
      <c r="CA7">
        <v>8</v>
      </c>
      <c r="CB7">
        <v>6</v>
      </c>
      <c r="CC7">
        <v>2</v>
      </c>
      <c r="CD7">
        <v>4</v>
      </c>
      <c r="CE7">
        <v>0.5</v>
      </c>
      <c r="CF7">
        <v>0</v>
      </c>
      <c r="CG7">
        <v>1</v>
      </c>
      <c r="CH7">
        <v>0</v>
      </c>
      <c r="CI7">
        <v>21.5</v>
      </c>
      <c r="CJ7" t="s">
        <v>91</v>
      </c>
      <c r="CK7">
        <v>2</v>
      </c>
    </row>
    <row r="8" spans="1:89" x14ac:dyDescent="0.3">
      <c r="A8">
        <v>7</v>
      </c>
      <c r="B8" t="s">
        <v>99</v>
      </c>
      <c r="C8">
        <v>38</v>
      </c>
      <c r="D8" t="s">
        <v>97</v>
      </c>
      <c r="E8" t="s">
        <v>100</v>
      </c>
      <c r="F8">
        <v>54</v>
      </c>
      <c r="G8">
        <v>1.65</v>
      </c>
      <c r="H8">
        <v>19.8</v>
      </c>
      <c r="I8" t="s">
        <v>101</v>
      </c>
      <c r="J8" s="1">
        <v>44314</v>
      </c>
      <c r="K8" s="1">
        <v>36892</v>
      </c>
      <c r="L8" t="s">
        <v>91</v>
      </c>
      <c r="M8">
        <v>1</v>
      </c>
      <c r="N8" t="s">
        <v>92</v>
      </c>
      <c r="O8">
        <v>0</v>
      </c>
      <c r="P8" t="s">
        <v>91</v>
      </c>
      <c r="Q8">
        <v>10</v>
      </c>
      <c r="R8">
        <v>3.8</v>
      </c>
      <c r="S8">
        <v>0</v>
      </c>
      <c r="T8">
        <v>0</v>
      </c>
      <c r="U8">
        <v>0</v>
      </c>
      <c r="V8" t="s">
        <v>92</v>
      </c>
      <c r="W8">
        <v>0</v>
      </c>
      <c r="X8">
        <v>30</v>
      </c>
      <c r="Y8">
        <v>5</v>
      </c>
      <c r="Z8">
        <v>4</v>
      </c>
      <c r="AA8">
        <v>5</v>
      </c>
      <c r="AB8">
        <v>4</v>
      </c>
      <c r="AC8">
        <v>4</v>
      </c>
      <c r="AD8">
        <v>22</v>
      </c>
      <c r="AE8" t="s">
        <v>92</v>
      </c>
      <c r="AF8" s="3">
        <v>0</v>
      </c>
      <c r="AG8">
        <v>8</v>
      </c>
      <c r="AH8">
        <v>6</v>
      </c>
      <c r="AI8">
        <v>4</v>
      </c>
      <c r="AJ8">
        <v>2</v>
      </c>
      <c r="AK8">
        <v>4</v>
      </c>
      <c r="AL8">
        <v>2.5</v>
      </c>
      <c r="AM8">
        <v>4</v>
      </c>
      <c r="AN8">
        <v>4</v>
      </c>
      <c r="AO8">
        <v>34.5</v>
      </c>
      <c r="AP8">
        <v>3.8</v>
      </c>
      <c r="AQ8">
        <v>0</v>
      </c>
      <c r="AR8">
        <v>0</v>
      </c>
      <c r="AS8">
        <v>0</v>
      </c>
      <c r="AT8">
        <v>0</v>
      </c>
      <c r="AU8">
        <v>30</v>
      </c>
      <c r="AV8">
        <v>5</v>
      </c>
      <c r="AW8">
        <v>4</v>
      </c>
      <c r="AX8">
        <v>5</v>
      </c>
      <c r="AY8">
        <v>4</v>
      </c>
      <c r="AZ8">
        <v>4</v>
      </c>
      <c r="BA8">
        <v>22</v>
      </c>
      <c r="BB8" s="3">
        <v>0</v>
      </c>
      <c r="BC8">
        <v>8</v>
      </c>
      <c r="BD8">
        <v>6</v>
      </c>
      <c r="BE8">
        <v>4</v>
      </c>
      <c r="BF8">
        <v>2</v>
      </c>
      <c r="BG8">
        <v>3.5</v>
      </c>
      <c r="BH8">
        <v>2</v>
      </c>
      <c r="BI8">
        <v>4</v>
      </c>
      <c r="BJ8">
        <v>3</v>
      </c>
      <c r="BK8">
        <v>32.5</v>
      </c>
      <c r="BL8" t="s">
        <v>92</v>
      </c>
      <c r="BM8">
        <v>0</v>
      </c>
      <c r="BN8">
        <v>3.8</v>
      </c>
      <c r="BO8">
        <v>0</v>
      </c>
      <c r="BP8">
        <v>0</v>
      </c>
      <c r="BQ8">
        <v>0</v>
      </c>
      <c r="BR8">
        <v>0</v>
      </c>
      <c r="BS8">
        <v>30</v>
      </c>
      <c r="BT8">
        <v>5</v>
      </c>
      <c r="BU8">
        <v>4</v>
      </c>
      <c r="BV8">
        <v>5</v>
      </c>
      <c r="BW8">
        <v>4</v>
      </c>
      <c r="BX8">
        <v>4</v>
      </c>
      <c r="BY8">
        <v>22</v>
      </c>
      <c r="BZ8" s="3">
        <v>0</v>
      </c>
      <c r="CA8">
        <v>8</v>
      </c>
      <c r="CB8">
        <v>6</v>
      </c>
      <c r="CC8">
        <v>4</v>
      </c>
      <c r="CD8">
        <v>2</v>
      </c>
      <c r="CE8">
        <v>1</v>
      </c>
      <c r="CF8">
        <v>1</v>
      </c>
      <c r="CG8">
        <v>4</v>
      </c>
      <c r="CH8">
        <v>3</v>
      </c>
      <c r="CI8">
        <v>29</v>
      </c>
      <c r="CJ8" t="s">
        <v>91</v>
      </c>
      <c r="CK8">
        <v>3</v>
      </c>
    </row>
    <row r="9" spans="1:89" x14ac:dyDescent="0.3">
      <c r="A9">
        <v>8</v>
      </c>
      <c r="B9" t="s">
        <v>99</v>
      </c>
      <c r="C9">
        <v>61</v>
      </c>
      <c r="D9" t="s">
        <v>97</v>
      </c>
      <c r="E9" t="s">
        <v>100</v>
      </c>
      <c r="F9">
        <v>63</v>
      </c>
      <c r="G9">
        <v>1.57</v>
      </c>
      <c r="H9">
        <v>25.6</v>
      </c>
      <c r="I9" t="s">
        <v>90</v>
      </c>
      <c r="J9" s="1">
        <v>44396</v>
      </c>
      <c r="K9" s="1">
        <v>42370</v>
      </c>
      <c r="L9" t="s">
        <v>91</v>
      </c>
      <c r="M9">
        <v>2</v>
      </c>
      <c r="N9" t="s">
        <v>91</v>
      </c>
      <c r="O9">
        <v>7</v>
      </c>
      <c r="P9" t="s">
        <v>91</v>
      </c>
      <c r="Q9">
        <v>3</v>
      </c>
      <c r="R9">
        <v>30</v>
      </c>
      <c r="S9">
        <v>8</v>
      </c>
      <c r="T9">
        <v>4</v>
      </c>
      <c r="U9">
        <v>12</v>
      </c>
      <c r="V9" t="s">
        <v>91</v>
      </c>
      <c r="W9">
        <v>9</v>
      </c>
      <c r="X9">
        <v>65</v>
      </c>
      <c r="Y9">
        <v>3</v>
      </c>
      <c r="Z9">
        <v>1</v>
      </c>
      <c r="AA9">
        <v>3</v>
      </c>
      <c r="AB9">
        <v>2</v>
      </c>
      <c r="AC9">
        <v>2</v>
      </c>
      <c r="AD9">
        <v>11</v>
      </c>
      <c r="AE9" t="s">
        <v>91</v>
      </c>
      <c r="AF9" s="3">
        <f t="shared" si="0"/>
        <v>2</v>
      </c>
      <c r="AG9">
        <v>2</v>
      </c>
      <c r="AH9">
        <v>1</v>
      </c>
      <c r="AI9">
        <v>2</v>
      </c>
      <c r="AJ9">
        <v>0</v>
      </c>
      <c r="AK9">
        <v>0</v>
      </c>
      <c r="AL9">
        <v>0</v>
      </c>
      <c r="AM9">
        <v>1</v>
      </c>
      <c r="AN9">
        <v>1</v>
      </c>
      <c r="AO9">
        <v>7</v>
      </c>
      <c r="AP9">
        <v>20.6</v>
      </c>
      <c r="AQ9">
        <v>8</v>
      </c>
      <c r="AR9">
        <v>4</v>
      </c>
      <c r="AS9">
        <v>12</v>
      </c>
      <c r="AT9">
        <v>9</v>
      </c>
      <c r="AU9">
        <v>65</v>
      </c>
      <c r="AV9">
        <v>3</v>
      </c>
      <c r="AW9">
        <v>1</v>
      </c>
      <c r="AX9">
        <v>3</v>
      </c>
      <c r="AY9">
        <v>2</v>
      </c>
      <c r="AZ9">
        <v>2</v>
      </c>
      <c r="BA9">
        <v>11</v>
      </c>
      <c r="BB9" s="3">
        <f t="shared" si="1"/>
        <v>2</v>
      </c>
      <c r="BC9">
        <v>2</v>
      </c>
      <c r="BD9">
        <v>1</v>
      </c>
      <c r="BE9">
        <v>0</v>
      </c>
      <c r="BF9">
        <v>0</v>
      </c>
      <c r="BG9">
        <v>0</v>
      </c>
      <c r="BH9">
        <v>1</v>
      </c>
      <c r="BI9">
        <v>0</v>
      </c>
      <c r="BJ9">
        <v>1</v>
      </c>
      <c r="BK9">
        <v>5</v>
      </c>
      <c r="BL9" t="s">
        <v>92</v>
      </c>
      <c r="BM9">
        <v>0</v>
      </c>
      <c r="BN9">
        <v>30.6</v>
      </c>
      <c r="BO9">
        <v>8</v>
      </c>
      <c r="BP9">
        <v>4</v>
      </c>
      <c r="BQ9">
        <v>12</v>
      </c>
      <c r="BR9">
        <v>9</v>
      </c>
      <c r="BS9">
        <v>65</v>
      </c>
      <c r="BT9">
        <v>3</v>
      </c>
      <c r="BU9">
        <v>1</v>
      </c>
      <c r="BV9">
        <v>2</v>
      </c>
      <c r="BW9">
        <v>1</v>
      </c>
      <c r="BX9">
        <v>1</v>
      </c>
      <c r="BY9">
        <v>8</v>
      </c>
      <c r="BZ9" s="3">
        <f t="shared" si="2"/>
        <v>2</v>
      </c>
      <c r="CA9">
        <v>2</v>
      </c>
      <c r="CB9">
        <v>1</v>
      </c>
      <c r="CC9">
        <v>0</v>
      </c>
      <c r="CD9">
        <v>0</v>
      </c>
      <c r="CE9">
        <v>0</v>
      </c>
      <c r="CF9">
        <v>1</v>
      </c>
      <c r="CG9">
        <v>0</v>
      </c>
      <c r="CH9">
        <v>1</v>
      </c>
      <c r="CI9">
        <v>5</v>
      </c>
      <c r="CJ9" t="s">
        <v>91</v>
      </c>
      <c r="CK9">
        <v>2</v>
      </c>
    </row>
    <row r="10" spans="1:89" x14ac:dyDescent="0.3">
      <c r="A10">
        <v>9</v>
      </c>
      <c r="B10" t="s">
        <v>99</v>
      </c>
      <c r="C10">
        <v>56</v>
      </c>
      <c r="D10" t="s">
        <v>97</v>
      </c>
      <c r="E10" t="s">
        <v>102</v>
      </c>
      <c r="F10">
        <v>52</v>
      </c>
      <c r="G10">
        <v>1.51</v>
      </c>
      <c r="H10">
        <v>22.8</v>
      </c>
      <c r="I10" t="s">
        <v>103</v>
      </c>
      <c r="J10" s="1">
        <v>44396</v>
      </c>
      <c r="K10" s="1">
        <v>39083</v>
      </c>
      <c r="L10" t="s">
        <v>91</v>
      </c>
      <c r="M10">
        <v>1</v>
      </c>
      <c r="N10" t="s">
        <v>91</v>
      </c>
      <c r="O10">
        <v>1</v>
      </c>
      <c r="P10" t="s">
        <v>91</v>
      </c>
      <c r="Q10">
        <v>3</v>
      </c>
      <c r="R10">
        <v>65.599999999999994</v>
      </c>
      <c r="S10">
        <v>8</v>
      </c>
      <c r="T10">
        <v>4</v>
      </c>
      <c r="U10">
        <v>12</v>
      </c>
      <c r="V10" t="s">
        <v>91</v>
      </c>
      <c r="W10">
        <v>10</v>
      </c>
      <c r="X10">
        <v>80</v>
      </c>
      <c r="Y10">
        <v>2</v>
      </c>
      <c r="Z10">
        <v>1</v>
      </c>
      <c r="AA10">
        <v>2</v>
      </c>
      <c r="AB10">
        <v>2</v>
      </c>
      <c r="AC10">
        <v>2</v>
      </c>
      <c r="AD10">
        <v>9</v>
      </c>
      <c r="AE10" t="s">
        <v>91</v>
      </c>
      <c r="AF10" s="3">
        <f t="shared" si="0"/>
        <v>2</v>
      </c>
      <c r="AG10">
        <v>1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3</v>
      </c>
      <c r="AP10">
        <v>60.6</v>
      </c>
      <c r="AQ10">
        <v>8</v>
      </c>
      <c r="AR10">
        <v>4</v>
      </c>
      <c r="AS10">
        <v>12</v>
      </c>
      <c r="AT10">
        <v>10</v>
      </c>
      <c r="AU10">
        <v>75</v>
      </c>
      <c r="AV10">
        <v>3</v>
      </c>
      <c r="AW10">
        <v>2</v>
      </c>
      <c r="AX10">
        <v>3</v>
      </c>
      <c r="AY10">
        <v>2</v>
      </c>
      <c r="AZ10">
        <v>2</v>
      </c>
      <c r="BA10">
        <v>12</v>
      </c>
      <c r="BB10" s="3">
        <f t="shared" si="1"/>
        <v>2</v>
      </c>
      <c r="BC10">
        <v>1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3</v>
      </c>
      <c r="BL10" t="s">
        <v>91</v>
      </c>
      <c r="BM10">
        <v>1</v>
      </c>
      <c r="BN10">
        <v>52.5</v>
      </c>
      <c r="BO10">
        <v>8</v>
      </c>
      <c r="BP10">
        <v>4</v>
      </c>
      <c r="BQ10">
        <v>12</v>
      </c>
      <c r="BR10">
        <v>11</v>
      </c>
      <c r="BS10">
        <v>70</v>
      </c>
      <c r="BT10">
        <v>2</v>
      </c>
      <c r="BU10">
        <v>2</v>
      </c>
      <c r="BV10">
        <v>3</v>
      </c>
      <c r="BW10">
        <v>3</v>
      </c>
      <c r="BX10">
        <v>2</v>
      </c>
      <c r="BY10">
        <v>12</v>
      </c>
      <c r="BZ10" s="3">
        <f t="shared" si="2"/>
        <v>1.3333333333333333</v>
      </c>
      <c r="CA10">
        <v>1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</v>
      </c>
      <c r="CI10">
        <v>3</v>
      </c>
      <c r="CJ10" t="s">
        <v>91</v>
      </c>
      <c r="CK10">
        <v>1</v>
      </c>
    </row>
    <row r="11" spans="1:89" x14ac:dyDescent="0.3">
      <c r="A11">
        <v>10</v>
      </c>
      <c r="B11" t="s">
        <v>99</v>
      </c>
      <c r="C11">
        <v>44</v>
      </c>
      <c r="D11" t="s">
        <v>88</v>
      </c>
      <c r="E11" t="s">
        <v>98</v>
      </c>
      <c r="F11">
        <v>74</v>
      </c>
      <c r="G11">
        <v>1.73</v>
      </c>
      <c r="H11">
        <v>24.7</v>
      </c>
      <c r="I11" t="s">
        <v>90</v>
      </c>
      <c r="J11" s="1">
        <v>44342</v>
      </c>
      <c r="K11" s="1">
        <v>37257</v>
      </c>
      <c r="L11" t="s">
        <v>91</v>
      </c>
      <c r="M11">
        <v>7</v>
      </c>
      <c r="N11" t="s">
        <v>91</v>
      </c>
      <c r="O11">
        <v>7</v>
      </c>
      <c r="P11" t="s">
        <v>91</v>
      </c>
      <c r="Q11">
        <v>10</v>
      </c>
      <c r="R11">
        <v>14.3</v>
      </c>
      <c r="S11">
        <v>9</v>
      </c>
      <c r="T11">
        <v>0</v>
      </c>
      <c r="U11">
        <v>9</v>
      </c>
      <c r="V11" t="s">
        <v>92</v>
      </c>
      <c r="W11">
        <v>0</v>
      </c>
      <c r="X11">
        <v>35</v>
      </c>
      <c r="Y11">
        <v>4</v>
      </c>
      <c r="Z11">
        <v>4</v>
      </c>
      <c r="AA11">
        <v>4</v>
      </c>
      <c r="AB11">
        <v>3</v>
      </c>
      <c r="AC11">
        <v>3</v>
      </c>
      <c r="AD11">
        <v>18</v>
      </c>
      <c r="AE11" t="s">
        <v>92</v>
      </c>
      <c r="AF11" s="3">
        <v>0</v>
      </c>
      <c r="AG11">
        <v>8</v>
      </c>
      <c r="AH11">
        <v>6</v>
      </c>
      <c r="AI11">
        <v>0</v>
      </c>
      <c r="AJ11">
        <v>2</v>
      </c>
      <c r="AK11">
        <v>3.5</v>
      </c>
      <c r="AL11">
        <v>1.5</v>
      </c>
      <c r="AM11">
        <v>2</v>
      </c>
      <c r="AN11">
        <v>3.5</v>
      </c>
      <c r="AO11">
        <v>26.5</v>
      </c>
      <c r="AP11">
        <v>14.3</v>
      </c>
      <c r="AQ11">
        <v>9</v>
      </c>
      <c r="AR11">
        <v>3</v>
      </c>
      <c r="AS11">
        <v>12</v>
      </c>
      <c r="AT11">
        <v>0</v>
      </c>
      <c r="AU11">
        <v>35</v>
      </c>
      <c r="AV11">
        <v>4</v>
      </c>
      <c r="AW11">
        <v>4</v>
      </c>
      <c r="AX11">
        <v>4</v>
      </c>
      <c r="AY11">
        <v>3</v>
      </c>
      <c r="AZ11">
        <v>3</v>
      </c>
      <c r="BA11">
        <v>18</v>
      </c>
      <c r="BB11" s="3">
        <v>0</v>
      </c>
      <c r="BC11">
        <v>8</v>
      </c>
      <c r="BD11">
        <v>5</v>
      </c>
      <c r="BE11">
        <v>3</v>
      </c>
      <c r="BF11">
        <v>2</v>
      </c>
      <c r="BG11">
        <v>1</v>
      </c>
      <c r="BH11">
        <v>2</v>
      </c>
      <c r="BI11">
        <v>2.5</v>
      </c>
      <c r="BJ11">
        <v>2</v>
      </c>
      <c r="BK11">
        <v>25.5</v>
      </c>
      <c r="BL11" t="s">
        <v>91</v>
      </c>
      <c r="BM11">
        <v>10</v>
      </c>
      <c r="BN11">
        <v>14.3</v>
      </c>
      <c r="BO11">
        <v>7</v>
      </c>
      <c r="BP11">
        <v>3</v>
      </c>
      <c r="BQ11">
        <v>10</v>
      </c>
      <c r="BR11">
        <v>0</v>
      </c>
      <c r="BS11">
        <v>30</v>
      </c>
      <c r="BT11">
        <v>4</v>
      </c>
      <c r="BU11">
        <v>4</v>
      </c>
      <c r="BV11">
        <v>4</v>
      </c>
      <c r="BW11">
        <v>3</v>
      </c>
      <c r="BX11">
        <v>3</v>
      </c>
      <c r="BY11">
        <v>18</v>
      </c>
      <c r="BZ11" s="3">
        <v>0</v>
      </c>
      <c r="CA11">
        <v>8</v>
      </c>
      <c r="CB11">
        <v>5</v>
      </c>
      <c r="CC11">
        <v>1</v>
      </c>
      <c r="CD11">
        <v>2</v>
      </c>
      <c r="CE11">
        <v>1</v>
      </c>
      <c r="CF11">
        <v>1.5</v>
      </c>
      <c r="CG11">
        <v>3</v>
      </c>
      <c r="CH11">
        <v>3</v>
      </c>
      <c r="CI11">
        <v>24.5</v>
      </c>
      <c r="CJ11" t="s">
        <v>91</v>
      </c>
      <c r="CK11">
        <v>30</v>
      </c>
    </row>
    <row r="12" spans="1:89" x14ac:dyDescent="0.3">
      <c r="A12">
        <v>11</v>
      </c>
      <c r="B12" t="s">
        <v>99</v>
      </c>
      <c r="C12">
        <v>48</v>
      </c>
      <c r="D12" t="s">
        <v>97</v>
      </c>
      <c r="E12" t="s">
        <v>89</v>
      </c>
      <c r="F12">
        <v>55</v>
      </c>
      <c r="G12">
        <v>1.73</v>
      </c>
      <c r="H12">
        <v>18.399999999999999</v>
      </c>
      <c r="I12" t="s">
        <v>90</v>
      </c>
      <c r="J12" s="1">
        <v>44328</v>
      </c>
      <c r="K12" s="1">
        <v>33239</v>
      </c>
      <c r="L12" t="s">
        <v>91</v>
      </c>
      <c r="M12">
        <v>3</v>
      </c>
      <c r="N12" t="s">
        <v>91</v>
      </c>
      <c r="O12">
        <v>3</v>
      </c>
      <c r="P12" t="s">
        <v>91</v>
      </c>
      <c r="Q12">
        <v>1</v>
      </c>
      <c r="R12">
        <v>2</v>
      </c>
      <c r="S12">
        <v>0</v>
      </c>
      <c r="T12">
        <v>0</v>
      </c>
      <c r="U12">
        <v>0</v>
      </c>
      <c r="V12" t="s">
        <v>92</v>
      </c>
      <c r="W12">
        <v>0</v>
      </c>
      <c r="X12">
        <v>30</v>
      </c>
      <c r="Y12">
        <v>5</v>
      </c>
      <c r="Z12">
        <v>4</v>
      </c>
      <c r="AA12">
        <v>3</v>
      </c>
      <c r="AB12">
        <v>2</v>
      </c>
      <c r="AC12">
        <v>2</v>
      </c>
      <c r="AD12">
        <v>16</v>
      </c>
      <c r="AE12" t="s">
        <v>92</v>
      </c>
      <c r="AF12" s="3">
        <v>0</v>
      </c>
      <c r="AG12">
        <v>8</v>
      </c>
      <c r="AH12">
        <v>6</v>
      </c>
      <c r="AI12">
        <v>4</v>
      </c>
      <c r="AJ12">
        <v>2</v>
      </c>
      <c r="AK12">
        <v>4</v>
      </c>
      <c r="AL12">
        <v>2</v>
      </c>
      <c r="AM12">
        <v>4</v>
      </c>
      <c r="AN12">
        <v>3</v>
      </c>
      <c r="AO12">
        <v>33</v>
      </c>
      <c r="AP12">
        <v>2</v>
      </c>
      <c r="AQ12">
        <v>0</v>
      </c>
      <c r="AR12">
        <v>0</v>
      </c>
      <c r="AS12">
        <v>0</v>
      </c>
      <c r="AT12">
        <v>0</v>
      </c>
      <c r="AU12">
        <v>30</v>
      </c>
      <c r="AV12">
        <v>5</v>
      </c>
      <c r="AW12">
        <v>4</v>
      </c>
      <c r="AX12">
        <v>3</v>
      </c>
      <c r="AY12">
        <v>2</v>
      </c>
      <c r="AZ12">
        <v>2</v>
      </c>
      <c r="BA12">
        <v>16</v>
      </c>
      <c r="BB12" s="3">
        <v>0</v>
      </c>
      <c r="BC12">
        <v>8</v>
      </c>
      <c r="BD12">
        <v>6</v>
      </c>
      <c r="BE12">
        <v>4</v>
      </c>
      <c r="BF12">
        <v>2</v>
      </c>
      <c r="BG12">
        <v>3.5</v>
      </c>
      <c r="BH12">
        <v>3</v>
      </c>
      <c r="BI12">
        <v>3</v>
      </c>
      <c r="BJ12">
        <v>4</v>
      </c>
      <c r="BK12">
        <v>33.5</v>
      </c>
      <c r="BL12" t="s">
        <v>91</v>
      </c>
      <c r="BM12">
        <v>2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30</v>
      </c>
      <c r="BT12">
        <v>5</v>
      </c>
      <c r="BU12">
        <v>4</v>
      </c>
      <c r="BV12">
        <v>3</v>
      </c>
      <c r="BW12">
        <v>2</v>
      </c>
      <c r="BX12">
        <v>2</v>
      </c>
      <c r="BY12">
        <v>16</v>
      </c>
      <c r="BZ12" s="3">
        <v>0</v>
      </c>
      <c r="CA12">
        <v>8</v>
      </c>
      <c r="CB12">
        <v>6</v>
      </c>
      <c r="CC12">
        <v>4</v>
      </c>
      <c r="CD12">
        <v>2</v>
      </c>
      <c r="CE12">
        <v>2.5</v>
      </c>
      <c r="CF12">
        <v>1.5</v>
      </c>
      <c r="CG12">
        <v>4</v>
      </c>
      <c r="CH12">
        <v>3</v>
      </c>
      <c r="CI12">
        <v>31</v>
      </c>
      <c r="CJ12" t="s">
        <v>91</v>
      </c>
      <c r="CK12">
        <v>1</v>
      </c>
    </row>
    <row r="13" spans="1:89" x14ac:dyDescent="0.3">
      <c r="A13">
        <v>12</v>
      </c>
      <c r="B13" t="s">
        <v>87</v>
      </c>
      <c r="C13">
        <v>51</v>
      </c>
      <c r="D13" t="s">
        <v>88</v>
      </c>
      <c r="E13" t="s">
        <v>102</v>
      </c>
      <c r="F13">
        <v>54</v>
      </c>
      <c r="G13">
        <v>1.7</v>
      </c>
      <c r="H13">
        <v>18.7</v>
      </c>
      <c r="I13" t="s">
        <v>96</v>
      </c>
      <c r="J13" s="1">
        <v>44347</v>
      </c>
      <c r="K13" s="1">
        <v>39814</v>
      </c>
      <c r="L13" t="s">
        <v>91</v>
      </c>
      <c r="M13">
        <v>4</v>
      </c>
      <c r="N13" t="s">
        <v>91</v>
      </c>
      <c r="O13">
        <v>1</v>
      </c>
      <c r="P13" t="s">
        <v>91</v>
      </c>
      <c r="Q13">
        <v>1</v>
      </c>
      <c r="R13">
        <v>20.3</v>
      </c>
      <c r="S13">
        <v>4</v>
      </c>
      <c r="T13">
        <v>3</v>
      </c>
      <c r="U13">
        <v>7</v>
      </c>
      <c r="V13" t="s">
        <v>92</v>
      </c>
      <c r="W13">
        <v>0</v>
      </c>
      <c r="X13">
        <v>30</v>
      </c>
      <c r="Y13">
        <v>5</v>
      </c>
      <c r="Z13">
        <v>3</v>
      </c>
      <c r="AA13">
        <v>3</v>
      </c>
      <c r="AB13">
        <v>2</v>
      </c>
      <c r="AC13">
        <v>2</v>
      </c>
      <c r="AD13">
        <v>15</v>
      </c>
      <c r="AE13" t="s">
        <v>91</v>
      </c>
      <c r="AF13" s="3">
        <v>0</v>
      </c>
      <c r="AG13">
        <v>7</v>
      </c>
      <c r="AH13">
        <v>5</v>
      </c>
      <c r="AI13">
        <v>4</v>
      </c>
      <c r="AJ13">
        <v>4</v>
      </c>
      <c r="AK13">
        <v>3</v>
      </c>
      <c r="AL13">
        <v>1.5</v>
      </c>
      <c r="AM13">
        <v>1</v>
      </c>
      <c r="AN13">
        <v>1.5</v>
      </c>
      <c r="AO13">
        <v>27</v>
      </c>
      <c r="AP13">
        <v>23</v>
      </c>
      <c r="AQ13">
        <v>4</v>
      </c>
      <c r="AR13">
        <v>3</v>
      </c>
      <c r="AS13">
        <v>7</v>
      </c>
      <c r="AT13">
        <v>2</v>
      </c>
      <c r="AU13">
        <v>35</v>
      </c>
      <c r="AV13">
        <v>5</v>
      </c>
      <c r="AW13">
        <v>3</v>
      </c>
      <c r="AX13">
        <v>3</v>
      </c>
      <c r="AY13">
        <v>2</v>
      </c>
      <c r="AZ13">
        <v>2</v>
      </c>
      <c r="BA13">
        <v>15</v>
      </c>
      <c r="BB13" s="3">
        <f t="shared" si="1"/>
        <v>2</v>
      </c>
      <c r="BC13">
        <v>7</v>
      </c>
      <c r="BD13">
        <v>6</v>
      </c>
      <c r="BE13">
        <v>4</v>
      </c>
      <c r="BF13">
        <v>3</v>
      </c>
      <c r="BG13">
        <v>1.5</v>
      </c>
      <c r="BH13">
        <v>1.5</v>
      </c>
      <c r="BI13">
        <v>1</v>
      </c>
      <c r="BJ13">
        <v>1.5</v>
      </c>
      <c r="BK13">
        <v>25.5</v>
      </c>
      <c r="BL13" t="s">
        <v>92</v>
      </c>
      <c r="BM13">
        <v>0</v>
      </c>
      <c r="BN13">
        <v>26</v>
      </c>
      <c r="BO13">
        <v>2</v>
      </c>
      <c r="BP13">
        <v>1</v>
      </c>
      <c r="BQ13">
        <v>3</v>
      </c>
      <c r="BR13">
        <v>0</v>
      </c>
      <c r="BS13">
        <v>35</v>
      </c>
      <c r="BT13">
        <v>4</v>
      </c>
      <c r="BU13">
        <v>3</v>
      </c>
      <c r="BV13">
        <v>2</v>
      </c>
      <c r="BW13">
        <v>2</v>
      </c>
      <c r="BX13">
        <v>2</v>
      </c>
      <c r="BY13">
        <v>13</v>
      </c>
      <c r="BZ13" s="3">
        <f t="shared" si="2"/>
        <v>2</v>
      </c>
      <c r="CA13">
        <v>8</v>
      </c>
      <c r="CB13">
        <v>6</v>
      </c>
      <c r="CC13">
        <v>4</v>
      </c>
      <c r="CD13">
        <v>3</v>
      </c>
      <c r="CE13">
        <v>1.5</v>
      </c>
      <c r="CF13">
        <v>2.5</v>
      </c>
      <c r="CG13">
        <v>2</v>
      </c>
      <c r="CH13">
        <v>1</v>
      </c>
      <c r="CI13">
        <v>28</v>
      </c>
      <c r="CJ13" t="s">
        <v>91</v>
      </c>
      <c r="CK13">
        <v>2</v>
      </c>
    </row>
    <row r="14" spans="1:89" x14ac:dyDescent="0.3">
      <c r="A14">
        <v>13</v>
      </c>
      <c r="B14" t="s">
        <v>87</v>
      </c>
      <c r="C14">
        <v>61</v>
      </c>
      <c r="D14" t="s">
        <v>88</v>
      </c>
      <c r="E14" t="s">
        <v>102</v>
      </c>
      <c r="F14">
        <v>55</v>
      </c>
      <c r="G14">
        <v>1.7</v>
      </c>
      <c r="H14">
        <v>19</v>
      </c>
      <c r="I14" t="s">
        <v>104</v>
      </c>
      <c r="J14" s="1">
        <v>44347</v>
      </c>
      <c r="K14" s="1">
        <v>40179</v>
      </c>
      <c r="L14" t="s">
        <v>91</v>
      </c>
      <c r="M14">
        <v>3</v>
      </c>
      <c r="N14" t="s">
        <v>91</v>
      </c>
      <c r="O14">
        <v>4</v>
      </c>
      <c r="P14" t="s">
        <v>91</v>
      </c>
      <c r="Q14">
        <v>1</v>
      </c>
      <c r="R14">
        <v>31.8</v>
      </c>
      <c r="S14">
        <v>8</v>
      </c>
      <c r="T14">
        <v>2</v>
      </c>
      <c r="U14">
        <v>10</v>
      </c>
      <c r="V14" t="s">
        <v>92</v>
      </c>
      <c r="W14">
        <v>0</v>
      </c>
      <c r="X14">
        <v>60</v>
      </c>
      <c r="Y14">
        <v>4</v>
      </c>
      <c r="Z14">
        <v>3</v>
      </c>
      <c r="AA14">
        <v>3</v>
      </c>
      <c r="AB14">
        <v>2</v>
      </c>
      <c r="AC14">
        <v>1</v>
      </c>
      <c r="AD14">
        <v>13</v>
      </c>
      <c r="AE14" t="s">
        <v>91</v>
      </c>
      <c r="AF14" s="3">
        <f t="shared" si="0"/>
        <v>4</v>
      </c>
      <c r="AG14">
        <v>7</v>
      </c>
      <c r="AH14">
        <v>3</v>
      </c>
      <c r="AI14">
        <v>2</v>
      </c>
      <c r="AJ14">
        <v>2</v>
      </c>
      <c r="AK14">
        <v>1.5</v>
      </c>
      <c r="AL14">
        <v>2</v>
      </c>
      <c r="AM14">
        <v>2</v>
      </c>
      <c r="AN14">
        <v>1</v>
      </c>
      <c r="AO14">
        <v>20.5</v>
      </c>
      <c r="AP14">
        <v>33.799999999999997</v>
      </c>
      <c r="AQ14">
        <v>9</v>
      </c>
      <c r="AR14">
        <v>2</v>
      </c>
      <c r="AS14">
        <v>11</v>
      </c>
      <c r="AT14">
        <v>2</v>
      </c>
      <c r="AU14">
        <v>70</v>
      </c>
      <c r="AV14">
        <v>3</v>
      </c>
      <c r="AW14">
        <v>2</v>
      </c>
      <c r="AX14">
        <v>2</v>
      </c>
      <c r="AY14">
        <v>1</v>
      </c>
      <c r="AZ14">
        <v>1</v>
      </c>
      <c r="BA14">
        <v>9</v>
      </c>
      <c r="BB14" s="3">
        <f t="shared" si="1"/>
        <v>4</v>
      </c>
      <c r="BC14">
        <v>7</v>
      </c>
      <c r="BD14">
        <v>3</v>
      </c>
      <c r="BE14">
        <v>2</v>
      </c>
      <c r="BF14">
        <v>2</v>
      </c>
      <c r="BG14">
        <v>1</v>
      </c>
      <c r="BH14">
        <v>1</v>
      </c>
      <c r="BI14">
        <v>1.5</v>
      </c>
      <c r="BJ14">
        <v>1.5</v>
      </c>
      <c r="BK14">
        <v>19</v>
      </c>
      <c r="BL14" t="s">
        <v>91</v>
      </c>
      <c r="BM14">
        <v>2</v>
      </c>
      <c r="BN14">
        <v>33</v>
      </c>
      <c r="BO14">
        <v>7</v>
      </c>
      <c r="BP14">
        <v>2</v>
      </c>
      <c r="BQ14">
        <v>9</v>
      </c>
      <c r="BR14">
        <v>2</v>
      </c>
      <c r="BS14">
        <v>70</v>
      </c>
      <c r="BT14">
        <v>3</v>
      </c>
      <c r="BU14">
        <v>2</v>
      </c>
      <c r="BV14">
        <v>2</v>
      </c>
      <c r="BW14">
        <v>1</v>
      </c>
      <c r="BX14">
        <v>1</v>
      </c>
      <c r="BY14">
        <v>9</v>
      </c>
      <c r="BZ14" s="3">
        <f t="shared" si="2"/>
        <v>2</v>
      </c>
      <c r="CA14">
        <v>7</v>
      </c>
      <c r="CB14">
        <v>3</v>
      </c>
      <c r="CC14">
        <v>0</v>
      </c>
      <c r="CD14">
        <v>2</v>
      </c>
      <c r="CE14">
        <v>1.5</v>
      </c>
      <c r="CF14">
        <v>1</v>
      </c>
      <c r="CG14">
        <v>1</v>
      </c>
      <c r="CH14">
        <v>1</v>
      </c>
      <c r="CI14">
        <v>16.5</v>
      </c>
      <c r="CJ14" t="s">
        <v>92</v>
      </c>
      <c r="CK14">
        <v>0</v>
      </c>
    </row>
    <row r="15" spans="1:89" x14ac:dyDescent="0.3">
      <c r="A15">
        <v>14</v>
      </c>
      <c r="B15" t="s">
        <v>87</v>
      </c>
      <c r="C15">
        <v>18</v>
      </c>
      <c r="D15" t="s">
        <v>97</v>
      </c>
      <c r="E15" t="s">
        <v>89</v>
      </c>
      <c r="F15">
        <v>74</v>
      </c>
      <c r="G15">
        <v>1.72</v>
      </c>
      <c r="H15">
        <v>25</v>
      </c>
      <c r="I15" t="s">
        <v>105</v>
      </c>
      <c r="J15" s="1">
        <v>44449</v>
      </c>
      <c r="K15" s="1">
        <v>43647</v>
      </c>
      <c r="L15" t="s">
        <v>91</v>
      </c>
      <c r="M15">
        <v>3</v>
      </c>
      <c r="N15" t="s">
        <v>91</v>
      </c>
      <c r="O15">
        <v>7</v>
      </c>
      <c r="P15" t="s">
        <v>91</v>
      </c>
      <c r="Q15">
        <v>8</v>
      </c>
      <c r="R15">
        <v>47.8</v>
      </c>
      <c r="S15">
        <v>6</v>
      </c>
      <c r="T15">
        <v>3</v>
      </c>
      <c r="U15">
        <v>9</v>
      </c>
      <c r="V15" t="s">
        <v>91</v>
      </c>
      <c r="W15">
        <v>10</v>
      </c>
      <c r="X15">
        <v>50</v>
      </c>
      <c r="Y15">
        <v>3</v>
      </c>
      <c r="Z15">
        <v>3</v>
      </c>
      <c r="AA15">
        <v>3</v>
      </c>
      <c r="AB15">
        <v>2</v>
      </c>
      <c r="AC15">
        <v>1</v>
      </c>
      <c r="AD15">
        <v>12</v>
      </c>
      <c r="AE15" t="s">
        <v>91</v>
      </c>
      <c r="AF15" s="3">
        <f t="shared" si="0"/>
        <v>4</v>
      </c>
      <c r="AG15">
        <v>2</v>
      </c>
      <c r="AH15">
        <v>3</v>
      </c>
      <c r="AI15">
        <v>0</v>
      </c>
      <c r="AJ15">
        <v>2</v>
      </c>
      <c r="AK15">
        <v>1.5</v>
      </c>
      <c r="AL15">
        <v>1.5</v>
      </c>
      <c r="AM15">
        <v>1.5</v>
      </c>
      <c r="AN15">
        <v>1.5</v>
      </c>
      <c r="AO15">
        <v>13</v>
      </c>
      <c r="AP15">
        <v>55</v>
      </c>
      <c r="AQ15">
        <v>9</v>
      </c>
      <c r="AR15">
        <v>5</v>
      </c>
      <c r="AS15">
        <v>14</v>
      </c>
      <c r="AT15">
        <v>6</v>
      </c>
      <c r="AU15">
        <v>60</v>
      </c>
      <c r="AV15">
        <v>2</v>
      </c>
      <c r="AW15">
        <v>3</v>
      </c>
      <c r="AX15">
        <v>2</v>
      </c>
      <c r="AY15">
        <v>1</v>
      </c>
      <c r="AZ15">
        <v>1</v>
      </c>
      <c r="BA15">
        <v>9</v>
      </c>
      <c r="BB15" s="3">
        <f t="shared" si="1"/>
        <v>4</v>
      </c>
      <c r="BC15">
        <v>2</v>
      </c>
      <c r="BD15">
        <v>3</v>
      </c>
      <c r="BE15">
        <v>0</v>
      </c>
      <c r="BF15">
        <v>2</v>
      </c>
      <c r="BG15">
        <v>0</v>
      </c>
      <c r="BH15">
        <v>1</v>
      </c>
      <c r="BI15">
        <v>1.5</v>
      </c>
      <c r="BJ15">
        <v>1</v>
      </c>
      <c r="BK15">
        <v>10.5</v>
      </c>
      <c r="BM15">
        <v>0</v>
      </c>
      <c r="BN15">
        <v>55</v>
      </c>
      <c r="BO15">
        <v>6</v>
      </c>
      <c r="BP15">
        <v>3</v>
      </c>
      <c r="BQ15">
        <v>9</v>
      </c>
      <c r="BR15">
        <v>10</v>
      </c>
      <c r="BS15">
        <v>60</v>
      </c>
      <c r="BT15">
        <v>2</v>
      </c>
      <c r="BU15">
        <v>3</v>
      </c>
      <c r="BV15">
        <v>2</v>
      </c>
      <c r="BW15">
        <v>1</v>
      </c>
      <c r="BX15">
        <v>1</v>
      </c>
      <c r="BY15">
        <v>9</v>
      </c>
      <c r="BZ15" s="3">
        <f t="shared" si="2"/>
        <v>2</v>
      </c>
      <c r="CA15">
        <v>2</v>
      </c>
      <c r="CB15">
        <v>2</v>
      </c>
      <c r="CC15">
        <v>0</v>
      </c>
      <c r="CD15">
        <v>2</v>
      </c>
      <c r="CE15">
        <v>0</v>
      </c>
      <c r="CF15">
        <v>1</v>
      </c>
      <c r="CG15">
        <v>1</v>
      </c>
      <c r="CH15">
        <v>1</v>
      </c>
      <c r="CI15">
        <v>9</v>
      </c>
      <c r="CJ15" t="s">
        <v>92</v>
      </c>
      <c r="CK15">
        <v>0</v>
      </c>
    </row>
    <row r="16" spans="1:89" x14ac:dyDescent="0.3">
      <c r="A16">
        <v>15</v>
      </c>
      <c r="B16" t="s">
        <v>99</v>
      </c>
      <c r="C16">
        <v>49</v>
      </c>
      <c r="D16" t="s">
        <v>97</v>
      </c>
      <c r="E16" t="s">
        <v>89</v>
      </c>
      <c r="F16">
        <v>44</v>
      </c>
      <c r="G16">
        <v>1.6</v>
      </c>
      <c r="H16">
        <v>17.2</v>
      </c>
      <c r="I16" t="s">
        <v>94</v>
      </c>
      <c r="J16" s="1">
        <v>44342</v>
      </c>
      <c r="K16" s="1">
        <v>36892</v>
      </c>
      <c r="L16" t="s">
        <v>91</v>
      </c>
      <c r="M16">
        <v>1</v>
      </c>
      <c r="N16" t="s">
        <v>92</v>
      </c>
      <c r="O16">
        <v>0</v>
      </c>
      <c r="P16" t="s">
        <v>91</v>
      </c>
      <c r="Q16">
        <v>1</v>
      </c>
      <c r="R16">
        <v>0</v>
      </c>
      <c r="S16">
        <v>8</v>
      </c>
      <c r="T16">
        <v>3</v>
      </c>
      <c r="U16">
        <v>11</v>
      </c>
      <c r="V16" t="s">
        <v>92</v>
      </c>
      <c r="W16">
        <v>0</v>
      </c>
      <c r="X16">
        <v>40</v>
      </c>
      <c r="Y16">
        <v>5</v>
      </c>
      <c r="Z16">
        <v>4</v>
      </c>
      <c r="AA16">
        <v>4</v>
      </c>
      <c r="AB16">
        <v>2</v>
      </c>
      <c r="AC16">
        <v>2</v>
      </c>
      <c r="AD16">
        <v>17</v>
      </c>
      <c r="AE16" t="s">
        <v>92</v>
      </c>
      <c r="AF16" s="3">
        <v>0</v>
      </c>
      <c r="AG16">
        <v>8</v>
      </c>
      <c r="AH16">
        <v>6</v>
      </c>
      <c r="AI16">
        <v>0</v>
      </c>
      <c r="AJ16">
        <v>6</v>
      </c>
      <c r="AK16">
        <v>3.5</v>
      </c>
      <c r="AL16">
        <v>3</v>
      </c>
      <c r="AM16">
        <v>3</v>
      </c>
      <c r="AN16">
        <v>3</v>
      </c>
      <c r="AO16">
        <v>32.5</v>
      </c>
      <c r="AP16">
        <v>0</v>
      </c>
      <c r="AQ16">
        <v>7</v>
      </c>
      <c r="AR16">
        <v>3</v>
      </c>
      <c r="AS16">
        <v>10</v>
      </c>
      <c r="AT16">
        <v>0</v>
      </c>
      <c r="AU16">
        <v>30</v>
      </c>
      <c r="AV16">
        <v>5</v>
      </c>
      <c r="AW16">
        <v>4</v>
      </c>
      <c r="AX16">
        <v>3</v>
      </c>
      <c r="AY16">
        <v>2</v>
      </c>
      <c r="AZ16">
        <v>2</v>
      </c>
      <c r="BA16">
        <v>16</v>
      </c>
      <c r="BB16" s="3">
        <v>0</v>
      </c>
      <c r="BC16">
        <v>7</v>
      </c>
      <c r="BD16">
        <v>6</v>
      </c>
      <c r="BE16">
        <v>0</v>
      </c>
      <c r="BF16">
        <v>4</v>
      </c>
      <c r="BG16">
        <v>1.5</v>
      </c>
      <c r="BH16">
        <v>2</v>
      </c>
      <c r="BI16">
        <v>3</v>
      </c>
      <c r="BJ16">
        <v>3</v>
      </c>
      <c r="BK16">
        <v>26.5</v>
      </c>
      <c r="BL16" t="s">
        <v>92</v>
      </c>
      <c r="BM16">
        <v>0</v>
      </c>
      <c r="BN16">
        <v>0</v>
      </c>
      <c r="BO16">
        <v>7</v>
      </c>
      <c r="BP16">
        <v>3</v>
      </c>
      <c r="BQ16">
        <v>10</v>
      </c>
      <c r="BR16">
        <v>0</v>
      </c>
      <c r="BS16">
        <v>17</v>
      </c>
      <c r="BT16">
        <v>5</v>
      </c>
      <c r="BU16">
        <v>4</v>
      </c>
      <c r="BV16">
        <v>4</v>
      </c>
      <c r="BW16">
        <v>2</v>
      </c>
      <c r="BX16">
        <v>2</v>
      </c>
      <c r="BY16">
        <v>17</v>
      </c>
      <c r="BZ16" s="3">
        <v>0</v>
      </c>
      <c r="CA16">
        <v>7</v>
      </c>
      <c r="CB16">
        <v>6</v>
      </c>
      <c r="CC16">
        <v>0</v>
      </c>
      <c r="CD16">
        <v>4</v>
      </c>
      <c r="CE16">
        <v>1.5</v>
      </c>
      <c r="CF16">
        <v>2</v>
      </c>
      <c r="CG16">
        <v>3</v>
      </c>
      <c r="CH16">
        <v>3</v>
      </c>
      <c r="CI16">
        <v>26.5</v>
      </c>
      <c r="CJ16" t="s">
        <v>92</v>
      </c>
      <c r="CK16">
        <v>0</v>
      </c>
    </row>
    <row r="17" spans="1:89" x14ac:dyDescent="0.3">
      <c r="A17">
        <v>16</v>
      </c>
      <c r="B17" t="s">
        <v>99</v>
      </c>
      <c r="C17">
        <v>48</v>
      </c>
      <c r="D17" t="s">
        <v>88</v>
      </c>
      <c r="E17" t="s">
        <v>98</v>
      </c>
      <c r="F17">
        <v>74</v>
      </c>
      <c r="G17">
        <v>1.78</v>
      </c>
      <c r="H17">
        <v>23.4</v>
      </c>
      <c r="I17" t="s">
        <v>90</v>
      </c>
      <c r="J17" s="1">
        <v>44447</v>
      </c>
      <c r="K17" s="1">
        <v>38718</v>
      </c>
      <c r="L17" t="s">
        <v>91</v>
      </c>
      <c r="M17">
        <v>3</v>
      </c>
      <c r="N17" t="s">
        <v>91</v>
      </c>
      <c r="O17">
        <v>3</v>
      </c>
      <c r="P17" t="s">
        <v>92</v>
      </c>
      <c r="Q17">
        <v>0</v>
      </c>
      <c r="R17">
        <v>64.7</v>
      </c>
      <c r="S17">
        <v>6</v>
      </c>
      <c r="T17">
        <v>3</v>
      </c>
      <c r="U17">
        <v>9</v>
      </c>
      <c r="V17" t="s">
        <v>91</v>
      </c>
      <c r="W17">
        <v>11</v>
      </c>
      <c r="X17">
        <v>61</v>
      </c>
      <c r="Y17">
        <v>3</v>
      </c>
      <c r="Z17">
        <v>1</v>
      </c>
      <c r="AA17">
        <v>2</v>
      </c>
      <c r="AB17">
        <v>2</v>
      </c>
      <c r="AC17">
        <v>3</v>
      </c>
      <c r="AD17">
        <v>11</v>
      </c>
      <c r="AE17" t="s">
        <v>91</v>
      </c>
      <c r="AF17" s="3">
        <f t="shared" si="0"/>
        <v>1.3333333333333333</v>
      </c>
      <c r="AG17">
        <v>3</v>
      </c>
      <c r="AH17">
        <v>1</v>
      </c>
      <c r="AI17">
        <v>0</v>
      </c>
      <c r="AJ17">
        <v>1</v>
      </c>
      <c r="AK17">
        <v>1</v>
      </c>
      <c r="AL17">
        <v>1</v>
      </c>
      <c r="AM17">
        <v>2.5</v>
      </c>
      <c r="AN17">
        <v>1</v>
      </c>
      <c r="AO17">
        <v>10.5</v>
      </c>
      <c r="AP17">
        <v>50</v>
      </c>
      <c r="AQ17">
        <v>8</v>
      </c>
      <c r="AR17">
        <v>3</v>
      </c>
      <c r="AS17">
        <v>11</v>
      </c>
      <c r="AT17">
        <v>12</v>
      </c>
      <c r="AU17">
        <v>55</v>
      </c>
      <c r="AV17">
        <v>3</v>
      </c>
      <c r="AW17">
        <v>3</v>
      </c>
      <c r="AX17">
        <v>2</v>
      </c>
      <c r="AY17">
        <v>2</v>
      </c>
      <c r="AZ17">
        <v>2</v>
      </c>
      <c r="BA17">
        <v>12</v>
      </c>
      <c r="BB17" s="3">
        <f t="shared" si="1"/>
        <v>2</v>
      </c>
      <c r="BC17">
        <v>2</v>
      </c>
      <c r="BD17">
        <v>1</v>
      </c>
      <c r="BE17">
        <v>0</v>
      </c>
      <c r="BF17">
        <v>1</v>
      </c>
      <c r="BG17">
        <v>1</v>
      </c>
      <c r="BH17">
        <v>1</v>
      </c>
      <c r="BI17">
        <v>2.5</v>
      </c>
      <c r="BJ17">
        <v>1</v>
      </c>
      <c r="BK17">
        <v>9.5</v>
      </c>
      <c r="BL17" t="s">
        <v>92</v>
      </c>
      <c r="BM17">
        <v>0</v>
      </c>
      <c r="BN17">
        <v>50</v>
      </c>
      <c r="BO17">
        <v>6</v>
      </c>
      <c r="BP17">
        <v>3</v>
      </c>
      <c r="BQ17">
        <v>9</v>
      </c>
      <c r="BR17">
        <v>12</v>
      </c>
      <c r="BS17">
        <v>55</v>
      </c>
      <c r="BT17">
        <v>3</v>
      </c>
      <c r="BU17">
        <v>2</v>
      </c>
      <c r="BV17">
        <v>2</v>
      </c>
      <c r="BW17">
        <v>2</v>
      </c>
      <c r="BX17">
        <v>2</v>
      </c>
      <c r="BY17">
        <v>11</v>
      </c>
      <c r="BZ17" s="3">
        <f t="shared" si="2"/>
        <v>2</v>
      </c>
      <c r="CA17">
        <v>2</v>
      </c>
      <c r="CB17">
        <v>1</v>
      </c>
      <c r="CC17">
        <v>0</v>
      </c>
      <c r="CD17">
        <v>0</v>
      </c>
      <c r="CE17">
        <v>1</v>
      </c>
      <c r="CF17">
        <v>1</v>
      </c>
      <c r="CG17">
        <v>2</v>
      </c>
      <c r="CH17">
        <v>0</v>
      </c>
      <c r="CI17">
        <v>7</v>
      </c>
      <c r="CJ17" t="s">
        <v>92</v>
      </c>
      <c r="CK17">
        <v>0</v>
      </c>
    </row>
    <row r="18" spans="1:89" x14ac:dyDescent="0.3">
      <c r="A18">
        <v>17</v>
      </c>
      <c r="B18" t="s">
        <v>99</v>
      </c>
      <c r="C18">
        <v>43</v>
      </c>
      <c r="D18" t="s">
        <v>97</v>
      </c>
      <c r="E18" t="s">
        <v>98</v>
      </c>
      <c r="F18">
        <v>64</v>
      </c>
      <c r="G18">
        <v>1.72</v>
      </c>
      <c r="H18">
        <v>21.6</v>
      </c>
      <c r="I18" t="s">
        <v>90</v>
      </c>
      <c r="J18" s="1">
        <v>44447</v>
      </c>
      <c r="K18" s="1">
        <v>40544</v>
      </c>
      <c r="L18" t="s">
        <v>91</v>
      </c>
      <c r="M18">
        <v>1</v>
      </c>
      <c r="N18" t="s">
        <v>92</v>
      </c>
      <c r="O18">
        <v>0</v>
      </c>
      <c r="P18" t="s">
        <v>91</v>
      </c>
      <c r="Q18">
        <v>4</v>
      </c>
      <c r="R18">
        <v>16</v>
      </c>
      <c r="S18">
        <v>6</v>
      </c>
      <c r="T18">
        <v>1</v>
      </c>
      <c r="U18">
        <v>7</v>
      </c>
      <c r="V18" t="s">
        <v>92</v>
      </c>
      <c r="W18">
        <v>0</v>
      </c>
      <c r="X18">
        <v>35</v>
      </c>
      <c r="Y18">
        <v>3</v>
      </c>
      <c r="Z18">
        <v>2</v>
      </c>
      <c r="AA18">
        <v>4</v>
      </c>
      <c r="AB18">
        <v>3</v>
      </c>
      <c r="AC18">
        <v>4</v>
      </c>
      <c r="AD18">
        <v>16</v>
      </c>
      <c r="AE18" t="s">
        <v>91</v>
      </c>
      <c r="AF18" s="3">
        <f t="shared" si="0"/>
        <v>1</v>
      </c>
      <c r="AG18">
        <v>6</v>
      </c>
      <c r="AH18">
        <v>3</v>
      </c>
      <c r="AI18">
        <v>4</v>
      </c>
      <c r="AJ18">
        <v>0</v>
      </c>
      <c r="AK18">
        <v>0</v>
      </c>
      <c r="AL18">
        <v>1</v>
      </c>
      <c r="AM18">
        <v>2</v>
      </c>
      <c r="AN18">
        <v>1</v>
      </c>
      <c r="AO18">
        <v>17</v>
      </c>
      <c r="AP18">
        <v>16</v>
      </c>
      <c r="AQ18">
        <v>6</v>
      </c>
      <c r="AR18">
        <v>1</v>
      </c>
      <c r="AS18">
        <v>7</v>
      </c>
      <c r="AT18">
        <v>0</v>
      </c>
      <c r="AU18">
        <v>35</v>
      </c>
      <c r="AV18">
        <v>5</v>
      </c>
      <c r="AW18">
        <v>4</v>
      </c>
      <c r="AX18">
        <v>4</v>
      </c>
      <c r="AY18">
        <v>2</v>
      </c>
      <c r="AZ18">
        <v>2</v>
      </c>
      <c r="BA18">
        <v>17</v>
      </c>
      <c r="BB18" s="3">
        <f t="shared" si="1"/>
        <v>2</v>
      </c>
      <c r="BC18">
        <v>7</v>
      </c>
      <c r="BD18">
        <v>6</v>
      </c>
      <c r="BE18">
        <v>0</v>
      </c>
      <c r="BF18">
        <v>1</v>
      </c>
      <c r="BG18">
        <v>0</v>
      </c>
      <c r="BH18">
        <v>1.5</v>
      </c>
      <c r="BI18">
        <v>2.5</v>
      </c>
      <c r="BJ18">
        <v>1</v>
      </c>
      <c r="BK18">
        <v>19</v>
      </c>
      <c r="BL18" t="s">
        <v>91</v>
      </c>
      <c r="BM18">
        <v>2</v>
      </c>
      <c r="BN18">
        <v>16</v>
      </c>
      <c r="BO18">
        <v>6</v>
      </c>
      <c r="BP18">
        <v>1</v>
      </c>
      <c r="BQ18">
        <v>7</v>
      </c>
      <c r="BR18">
        <v>0</v>
      </c>
      <c r="BS18">
        <v>35</v>
      </c>
      <c r="BT18">
        <v>5</v>
      </c>
      <c r="BU18">
        <v>4</v>
      </c>
      <c r="BV18">
        <v>4</v>
      </c>
      <c r="BW18">
        <v>2</v>
      </c>
      <c r="BX18">
        <v>2</v>
      </c>
      <c r="BY18">
        <v>17</v>
      </c>
      <c r="BZ18" s="3">
        <f t="shared" si="2"/>
        <v>1</v>
      </c>
      <c r="CA18">
        <v>7</v>
      </c>
      <c r="CB18">
        <v>6</v>
      </c>
      <c r="CC18">
        <v>0</v>
      </c>
      <c r="CD18">
        <v>1</v>
      </c>
      <c r="CE18">
        <v>0</v>
      </c>
      <c r="CF18">
        <v>1.5</v>
      </c>
      <c r="CG18">
        <v>2.5</v>
      </c>
      <c r="CH18">
        <v>1</v>
      </c>
      <c r="CI18">
        <v>19</v>
      </c>
      <c r="CJ18" t="s">
        <v>91</v>
      </c>
      <c r="CK18">
        <v>2</v>
      </c>
    </row>
    <row r="19" spans="1:89" x14ac:dyDescent="0.3">
      <c r="A19">
        <v>18</v>
      </c>
      <c r="B19" t="s">
        <v>87</v>
      </c>
      <c r="C19">
        <v>59</v>
      </c>
      <c r="D19" t="s">
        <v>88</v>
      </c>
      <c r="E19" t="s">
        <v>98</v>
      </c>
      <c r="F19">
        <v>73</v>
      </c>
      <c r="G19">
        <v>1.72</v>
      </c>
      <c r="H19">
        <v>24.7</v>
      </c>
      <c r="I19" t="s">
        <v>96</v>
      </c>
      <c r="J19" s="1">
        <v>44427</v>
      </c>
      <c r="K19" s="2"/>
      <c r="L19" t="s">
        <v>92</v>
      </c>
      <c r="M19">
        <v>0</v>
      </c>
      <c r="N19" t="s">
        <v>91</v>
      </c>
      <c r="O19">
        <v>2</v>
      </c>
      <c r="P19" t="s">
        <v>91</v>
      </c>
      <c r="Q19">
        <v>1</v>
      </c>
      <c r="R19">
        <v>26.25</v>
      </c>
      <c r="S19">
        <v>6</v>
      </c>
      <c r="T19">
        <v>1</v>
      </c>
      <c r="U19">
        <v>7</v>
      </c>
      <c r="V19" t="s">
        <v>91</v>
      </c>
      <c r="W19">
        <v>4</v>
      </c>
      <c r="X19">
        <v>70</v>
      </c>
      <c r="Y19">
        <v>4</v>
      </c>
      <c r="Z19">
        <v>2</v>
      </c>
      <c r="AA19">
        <v>4</v>
      </c>
      <c r="AB19">
        <v>1</v>
      </c>
      <c r="AC19">
        <v>1</v>
      </c>
      <c r="AD19">
        <v>12</v>
      </c>
      <c r="AE19" t="s">
        <v>91</v>
      </c>
      <c r="AF19" s="3">
        <f t="shared" si="0"/>
        <v>4</v>
      </c>
      <c r="AG19">
        <v>6</v>
      </c>
      <c r="AH19">
        <v>3</v>
      </c>
      <c r="AI19">
        <v>4</v>
      </c>
      <c r="AJ19">
        <v>0</v>
      </c>
      <c r="AK19">
        <v>0</v>
      </c>
      <c r="AL19">
        <v>1.5</v>
      </c>
      <c r="AM19">
        <v>2.5</v>
      </c>
      <c r="AN19">
        <v>1</v>
      </c>
      <c r="AO19">
        <v>18</v>
      </c>
      <c r="AP19">
        <v>26.25</v>
      </c>
      <c r="AQ19">
        <v>6</v>
      </c>
      <c r="AR19">
        <v>1</v>
      </c>
      <c r="AS19">
        <v>7</v>
      </c>
      <c r="AT19">
        <v>2</v>
      </c>
      <c r="AU19">
        <v>70</v>
      </c>
      <c r="AV19">
        <v>4</v>
      </c>
      <c r="AW19">
        <v>2</v>
      </c>
      <c r="AX19">
        <v>4</v>
      </c>
      <c r="AY19">
        <v>1</v>
      </c>
      <c r="AZ19">
        <v>1</v>
      </c>
      <c r="BA19">
        <v>12</v>
      </c>
      <c r="BB19" s="3">
        <f t="shared" si="1"/>
        <v>4</v>
      </c>
      <c r="BC19">
        <v>6</v>
      </c>
      <c r="BD19">
        <v>6</v>
      </c>
      <c r="BE19">
        <v>0</v>
      </c>
      <c r="BF19">
        <v>1</v>
      </c>
      <c r="BG19">
        <v>0</v>
      </c>
      <c r="BH19">
        <v>1.5</v>
      </c>
      <c r="BI19">
        <v>3</v>
      </c>
      <c r="BJ19">
        <v>1</v>
      </c>
      <c r="BK19">
        <v>18.5</v>
      </c>
      <c r="BL19" t="s">
        <v>92</v>
      </c>
      <c r="BM19">
        <v>0</v>
      </c>
      <c r="BN19">
        <v>26.25</v>
      </c>
      <c r="BO19">
        <v>6</v>
      </c>
      <c r="BP19">
        <v>1</v>
      </c>
      <c r="BQ19">
        <v>7</v>
      </c>
      <c r="BR19">
        <v>2</v>
      </c>
      <c r="BS19">
        <v>70</v>
      </c>
      <c r="BT19">
        <v>4</v>
      </c>
      <c r="BU19">
        <v>2</v>
      </c>
      <c r="BV19">
        <v>4</v>
      </c>
      <c r="BW19">
        <v>1</v>
      </c>
      <c r="BX19">
        <v>1</v>
      </c>
      <c r="BY19">
        <v>12</v>
      </c>
      <c r="BZ19" s="3">
        <f t="shared" si="2"/>
        <v>1</v>
      </c>
      <c r="CA19">
        <v>6</v>
      </c>
      <c r="CB19">
        <v>6</v>
      </c>
      <c r="CC19">
        <v>0</v>
      </c>
      <c r="CD19">
        <v>1</v>
      </c>
      <c r="CE19">
        <v>0</v>
      </c>
      <c r="CF19">
        <v>1.5</v>
      </c>
      <c r="CG19">
        <v>3</v>
      </c>
      <c r="CH19">
        <v>1</v>
      </c>
      <c r="CI19">
        <v>18.5</v>
      </c>
      <c r="CJ19" t="s">
        <v>92</v>
      </c>
      <c r="CK19">
        <v>0</v>
      </c>
    </row>
    <row r="20" spans="1:89" x14ac:dyDescent="0.3">
      <c r="A20">
        <v>19</v>
      </c>
      <c r="B20" t="s">
        <v>99</v>
      </c>
      <c r="C20">
        <v>47</v>
      </c>
      <c r="D20" t="s">
        <v>88</v>
      </c>
      <c r="E20" t="s">
        <v>95</v>
      </c>
      <c r="F20">
        <v>70</v>
      </c>
      <c r="G20">
        <v>1.8</v>
      </c>
      <c r="H20">
        <v>21.6</v>
      </c>
      <c r="I20" t="s">
        <v>94</v>
      </c>
      <c r="J20" s="1">
        <v>44727</v>
      </c>
      <c r="K20" s="1">
        <v>43466</v>
      </c>
      <c r="L20" t="s">
        <v>91</v>
      </c>
      <c r="M20">
        <v>1</v>
      </c>
      <c r="N20" t="s">
        <v>91</v>
      </c>
      <c r="O20">
        <v>5</v>
      </c>
      <c r="P20" t="s">
        <v>92</v>
      </c>
      <c r="Q20">
        <v>0</v>
      </c>
      <c r="R20">
        <v>80</v>
      </c>
      <c r="S20">
        <v>6</v>
      </c>
      <c r="T20">
        <v>2</v>
      </c>
      <c r="U20">
        <v>8</v>
      </c>
      <c r="V20" t="s">
        <v>91</v>
      </c>
      <c r="W20">
        <v>14</v>
      </c>
      <c r="X20">
        <v>90</v>
      </c>
      <c r="Y20">
        <v>1</v>
      </c>
      <c r="Z20">
        <v>2</v>
      </c>
      <c r="AA20">
        <v>2</v>
      </c>
      <c r="AB20">
        <v>1</v>
      </c>
      <c r="AC20">
        <v>2</v>
      </c>
      <c r="AD20">
        <v>8</v>
      </c>
      <c r="AE20" t="s">
        <v>91</v>
      </c>
      <c r="AF20" s="3">
        <f t="shared" si="0"/>
        <v>2</v>
      </c>
      <c r="AG20">
        <v>1</v>
      </c>
      <c r="AH20">
        <v>0</v>
      </c>
      <c r="AI20">
        <v>0</v>
      </c>
      <c r="AJ20">
        <v>2</v>
      </c>
      <c r="AK20">
        <v>1</v>
      </c>
      <c r="AL20">
        <v>0.5</v>
      </c>
      <c r="AM20">
        <v>3</v>
      </c>
      <c r="AN20">
        <v>0.5</v>
      </c>
      <c r="AO20">
        <v>8</v>
      </c>
      <c r="AP20">
        <v>80</v>
      </c>
      <c r="AQ20">
        <v>6</v>
      </c>
      <c r="AR20">
        <v>1</v>
      </c>
      <c r="AS20">
        <v>7</v>
      </c>
      <c r="AT20">
        <v>12</v>
      </c>
      <c r="AU20">
        <v>90</v>
      </c>
      <c r="AV20">
        <v>1</v>
      </c>
      <c r="AW20">
        <v>2</v>
      </c>
      <c r="AX20">
        <v>2</v>
      </c>
      <c r="AY20">
        <v>1</v>
      </c>
      <c r="AZ20">
        <v>2</v>
      </c>
      <c r="BA20">
        <v>8</v>
      </c>
      <c r="BB20" s="3">
        <f t="shared" si="1"/>
        <v>4</v>
      </c>
      <c r="BC20">
        <v>1</v>
      </c>
      <c r="BD20">
        <v>0</v>
      </c>
      <c r="BE20">
        <v>0</v>
      </c>
      <c r="BF20">
        <v>2</v>
      </c>
      <c r="BG20">
        <v>0</v>
      </c>
      <c r="BH20">
        <v>1</v>
      </c>
      <c r="BI20">
        <v>0</v>
      </c>
      <c r="BJ20">
        <v>2</v>
      </c>
      <c r="BK20">
        <v>6</v>
      </c>
      <c r="BL20" t="s">
        <v>92</v>
      </c>
      <c r="BM20">
        <v>0</v>
      </c>
      <c r="BN20">
        <v>80</v>
      </c>
      <c r="BO20">
        <v>6</v>
      </c>
      <c r="BP20">
        <v>1</v>
      </c>
      <c r="BQ20">
        <v>7</v>
      </c>
      <c r="BR20">
        <v>15</v>
      </c>
      <c r="BS20">
        <v>90</v>
      </c>
      <c r="BT20">
        <v>2</v>
      </c>
      <c r="BU20">
        <v>1</v>
      </c>
      <c r="BV20">
        <v>2</v>
      </c>
      <c r="BW20">
        <v>1</v>
      </c>
      <c r="BX20">
        <v>2</v>
      </c>
      <c r="BY20">
        <v>8</v>
      </c>
      <c r="BZ20" s="3">
        <f t="shared" si="2"/>
        <v>2</v>
      </c>
      <c r="CA20">
        <v>2</v>
      </c>
      <c r="CB20">
        <v>0</v>
      </c>
      <c r="CC20">
        <v>0</v>
      </c>
      <c r="CD20">
        <v>3</v>
      </c>
      <c r="CE20">
        <v>0</v>
      </c>
      <c r="CF20">
        <v>0.5</v>
      </c>
      <c r="CG20">
        <v>3</v>
      </c>
      <c r="CH20">
        <v>0.5</v>
      </c>
      <c r="CI20">
        <v>9</v>
      </c>
      <c r="CJ20" t="s">
        <v>92</v>
      </c>
      <c r="CK20">
        <v>0</v>
      </c>
    </row>
    <row r="21" spans="1:89" x14ac:dyDescent="0.3">
      <c r="A21">
        <v>20</v>
      </c>
      <c r="B21" t="s">
        <v>87</v>
      </c>
      <c r="C21">
        <v>54</v>
      </c>
      <c r="D21" t="s">
        <v>97</v>
      </c>
      <c r="E21" t="s">
        <v>95</v>
      </c>
      <c r="F21">
        <v>56</v>
      </c>
      <c r="G21">
        <v>1.58</v>
      </c>
      <c r="H21">
        <v>22.4</v>
      </c>
      <c r="I21" t="s">
        <v>90</v>
      </c>
      <c r="J21" s="1">
        <v>44722</v>
      </c>
      <c r="K21" s="1">
        <v>42736</v>
      </c>
      <c r="L21" t="s">
        <v>91</v>
      </c>
      <c r="M21">
        <v>2</v>
      </c>
      <c r="N21" t="s">
        <v>91</v>
      </c>
      <c r="O21">
        <v>2</v>
      </c>
      <c r="P21" t="s">
        <v>91</v>
      </c>
      <c r="Q21">
        <v>1</v>
      </c>
      <c r="R21">
        <v>65.31</v>
      </c>
      <c r="S21">
        <v>8</v>
      </c>
      <c r="T21">
        <v>4</v>
      </c>
      <c r="U21">
        <v>12</v>
      </c>
      <c r="V21" t="s">
        <v>91</v>
      </c>
      <c r="W21">
        <v>14</v>
      </c>
      <c r="X21">
        <v>60</v>
      </c>
      <c r="Y21">
        <v>3</v>
      </c>
      <c r="Z21">
        <v>1</v>
      </c>
      <c r="AA21">
        <v>2</v>
      </c>
      <c r="AB21">
        <v>1</v>
      </c>
      <c r="AC21">
        <v>2</v>
      </c>
      <c r="AD21">
        <v>9</v>
      </c>
      <c r="AE21" t="s">
        <v>91</v>
      </c>
      <c r="AF21" s="3">
        <f t="shared" si="0"/>
        <v>2</v>
      </c>
      <c r="AG21">
        <v>2</v>
      </c>
      <c r="AH21">
        <v>1</v>
      </c>
      <c r="AI21">
        <v>0</v>
      </c>
      <c r="AJ21">
        <v>1</v>
      </c>
      <c r="AK21">
        <v>1</v>
      </c>
      <c r="AL21">
        <v>1</v>
      </c>
      <c r="AM21">
        <v>1.5</v>
      </c>
      <c r="AN21">
        <v>1.5</v>
      </c>
      <c r="AO21">
        <v>9</v>
      </c>
      <c r="AP21">
        <v>65.349999999999994</v>
      </c>
      <c r="AQ21">
        <v>9</v>
      </c>
      <c r="AR21">
        <v>5</v>
      </c>
      <c r="AS21">
        <v>14</v>
      </c>
      <c r="AT21">
        <v>17</v>
      </c>
      <c r="AU21">
        <v>70</v>
      </c>
      <c r="AV21">
        <v>2</v>
      </c>
      <c r="AW21">
        <v>1</v>
      </c>
      <c r="AX21">
        <v>2</v>
      </c>
      <c r="AY21">
        <v>1</v>
      </c>
      <c r="AZ21">
        <v>2</v>
      </c>
      <c r="BA21">
        <v>8</v>
      </c>
      <c r="BB21" s="3">
        <f t="shared" si="1"/>
        <v>4</v>
      </c>
      <c r="BC21">
        <v>2</v>
      </c>
      <c r="BD21">
        <v>0</v>
      </c>
      <c r="BE21">
        <v>0</v>
      </c>
      <c r="BF21">
        <v>1</v>
      </c>
      <c r="BG21">
        <v>0</v>
      </c>
      <c r="BH21">
        <v>0.5</v>
      </c>
      <c r="BI21">
        <v>0</v>
      </c>
      <c r="BJ21">
        <v>0.5</v>
      </c>
      <c r="BK21">
        <v>4</v>
      </c>
      <c r="BL21" t="s">
        <v>92</v>
      </c>
      <c r="BM21">
        <v>0</v>
      </c>
      <c r="BN21">
        <v>58.12</v>
      </c>
      <c r="BO21">
        <v>10</v>
      </c>
      <c r="BP21">
        <v>3</v>
      </c>
      <c r="BQ21">
        <v>13</v>
      </c>
      <c r="BR21">
        <v>14</v>
      </c>
      <c r="BS21">
        <v>70</v>
      </c>
      <c r="BT21">
        <v>2</v>
      </c>
      <c r="BU21">
        <v>1</v>
      </c>
      <c r="BV21">
        <v>2</v>
      </c>
      <c r="BW21">
        <v>1</v>
      </c>
      <c r="BX21">
        <v>2</v>
      </c>
      <c r="BY21">
        <v>8</v>
      </c>
      <c r="BZ21" s="3">
        <f t="shared" si="2"/>
        <v>2</v>
      </c>
      <c r="CA21">
        <v>2</v>
      </c>
      <c r="CB21">
        <v>0</v>
      </c>
      <c r="CC21">
        <v>0</v>
      </c>
      <c r="CD21">
        <v>1</v>
      </c>
      <c r="CE21">
        <v>0.5</v>
      </c>
      <c r="CF21">
        <v>0.5</v>
      </c>
      <c r="CG21">
        <v>1</v>
      </c>
      <c r="CH21">
        <v>0</v>
      </c>
      <c r="CI21">
        <v>5</v>
      </c>
      <c r="CJ21" t="s">
        <v>92</v>
      </c>
      <c r="CK21">
        <v>0</v>
      </c>
    </row>
    <row r="22" spans="1:89" x14ac:dyDescent="0.3">
      <c r="A22">
        <v>21</v>
      </c>
      <c r="B22" t="s">
        <v>87</v>
      </c>
      <c r="C22">
        <v>43</v>
      </c>
      <c r="D22" t="s">
        <v>97</v>
      </c>
      <c r="E22" t="s">
        <v>89</v>
      </c>
      <c r="F22">
        <v>54</v>
      </c>
      <c r="G22">
        <v>1.54</v>
      </c>
      <c r="H22">
        <v>22.8</v>
      </c>
      <c r="I22" t="s">
        <v>90</v>
      </c>
      <c r="J22" s="1">
        <v>44725</v>
      </c>
      <c r="K22" s="1">
        <v>43466</v>
      </c>
      <c r="L22" t="s">
        <v>92</v>
      </c>
      <c r="M22">
        <v>0</v>
      </c>
      <c r="N22" t="s">
        <v>92</v>
      </c>
      <c r="O22">
        <v>5</v>
      </c>
      <c r="P22" t="s">
        <v>91</v>
      </c>
      <c r="Q22">
        <v>2</v>
      </c>
      <c r="R22">
        <v>70.63</v>
      </c>
      <c r="S22">
        <v>7</v>
      </c>
      <c r="T22">
        <v>4</v>
      </c>
      <c r="U22">
        <v>11</v>
      </c>
      <c r="V22" t="s">
        <v>91</v>
      </c>
      <c r="W22">
        <v>15</v>
      </c>
      <c r="X22">
        <v>80</v>
      </c>
      <c r="Y22">
        <v>2</v>
      </c>
      <c r="Z22">
        <v>1</v>
      </c>
      <c r="AA22">
        <v>2</v>
      </c>
      <c r="AB22">
        <v>1</v>
      </c>
      <c r="AC22">
        <v>1</v>
      </c>
      <c r="AD22">
        <v>7</v>
      </c>
      <c r="AE22" t="s">
        <v>91</v>
      </c>
      <c r="AF22" s="3">
        <f t="shared" si="0"/>
        <v>4</v>
      </c>
      <c r="AG22">
        <v>1</v>
      </c>
      <c r="AH22">
        <v>0</v>
      </c>
      <c r="AI22">
        <v>0</v>
      </c>
      <c r="AJ22">
        <v>0</v>
      </c>
      <c r="AK22">
        <v>1</v>
      </c>
      <c r="AL22">
        <v>0.5</v>
      </c>
      <c r="AM22">
        <v>1</v>
      </c>
      <c r="AN22">
        <v>0</v>
      </c>
      <c r="AO22">
        <v>3.5</v>
      </c>
      <c r="AP22">
        <v>73.430000000000007</v>
      </c>
      <c r="AQ22">
        <v>8</v>
      </c>
      <c r="AR22">
        <v>4</v>
      </c>
      <c r="AS22">
        <v>12</v>
      </c>
      <c r="AT22">
        <v>15</v>
      </c>
      <c r="AU22">
        <v>80</v>
      </c>
      <c r="AV22">
        <v>2</v>
      </c>
      <c r="AW22">
        <v>1</v>
      </c>
      <c r="AX22">
        <v>2</v>
      </c>
      <c r="AY22">
        <v>1</v>
      </c>
      <c r="AZ22">
        <v>1</v>
      </c>
      <c r="BA22">
        <v>7</v>
      </c>
      <c r="BB22" s="3">
        <f t="shared" si="1"/>
        <v>4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0.5</v>
      </c>
      <c r="BI22">
        <v>1</v>
      </c>
      <c r="BJ22">
        <v>0</v>
      </c>
      <c r="BK22">
        <v>2.5</v>
      </c>
      <c r="BL22" t="s">
        <v>92</v>
      </c>
      <c r="BM22">
        <v>0</v>
      </c>
      <c r="BN22">
        <v>73.5</v>
      </c>
      <c r="BO22">
        <v>7</v>
      </c>
      <c r="BP22">
        <v>4</v>
      </c>
      <c r="BQ22">
        <v>11</v>
      </c>
      <c r="BR22">
        <v>14</v>
      </c>
      <c r="BS22">
        <v>80</v>
      </c>
      <c r="BT22">
        <v>2</v>
      </c>
      <c r="BU22">
        <v>1</v>
      </c>
      <c r="BV22">
        <v>2</v>
      </c>
      <c r="BW22">
        <v>1</v>
      </c>
      <c r="BX22">
        <v>1</v>
      </c>
      <c r="BY22">
        <v>7</v>
      </c>
      <c r="BZ22" s="3">
        <f t="shared" si="2"/>
        <v>2</v>
      </c>
      <c r="CA22">
        <v>1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</v>
      </c>
      <c r="CH22">
        <v>0</v>
      </c>
      <c r="CI22">
        <v>2</v>
      </c>
      <c r="CJ22" t="s">
        <v>92</v>
      </c>
      <c r="CK22">
        <v>0</v>
      </c>
    </row>
    <row r="23" spans="1:89" x14ac:dyDescent="0.3">
      <c r="A23">
        <v>22</v>
      </c>
      <c r="B23" t="s">
        <v>99</v>
      </c>
      <c r="C23">
        <v>65</v>
      </c>
      <c r="D23" t="s">
        <v>88</v>
      </c>
      <c r="E23" t="s">
        <v>98</v>
      </c>
      <c r="F23">
        <v>75</v>
      </c>
      <c r="G23">
        <v>1.7</v>
      </c>
      <c r="H23">
        <v>26</v>
      </c>
      <c r="I23" t="s">
        <v>94</v>
      </c>
      <c r="J23" s="1">
        <v>44734</v>
      </c>
      <c r="K23" s="1">
        <v>41640</v>
      </c>
      <c r="L23" t="s">
        <v>91</v>
      </c>
      <c r="M23">
        <v>2</v>
      </c>
      <c r="N23" t="s">
        <v>91</v>
      </c>
      <c r="O23">
        <v>7</v>
      </c>
      <c r="P23" t="s">
        <v>91</v>
      </c>
      <c r="Q23">
        <v>1</v>
      </c>
      <c r="R23">
        <v>48.75</v>
      </c>
      <c r="S23">
        <v>7</v>
      </c>
      <c r="T23">
        <v>2</v>
      </c>
      <c r="U23">
        <v>9</v>
      </c>
      <c r="V23" t="s">
        <v>91</v>
      </c>
      <c r="W23">
        <v>6</v>
      </c>
      <c r="X23">
        <v>80</v>
      </c>
      <c r="Y23">
        <v>3</v>
      </c>
      <c r="Z23">
        <v>2</v>
      </c>
      <c r="AA23">
        <v>3</v>
      </c>
      <c r="AB23">
        <v>2</v>
      </c>
      <c r="AC23">
        <v>1</v>
      </c>
      <c r="AD23">
        <v>11</v>
      </c>
      <c r="AE23" t="s">
        <v>91</v>
      </c>
      <c r="AF23" s="3">
        <f t="shared" si="0"/>
        <v>4</v>
      </c>
      <c r="AG23">
        <v>3</v>
      </c>
      <c r="AH23">
        <v>2</v>
      </c>
      <c r="AI23">
        <v>0</v>
      </c>
      <c r="AJ23">
        <v>0</v>
      </c>
      <c r="AK23">
        <v>0.5</v>
      </c>
      <c r="AL23">
        <v>1</v>
      </c>
      <c r="AM23">
        <v>1</v>
      </c>
      <c r="AN23">
        <v>0.5</v>
      </c>
      <c r="AO23">
        <v>8</v>
      </c>
      <c r="AP23">
        <v>48.75</v>
      </c>
      <c r="AQ23">
        <v>9</v>
      </c>
      <c r="AR23">
        <v>3</v>
      </c>
      <c r="AS23">
        <v>12</v>
      </c>
      <c r="AT23">
        <v>6</v>
      </c>
      <c r="AU23">
        <v>80</v>
      </c>
      <c r="AV23">
        <v>3</v>
      </c>
      <c r="AW23">
        <v>2</v>
      </c>
      <c r="AX23">
        <v>3</v>
      </c>
      <c r="AY23">
        <v>2</v>
      </c>
      <c r="AZ23">
        <v>1</v>
      </c>
      <c r="BA23">
        <v>11</v>
      </c>
      <c r="BB23" s="3">
        <f t="shared" si="1"/>
        <v>2</v>
      </c>
      <c r="BC23">
        <v>3</v>
      </c>
      <c r="BD23">
        <v>2</v>
      </c>
      <c r="BE23">
        <v>0</v>
      </c>
      <c r="BF23">
        <v>0</v>
      </c>
      <c r="BG23">
        <v>0.5</v>
      </c>
      <c r="BH23">
        <v>1.5</v>
      </c>
      <c r="BI23">
        <v>2</v>
      </c>
      <c r="BJ23">
        <v>0.5</v>
      </c>
      <c r="BK23">
        <v>9.5</v>
      </c>
      <c r="BL23" t="s">
        <v>91</v>
      </c>
      <c r="BM23">
        <v>2</v>
      </c>
      <c r="BN23">
        <v>48.75</v>
      </c>
      <c r="BO23">
        <v>9</v>
      </c>
      <c r="BP23">
        <v>3</v>
      </c>
      <c r="BQ23">
        <v>12</v>
      </c>
      <c r="BR23">
        <v>6</v>
      </c>
      <c r="BS23">
        <v>80</v>
      </c>
      <c r="BT23">
        <v>3</v>
      </c>
      <c r="BU23">
        <v>2</v>
      </c>
      <c r="BV23">
        <v>3</v>
      </c>
      <c r="BW23">
        <v>2</v>
      </c>
      <c r="BX23">
        <v>1</v>
      </c>
      <c r="BY23">
        <v>11</v>
      </c>
      <c r="BZ23" s="3">
        <f t="shared" si="2"/>
        <v>1.3333333333333333</v>
      </c>
      <c r="CA23">
        <v>3</v>
      </c>
      <c r="CB23">
        <v>1</v>
      </c>
      <c r="CC23">
        <v>0</v>
      </c>
      <c r="CD23">
        <v>0</v>
      </c>
      <c r="CE23">
        <v>0.5</v>
      </c>
      <c r="CF23">
        <v>1</v>
      </c>
      <c r="CG23">
        <v>1</v>
      </c>
      <c r="CH23">
        <v>0.5</v>
      </c>
      <c r="CI23">
        <v>7</v>
      </c>
      <c r="CJ23" t="s">
        <v>91</v>
      </c>
      <c r="CK23">
        <v>2</v>
      </c>
    </row>
    <row r="24" spans="1:89" x14ac:dyDescent="0.3">
      <c r="A24">
        <v>23</v>
      </c>
      <c r="B24" t="s">
        <v>99</v>
      </c>
      <c r="C24">
        <v>64</v>
      </c>
      <c r="D24" t="s">
        <v>97</v>
      </c>
      <c r="E24" t="s">
        <v>100</v>
      </c>
      <c r="F24">
        <v>62</v>
      </c>
      <c r="G24">
        <v>1.67</v>
      </c>
      <c r="H24">
        <v>22.2</v>
      </c>
      <c r="I24" t="s">
        <v>90</v>
      </c>
      <c r="J24" s="1">
        <v>44741</v>
      </c>
      <c r="K24" s="1">
        <v>41640</v>
      </c>
      <c r="L24" t="s">
        <v>91</v>
      </c>
      <c r="M24">
        <v>2</v>
      </c>
      <c r="N24" t="s">
        <v>91</v>
      </c>
      <c r="O24">
        <v>5</v>
      </c>
      <c r="P24" t="s">
        <v>91</v>
      </c>
      <c r="Q24">
        <v>3</v>
      </c>
      <c r="R24">
        <v>76.25</v>
      </c>
      <c r="S24">
        <v>5</v>
      </c>
      <c r="T24">
        <v>4</v>
      </c>
      <c r="U24">
        <v>9</v>
      </c>
      <c r="V24" t="s">
        <v>91</v>
      </c>
      <c r="W24">
        <v>11</v>
      </c>
      <c r="X24">
        <v>85</v>
      </c>
      <c r="Y24">
        <v>2</v>
      </c>
      <c r="Z24">
        <v>1</v>
      </c>
      <c r="AA24">
        <v>1</v>
      </c>
      <c r="AB24">
        <v>2</v>
      </c>
      <c r="AC24">
        <v>1</v>
      </c>
      <c r="AD24">
        <v>7</v>
      </c>
      <c r="AE24" t="s">
        <v>91</v>
      </c>
      <c r="AF24" s="3">
        <f t="shared" si="0"/>
        <v>4</v>
      </c>
      <c r="AG24">
        <v>2</v>
      </c>
      <c r="AH24">
        <v>1</v>
      </c>
      <c r="AI24">
        <v>0</v>
      </c>
      <c r="AJ24">
        <v>3</v>
      </c>
      <c r="AK24">
        <v>0.5</v>
      </c>
      <c r="AL24">
        <v>1</v>
      </c>
      <c r="AM24">
        <v>0</v>
      </c>
      <c r="AN24">
        <v>0.5</v>
      </c>
      <c r="AO24">
        <v>8</v>
      </c>
      <c r="AP24">
        <v>76.25</v>
      </c>
      <c r="AQ24">
        <v>7</v>
      </c>
      <c r="AR24">
        <v>3</v>
      </c>
      <c r="AS24">
        <v>10</v>
      </c>
      <c r="AT24">
        <v>14</v>
      </c>
      <c r="AU24">
        <v>85</v>
      </c>
      <c r="AV24">
        <v>2</v>
      </c>
      <c r="AW24">
        <v>1</v>
      </c>
      <c r="AX24">
        <v>1</v>
      </c>
      <c r="AY24">
        <v>2</v>
      </c>
      <c r="AZ24">
        <v>1</v>
      </c>
      <c r="BA24">
        <v>7</v>
      </c>
      <c r="BB24" s="3">
        <f t="shared" si="1"/>
        <v>2</v>
      </c>
      <c r="BC24">
        <v>2</v>
      </c>
      <c r="BD24">
        <v>1</v>
      </c>
      <c r="BE24">
        <v>0</v>
      </c>
      <c r="BF24">
        <v>3</v>
      </c>
      <c r="BG24">
        <v>1</v>
      </c>
      <c r="BH24">
        <v>2</v>
      </c>
      <c r="BI24">
        <v>1</v>
      </c>
      <c r="BJ24">
        <v>0.5</v>
      </c>
      <c r="BK24">
        <v>10.5</v>
      </c>
      <c r="BL24" t="s">
        <v>91</v>
      </c>
      <c r="BM24">
        <v>1</v>
      </c>
      <c r="BN24">
        <v>76.25</v>
      </c>
      <c r="BO24">
        <v>8</v>
      </c>
      <c r="BP24">
        <v>5</v>
      </c>
      <c r="BQ24">
        <v>13</v>
      </c>
      <c r="BR24">
        <v>11</v>
      </c>
      <c r="BS24">
        <v>70</v>
      </c>
      <c r="BT24">
        <v>2</v>
      </c>
      <c r="BU24">
        <v>1</v>
      </c>
      <c r="BV24">
        <v>3</v>
      </c>
      <c r="BW24">
        <v>3</v>
      </c>
      <c r="BX24">
        <v>2</v>
      </c>
      <c r="BY24">
        <v>11</v>
      </c>
      <c r="BZ24" s="3">
        <f t="shared" si="2"/>
        <v>1.3333333333333333</v>
      </c>
      <c r="CA24">
        <v>2</v>
      </c>
      <c r="CB24">
        <v>1</v>
      </c>
      <c r="CC24">
        <v>0</v>
      </c>
      <c r="CD24">
        <v>3</v>
      </c>
      <c r="CE24">
        <v>0.5</v>
      </c>
      <c r="CF24">
        <v>1</v>
      </c>
      <c r="CG24">
        <v>1</v>
      </c>
      <c r="CH24">
        <v>1</v>
      </c>
      <c r="CI24">
        <v>9.5</v>
      </c>
      <c r="CJ24" t="s">
        <v>92</v>
      </c>
      <c r="CK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carle</dc:creator>
  <cp:lastModifiedBy>carle</cp:lastModifiedBy>
  <dcterms:created xsi:type="dcterms:W3CDTF">2023-05-09T08:53:32Z</dcterms:created>
  <dcterms:modified xsi:type="dcterms:W3CDTF">2023-05-16T09:58:01Z</dcterms:modified>
</cp:coreProperties>
</file>