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leep_Project\Articles\Study_1\f1000research\"/>
    </mc:Choice>
  </mc:AlternateContent>
  <xr:revisionPtr revIDLastSave="0" documentId="8_{1B49BE3E-6221-425B-9FCF-098F161401C0}" xr6:coauthVersionLast="47" xr6:coauthVersionMax="47" xr10:uidLastSave="{00000000-0000-0000-0000-000000000000}"/>
  <bookViews>
    <workbookView xWindow="-28920" yWindow="-3015" windowWidth="29040" windowHeight="16440" activeTab="15" xr2:uid="{3A782A02-5BD0-48E3-931A-D51C80C77987}"/>
  </bookViews>
  <sheets>
    <sheet name="Participants" sheetId="6" r:id="rId1"/>
    <sheet name="Actigraphy_data" sheetId="3" r:id="rId2"/>
    <sheet name="Hooper_st" sheetId="2" r:id="rId3"/>
    <sheet name="Hooper_sl" sheetId="9" r:id="rId4"/>
    <sheet name="Hooper_ms" sheetId="10" r:id="rId5"/>
    <sheet name="Hooper_ft" sheetId="11" r:id="rId6"/>
    <sheet name="Hooper_hs" sheetId="8" r:id="rId7"/>
    <sheet name="BRUMS" sheetId="4" r:id="rId8"/>
    <sheet name="ANG" sheetId="7" r:id="rId9"/>
    <sheet name="TS" sheetId="13" r:id="rId10"/>
    <sheet name="DEP" sheetId="20" r:id="rId11"/>
    <sheet name="VIG" sheetId="14" r:id="rId12"/>
    <sheet name="FAT" sheetId="16" r:id="rId13"/>
    <sheet name="CONF" sheetId="17" r:id="rId14"/>
    <sheet name="HP" sheetId="18" r:id="rId15"/>
    <sheet name="CALM" sheetId="19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A26" i="4" l="1"/>
  <c r="C3" i="8"/>
  <c r="D3" i="8"/>
  <c r="C4" i="8"/>
  <c r="D4" i="8"/>
  <c r="C5" i="8"/>
  <c r="D5" i="8"/>
  <c r="C6" i="8"/>
  <c r="D6" i="8"/>
  <c r="C7" i="8"/>
  <c r="D7" i="8"/>
  <c r="C8" i="8"/>
  <c r="D8" i="8"/>
  <c r="C9" i="8"/>
  <c r="D9" i="8"/>
  <c r="C10" i="8"/>
  <c r="D10" i="8"/>
  <c r="C11" i="8"/>
  <c r="D11" i="8"/>
  <c r="C12" i="8"/>
  <c r="D12" i="8"/>
  <c r="C13" i="8"/>
  <c r="D13" i="8"/>
  <c r="C14" i="8"/>
  <c r="D14" i="8"/>
  <c r="C15" i="8"/>
  <c r="D15" i="8"/>
  <c r="C16" i="8"/>
  <c r="D16" i="8"/>
  <c r="C17" i="8"/>
  <c r="D17" i="8"/>
  <c r="C18" i="8"/>
  <c r="D18" i="8"/>
  <c r="C19" i="8"/>
  <c r="D19" i="8"/>
  <c r="C20" i="8"/>
  <c r="D20" i="8"/>
  <c r="C21" i="8"/>
  <c r="D21" i="8"/>
  <c r="C22" i="8"/>
  <c r="D22" i="8"/>
  <c r="C23" i="8"/>
  <c r="D23" i="8"/>
  <c r="C24" i="8"/>
  <c r="D24" i="8"/>
  <c r="C25" i="8"/>
  <c r="D25" i="8"/>
  <c r="C26" i="8"/>
  <c r="D26" i="8"/>
  <c r="C27" i="8"/>
  <c r="D27" i="8"/>
  <c r="C28" i="8"/>
  <c r="D28" i="8"/>
  <c r="C29" i="8"/>
  <c r="D29" i="8"/>
  <c r="C30" i="8"/>
  <c r="D30" i="8"/>
  <c r="C31" i="8"/>
  <c r="D31" i="8"/>
  <c r="C32" i="8"/>
  <c r="D32" i="8"/>
  <c r="C33" i="8"/>
  <c r="D33" i="8"/>
  <c r="C34" i="8"/>
  <c r="D34" i="8"/>
  <c r="C35" i="8"/>
  <c r="D35" i="8"/>
  <c r="C36" i="8"/>
  <c r="D36" i="8"/>
  <c r="C37" i="8"/>
  <c r="D37" i="8"/>
  <c r="C38" i="8"/>
  <c r="D38" i="8"/>
  <c r="D2" i="8"/>
  <c r="C2" i="8"/>
  <c r="E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E4" i="11"/>
  <c r="E3" i="11"/>
  <c r="E2" i="11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E2" i="10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2" i="2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2" i="6"/>
  <c r="CF24" i="4"/>
  <c r="CE29" i="4"/>
  <c r="CF29" i="4"/>
  <c r="CG29" i="4"/>
  <c r="CH29" i="4"/>
  <c r="AI20" i="4"/>
  <c r="AJ20" i="4"/>
  <c r="AK20" i="4"/>
  <c r="AL20" i="4"/>
  <c r="AM20" i="4"/>
  <c r="AN20" i="4"/>
  <c r="AO20" i="4"/>
  <c r="AP20" i="4"/>
  <c r="CA20" i="4"/>
  <c r="CB20" i="4"/>
  <c r="CC20" i="4"/>
  <c r="CD20" i="4"/>
  <c r="CE20" i="4"/>
  <c r="CF20" i="4"/>
  <c r="CG20" i="4"/>
  <c r="CH20" i="4"/>
  <c r="CH38" i="4"/>
  <c r="CG38" i="4"/>
  <c r="CF38" i="4"/>
  <c r="CE38" i="4"/>
  <c r="CD38" i="4"/>
  <c r="CC38" i="4"/>
  <c r="CB38" i="4"/>
  <c r="CA38" i="4"/>
  <c r="CH37" i="4"/>
  <c r="CG37" i="4"/>
  <c r="CF37" i="4"/>
  <c r="CE37" i="4"/>
  <c r="CD37" i="4"/>
  <c r="CC37" i="4"/>
  <c r="CB37" i="4"/>
  <c r="CA37" i="4"/>
  <c r="CH36" i="4"/>
  <c r="CG36" i="4"/>
  <c r="CF36" i="4"/>
  <c r="CE36" i="4"/>
  <c r="CD36" i="4"/>
  <c r="CC36" i="4"/>
  <c r="CB36" i="4"/>
  <c r="CA36" i="4"/>
  <c r="CH35" i="4"/>
  <c r="CG35" i="4"/>
  <c r="CF35" i="4"/>
  <c r="CE35" i="4"/>
  <c r="CD35" i="4"/>
  <c r="CC35" i="4"/>
  <c r="CB35" i="4"/>
  <c r="CA35" i="4"/>
  <c r="CH34" i="4"/>
  <c r="CG34" i="4"/>
  <c r="CF34" i="4"/>
  <c r="CE34" i="4"/>
  <c r="CD34" i="4"/>
  <c r="CC34" i="4"/>
  <c r="CB34" i="4"/>
  <c r="CA34" i="4"/>
  <c r="CH33" i="4"/>
  <c r="CG33" i="4"/>
  <c r="CF33" i="4"/>
  <c r="CE33" i="4"/>
  <c r="CD33" i="4"/>
  <c r="CC33" i="4"/>
  <c r="CB33" i="4"/>
  <c r="CA33" i="4"/>
  <c r="CH32" i="4"/>
  <c r="CG32" i="4"/>
  <c r="CF32" i="4"/>
  <c r="CE32" i="4"/>
  <c r="CD32" i="4"/>
  <c r="CC32" i="4"/>
  <c r="CB32" i="4"/>
  <c r="CA32" i="4"/>
  <c r="CH31" i="4"/>
  <c r="CG31" i="4"/>
  <c r="CF31" i="4"/>
  <c r="CE31" i="4"/>
  <c r="CD31" i="4"/>
  <c r="CC31" i="4"/>
  <c r="CB31" i="4"/>
  <c r="CA31" i="4"/>
  <c r="CH30" i="4"/>
  <c r="CG30" i="4"/>
  <c r="CF30" i="4"/>
  <c r="CE30" i="4"/>
  <c r="CD30" i="4"/>
  <c r="CC30" i="4"/>
  <c r="CB30" i="4"/>
  <c r="CA30" i="4"/>
  <c r="CD29" i="4"/>
  <c r="CC29" i="4"/>
  <c r="CB29" i="4"/>
  <c r="CA29" i="4"/>
  <c r="CH28" i="4"/>
  <c r="CG28" i="4"/>
  <c r="CF28" i="4"/>
  <c r="CE28" i="4"/>
  <c r="CD28" i="4"/>
  <c r="CC28" i="4"/>
  <c r="CB28" i="4"/>
  <c r="CA28" i="4"/>
  <c r="CH27" i="4"/>
  <c r="CG27" i="4"/>
  <c r="CF27" i="4"/>
  <c r="CE27" i="4"/>
  <c r="CD27" i="4"/>
  <c r="CC27" i="4"/>
  <c r="CB27" i="4"/>
  <c r="CA27" i="4"/>
  <c r="CH26" i="4"/>
  <c r="CG26" i="4"/>
  <c r="CF26" i="4"/>
  <c r="CE26" i="4"/>
  <c r="CD26" i="4"/>
  <c r="CC26" i="4"/>
  <c r="CB26" i="4"/>
  <c r="CH25" i="4"/>
  <c r="CG25" i="4"/>
  <c r="CF25" i="4"/>
  <c r="CE25" i="4"/>
  <c r="CD25" i="4"/>
  <c r="CC25" i="4"/>
  <c r="CB25" i="4"/>
  <c r="CA25" i="4"/>
  <c r="CH24" i="4"/>
  <c r="CG24" i="4"/>
  <c r="CE24" i="4"/>
  <c r="CD24" i="4"/>
  <c r="CC24" i="4"/>
  <c r="CB24" i="4"/>
  <c r="CA24" i="4"/>
  <c r="CH23" i="4"/>
  <c r="CG23" i="4"/>
  <c r="CF23" i="4"/>
  <c r="CE23" i="4"/>
  <c r="CD23" i="4"/>
  <c r="CC23" i="4"/>
  <c r="CB23" i="4"/>
  <c r="CA23" i="4"/>
  <c r="CH22" i="4"/>
  <c r="CG22" i="4"/>
  <c r="CF22" i="4"/>
  <c r="CE22" i="4"/>
  <c r="CD22" i="4"/>
  <c r="CC22" i="4"/>
  <c r="CB22" i="4"/>
  <c r="CA22" i="4"/>
  <c r="CH21" i="4"/>
  <c r="CG21" i="4"/>
  <c r="CF21" i="4"/>
  <c r="CE21" i="4"/>
  <c r="CD21" i="4"/>
  <c r="CC21" i="4"/>
  <c r="CB21" i="4"/>
  <c r="CA21" i="4"/>
  <c r="CH19" i="4"/>
  <c r="CG19" i="4"/>
  <c r="CF19" i="4"/>
  <c r="CE19" i="4"/>
  <c r="CD19" i="4"/>
  <c r="CC19" i="4"/>
  <c r="CB19" i="4"/>
  <c r="CA19" i="4"/>
  <c r="CH18" i="4"/>
  <c r="CG18" i="4"/>
  <c r="CF18" i="4"/>
  <c r="CE18" i="4"/>
  <c r="CD18" i="4"/>
  <c r="CC18" i="4"/>
  <c r="CB18" i="4"/>
  <c r="CA18" i="4"/>
  <c r="CH17" i="4"/>
  <c r="CG17" i="4"/>
  <c r="CF17" i="4"/>
  <c r="CE17" i="4"/>
  <c r="CD17" i="4"/>
  <c r="CC17" i="4"/>
  <c r="CB17" i="4"/>
  <c r="CA17" i="4"/>
  <c r="CH16" i="4"/>
  <c r="CG16" i="4"/>
  <c r="CF16" i="4"/>
  <c r="CE16" i="4"/>
  <c r="CD16" i="4"/>
  <c r="CC16" i="4"/>
  <c r="CB16" i="4"/>
  <c r="CA16" i="4"/>
  <c r="CH15" i="4"/>
  <c r="CG15" i="4"/>
  <c r="CF15" i="4"/>
  <c r="CE15" i="4"/>
  <c r="CD15" i="4"/>
  <c r="CC15" i="4"/>
  <c r="CB15" i="4"/>
  <c r="CA15" i="4"/>
  <c r="CH14" i="4"/>
  <c r="CG14" i="4"/>
  <c r="CF14" i="4"/>
  <c r="CE14" i="4"/>
  <c r="CD14" i="4"/>
  <c r="CC14" i="4"/>
  <c r="CB14" i="4"/>
  <c r="CA14" i="4"/>
  <c r="CH13" i="4"/>
  <c r="CG13" i="4"/>
  <c r="CF13" i="4"/>
  <c r="CE13" i="4"/>
  <c r="CD13" i="4"/>
  <c r="CC13" i="4"/>
  <c r="CB13" i="4"/>
  <c r="CA13" i="4"/>
  <c r="CH12" i="4"/>
  <c r="CG12" i="4"/>
  <c r="CF12" i="4"/>
  <c r="CE12" i="4"/>
  <c r="CD12" i="4"/>
  <c r="CC12" i="4"/>
  <c r="CB12" i="4"/>
  <c r="CA12" i="4"/>
  <c r="CH11" i="4"/>
  <c r="CG11" i="4"/>
  <c r="CF11" i="4"/>
  <c r="CE11" i="4"/>
  <c r="CD11" i="4"/>
  <c r="CC11" i="4"/>
  <c r="CB11" i="4"/>
  <c r="CA11" i="4"/>
  <c r="CH10" i="4"/>
  <c r="CG10" i="4"/>
  <c r="CF10" i="4"/>
  <c r="CE10" i="4"/>
  <c r="CD10" i="4"/>
  <c r="CC10" i="4"/>
  <c r="CB10" i="4"/>
  <c r="CA10" i="4"/>
  <c r="CH9" i="4"/>
  <c r="CG9" i="4"/>
  <c r="CF9" i="4"/>
  <c r="CE9" i="4"/>
  <c r="CD9" i="4"/>
  <c r="CC9" i="4"/>
  <c r="CB9" i="4"/>
  <c r="CA9" i="4"/>
  <c r="CH8" i="4"/>
  <c r="CG8" i="4"/>
  <c r="CF8" i="4"/>
  <c r="CE8" i="4"/>
  <c r="CD8" i="4"/>
  <c r="CC8" i="4"/>
  <c r="CB8" i="4"/>
  <c r="CA8" i="4"/>
  <c r="CH7" i="4"/>
  <c r="CG7" i="4"/>
  <c r="CF7" i="4"/>
  <c r="CE7" i="4"/>
  <c r="CD7" i="4"/>
  <c r="CC7" i="4"/>
  <c r="CB7" i="4"/>
  <c r="CA7" i="4"/>
  <c r="CH6" i="4"/>
  <c r="CG6" i="4"/>
  <c r="CF6" i="4"/>
  <c r="CE6" i="4"/>
  <c r="CD6" i="4"/>
  <c r="CC6" i="4"/>
  <c r="CB6" i="4"/>
  <c r="CA6" i="4"/>
  <c r="CH5" i="4"/>
  <c r="CG5" i="4"/>
  <c r="CF5" i="4"/>
  <c r="CE5" i="4"/>
  <c r="CD5" i="4"/>
  <c r="CC5" i="4"/>
  <c r="CB5" i="4"/>
  <c r="CA5" i="4"/>
  <c r="CH4" i="4"/>
  <c r="CG4" i="4"/>
  <c r="CF4" i="4"/>
  <c r="CE4" i="4"/>
  <c r="CD4" i="4"/>
  <c r="CC4" i="4"/>
  <c r="CB4" i="4"/>
  <c r="CA4" i="4"/>
  <c r="CH3" i="4"/>
  <c r="CG3" i="4"/>
  <c r="CF3" i="4"/>
  <c r="CE3" i="4"/>
  <c r="CD3" i="4"/>
  <c r="CC3" i="4"/>
  <c r="CB3" i="4"/>
  <c r="CA3" i="4"/>
  <c r="CH2" i="4"/>
  <c r="CG2" i="4"/>
  <c r="CF2" i="4"/>
  <c r="CE2" i="4"/>
  <c r="CD2" i="4"/>
  <c r="CC2" i="4"/>
  <c r="CB2" i="4"/>
  <c r="CA2" i="4"/>
  <c r="AI36" i="4"/>
  <c r="AJ36" i="4"/>
  <c r="AK36" i="4"/>
  <c r="AL36" i="4"/>
  <c r="AM36" i="4"/>
  <c r="AN36" i="4"/>
  <c r="AO36" i="4"/>
  <c r="AP36" i="4"/>
  <c r="AI37" i="4"/>
  <c r="AJ37" i="4"/>
  <c r="AK37" i="4"/>
  <c r="AL37" i="4"/>
  <c r="AM37" i="4"/>
  <c r="AN37" i="4"/>
  <c r="AO37" i="4"/>
  <c r="AP37" i="4"/>
  <c r="AI38" i="4"/>
  <c r="AJ38" i="4"/>
  <c r="AK38" i="4"/>
  <c r="AL38" i="4"/>
  <c r="AM38" i="4"/>
  <c r="AN38" i="4"/>
  <c r="AO38" i="4"/>
  <c r="AP38" i="4"/>
  <c r="AI3" i="4"/>
  <c r="AJ3" i="4"/>
  <c r="AK3" i="4"/>
  <c r="AL3" i="4"/>
  <c r="AM3" i="4"/>
  <c r="AN3" i="4"/>
  <c r="AO3" i="4"/>
  <c r="AP3" i="4"/>
  <c r="AI4" i="4"/>
  <c r="AJ4" i="4"/>
  <c r="AK4" i="4"/>
  <c r="AL4" i="4"/>
  <c r="AM4" i="4"/>
  <c r="AN4" i="4"/>
  <c r="AO4" i="4"/>
  <c r="AP4" i="4"/>
  <c r="AI5" i="4"/>
  <c r="AJ5" i="4"/>
  <c r="AK5" i="4"/>
  <c r="AL5" i="4"/>
  <c r="AM5" i="4"/>
  <c r="AN5" i="4"/>
  <c r="AO5" i="4"/>
  <c r="AP5" i="4"/>
  <c r="AI6" i="4"/>
  <c r="AJ6" i="4"/>
  <c r="AK6" i="4"/>
  <c r="AL6" i="4"/>
  <c r="AM6" i="4"/>
  <c r="AN6" i="4"/>
  <c r="AO6" i="4"/>
  <c r="AP6" i="4"/>
  <c r="AI7" i="4"/>
  <c r="AJ7" i="4"/>
  <c r="AK7" i="4"/>
  <c r="AL7" i="4"/>
  <c r="AM7" i="4"/>
  <c r="AN7" i="4"/>
  <c r="AO7" i="4"/>
  <c r="AP7" i="4"/>
  <c r="AI8" i="4"/>
  <c r="AJ8" i="4"/>
  <c r="AK8" i="4"/>
  <c r="AL8" i="4"/>
  <c r="AM8" i="4"/>
  <c r="AN8" i="4"/>
  <c r="AO8" i="4"/>
  <c r="AP8" i="4"/>
  <c r="AI9" i="4"/>
  <c r="AJ9" i="4"/>
  <c r="AK9" i="4"/>
  <c r="AL9" i="4"/>
  <c r="AM9" i="4"/>
  <c r="AN9" i="4"/>
  <c r="AO9" i="4"/>
  <c r="AP9" i="4"/>
  <c r="AI10" i="4"/>
  <c r="AJ10" i="4"/>
  <c r="AK10" i="4"/>
  <c r="AL10" i="4"/>
  <c r="AM10" i="4"/>
  <c r="AN10" i="4"/>
  <c r="AO10" i="4"/>
  <c r="AP10" i="4"/>
  <c r="AI11" i="4"/>
  <c r="AJ11" i="4"/>
  <c r="AK11" i="4"/>
  <c r="AL11" i="4"/>
  <c r="AM11" i="4"/>
  <c r="AN11" i="4"/>
  <c r="AO11" i="4"/>
  <c r="AP11" i="4"/>
  <c r="AI12" i="4"/>
  <c r="AJ12" i="4"/>
  <c r="AK12" i="4"/>
  <c r="AL12" i="4"/>
  <c r="AM12" i="4"/>
  <c r="AN12" i="4"/>
  <c r="AO12" i="4"/>
  <c r="AP12" i="4"/>
  <c r="AI13" i="4"/>
  <c r="AJ13" i="4"/>
  <c r="AK13" i="4"/>
  <c r="AL13" i="4"/>
  <c r="AM13" i="4"/>
  <c r="AN13" i="4"/>
  <c r="AO13" i="4"/>
  <c r="AP13" i="4"/>
  <c r="AI14" i="4"/>
  <c r="AJ14" i="4"/>
  <c r="AK14" i="4"/>
  <c r="AL14" i="4"/>
  <c r="AM14" i="4"/>
  <c r="AN14" i="4"/>
  <c r="AO14" i="4"/>
  <c r="AP14" i="4"/>
  <c r="AI15" i="4"/>
  <c r="AJ15" i="4"/>
  <c r="AK15" i="4"/>
  <c r="AL15" i="4"/>
  <c r="AM15" i="4"/>
  <c r="AN15" i="4"/>
  <c r="AO15" i="4"/>
  <c r="AP15" i="4"/>
  <c r="AI16" i="4"/>
  <c r="AJ16" i="4"/>
  <c r="AK16" i="4"/>
  <c r="AL16" i="4"/>
  <c r="AM16" i="4"/>
  <c r="AN16" i="4"/>
  <c r="AO16" i="4"/>
  <c r="AP16" i="4"/>
  <c r="AI17" i="4"/>
  <c r="AJ17" i="4"/>
  <c r="AK17" i="4"/>
  <c r="AL17" i="4"/>
  <c r="AM17" i="4"/>
  <c r="AN17" i="4"/>
  <c r="AO17" i="4"/>
  <c r="AP17" i="4"/>
  <c r="AI18" i="4"/>
  <c r="AJ18" i="4"/>
  <c r="AK18" i="4"/>
  <c r="AL18" i="4"/>
  <c r="AM18" i="4"/>
  <c r="AN18" i="4"/>
  <c r="AO18" i="4"/>
  <c r="AP18" i="4"/>
  <c r="AI19" i="4"/>
  <c r="AJ19" i="4"/>
  <c r="AK19" i="4"/>
  <c r="AL19" i="4"/>
  <c r="AM19" i="4"/>
  <c r="AN19" i="4"/>
  <c r="AO19" i="4"/>
  <c r="AP19" i="4"/>
  <c r="AI21" i="4"/>
  <c r="AJ21" i="4"/>
  <c r="AK21" i="4"/>
  <c r="AL21" i="4"/>
  <c r="AM21" i="4"/>
  <c r="AN21" i="4"/>
  <c r="AO21" i="4"/>
  <c r="AP21" i="4"/>
  <c r="AI22" i="4"/>
  <c r="AJ22" i="4"/>
  <c r="AK22" i="4"/>
  <c r="AL22" i="4"/>
  <c r="AM22" i="4"/>
  <c r="AN22" i="4"/>
  <c r="AO22" i="4"/>
  <c r="AP22" i="4"/>
  <c r="AI23" i="4"/>
  <c r="AJ23" i="4"/>
  <c r="AK23" i="4"/>
  <c r="AL23" i="4"/>
  <c r="AM23" i="4"/>
  <c r="AN23" i="4"/>
  <c r="AO23" i="4"/>
  <c r="AP23" i="4"/>
  <c r="AI24" i="4"/>
  <c r="AJ24" i="4"/>
  <c r="AK24" i="4"/>
  <c r="AL24" i="4"/>
  <c r="AM24" i="4"/>
  <c r="AN24" i="4"/>
  <c r="AO24" i="4"/>
  <c r="AP24" i="4"/>
  <c r="AI25" i="4"/>
  <c r="AJ25" i="4"/>
  <c r="AK25" i="4"/>
  <c r="AL25" i="4"/>
  <c r="AM25" i="4"/>
  <c r="AN25" i="4"/>
  <c r="AO25" i="4"/>
  <c r="AP25" i="4"/>
  <c r="AI26" i="4"/>
  <c r="AJ26" i="4"/>
  <c r="AK26" i="4"/>
  <c r="AL26" i="4"/>
  <c r="AM26" i="4"/>
  <c r="AN26" i="4"/>
  <c r="AO26" i="4"/>
  <c r="AP26" i="4"/>
  <c r="AI27" i="4"/>
  <c r="AJ27" i="4"/>
  <c r="AK27" i="4"/>
  <c r="AL27" i="4"/>
  <c r="AM27" i="4"/>
  <c r="AN27" i="4"/>
  <c r="AO27" i="4"/>
  <c r="AP27" i="4"/>
  <c r="AI28" i="4"/>
  <c r="AJ28" i="4"/>
  <c r="AK28" i="4"/>
  <c r="AL28" i="4"/>
  <c r="AM28" i="4"/>
  <c r="AN28" i="4"/>
  <c r="AO28" i="4"/>
  <c r="AP28" i="4"/>
  <c r="AI29" i="4"/>
  <c r="AJ29" i="4"/>
  <c r="AK29" i="4"/>
  <c r="AL29" i="4"/>
  <c r="AM29" i="4"/>
  <c r="AN29" i="4"/>
  <c r="AO29" i="4"/>
  <c r="AP29" i="4"/>
  <c r="AI30" i="4"/>
  <c r="AJ30" i="4"/>
  <c r="AK30" i="4"/>
  <c r="AL30" i="4"/>
  <c r="AM30" i="4"/>
  <c r="AN30" i="4"/>
  <c r="AO30" i="4"/>
  <c r="AP30" i="4"/>
  <c r="AI31" i="4"/>
  <c r="AJ31" i="4"/>
  <c r="AK31" i="4"/>
  <c r="AL31" i="4"/>
  <c r="AM31" i="4"/>
  <c r="AN31" i="4"/>
  <c r="AO31" i="4"/>
  <c r="AP31" i="4"/>
  <c r="AI32" i="4"/>
  <c r="AJ32" i="4"/>
  <c r="AK32" i="4"/>
  <c r="AL32" i="4"/>
  <c r="AM32" i="4"/>
  <c r="AN32" i="4"/>
  <c r="AO32" i="4"/>
  <c r="AP32" i="4"/>
  <c r="AI33" i="4"/>
  <c r="AJ33" i="4"/>
  <c r="AK33" i="4"/>
  <c r="AL33" i="4"/>
  <c r="AM33" i="4"/>
  <c r="AN33" i="4"/>
  <c r="AO33" i="4"/>
  <c r="AP33" i="4"/>
  <c r="AI34" i="4"/>
  <c r="AJ34" i="4"/>
  <c r="AK34" i="4"/>
  <c r="AL34" i="4"/>
  <c r="AM34" i="4"/>
  <c r="AN34" i="4"/>
  <c r="AO34" i="4"/>
  <c r="AP34" i="4"/>
  <c r="AI35" i="4"/>
  <c r="AJ35" i="4"/>
  <c r="AK35" i="4"/>
  <c r="AL35" i="4"/>
  <c r="AM35" i="4"/>
  <c r="AN35" i="4"/>
  <c r="AO35" i="4"/>
  <c r="AP35" i="4"/>
  <c r="AP2" i="4"/>
  <c r="AO2" i="4"/>
  <c r="AN2" i="4"/>
  <c r="AM2" i="4"/>
  <c r="AL2" i="4"/>
  <c r="AK2" i="4"/>
  <c r="AJ2" i="4"/>
  <c r="AI2" i="4"/>
</calcChain>
</file>

<file path=xl/sharedStrings.xml><?xml version="1.0" encoding="utf-8"?>
<sst xmlns="http://schemas.openxmlformats.org/spreadsheetml/2006/main" count="798" uniqueCount="121">
  <si>
    <t>ID</t>
  </si>
  <si>
    <t>CG_1</t>
  </si>
  <si>
    <t>CG_2</t>
  </si>
  <si>
    <t>CG_3</t>
  </si>
  <si>
    <t>CG_4</t>
  </si>
  <si>
    <t>CG_5</t>
  </si>
  <si>
    <t>CG_6</t>
  </si>
  <si>
    <t>CG_7</t>
  </si>
  <si>
    <t>CG_8</t>
  </si>
  <si>
    <t>CG_9</t>
  </si>
  <si>
    <t>CG_10</t>
  </si>
  <si>
    <t>SH_1</t>
  </si>
  <si>
    <t>SH_2</t>
  </si>
  <si>
    <t>SH_3</t>
  </si>
  <si>
    <t>SH_5</t>
  </si>
  <si>
    <t>SH_6</t>
  </si>
  <si>
    <t>SH_7</t>
  </si>
  <si>
    <t>SH_9</t>
  </si>
  <si>
    <t>LEO_1</t>
  </si>
  <si>
    <t>LEO_2</t>
  </si>
  <si>
    <t>LEO_3</t>
  </si>
  <si>
    <t>LEO_4</t>
  </si>
  <si>
    <t>LEO_5</t>
  </si>
  <si>
    <t>LEO_7</t>
  </si>
  <si>
    <t>LEO_8</t>
  </si>
  <si>
    <t>LEO_9</t>
  </si>
  <si>
    <t>LEO_10</t>
  </si>
  <si>
    <t>SLEO_1</t>
  </si>
  <si>
    <t>SLEO_2</t>
  </si>
  <si>
    <t>SLEO_3</t>
  </si>
  <si>
    <t>SLEO_4</t>
  </si>
  <si>
    <t>SLEO_6</t>
  </si>
  <si>
    <t>SLEO_7</t>
  </si>
  <si>
    <t>SLEO_8</t>
  </si>
  <si>
    <t>SLEO_9</t>
  </si>
  <si>
    <t>SLEO_10</t>
  </si>
  <si>
    <t>Age</t>
  </si>
  <si>
    <t>Height</t>
  </si>
  <si>
    <t>Weight</t>
  </si>
  <si>
    <t>CG_11</t>
  </si>
  <si>
    <t>Fatigue</t>
  </si>
  <si>
    <t>In_Bed</t>
  </si>
  <si>
    <t>Out_Bed</t>
  </si>
  <si>
    <t>Latency</t>
  </si>
  <si>
    <t>Efficiency</t>
  </si>
  <si>
    <t>TTB</t>
  </si>
  <si>
    <t>TST</t>
  </si>
  <si>
    <t>WASO</t>
  </si>
  <si>
    <t>N_AW</t>
  </si>
  <si>
    <t xml:space="preserve">AW </t>
  </si>
  <si>
    <t>Anger</t>
  </si>
  <si>
    <t>Tension</t>
  </si>
  <si>
    <t>Depression</t>
  </si>
  <si>
    <t>Vigour</t>
  </si>
  <si>
    <t>Confusion</t>
  </si>
  <si>
    <t>Happy</t>
  </si>
  <si>
    <t>Calmness</t>
  </si>
  <si>
    <t>SH_11</t>
  </si>
  <si>
    <t>Fatigue1</t>
  </si>
  <si>
    <t>CG</t>
  </si>
  <si>
    <t>CG1</t>
  </si>
  <si>
    <t>CG10</t>
  </si>
  <si>
    <t>CG11</t>
  </si>
  <si>
    <t>CG2</t>
  </si>
  <si>
    <t>CG3</t>
  </si>
  <si>
    <t>CG4</t>
  </si>
  <si>
    <t>CG5</t>
  </si>
  <si>
    <t>CG6</t>
  </si>
  <si>
    <t>CG7</t>
  </si>
  <si>
    <t>CG8</t>
  </si>
  <si>
    <t>CG9</t>
  </si>
  <si>
    <t>LEO1</t>
  </si>
  <si>
    <t>LEO10</t>
  </si>
  <si>
    <t>LEO2</t>
  </si>
  <si>
    <t>LEO3</t>
  </si>
  <si>
    <t>LEO4</t>
  </si>
  <si>
    <t>LEO5</t>
  </si>
  <si>
    <t>LEO7</t>
  </si>
  <si>
    <t>LEO8</t>
  </si>
  <si>
    <t>LEO9</t>
  </si>
  <si>
    <t>SH1</t>
  </si>
  <si>
    <t>SH11</t>
  </si>
  <si>
    <t>SH2</t>
  </si>
  <si>
    <t>SH3</t>
  </si>
  <si>
    <t>SH5</t>
  </si>
  <si>
    <t>SH6</t>
  </si>
  <si>
    <t>SH7</t>
  </si>
  <si>
    <t>SH9</t>
  </si>
  <si>
    <t>SL1</t>
  </si>
  <si>
    <t>SL10</t>
  </si>
  <si>
    <t>SL2</t>
  </si>
  <si>
    <t>SL3</t>
  </si>
  <si>
    <t>SL4</t>
  </si>
  <si>
    <t>SL6</t>
  </si>
  <si>
    <t>SL7</t>
  </si>
  <si>
    <t>SL8</t>
  </si>
  <si>
    <t>SL9</t>
  </si>
  <si>
    <t>Grp</t>
  </si>
  <si>
    <t>LEO</t>
  </si>
  <si>
    <t>SH</t>
  </si>
  <si>
    <t>TS</t>
  </si>
  <si>
    <t>Anger1</t>
  </si>
  <si>
    <t>Tension1</t>
  </si>
  <si>
    <t>Depression2</t>
  </si>
  <si>
    <t>Vigour1</t>
  </si>
  <si>
    <t>Confusion1</t>
  </si>
  <si>
    <t>Happy1</t>
  </si>
  <si>
    <t>Calmness1</t>
  </si>
  <si>
    <t>SLEO</t>
  </si>
  <si>
    <t>d</t>
  </si>
  <si>
    <t>Pre</t>
  </si>
  <si>
    <t>Post</t>
  </si>
  <si>
    <t>LEO-G</t>
  </si>
  <si>
    <t>C-G</t>
  </si>
  <si>
    <t>IMC</t>
  </si>
  <si>
    <t>TTH</t>
  </si>
  <si>
    <t>MEQ</t>
  </si>
  <si>
    <t>CSL-G</t>
  </si>
  <si>
    <t>SHE-G</t>
  </si>
  <si>
    <t>Group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</si>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</sst>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indexed="8"/>
      <name val="Calibri"/>
      <family val="2"/>
    </font>
    <font>
      <sz val="8"/>
      <color rgb="FF000000"/>
      <name val="Lucida Console"/>
      <family val="3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2" fillId="0" borderId="0" xfId="0" applyFont="1" applyAlignment="1">
      <alignment horizontal="right" vertical="center"/>
    </xf>
    <xf numFmtId="0" fontId="0" fillId="0" borderId="1" xfId="0" applyBorder="1"/>
    <xf numFmtId="0" fontId="0" fillId="0" borderId="2" xfId="0" applyBorder="1"/>
    <xf numFmtId="1" fontId="0" fillId="0" borderId="0" xfId="0" applyNumberFormat="1"/>
    <xf numFmtId="0" fontId="0" fillId="2" borderId="0" xfId="0" applyFill="1"/>
    <xf numFmtId="0" fontId="0" fillId="2" borderId="2" xfId="0" applyFill="1" applyBorder="1"/>
    <xf numFmtId="2" fontId="0" fillId="0" borderId="0" xfId="0" applyNumberFormat="1"/>
    <xf numFmtId="0" fontId="4" fillId="0" borderId="0" xfId="1" applyFont="1"/>
    <xf numFmtId="2" fontId="4" fillId="0" borderId="0" xfId="1" applyNumberFormat="1" applyFont="1"/>
    <xf numFmtId="0" fontId="4" fillId="0" borderId="3" xfId="1" applyFont="1" applyBorder="1"/>
    <xf numFmtId="2" fontId="4" fillId="0" borderId="3" xfId="1" applyNumberFormat="1" applyFont="1" applyBorder="1"/>
    <xf numFmtId="0" fontId="4" fillId="0" borderId="4" xfId="1" applyFont="1" applyBorder="1"/>
    <xf numFmtId="2" fontId="4" fillId="0" borderId="4" xfId="1" applyNumberFormat="1" applyFont="1" applyBorder="1"/>
    <xf numFmtId="2" fontId="0" fillId="0" borderId="2" xfId="0" applyNumberFormat="1" applyBorder="1"/>
    <xf numFmtId="1" fontId="0" fillId="0" borderId="0" xfId="0" quotePrefix="1" applyNumberFormat="1"/>
    <xf numFmtId="164" fontId="4" fillId="0" borderId="0" xfId="1" applyNumberFormat="1" applyFont="1"/>
    <xf numFmtId="164" fontId="4" fillId="0" borderId="3" xfId="1" applyNumberFormat="1" applyFont="1" applyBorder="1"/>
    <xf numFmtId="164" fontId="4" fillId="0" borderId="4" xfId="1" applyNumberFormat="1" applyFont="1" applyBorder="1"/>
    <xf numFmtId="0" fontId="5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165" fontId="0" fillId="0" borderId="0" xfId="0" applyNumberFormat="1"/>
  </cellXfs>
  <cellStyles count="2">
    <cellStyle name="Normal" xfId="0" builtinId="0"/>
    <cellStyle name="Normal_Actigraphy_data" xfId="1" xr:uid="{B1B81C70-1CE5-4991-A8D2-17B21A80EF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FC8E6-67E9-453F-AA77-E2CBF6BF2BAA}">
  <dimension ref="A1:J38"/>
  <sheetViews>
    <sheetView workbookViewId="0">
      <selection activeCell="D16" sqref="D16"/>
    </sheetView>
  </sheetViews>
  <sheetFormatPr defaultRowHeight="14.4" x14ac:dyDescent="0.3"/>
  <sheetData>
    <row r="1" spans="1:10" x14ac:dyDescent="0.3">
      <c r="B1" t="s">
        <v>0</v>
      </c>
      <c r="C1" t="s">
        <v>97</v>
      </c>
      <c r="D1" t="s">
        <v>36</v>
      </c>
      <c r="E1" t="s">
        <v>37</v>
      </c>
      <c r="F1" t="s">
        <v>38</v>
      </c>
      <c r="G1" t="s">
        <v>100</v>
      </c>
      <c r="H1" t="s">
        <v>115</v>
      </c>
      <c r="I1" t="s">
        <v>114</v>
      </c>
      <c r="J1" t="s">
        <v>116</v>
      </c>
    </row>
    <row r="2" spans="1:10" x14ac:dyDescent="0.3">
      <c r="A2" t="s">
        <v>1</v>
      </c>
      <c r="B2">
        <v>1</v>
      </c>
      <c r="C2" t="s">
        <v>59</v>
      </c>
      <c r="D2">
        <v>24</v>
      </c>
      <c r="E2">
        <v>185</v>
      </c>
      <c r="F2">
        <v>75</v>
      </c>
      <c r="G2">
        <v>5</v>
      </c>
      <c r="H2">
        <v>60</v>
      </c>
      <c r="I2">
        <f>F2/((E2/100)*(E2/100))</f>
        <v>21.913805697589478</v>
      </c>
      <c r="J2">
        <v>42</v>
      </c>
    </row>
    <row r="3" spans="1:10" x14ac:dyDescent="0.3">
      <c r="A3" t="s">
        <v>2</v>
      </c>
      <c r="B3">
        <v>2</v>
      </c>
      <c r="C3" t="s">
        <v>59</v>
      </c>
      <c r="D3">
        <v>25</v>
      </c>
      <c r="E3">
        <v>170</v>
      </c>
      <c r="F3">
        <v>66</v>
      </c>
      <c r="G3">
        <v>4</v>
      </c>
      <c r="H3">
        <v>90</v>
      </c>
      <c r="I3">
        <f t="shared" ref="I3:I38" si="0">F3/((E3/100)*(E3/100))</f>
        <v>22.837370242214536</v>
      </c>
      <c r="J3">
        <v>57</v>
      </c>
    </row>
    <row r="4" spans="1:10" x14ac:dyDescent="0.3">
      <c r="A4" t="s">
        <v>3</v>
      </c>
      <c r="B4">
        <v>3</v>
      </c>
      <c r="C4" t="s">
        <v>59</v>
      </c>
      <c r="D4">
        <v>22</v>
      </c>
      <c r="E4">
        <v>185</v>
      </c>
      <c r="F4">
        <v>65</v>
      </c>
      <c r="G4">
        <v>3</v>
      </c>
      <c r="H4">
        <v>120</v>
      </c>
      <c r="I4">
        <f t="shared" si="0"/>
        <v>18.991964937910883</v>
      </c>
      <c r="J4">
        <v>47</v>
      </c>
    </row>
    <row r="5" spans="1:10" x14ac:dyDescent="0.3">
      <c r="A5" t="s">
        <v>4</v>
      </c>
      <c r="B5">
        <v>4</v>
      </c>
      <c r="C5" t="s">
        <v>59</v>
      </c>
      <c r="D5">
        <v>21</v>
      </c>
      <c r="E5">
        <v>173</v>
      </c>
      <c r="F5">
        <v>67</v>
      </c>
      <c r="G5">
        <v>4</v>
      </c>
      <c r="H5">
        <v>60</v>
      </c>
      <c r="I5">
        <f t="shared" si="0"/>
        <v>22.386314277122523</v>
      </c>
      <c r="J5">
        <v>58</v>
      </c>
    </row>
    <row r="6" spans="1:10" x14ac:dyDescent="0.3">
      <c r="A6" t="s">
        <v>5</v>
      </c>
      <c r="B6">
        <v>5</v>
      </c>
      <c r="C6" t="s">
        <v>59</v>
      </c>
      <c r="D6">
        <v>21</v>
      </c>
      <c r="E6">
        <v>178</v>
      </c>
      <c r="F6">
        <v>102</v>
      </c>
      <c r="G6">
        <v>5</v>
      </c>
      <c r="H6">
        <v>60</v>
      </c>
      <c r="I6">
        <f t="shared" si="0"/>
        <v>32.192904936245419</v>
      </c>
      <c r="J6">
        <v>42</v>
      </c>
    </row>
    <row r="7" spans="1:10" x14ac:dyDescent="0.3">
      <c r="A7" t="s">
        <v>6</v>
      </c>
      <c r="B7">
        <v>6</v>
      </c>
      <c r="C7" t="s">
        <v>59</v>
      </c>
      <c r="D7">
        <v>21</v>
      </c>
      <c r="E7">
        <v>163</v>
      </c>
      <c r="F7">
        <v>58</v>
      </c>
      <c r="G7">
        <v>5</v>
      </c>
      <c r="H7">
        <v>60</v>
      </c>
      <c r="I7">
        <f t="shared" si="0"/>
        <v>21.829952199932254</v>
      </c>
      <c r="J7">
        <v>55</v>
      </c>
    </row>
    <row r="8" spans="1:10" x14ac:dyDescent="0.3">
      <c r="A8" t="s">
        <v>7</v>
      </c>
      <c r="B8">
        <v>7</v>
      </c>
      <c r="C8" t="s">
        <v>59</v>
      </c>
      <c r="D8">
        <v>20</v>
      </c>
      <c r="E8">
        <v>171</v>
      </c>
      <c r="F8">
        <v>73</v>
      </c>
      <c r="G8">
        <v>5</v>
      </c>
      <c r="H8">
        <v>90</v>
      </c>
      <c r="I8">
        <f t="shared" si="0"/>
        <v>24.964946479258579</v>
      </c>
      <c r="J8">
        <v>43</v>
      </c>
    </row>
    <row r="9" spans="1:10" x14ac:dyDescent="0.3">
      <c r="A9" t="s">
        <v>8</v>
      </c>
      <c r="B9">
        <v>8</v>
      </c>
      <c r="C9" t="s">
        <v>59</v>
      </c>
      <c r="D9">
        <v>22</v>
      </c>
      <c r="E9">
        <v>184</v>
      </c>
      <c r="F9">
        <v>79</v>
      </c>
      <c r="G9">
        <v>5</v>
      </c>
      <c r="H9">
        <v>90</v>
      </c>
      <c r="I9">
        <f t="shared" si="0"/>
        <v>23.334120982986768</v>
      </c>
      <c r="J9">
        <v>45</v>
      </c>
    </row>
    <row r="10" spans="1:10" x14ac:dyDescent="0.3">
      <c r="A10" t="s">
        <v>9</v>
      </c>
      <c r="B10">
        <v>9</v>
      </c>
      <c r="C10" t="s">
        <v>59</v>
      </c>
      <c r="D10">
        <v>23</v>
      </c>
      <c r="E10">
        <v>155</v>
      </c>
      <c r="F10">
        <v>46</v>
      </c>
      <c r="G10">
        <v>6</v>
      </c>
      <c r="H10">
        <v>60</v>
      </c>
      <c r="I10">
        <f t="shared" si="0"/>
        <v>19.146722164412068</v>
      </c>
      <c r="J10">
        <v>54</v>
      </c>
    </row>
    <row r="11" spans="1:10" x14ac:dyDescent="0.3">
      <c r="A11" t="s">
        <v>10</v>
      </c>
      <c r="B11">
        <v>10</v>
      </c>
      <c r="C11" t="s">
        <v>59</v>
      </c>
      <c r="D11">
        <v>21</v>
      </c>
      <c r="E11">
        <v>194</v>
      </c>
      <c r="F11">
        <v>78</v>
      </c>
      <c r="G11">
        <v>6</v>
      </c>
      <c r="H11">
        <v>60</v>
      </c>
      <c r="I11">
        <f t="shared" si="0"/>
        <v>20.724837921139336</v>
      </c>
      <c r="J11">
        <v>48</v>
      </c>
    </row>
    <row r="12" spans="1:10" x14ac:dyDescent="0.3">
      <c r="A12" t="s">
        <v>39</v>
      </c>
      <c r="B12">
        <v>11</v>
      </c>
      <c r="C12" t="s">
        <v>59</v>
      </c>
      <c r="D12">
        <v>21</v>
      </c>
      <c r="E12">
        <v>188</v>
      </c>
      <c r="F12">
        <v>88</v>
      </c>
      <c r="G12">
        <v>6</v>
      </c>
      <c r="H12">
        <v>45</v>
      </c>
      <c r="I12">
        <f t="shared" si="0"/>
        <v>24.898143956541425</v>
      </c>
      <c r="J12">
        <v>52</v>
      </c>
    </row>
    <row r="13" spans="1:10" x14ac:dyDescent="0.3">
      <c r="A13" s="2" t="s">
        <v>11</v>
      </c>
      <c r="B13">
        <v>12</v>
      </c>
      <c r="C13" t="s">
        <v>99</v>
      </c>
      <c r="D13" s="2">
        <v>23</v>
      </c>
      <c r="E13" s="2">
        <v>175</v>
      </c>
      <c r="F13" s="2">
        <v>74</v>
      </c>
      <c r="G13" s="2">
        <v>4</v>
      </c>
      <c r="H13">
        <v>90</v>
      </c>
      <c r="I13">
        <f t="shared" si="0"/>
        <v>24.163265306122447</v>
      </c>
      <c r="J13">
        <v>55</v>
      </c>
    </row>
    <row r="14" spans="1:10" x14ac:dyDescent="0.3">
      <c r="A14" t="s">
        <v>12</v>
      </c>
      <c r="B14">
        <v>13</v>
      </c>
      <c r="C14" t="s">
        <v>99</v>
      </c>
      <c r="D14">
        <v>21</v>
      </c>
      <c r="E14">
        <v>182</v>
      </c>
      <c r="F14">
        <v>88</v>
      </c>
      <c r="G14">
        <v>5</v>
      </c>
      <c r="H14">
        <v>60</v>
      </c>
      <c r="I14">
        <f t="shared" si="0"/>
        <v>26.566839753652939</v>
      </c>
      <c r="J14">
        <v>48</v>
      </c>
    </row>
    <row r="15" spans="1:10" x14ac:dyDescent="0.3">
      <c r="A15" t="s">
        <v>13</v>
      </c>
      <c r="B15">
        <v>14</v>
      </c>
      <c r="C15" t="s">
        <v>99</v>
      </c>
      <c r="D15">
        <v>21</v>
      </c>
      <c r="E15">
        <v>186</v>
      </c>
      <c r="F15">
        <v>95</v>
      </c>
      <c r="G15">
        <v>5</v>
      </c>
      <c r="H15">
        <v>60</v>
      </c>
      <c r="I15">
        <f t="shared" si="0"/>
        <v>27.459821944733491</v>
      </c>
      <c r="J15">
        <v>52</v>
      </c>
    </row>
    <row r="16" spans="1:10" x14ac:dyDescent="0.3">
      <c r="A16" t="s">
        <v>14</v>
      </c>
      <c r="B16">
        <v>15</v>
      </c>
      <c r="C16" t="s">
        <v>99</v>
      </c>
      <c r="D16">
        <v>21</v>
      </c>
      <c r="E16">
        <v>174</v>
      </c>
      <c r="F16">
        <v>67</v>
      </c>
      <c r="G16">
        <v>4</v>
      </c>
      <c r="H16">
        <v>60</v>
      </c>
      <c r="I16">
        <f t="shared" si="0"/>
        <v>22.129739727837229</v>
      </c>
      <c r="J16">
        <v>43</v>
      </c>
    </row>
    <row r="17" spans="1:10" x14ac:dyDescent="0.3">
      <c r="A17" t="s">
        <v>15</v>
      </c>
      <c r="B17">
        <v>16</v>
      </c>
      <c r="C17" t="s">
        <v>99</v>
      </c>
      <c r="D17">
        <v>21</v>
      </c>
      <c r="E17">
        <v>187</v>
      </c>
      <c r="F17">
        <v>80</v>
      </c>
      <c r="G17">
        <v>5</v>
      </c>
      <c r="H17">
        <v>60</v>
      </c>
      <c r="I17">
        <f t="shared" si="0"/>
        <v>22.877405702193368</v>
      </c>
      <c r="J17">
        <v>52</v>
      </c>
    </row>
    <row r="18" spans="1:10" x14ac:dyDescent="0.3">
      <c r="A18" t="s">
        <v>16</v>
      </c>
      <c r="B18">
        <v>17</v>
      </c>
      <c r="C18" t="s">
        <v>99</v>
      </c>
      <c r="D18" s="1">
        <v>20</v>
      </c>
      <c r="E18" s="1">
        <v>172</v>
      </c>
      <c r="F18" s="1">
        <v>58</v>
      </c>
      <c r="G18" s="1">
        <v>5</v>
      </c>
      <c r="H18">
        <v>60</v>
      </c>
      <c r="I18">
        <f t="shared" si="0"/>
        <v>19.605191995673341</v>
      </c>
      <c r="J18">
        <v>57</v>
      </c>
    </row>
    <row r="19" spans="1:10" x14ac:dyDescent="0.3">
      <c r="A19" t="s">
        <v>17</v>
      </c>
      <c r="B19">
        <v>18</v>
      </c>
      <c r="C19" t="s">
        <v>99</v>
      </c>
      <c r="D19">
        <v>21</v>
      </c>
      <c r="E19">
        <v>175</v>
      </c>
      <c r="F19">
        <v>63</v>
      </c>
      <c r="G19">
        <v>6</v>
      </c>
      <c r="H19">
        <v>90</v>
      </c>
      <c r="I19">
        <f t="shared" si="0"/>
        <v>20.571428571428573</v>
      </c>
      <c r="J19">
        <v>54</v>
      </c>
    </row>
    <row r="20" spans="1:10" x14ac:dyDescent="0.3">
      <c r="A20" t="s">
        <v>57</v>
      </c>
      <c r="B20">
        <v>19</v>
      </c>
      <c r="C20" t="s">
        <v>99</v>
      </c>
      <c r="D20">
        <v>22</v>
      </c>
      <c r="E20">
        <v>162</v>
      </c>
      <c r="F20">
        <v>63</v>
      </c>
      <c r="G20">
        <v>1</v>
      </c>
      <c r="H20">
        <v>120</v>
      </c>
      <c r="I20">
        <f t="shared" si="0"/>
        <v>24.005486968449926</v>
      </c>
      <c r="J20">
        <v>43</v>
      </c>
    </row>
    <row r="21" spans="1:10" x14ac:dyDescent="0.3">
      <c r="A21" t="s">
        <v>18</v>
      </c>
      <c r="B21">
        <v>20</v>
      </c>
      <c r="C21" t="s">
        <v>98</v>
      </c>
      <c r="D21">
        <v>25</v>
      </c>
      <c r="E21">
        <v>184</v>
      </c>
      <c r="F21">
        <v>101.4</v>
      </c>
      <c r="G21">
        <v>6</v>
      </c>
      <c r="H21">
        <v>45</v>
      </c>
      <c r="I21">
        <f t="shared" si="0"/>
        <v>29.950378071833647</v>
      </c>
      <c r="J21">
        <v>45</v>
      </c>
    </row>
    <row r="22" spans="1:10" x14ac:dyDescent="0.3">
      <c r="A22" t="s">
        <v>19</v>
      </c>
      <c r="B22">
        <v>21</v>
      </c>
      <c r="C22" t="s">
        <v>98</v>
      </c>
      <c r="D22">
        <v>21</v>
      </c>
      <c r="E22">
        <v>179</v>
      </c>
      <c r="F22">
        <v>75</v>
      </c>
      <c r="G22">
        <v>5</v>
      </c>
      <c r="H22">
        <v>60</v>
      </c>
      <c r="I22">
        <f t="shared" si="0"/>
        <v>23.40750912892856</v>
      </c>
      <c r="J22">
        <v>57</v>
      </c>
    </row>
    <row r="23" spans="1:10" x14ac:dyDescent="0.3">
      <c r="A23" t="s">
        <v>20</v>
      </c>
      <c r="B23">
        <v>22</v>
      </c>
      <c r="C23" t="s">
        <v>98</v>
      </c>
      <c r="D23">
        <v>21</v>
      </c>
      <c r="E23">
        <v>186</v>
      </c>
      <c r="F23">
        <v>75</v>
      </c>
      <c r="G23">
        <v>4</v>
      </c>
      <c r="H23">
        <v>90</v>
      </c>
      <c r="I23">
        <f t="shared" si="0"/>
        <v>21.678806798473808</v>
      </c>
      <c r="J23">
        <v>49</v>
      </c>
    </row>
    <row r="24" spans="1:10" x14ac:dyDescent="0.3">
      <c r="A24" t="s">
        <v>21</v>
      </c>
      <c r="B24">
        <v>23</v>
      </c>
      <c r="C24" t="s">
        <v>98</v>
      </c>
      <c r="D24">
        <v>21</v>
      </c>
      <c r="E24">
        <v>176</v>
      </c>
      <c r="F24">
        <v>67</v>
      </c>
      <c r="G24">
        <v>5</v>
      </c>
      <c r="H24">
        <v>60</v>
      </c>
      <c r="I24">
        <f t="shared" si="0"/>
        <v>21.629648760330578</v>
      </c>
      <c r="J24">
        <v>48</v>
      </c>
    </row>
    <row r="25" spans="1:10" x14ac:dyDescent="0.3">
      <c r="A25" t="s">
        <v>22</v>
      </c>
      <c r="B25">
        <v>24</v>
      </c>
      <c r="C25" t="s">
        <v>98</v>
      </c>
      <c r="D25">
        <v>22</v>
      </c>
      <c r="E25">
        <v>185</v>
      </c>
      <c r="F25">
        <v>65</v>
      </c>
      <c r="G25">
        <v>3</v>
      </c>
      <c r="H25">
        <v>90</v>
      </c>
      <c r="I25">
        <f t="shared" si="0"/>
        <v>18.991964937910883</v>
      </c>
      <c r="J25">
        <v>45</v>
      </c>
    </row>
    <row r="26" spans="1:10" x14ac:dyDescent="0.3">
      <c r="A26" t="s">
        <v>23</v>
      </c>
      <c r="B26">
        <v>25</v>
      </c>
      <c r="C26" t="s">
        <v>98</v>
      </c>
      <c r="D26">
        <v>23</v>
      </c>
      <c r="E26">
        <v>155</v>
      </c>
      <c r="F26">
        <v>46</v>
      </c>
      <c r="G26">
        <v>6</v>
      </c>
      <c r="H26">
        <v>46</v>
      </c>
      <c r="I26">
        <f t="shared" si="0"/>
        <v>19.146722164412068</v>
      </c>
      <c r="J26">
        <v>49</v>
      </c>
    </row>
    <row r="27" spans="1:10" x14ac:dyDescent="0.3">
      <c r="A27" t="s">
        <v>24</v>
      </c>
      <c r="B27">
        <v>26</v>
      </c>
      <c r="C27" t="s">
        <v>98</v>
      </c>
      <c r="D27">
        <v>21</v>
      </c>
      <c r="E27">
        <v>169</v>
      </c>
      <c r="F27">
        <v>67</v>
      </c>
      <c r="G27">
        <v>5</v>
      </c>
      <c r="H27">
        <v>60</v>
      </c>
      <c r="I27">
        <f t="shared" si="0"/>
        <v>23.458562375266975</v>
      </c>
      <c r="J27">
        <v>56</v>
      </c>
    </row>
    <row r="28" spans="1:10" x14ac:dyDescent="0.3">
      <c r="A28" t="s">
        <v>25</v>
      </c>
      <c r="B28">
        <v>27</v>
      </c>
      <c r="C28" t="s">
        <v>98</v>
      </c>
      <c r="D28">
        <v>21</v>
      </c>
      <c r="E28">
        <v>187</v>
      </c>
      <c r="F28">
        <v>80</v>
      </c>
      <c r="G28">
        <v>5</v>
      </c>
      <c r="H28">
        <v>90</v>
      </c>
      <c r="I28">
        <f t="shared" si="0"/>
        <v>22.877405702193368</v>
      </c>
      <c r="J28">
        <v>43</v>
      </c>
    </row>
    <row r="29" spans="1:10" x14ac:dyDescent="0.3">
      <c r="A29" t="s">
        <v>26</v>
      </c>
      <c r="B29">
        <v>28</v>
      </c>
      <c r="C29" t="s">
        <v>98</v>
      </c>
      <c r="D29">
        <v>21</v>
      </c>
      <c r="E29">
        <v>185</v>
      </c>
      <c r="F29">
        <v>75</v>
      </c>
      <c r="G29">
        <v>5</v>
      </c>
      <c r="H29">
        <v>60</v>
      </c>
      <c r="I29">
        <f t="shared" si="0"/>
        <v>21.913805697589478</v>
      </c>
      <c r="J29">
        <v>56</v>
      </c>
    </row>
    <row r="30" spans="1:10" x14ac:dyDescent="0.3">
      <c r="A30" s="2" t="s">
        <v>27</v>
      </c>
      <c r="B30">
        <v>29</v>
      </c>
      <c r="C30" t="s">
        <v>108</v>
      </c>
      <c r="D30" s="2">
        <v>22</v>
      </c>
      <c r="E30" s="2">
        <v>187</v>
      </c>
      <c r="F30" s="2">
        <v>80</v>
      </c>
      <c r="G30" s="2">
        <v>3</v>
      </c>
      <c r="H30">
        <v>90</v>
      </c>
      <c r="I30">
        <f t="shared" si="0"/>
        <v>22.877405702193368</v>
      </c>
      <c r="J30">
        <v>52</v>
      </c>
    </row>
    <row r="31" spans="1:10" x14ac:dyDescent="0.3">
      <c r="A31" t="s">
        <v>28</v>
      </c>
      <c r="B31">
        <v>30</v>
      </c>
      <c r="C31" t="s">
        <v>108</v>
      </c>
      <c r="D31">
        <v>21</v>
      </c>
      <c r="E31">
        <v>182</v>
      </c>
      <c r="F31">
        <v>88</v>
      </c>
      <c r="G31">
        <v>5</v>
      </c>
      <c r="H31">
        <v>60</v>
      </c>
      <c r="I31">
        <f t="shared" si="0"/>
        <v>26.566839753652939</v>
      </c>
      <c r="J31">
        <v>55</v>
      </c>
    </row>
    <row r="32" spans="1:10" x14ac:dyDescent="0.3">
      <c r="A32" t="s">
        <v>29</v>
      </c>
      <c r="B32">
        <v>31</v>
      </c>
      <c r="C32" t="s">
        <v>108</v>
      </c>
      <c r="D32">
        <v>21</v>
      </c>
      <c r="E32">
        <v>186</v>
      </c>
      <c r="F32">
        <v>95</v>
      </c>
      <c r="G32">
        <v>5</v>
      </c>
      <c r="H32">
        <v>60</v>
      </c>
      <c r="I32">
        <f t="shared" si="0"/>
        <v>27.459821944733491</v>
      </c>
      <c r="J32">
        <v>46</v>
      </c>
    </row>
    <row r="33" spans="1:10" x14ac:dyDescent="0.3">
      <c r="A33" t="s">
        <v>30</v>
      </c>
      <c r="B33">
        <v>32</v>
      </c>
      <c r="C33" t="s">
        <v>108</v>
      </c>
      <c r="D33">
        <v>21</v>
      </c>
      <c r="E33">
        <v>174</v>
      </c>
      <c r="F33">
        <v>67</v>
      </c>
      <c r="G33">
        <v>4</v>
      </c>
      <c r="H33">
        <v>90</v>
      </c>
      <c r="I33">
        <f t="shared" si="0"/>
        <v>22.129739727837229</v>
      </c>
      <c r="J33">
        <v>42</v>
      </c>
    </row>
    <row r="34" spans="1:10" x14ac:dyDescent="0.3">
      <c r="A34" t="s">
        <v>31</v>
      </c>
      <c r="B34">
        <v>33</v>
      </c>
      <c r="C34" t="s">
        <v>108</v>
      </c>
      <c r="D34">
        <v>23</v>
      </c>
      <c r="E34">
        <v>175</v>
      </c>
      <c r="F34">
        <v>74</v>
      </c>
      <c r="G34">
        <v>4</v>
      </c>
      <c r="H34">
        <v>90</v>
      </c>
      <c r="I34">
        <f t="shared" si="0"/>
        <v>24.163265306122447</v>
      </c>
      <c r="J34">
        <v>55</v>
      </c>
    </row>
    <row r="35" spans="1:10" x14ac:dyDescent="0.3">
      <c r="A35" t="s">
        <v>32</v>
      </c>
      <c r="B35">
        <v>34</v>
      </c>
      <c r="C35" t="s">
        <v>108</v>
      </c>
      <c r="D35">
        <v>21</v>
      </c>
      <c r="E35">
        <v>173</v>
      </c>
      <c r="F35">
        <v>67</v>
      </c>
      <c r="G35">
        <v>4</v>
      </c>
      <c r="H35">
        <v>120</v>
      </c>
      <c r="I35">
        <f t="shared" si="0"/>
        <v>22.386314277122523</v>
      </c>
      <c r="J35">
        <v>47</v>
      </c>
    </row>
    <row r="36" spans="1:10" x14ac:dyDescent="0.3">
      <c r="A36" t="s">
        <v>33</v>
      </c>
      <c r="B36">
        <v>35</v>
      </c>
      <c r="C36" t="s">
        <v>108</v>
      </c>
      <c r="D36">
        <v>21</v>
      </c>
      <c r="E36">
        <v>163</v>
      </c>
      <c r="F36">
        <v>58</v>
      </c>
      <c r="G36">
        <v>5</v>
      </c>
      <c r="H36">
        <v>60</v>
      </c>
      <c r="I36">
        <f t="shared" si="0"/>
        <v>21.829952199932254</v>
      </c>
      <c r="J36">
        <v>54</v>
      </c>
    </row>
    <row r="37" spans="1:10" x14ac:dyDescent="0.3">
      <c r="A37" t="s">
        <v>34</v>
      </c>
      <c r="B37">
        <v>36</v>
      </c>
      <c r="C37" t="s">
        <v>108</v>
      </c>
      <c r="D37">
        <v>20</v>
      </c>
      <c r="E37">
        <v>171</v>
      </c>
      <c r="F37">
        <v>73</v>
      </c>
      <c r="G37">
        <v>5</v>
      </c>
      <c r="H37">
        <v>60</v>
      </c>
      <c r="I37">
        <f t="shared" si="0"/>
        <v>24.964946479258579</v>
      </c>
      <c r="J37">
        <v>53</v>
      </c>
    </row>
    <row r="38" spans="1:10" x14ac:dyDescent="0.3">
      <c r="A38" t="s">
        <v>35</v>
      </c>
      <c r="B38">
        <v>37</v>
      </c>
      <c r="C38" t="s">
        <v>108</v>
      </c>
      <c r="D38">
        <v>21</v>
      </c>
      <c r="E38">
        <v>178</v>
      </c>
      <c r="F38">
        <v>102</v>
      </c>
      <c r="G38">
        <v>5</v>
      </c>
      <c r="H38">
        <v>45</v>
      </c>
      <c r="I38">
        <f t="shared" si="0"/>
        <v>32.192904936245419</v>
      </c>
      <c r="J38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7B973-01BA-4831-9E7A-96D6596E80B5}">
  <dimension ref="A1:W51"/>
  <sheetViews>
    <sheetView workbookViewId="0">
      <selection activeCell="L1" sqref="L1"/>
    </sheetView>
  </sheetViews>
  <sheetFormatPr defaultRowHeight="14.4" x14ac:dyDescent="0.3"/>
  <cols>
    <col min="2" max="2" width="19.33203125" style="7" customWidth="1"/>
    <col min="3" max="3" width="13.6640625" style="7" bestFit="1" customWidth="1"/>
    <col min="5" max="5" width="10.33203125" bestFit="1" customWidth="1"/>
    <col min="15" max="15" width="11.5546875" customWidth="1"/>
    <col min="16" max="16" width="13.6640625" customWidth="1"/>
    <col min="17" max="18" width="13.6640625" bestFit="1" customWidth="1"/>
    <col min="19" max="20" width="16.6640625" bestFit="1" customWidth="1"/>
    <col min="24" max="26" width="12.77734375" bestFit="1" customWidth="1"/>
  </cols>
  <sheetData>
    <row r="1" spans="1:23" x14ac:dyDescent="0.3">
      <c r="A1" s="3" t="s">
        <v>109</v>
      </c>
      <c r="B1" s="14" t="s">
        <v>41</v>
      </c>
      <c r="C1" s="14" t="s">
        <v>42</v>
      </c>
      <c r="D1" s="3" t="s">
        <v>43</v>
      </c>
      <c r="E1" s="3" t="s">
        <v>44</v>
      </c>
      <c r="F1" s="3" t="s">
        <v>45</v>
      </c>
      <c r="G1" s="3" t="s">
        <v>46</v>
      </c>
      <c r="H1" s="3" t="s">
        <v>47</v>
      </c>
      <c r="I1" s="3" t="s">
        <v>48</v>
      </c>
      <c r="J1" s="3" t="s">
        <v>49</v>
      </c>
      <c r="K1" t="s">
        <v>119</v>
      </c>
      <c r="L1" t="s">
        <v>0</v>
      </c>
    </row>
    <row r="2" spans="1:23" x14ac:dyDescent="0.3">
      <c r="A2" t="s">
        <v>60</v>
      </c>
      <c r="B2" s="16">
        <v>36525</v>
      </c>
      <c r="C2" s="16">
        <v>36525.324999999997</v>
      </c>
      <c r="D2" s="8">
        <v>2</v>
      </c>
      <c r="E2" s="9">
        <v>73.59</v>
      </c>
      <c r="F2" s="8">
        <v>513.29</v>
      </c>
      <c r="G2" s="8">
        <v>378.57</v>
      </c>
      <c r="H2" s="8">
        <v>132.71</v>
      </c>
      <c r="I2" s="8">
        <v>36.43</v>
      </c>
      <c r="J2" s="8">
        <v>3.64</v>
      </c>
      <c r="K2" s="8" t="s">
        <v>113</v>
      </c>
      <c r="L2">
        <v>1</v>
      </c>
    </row>
    <row r="3" spans="1:23" x14ac:dyDescent="0.3">
      <c r="A3" t="s">
        <v>63</v>
      </c>
      <c r="B3" s="16">
        <v>36524.921527777777</v>
      </c>
      <c r="C3" s="16">
        <v>36525.324305555558</v>
      </c>
      <c r="D3" s="8">
        <v>1.1399999999999999</v>
      </c>
      <c r="E3" s="9">
        <v>87.29</v>
      </c>
      <c r="F3" s="8">
        <v>579.71</v>
      </c>
      <c r="G3" s="8">
        <v>501.29</v>
      </c>
      <c r="H3" s="8">
        <v>77.290000000000006</v>
      </c>
      <c r="I3" s="8">
        <v>27</v>
      </c>
      <c r="J3" s="8">
        <v>2.86</v>
      </c>
      <c r="K3" s="8" t="s">
        <v>113</v>
      </c>
      <c r="L3">
        <v>2</v>
      </c>
    </row>
    <row r="4" spans="1:23" x14ac:dyDescent="0.3">
      <c r="A4" t="s">
        <v>64</v>
      </c>
      <c r="B4" s="16">
        <v>36524.98333333333</v>
      </c>
      <c r="C4" s="16">
        <v>36525.28125</v>
      </c>
      <c r="D4" s="8">
        <v>0.43</v>
      </c>
      <c r="E4" s="9">
        <v>91.19</v>
      </c>
      <c r="F4" s="8">
        <v>429.86</v>
      </c>
      <c r="G4" s="8">
        <v>392.14</v>
      </c>
      <c r="H4" s="8">
        <v>37.29</v>
      </c>
      <c r="I4" s="8">
        <v>10.43</v>
      </c>
      <c r="J4" s="8">
        <v>3.58</v>
      </c>
      <c r="K4" s="8" t="s">
        <v>113</v>
      </c>
      <c r="L4">
        <v>3</v>
      </c>
    </row>
    <row r="5" spans="1:23" x14ac:dyDescent="0.3">
      <c r="A5" t="s">
        <v>65</v>
      </c>
      <c r="B5" s="16">
        <v>36524.928472222222</v>
      </c>
      <c r="C5" s="16">
        <v>36525.357638888891</v>
      </c>
      <c r="D5" s="8">
        <v>2.5</v>
      </c>
      <c r="E5" s="9">
        <v>92.25</v>
      </c>
      <c r="F5" s="8">
        <v>617.83000000000004</v>
      </c>
      <c r="G5" s="8">
        <v>566</v>
      </c>
      <c r="H5" s="8">
        <v>51.33</v>
      </c>
      <c r="I5" s="8">
        <v>22.67</v>
      </c>
      <c r="J5" s="8">
        <v>2.2599999999999998</v>
      </c>
      <c r="K5" s="8" t="s">
        <v>113</v>
      </c>
      <c r="L5">
        <v>4</v>
      </c>
    </row>
    <row r="6" spans="1:23" x14ac:dyDescent="0.3">
      <c r="A6" t="s">
        <v>66</v>
      </c>
      <c r="B6" s="16">
        <v>36524.98333333333</v>
      </c>
      <c r="C6" s="16">
        <v>36525.319444444445</v>
      </c>
      <c r="D6" s="8">
        <v>2.71</v>
      </c>
      <c r="E6" s="9">
        <v>89.47</v>
      </c>
      <c r="F6" s="8">
        <v>484</v>
      </c>
      <c r="G6" s="8">
        <v>426.86</v>
      </c>
      <c r="H6" s="8">
        <v>54.43</v>
      </c>
      <c r="I6" s="8">
        <v>18.71</v>
      </c>
      <c r="J6" s="8">
        <v>2.91</v>
      </c>
      <c r="K6" s="8" t="s">
        <v>113</v>
      </c>
      <c r="L6">
        <v>5</v>
      </c>
    </row>
    <row r="7" spans="1:23" x14ac:dyDescent="0.3">
      <c r="A7" t="s">
        <v>67</v>
      </c>
      <c r="B7" s="16">
        <v>36524.966666666667</v>
      </c>
      <c r="C7" s="16">
        <v>36525.262499999997</v>
      </c>
      <c r="D7" s="8">
        <v>1</v>
      </c>
      <c r="E7" s="9">
        <v>90.35</v>
      </c>
      <c r="F7" s="8">
        <v>426.29</v>
      </c>
      <c r="G7" s="8">
        <v>382.86</v>
      </c>
      <c r="H7" s="8">
        <v>42.43</v>
      </c>
      <c r="I7" s="8">
        <v>20.29</v>
      </c>
      <c r="J7" s="8">
        <v>2.09</v>
      </c>
      <c r="K7" s="8" t="s">
        <v>113</v>
      </c>
      <c r="L7">
        <v>6</v>
      </c>
    </row>
    <row r="8" spans="1:23" x14ac:dyDescent="0.3">
      <c r="A8" t="s">
        <v>68</v>
      </c>
      <c r="B8" s="16">
        <v>36524.981249999997</v>
      </c>
      <c r="C8" s="16">
        <v>36525.344444444447</v>
      </c>
      <c r="D8" s="8">
        <v>1.29</v>
      </c>
      <c r="E8" s="9">
        <v>89.21</v>
      </c>
      <c r="F8" s="8">
        <v>523</v>
      </c>
      <c r="G8" s="8">
        <v>465.14</v>
      </c>
      <c r="H8" s="8">
        <v>56.57</v>
      </c>
      <c r="I8" s="8">
        <v>22.43</v>
      </c>
      <c r="J8" s="8">
        <v>2.52</v>
      </c>
      <c r="K8" s="8" t="s">
        <v>113</v>
      </c>
      <c r="L8">
        <v>7</v>
      </c>
    </row>
    <row r="9" spans="1:23" x14ac:dyDescent="0.3">
      <c r="A9" t="s">
        <v>69</v>
      </c>
      <c r="B9" s="16">
        <v>36525.017361111109</v>
      </c>
      <c r="C9" s="16">
        <v>36525.359722222223</v>
      </c>
      <c r="D9" s="8">
        <v>4</v>
      </c>
      <c r="E9" s="9">
        <v>85.09</v>
      </c>
      <c r="F9" s="8">
        <v>493</v>
      </c>
      <c r="G9" s="8">
        <v>423.86</v>
      </c>
      <c r="H9" s="8">
        <v>65.14</v>
      </c>
      <c r="I9" s="8">
        <v>21.71</v>
      </c>
      <c r="J9" s="8">
        <v>3</v>
      </c>
      <c r="K9" s="8" t="s">
        <v>113</v>
      </c>
      <c r="L9">
        <v>8</v>
      </c>
    </row>
    <row r="10" spans="1:23" x14ac:dyDescent="0.3">
      <c r="A10" t="s">
        <v>70</v>
      </c>
      <c r="B10" s="16">
        <v>36524.951388888891</v>
      </c>
      <c r="C10" s="16">
        <v>36525.308333333334</v>
      </c>
      <c r="D10" s="8">
        <v>2.14</v>
      </c>
      <c r="E10" s="9">
        <v>85.960000000000008</v>
      </c>
      <c r="F10" s="8">
        <v>514.71</v>
      </c>
      <c r="G10" s="8">
        <v>442.14</v>
      </c>
      <c r="H10" s="8">
        <v>70.430000000000007</v>
      </c>
      <c r="I10" s="8">
        <v>25.57</v>
      </c>
      <c r="J10" s="8">
        <v>2.75</v>
      </c>
      <c r="K10" s="8" t="s">
        <v>113</v>
      </c>
      <c r="L10">
        <v>9</v>
      </c>
      <c r="S10" s="3"/>
      <c r="T10" s="3"/>
      <c r="U10" s="3"/>
      <c r="V10" s="3"/>
      <c r="W10" s="3"/>
    </row>
    <row r="11" spans="1:23" x14ac:dyDescent="0.3">
      <c r="A11" t="s">
        <v>61</v>
      </c>
      <c r="B11" s="16">
        <v>36524.998611111114</v>
      </c>
      <c r="C11" s="16">
        <v>36525.355555555558</v>
      </c>
      <c r="D11" s="8">
        <v>2.17</v>
      </c>
      <c r="E11" s="9">
        <v>87.83</v>
      </c>
      <c r="F11" s="8">
        <v>514.16999999999996</v>
      </c>
      <c r="G11" s="8">
        <v>451.67</v>
      </c>
      <c r="H11" s="8">
        <v>62.33</v>
      </c>
      <c r="I11" s="8">
        <v>21.5</v>
      </c>
      <c r="J11" s="8">
        <v>2.9</v>
      </c>
      <c r="K11" s="8" t="s">
        <v>113</v>
      </c>
      <c r="L11">
        <v>10</v>
      </c>
    </row>
    <row r="12" spans="1:23" x14ac:dyDescent="0.3">
      <c r="A12" s="3" t="s">
        <v>62</v>
      </c>
      <c r="B12" s="17">
        <v>36525.01458333333</v>
      </c>
      <c r="C12" s="16">
        <v>36525.35</v>
      </c>
      <c r="D12" s="10">
        <v>1.67</v>
      </c>
      <c r="E12" s="11">
        <v>87.79</v>
      </c>
      <c r="F12" s="10">
        <v>483.33</v>
      </c>
      <c r="G12" s="10">
        <v>421.83</v>
      </c>
      <c r="H12" s="10">
        <v>59.83</v>
      </c>
      <c r="I12" s="10">
        <v>24.33</v>
      </c>
      <c r="J12" s="10">
        <v>2.46</v>
      </c>
      <c r="K12" s="8" t="s">
        <v>113</v>
      </c>
      <c r="L12">
        <v>11</v>
      </c>
    </row>
    <row r="13" spans="1:23" x14ac:dyDescent="0.3">
      <c r="A13" s="2" t="s">
        <v>80</v>
      </c>
      <c r="B13" s="18">
        <v>36525.097222222219</v>
      </c>
      <c r="C13" s="16">
        <v>36525.375</v>
      </c>
      <c r="D13" s="12">
        <v>0.49</v>
      </c>
      <c r="E13" s="13">
        <v>86.16</v>
      </c>
      <c r="F13" s="12">
        <v>400.43</v>
      </c>
      <c r="G13" s="12">
        <v>343.43</v>
      </c>
      <c r="H13" s="12">
        <v>56.71</v>
      </c>
      <c r="I13" s="12">
        <v>21.29</v>
      </c>
      <c r="J13" s="12">
        <v>2.66</v>
      </c>
      <c r="K13" s="8" t="s">
        <v>118</v>
      </c>
      <c r="L13">
        <v>12</v>
      </c>
    </row>
    <row r="14" spans="1:23" x14ac:dyDescent="0.3">
      <c r="A14" t="s">
        <v>82</v>
      </c>
      <c r="B14" s="16">
        <v>36525.040972222225</v>
      </c>
      <c r="C14" s="16">
        <v>36525.318055555559</v>
      </c>
      <c r="D14" s="8">
        <v>0.86</v>
      </c>
      <c r="E14" s="9">
        <v>88.38000000000001</v>
      </c>
      <c r="F14" s="8">
        <v>398.86</v>
      </c>
      <c r="G14" s="8">
        <v>349.57</v>
      </c>
      <c r="H14" s="8">
        <v>48.43</v>
      </c>
      <c r="I14" s="8">
        <v>17.57</v>
      </c>
      <c r="J14" s="8">
        <v>2.76</v>
      </c>
      <c r="K14" s="8" t="s">
        <v>118</v>
      </c>
      <c r="L14">
        <v>13</v>
      </c>
    </row>
    <row r="15" spans="1:23" x14ac:dyDescent="0.3">
      <c r="A15" t="s">
        <v>83</v>
      </c>
      <c r="B15" s="16">
        <v>36525.009027777778</v>
      </c>
      <c r="C15" s="16">
        <v>36525.306944444441</v>
      </c>
      <c r="D15" s="8">
        <v>0.86</v>
      </c>
      <c r="E15" s="9">
        <v>85.72</v>
      </c>
      <c r="F15" s="8">
        <v>429.57</v>
      </c>
      <c r="G15" s="8">
        <v>375.29</v>
      </c>
      <c r="H15" s="8">
        <v>53.43</v>
      </c>
      <c r="I15" s="8">
        <v>19.43</v>
      </c>
      <c r="J15" s="8">
        <v>2.75</v>
      </c>
      <c r="K15" s="8" t="s">
        <v>118</v>
      </c>
      <c r="L15">
        <v>14</v>
      </c>
    </row>
    <row r="16" spans="1:23" x14ac:dyDescent="0.3">
      <c r="A16" t="s">
        <v>84</v>
      </c>
      <c r="B16" s="16">
        <v>36525.043055555558</v>
      </c>
      <c r="C16" s="16">
        <v>36525.368750000001</v>
      </c>
      <c r="D16" s="8">
        <v>0.7</v>
      </c>
      <c r="E16" s="9">
        <v>92.53</v>
      </c>
      <c r="F16" s="8">
        <v>468.71</v>
      </c>
      <c r="G16" s="8">
        <v>433.29</v>
      </c>
      <c r="H16" s="8">
        <v>34.43</v>
      </c>
      <c r="I16" s="8">
        <v>19.29</v>
      </c>
      <c r="J16" s="8">
        <v>1.79</v>
      </c>
      <c r="K16" s="8" t="s">
        <v>118</v>
      </c>
      <c r="L16">
        <v>15</v>
      </c>
    </row>
    <row r="17" spans="1:12" x14ac:dyDescent="0.3">
      <c r="A17" t="s">
        <v>85</v>
      </c>
      <c r="B17" s="16">
        <v>36524.973611111112</v>
      </c>
      <c r="C17" s="16">
        <v>36525.322222222225</v>
      </c>
      <c r="D17" s="8">
        <v>0.75</v>
      </c>
      <c r="E17" s="9">
        <v>92.67</v>
      </c>
      <c r="F17" s="8">
        <v>501.88</v>
      </c>
      <c r="G17" s="8">
        <v>465</v>
      </c>
      <c r="H17" s="8">
        <v>36.130000000000003</v>
      </c>
      <c r="I17" s="8">
        <v>15</v>
      </c>
      <c r="J17" s="8">
        <v>2.41</v>
      </c>
      <c r="K17" s="8" t="s">
        <v>118</v>
      </c>
      <c r="L17">
        <v>16</v>
      </c>
    </row>
    <row r="18" spans="1:12" x14ac:dyDescent="0.3">
      <c r="A18" t="s">
        <v>86</v>
      </c>
      <c r="B18" s="16">
        <v>36524.986805555556</v>
      </c>
      <c r="C18" s="16">
        <v>36525.3125</v>
      </c>
      <c r="D18" s="8">
        <v>0.71</v>
      </c>
      <c r="E18" s="9">
        <v>88.75</v>
      </c>
      <c r="F18" s="8">
        <v>468.29</v>
      </c>
      <c r="G18" s="8">
        <v>415.86</v>
      </c>
      <c r="H18" s="8">
        <v>51.71</v>
      </c>
      <c r="I18" s="8">
        <v>12.14</v>
      </c>
      <c r="J18" s="8">
        <v>4.26</v>
      </c>
      <c r="K18" s="8" t="s">
        <v>118</v>
      </c>
      <c r="L18">
        <v>17</v>
      </c>
    </row>
    <row r="19" spans="1:12" x14ac:dyDescent="0.3">
      <c r="A19" t="s">
        <v>87</v>
      </c>
      <c r="B19" s="16">
        <v>36525.010416666664</v>
      </c>
      <c r="C19" s="16">
        <v>36525.353472222225</v>
      </c>
      <c r="D19" s="8">
        <v>0.86</v>
      </c>
      <c r="E19" s="9">
        <v>88.71</v>
      </c>
      <c r="F19" s="8">
        <v>494.29</v>
      </c>
      <c r="G19" s="8">
        <v>430.14</v>
      </c>
      <c r="H19" s="8">
        <v>63.29</v>
      </c>
      <c r="I19" s="8">
        <v>24.86</v>
      </c>
      <c r="J19" s="8">
        <v>2.5499999999999998</v>
      </c>
      <c r="K19" s="8" t="s">
        <v>118</v>
      </c>
      <c r="L19">
        <v>18</v>
      </c>
    </row>
    <row r="20" spans="1:12" x14ac:dyDescent="0.3">
      <c r="A20" s="3" t="s">
        <v>81</v>
      </c>
      <c r="B20" s="17">
        <v>36525.006249999999</v>
      </c>
      <c r="C20" s="16">
        <v>36525.320138888892</v>
      </c>
      <c r="D20" s="10">
        <v>0.5</v>
      </c>
      <c r="E20" s="11">
        <v>93.63</v>
      </c>
      <c r="F20" s="10">
        <v>451.83</v>
      </c>
      <c r="G20" s="10">
        <v>422.17</v>
      </c>
      <c r="H20" s="10">
        <v>29.67</v>
      </c>
      <c r="I20" s="10">
        <v>10</v>
      </c>
      <c r="J20" s="10">
        <v>2.97</v>
      </c>
      <c r="K20" s="8" t="s">
        <v>118</v>
      </c>
      <c r="L20">
        <v>19</v>
      </c>
    </row>
    <row r="21" spans="1:12" x14ac:dyDescent="0.3">
      <c r="A21" t="s">
        <v>71</v>
      </c>
      <c r="B21" s="16">
        <v>36525.015972222223</v>
      </c>
      <c r="C21" s="16">
        <v>36525.309027777781</v>
      </c>
      <c r="D21" s="8">
        <v>1.2</v>
      </c>
      <c r="E21" s="9">
        <v>82.64</v>
      </c>
      <c r="F21" s="8">
        <v>421.57</v>
      </c>
      <c r="G21" s="8">
        <v>349.43</v>
      </c>
      <c r="H21" s="8">
        <v>66.569999999999993</v>
      </c>
      <c r="I21" s="8">
        <v>19</v>
      </c>
      <c r="J21" s="8">
        <v>3.5</v>
      </c>
      <c r="K21" s="8" t="s">
        <v>112</v>
      </c>
      <c r="L21">
        <v>20</v>
      </c>
    </row>
    <row r="22" spans="1:12" x14ac:dyDescent="0.3">
      <c r="A22" t="s">
        <v>73</v>
      </c>
      <c r="B22" s="16">
        <v>36525.01666666667</v>
      </c>
      <c r="C22" s="16">
        <v>36525.303472222222</v>
      </c>
      <c r="D22" s="8">
        <v>0.5</v>
      </c>
      <c r="E22" s="9">
        <v>88.27000000000001</v>
      </c>
      <c r="F22" s="8">
        <v>412.4</v>
      </c>
      <c r="G22" s="8">
        <v>372.4</v>
      </c>
      <c r="H22" s="8">
        <v>40</v>
      </c>
      <c r="I22" s="8">
        <v>15.4</v>
      </c>
      <c r="J22" s="8">
        <v>2.6</v>
      </c>
      <c r="K22" s="8" t="s">
        <v>112</v>
      </c>
      <c r="L22">
        <v>21</v>
      </c>
    </row>
    <row r="23" spans="1:12" x14ac:dyDescent="0.3">
      <c r="A23" t="s">
        <v>74</v>
      </c>
      <c r="B23" s="16">
        <v>36524.986805555556</v>
      </c>
      <c r="C23" s="16">
        <v>36525.306944444441</v>
      </c>
      <c r="D23" s="8">
        <v>1.33</v>
      </c>
      <c r="E23" s="9">
        <v>82.72</v>
      </c>
      <c r="F23" s="8">
        <v>461.33</v>
      </c>
      <c r="G23" s="8">
        <v>381.17</v>
      </c>
      <c r="H23" s="8">
        <v>77.83</v>
      </c>
      <c r="I23" s="8">
        <v>24.67</v>
      </c>
      <c r="J23" s="8">
        <v>3.16</v>
      </c>
      <c r="K23" s="8" t="s">
        <v>112</v>
      </c>
      <c r="L23">
        <v>22</v>
      </c>
    </row>
    <row r="24" spans="1:12" x14ac:dyDescent="0.3">
      <c r="A24" t="s">
        <v>75</v>
      </c>
      <c r="B24" s="16">
        <v>36525.022916666669</v>
      </c>
      <c r="C24" s="16">
        <v>36525.386111111111</v>
      </c>
      <c r="D24" s="8">
        <v>1.43</v>
      </c>
      <c r="E24" s="9">
        <v>87.26</v>
      </c>
      <c r="F24" s="8">
        <v>522.86</v>
      </c>
      <c r="G24" s="8">
        <v>458.86</v>
      </c>
      <c r="H24" s="8">
        <v>62.57</v>
      </c>
      <c r="I24" s="8">
        <v>18</v>
      </c>
      <c r="J24" s="8">
        <v>3.48</v>
      </c>
      <c r="K24" s="8" t="s">
        <v>112</v>
      </c>
      <c r="L24">
        <v>23</v>
      </c>
    </row>
    <row r="25" spans="1:12" x14ac:dyDescent="0.3">
      <c r="A25" t="s">
        <v>76</v>
      </c>
      <c r="B25" s="16">
        <v>36524.949305555558</v>
      </c>
      <c r="C25" s="16">
        <v>36525.270138888889</v>
      </c>
      <c r="D25" s="8">
        <v>1.29</v>
      </c>
      <c r="E25" s="9">
        <v>88.48</v>
      </c>
      <c r="F25" s="8">
        <v>462.29</v>
      </c>
      <c r="G25" s="8">
        <v>408.71</v>
      </c>
      <c r="H25" s="8">
        <v>52.29</v>
      </c>
      <c r="I25" s="8">
        <v>18.86</v>
      </c>
      <c r="J25" s="8">
        <v>2.77</v>
      </c>
      <c r="K25" s="8" t="s">
        <v>112</v>
      </c>
      <c r="L25">
        <v>24</v>
      </c>
    </row>
    <row r="26" spans="1:12" x14ac:dyDescent="0.3">
      <c r="A26" t="s">
        <v>77</v>
      </c>
      <c r="B26" s="16">
        <v>36524.98333333333</v>
      </c>
      <c r="C26" s="16">
        <v>36525.328472222223</v>
      </c>
      <c r="D26" s="8">
        <v>1.71</v>
      </c>
      <c r="E26" s="9">
        <v>87.72</v>
      </c>
      <c r="F26" s="8">
        <v>497.71</v>
      </c>
      <c r="G26" s="8">
        <v>438.14</v>
      </c>
      <c r="H26" s="8">
        <v>56.86</v>
      </c>
      <c r="I26" s="8">
        <v>25.14</v>
      </c>
      <c r="J26" s="8">
        <v>2.2599999999999998</v>
      </c>
      <c r="K26" s="8" t="s">
        <v>112</v>
      </c>
      <c r="L26">
        <v>25</v>
      </c>
    </row>
    <row r="27" spans="1:12" x14ac:dyDescent="0.3">
      <c r="A27" t="s">
        <v>78</v>
      </c>
      <c r="B27" s="16">
        <v>36525.011805555558</v>
      </c>
      <c r="C27" s="16">
        <v>36525.289583333331</v>
      </c>
      <c r="D27" s="8">
        <v>1.1399999999999999</v>
      </c>
      <c r="E27" s="9">
        <v>85.19</v>
      </c>
      <c r="F27" s="8">
        <v>399.86</v>
      </c>
      <c r="G27" s="8">
        <v>327.86</v>
      </c>
      <c r="H27" s="8">
        <v>70.86</v>
      </c>
      <c r="I27" s="8">
        <v>14.57</v>
      </c>
      <c r="J27" s="8">
        <v>4.8600000000000003</v>
      </c>
      <c r="K27" s="8" t="s">
        <v>112</v>
      </c>
      <c r="L27">
        <v>26</v>
      </c>
    </row>
    <row r="28" spans="1:12" x14ac:dyDescent="0.3">
      <c r="A28" t="s">
        <v>79</v>
      </c>
      <c r="B28" s="16">
        <v>36524.974999999999</v>
      </c>
      <c r="C28" s="16">
        <v>36525.367361111108</v>
      </c>
      <c r="D28" s="8">
        <v>1.67</v>
      </c>
      <c r="E28" s="9">
        <v>91.92</v>
      </c>
      <c r="F28" s="8">
        <v>564.5</v>
      </c>
      <c r="G28" s="8">
        <v>518.83000000000004</v>
      </c>
      <c r="H28" s="8">
        <v>44</v>
      </c>
      <c r="I28" s="8">
        <v>16.170000000000002</v>
      </c>
      <c r="J28" s="8">
        <v>2.72</v>
      </c>
      <c r="K28" s="8" t="s">
        <v>112</v>
      </c>
      <c r="L28">
        <v>27</v>
      </c>
    </row>
    <row r="29" spans="1:12" x14ac:dyDescent="0.3">
      <c r="A29" s="3" t="s">
        <v>72</v>
      </c>
      <c r="B29" s="17">
        <v>36525.049305555556</v>
      </c>
      <c r="C29" s="16">
        <v>36525.333333333336</v>
      </c>
      <c r="D29" s="10">
        <v>1.83</v>
      </c>
      <c r="E29" s="11">
        <v>78.69</v>
      </c>
      <c r="F29" s="10">
        <v>408.83</v>
      </c>
      <c r="G29" s="10">
        <v>319.67</v>
      </c>
      <c r="H29" s="10">
        <v>87.33</v>
      </c>
      <c r="I29" s="10">
        <v>29</v>
      </c>
      <c r="J29" s="10">
        <v>3.01</v>
      </c>
      <c r="K29" s="8" t="s">
        <v>112</v>
      </c>
      <c r="L29">
        <v>28</v>
      </c>
    </row>
    <row r="30" spans="1:12" x14ac:dyDescent="0.3">
      <c r="A30" t="s">
        <v>88</v>
      </c>
      <c r="B30" s="16">
        <v>36524.963194444441</v>
      </c>
      <c r="C30" s="16">
        <v>36525.324305555558</v>
      </c>
      <c r="D30" s="8">
        <v>1.1399999999999999</v>
      </c>
      <c r="E30" s="9">
        <v>86.82</v>
      </c>
      <c r="F30" s="8">
        <v>520.29</v>
      </c>
      <c r="G30" s="8">
        <v>452.71</v>
      </c>
      <c r="H30" s="8">
        <v>66.430000000000007</v>
      </c>
      <c r="I30" s="8">
        <v>19</v>
      </c>
      <c r="J30" s="8">
        <v>3.5</v>
      </c>
      <c r="K30" s="8" t="s">
        <v>117</v>
      </c>
      <c r="L30">
        <v>29</v>
      </c>
    </row>
    <row r="31" spans="1:12" x14ac:dyDescent="0.3">
      <c r="A31" t="s">
        <v>90</v>
      </c>
      <c r="B31" s="16">
        <v>36525.118055555555</v>
      </c>
      <c r="C31" s="16">
        <v>36525.463888888888</v>
      </c>
      <c r="D31" s="8">
        <v>0.63</v>
      </c>
      <c r="E31" s="9">
        <v>93.589999999999989</v>
      </c>
      <c r="F31" s="8">
        <v>498.13</v>
      </c>
      <c r="G31" s="8">
        <v>473.13</v>
      </c>
      <c r="H31" s="8">
        <v>24.38</v>
      </c>
      <c r="I31" s="8">
        <v>11.13</v>
      </c>
      <c r="J31" s="8">
        <v>2.19</v>
      </c>
      <c r="K31" s="8" t="s">
        <v>117</v>
      </c>
      <c r="L31">
        <v>30</v>
      </c>
    </row>
    <row r="32" spans="1:12" x14ac:dyDescent="0.3">
      <c r="A32" t="s">
        <v>91</v>
      </c>
      <c r="B32" s="16">
        <v>36524.984027777777</v>
      </c>
      <c r="C32" s="16">
        <v>36525.286805555559</v>
      </c>
      <c r="D32" s="8">
        <v>1.1000000000000001</v>
      </c>
      <c r="E32" s="9">
        <v>83.55</v>
      </c>
      <c r="F32" s="8">
        <v>435.83</v>
      </c>
      <c r="G32" s="8">
        <v>362.5</v>
      </c>
      <c r="H32" s="8">
        <v>69.17</v>
      </c>
      <c r="I32" s="8">
        <v>24.83</v>
      </c>
      <c r="J32" s="8">
        <v>2.79</v>
      </c>
      <c r="K32" s="8" t="s">
        <v>117</v>
      </c>
      <c r="L32">
        <v>31</v>
      </c>
    </row>
    <row r="33" spans="1:14" x14ac:dyDescent="0.3">
      <c r="A33" t="s">
        <v>92</v>
      </c>
      <c r="B33" s="16">
        <v>36525.056944444441</v>
      </c>
      <c r="C33" s="16">
        <v>36525.370833333334</v>
      </c>
      <c r="D33" s="8">
        <v>1.43</v>
      </c>
      <c r="E33" s="9">
        <v>82.320000000000007</v>
      </c>
      <c r="F33" s="8">
        <v>452.57</v>
      </c>
      <c r="G33" s="8">
        <v>387.29</v>
      </c>
      <c r="H33" s="8">
        <v>63.86</v>
      </c>
      <c r="I33" s="8">
        <v>22.43</v>
      </c>
      <c r="J33" s="8">
        <v>2.85</v>
      </c>
      <c r="K33" s="8" t="s">
        <v>117</v>
      </c>
      <c r="L33">
        <v>32</v>
      </c>
    </row>
    <row r="34" spans="1:14" x14ac:dyDescent="0.3">
      <c r="A34" t="s">
        <v>93</v>
      </c>
      <c r="B34" s="16">
        <v>36525.112500000003</v>
      </c>
      <c r="C34" s="16">
        <v>36525.407638888886</v>
      </c>
      <c r="D34" s="8">
        <v>0.6</v>
      </c>
      <c r="E34" s="9">
        <v>79.759999999999991</v>
      </c>
      <c r="F34" s="8">
        <v>424.8</v>
      </c>
      <c r="G34" s="8">
        <v>337.8</v>
      </c>
      <c r="H34" s="8">
        <v>86.4</v>
      </c>
      <c r="I34" s="8">
        <v>21.2</v>
      </c>
      <c r="J34" s="8">
        <v>4.08</v>
      </c>
      <c r="K34" s="8" t="s">
        <v>117</v>
      </c>
      <c r="L34">
        <v>33</v>
      </c>
    </row>
    <row r="35" spans="1:14" x14ac:dyDescent="0.3">
      <c r="A35" t="s">
        <v>94</v>
      </c>
      <c r="B35" s="16">
        <v>36524.997916666667</v>
      </c>
      <c r="C35" s="16">
        <v>36525.344444444447</v>
      </c>
      <c r="D35" s="8">
        <v>1.5</v>
      </c>
      <c r="E35" s="9">
        <v>87.18</v>
      </c>
      <c r="F35" s="8">
        <v>498.75</v>
      </c>
      <c r="G35" s="8">
        <v>434.25</v>
      </c>
      <c r="H35" s="8">
        <v>62</v>
      </c>
      <c r="I35" s="8">
        <v>23.75</v>
      </c>
      <c r="J35" s="8">
        <v>2.61</v>
      </c>
      <c r="K35" s="8" t="s">
        <v>117</v>
      </c>
      <c r="L35">
        <v>34</v>
      </c>
    </row>
    <row r="36" spans="1:14" x14ac:dyDescent="0.3">
      <c r="A36" t="s">
        <v>95</v>
      </c>
      <c r="B36" s="16">
        <v>36524.836111111108</v>
      </c>
      <c r="C36" s="16">
        <v>36525.329861111109</v>
      </c>
      <c r="D36" s="8">
        <v>0.67</v>
      </c>
      <c r="E36" s="9">
        <v>93.13</v>
      </c>
      <c r="F36" s="8">
        <v>711.17</v>
      </c>
      <c r="G36" s="8">
        <v>665.67</v>
      </c>
      <c r="H36" s="8">
        <v>44.83</v>
      </c>
      <c r="I36" s="8">
        <v>16.329999999999998</v>
      </c>
      <c r="J36" s="8">
        <v>2.74</v>
      </c>
      <c r="K36" s="8" t="s">
        <v>117</v>
      </c>
      <c r="L36">
        <v>35</v>
      </c>
    </row>
    <row r="37" spans="1:14" x14ac:dyDescent="0.3">
      <c r="A37" t="s">
        <v>96</v>
      </c>
      <c r="B37" s="16">
        <v>36525.015277777777</v>
      </c>
      <c r="C37" s="16">
        <v>36525.357638888891</v>
      </c>
      <c r="D37" s="8">
        <v>0.28999999999999998</v>
      </c>
      <c r="E37" s="9">
        <v>85.31</v>
      </c>
      <c r="F37" s="8">
        <v>492.43</v>
      </c>
      <c r="G37" s="8">
        <v>421.43</v>
      </c>
      <c r="H37" s="8">
        <v>70.709999999999994</v>
      </c>
      <c r="I37" s="8">
        <v>26.57</v>
      </c>
      <c r="J37" s="8">
        <v>2.66</v>
      </c>
      <c r="K37" s="8" t="s">
        <v>117</v>
      </c>
      <c r="L37">
        <v>36</v>
      </c>
    </row>
    <row r="38" spans="1:14" x14ac:dyDescent="0.3">
      <c r="A38" t="s">
        <v>89</v>
      </c>
      <c r="B38" s="16">
        <v>36525.004166666666</v>
      </c>
      <c r="C38" s="16">
        <v>36525.311111111114</v>
      </c>
      <c r="D38" s="8">
        <v>1.5</v>
      </c>
      <c r="E38" s="9">
        <v>90.72</v>
      </c>
      <c r="F38" s="8">
        <v>442.63</v>
      </c>
      <c r="G38" s="8">
        <v>404.13</v>
      </c>
      <c r="H38" s="8">
        <v>36.5</v>
      </c>
      <c r="I38" s="8">
        <v>13.88</v>
      </c>
      <c r="J38" s="8">
        <v>2.63</v>
      </c>
      <c r="K38" s="8" t="s">
        <v>117</v>
      </c>
      <c r="L38">
        <v>37</v>
      </c>
    </row>
    <row r="42" spans="1:14" x14ac:dyDescent="0.3">
      <c r="B42" s="14"/>
      <c r="C42" s="14"/>
      <c r="D42" s="3"/>
      <c r="E42" s="3"/>
      <c r="F42" s="3"/>
      <c r="G42" s="3"/>
      <c r="H42" s="3"/>
      <c r="I42" s="3"/>
      <c r="J42" s="3"/>
    </row>
    <row r="43" spans="1:14" x14ac:dyDescent="0.3">
      <c r="N43" s="3"/>
    </row>
    <row r="44" spans="1:14" x14ac:dyDescent="0.3">
      <c r="F44" s="9"/>
      <c r="N44" s="3"/>
    </row>
    <row r="45" spans="1:14" x14ac:dyDescent="0.3">
      <c r="F45" s="9"/>
      <c r="G45" s="7"/>
      <c r="N45" s="3"/>
    </row>
    <row r="46" spans="1:14" x14ac:dyDescent="0.3">
      <c r="N46" s="3"/>
    </row>
    <row r="47" spans="1:14" x14ac:dyDescent="0.3">
      <c r="N47" s="3"/>
    </row>
    <row r="48" spans="1:14" x14ac:dyDescent="0.3">
      <c r="N48" s="3"/>
    </row>
    <row r="49" spans="5:14" x14ac:dyDescent="0.3">
      <c r="E49" s="9"/>
      <c r="N49" s="3"/>
    </row>
    <row r="50" spans="5:14" x14ac:dyDescent="0.3">
      <c r="N50" s="3"/>
    </row>
    <row r="51" spans="5:14" x14ac:dyDescent="0.3">
      <c r="N51" s="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63C9-15DD-4B05-8037-546DD5A9F999}">
  <dimension ref="A1:P38"/>
  <sheetViews>
    <sheetView zoomScale="98" workbookViewId="0">
      <selection activeCell="G5" sqref="G5:L16"/>
    </sheetView>
  </sheetViews>
  <sheetFormatPr defaultRowHeight="14.4" x14ac:dyDescent="0.3"/>
  <cols>
    <col min="6" max="7" width="13.6640625" bestFit="1" customWidth="1"/>
  </cols>
  <sheetData>
    <row r="1" spans="1:10" x14ac:dyDescent="0.3">
      <c r="A1" t="s">
        <v>0</v>
      </c>
      <c r="B1" t="s">
        <v>97</v>
      </c>
      <c r="C1" t="s">
        <v>110</v>
      </c>
      <c r="D1" t="s">
        <v>111</v>
      </c>
      <c r="E1" t="s">
        <v>120</v>
      </c>
    </row>
    <row r="2" spans="1:10" x14ac:dyDescent="0.3">
      <c r="A2">
        <v>1</v>
      </c>
      <c r="B2" t="s">
        <v>59</v>
      </c>
      <c r="C2" s="4">
        <v>3</v>
      </c>
      <c r="D2">
        <v>2</v>
      </c>
      <c r="E2" s="4">
        <f>((D2-C2)/D2)*100</f>
        <v>-50</v>
      </c>
    </row>
    <row r="3" spans="1:10" x14ac:dyDescent="0.3">
      <c r="A3">
        <v>2</v>
      </c>
      <c r="B3" t="s">
        <v>59</v>
      </c>
      <c r="C3" s="4">
        <v>1</v>
      </c>
      <c r="D3">
        <v>2</v>
      </c>
      <c r="E3" s="4">
        <f t="shared" ref="E3:E38" si="0">((D3-C3)/D3)*100</f>
        <v>50</v>
      </c>
    </row>
    <row r="4" spans="1:10" x14ac:dyDescent="0.3">
      <c r="A4">
        <v>3</v>
      </c>
      <c r="B4" t="s">
        <v>59</v>
      </c>
      <c r="C4" s="4">
        <v>3</v>
      </c>
      <c r="D4">
        <v>4</v>
      </c>
      <c r="E4" s="4">
        <f t="shared" si="0"/>
        <v>25</v>
      </c>
    </row>
    <row r="5" spans="1:10" x14ac:dyDescent="0.3">
      <c r="A5">
        <v>4</v>
      </c>
      <c r="B5" t="s">
        <v>59</v>
      </c>
      <c r="C5" s="4">
        <v>4</v>
      </c>
      <c r="D5">
        <v>3</v>
      </c>
      <c r="E5" s="4">
        <f t="shared" si="0"/>
        <v>-33.333333333333329</v>
      </c>
    </row>
    <row r="6" spans="1:10" x14ac:dyDescent="0.3">
      <c r="A6">
        <v>5</v>
      </c>
      <c r="B6" t="s">
        <v>59</v>
      </c>
      <c r="C6" s="4">
        <v>4</v>
      </c>
      <c r="D6">
        <v>3</v>
      </c>
      <c r="E6" s="4">
        <f t="shared" si="0"/>
        <v>-33.333333333333329</v>
      </c>
    </row>
    <row r="7" spans="1:10" x14ac:dyDescent="0.3">
      <c r="A7">
        <v>6</v>
      </c>
      <c r="B7" t="s">
        <v>59</v>
      </c>
      <c r="C7" s="4">
        <v>7</v>
      </c>
      <c r="D7">
        <v>7</v>
      </c>
      <c r="E7" s="4">
        <f t="shared" si="0"/>
        <v>0</v>
      </c>
    </row>
    <row r="8" spans="1:10" x14ac:dyDescent="0.3">
      <c r="A8">
        <v>7</v>
      </c>
      <c r="B8" t="s">
        <v>59</v>
      </c>
      <c r="C8" s="4">
        <v>1</v>
      </c>
      <c r="D8">
        <v>1</v>
      </c>
      <c r="E8" s="4">
        <f t="shared" si="0"/>
        <v>0</v>
      </c>
      <c r="G8" s="4"/>
      <c r="H8" s="4"/>
      <c r="I8" s="4"/>
      <c r="J8" s="4"/>
    </row>
    <row r="9" spans="1:10" x14ac:dyDescent="0.3">
      <c r="A9">
        <v>8</v>
      </c>
      <c r="B9" t="s">
        <v>59</v>
      </c>
      <c r="C9" s="4">
        <v>2</v>
      </c>
      <c r="D9">
        <v>5</v>
      </c>
      <c r="E9" s="4">
        <f t="shared" si="0"/>
        <v>60</v>
      </c>
    </row>
    <row r="10" spans="1:10" x14ac:dyDescent="0.3">
      <c r="A10">
        <v>9</v>
      </c>
      <c r="B10" t="s">
        <v>59</v>
      </c>
      <c r="C10" s="4">
        <v>3</v>
      </c>
      <c r="D10">
        <v>3</v>
      </c>
      <c r="E10" s="4">
        <f t="shared" si="0"/>
        <v>0</v>
      </c>
    </row>
    <row r="11" spans="1:10" x14ac:dyDescent="0.3">
      <c r="A11">
        <v>10</v>
      </c>
      <c r="B11" t="s">
        <v>59</v>
      </c>
      <c r="C11" s="4">
        <v>1</v>
      </c>
      <c r="D11">
        <v>6</v>
      </c>
      <c r="E11" s="4">
        <f t="shared" si="0"/>
        <v>83.333333333333343</v>
      </c>
    </row>
    <row r="12" spans="1:10" x14ac:dyDescent="0.3">
      <c r="A12">
        <v>11</v>
      </c>
      <c r="B12" t="s">
        <v>59</v>
      </c>
      <c r="C12" s="4">
        <v>6</v>
      </c>
      <c r="D12">
        <v>4</v>
      </c>
      <c r="E12" s="4">
        <f t="shared" si="0"/>
        <v>-50</v>
      </c>
    </row>
    <row r="13" spans="1:10" x14ac:dyDescent="0.3">
      <c r="A13">
        <v>12</v>
      </c>
      <c r="B13" t="s">
        <v>99</v>
      </c>
      <c r="C13" s="4">
        <v>5</v>
      </c>
      <c r="D13">
        <v>5</v>
      </c>
      <c r="E13" s="4">
        <f t="shared" si="0"/>
        <v>0</v>
      </c>
    </row>
    <row r="14" spans="1:10" x14ac:dyDescent="0.3">
      <c r="A14">
        <v>13</v>
      </c>
      <c r="B14" t="s">
        <v>99</v>
      </c>
      <c r="C14" s="4">
        <v>3</v>
      </c>
      <c r="D14">
        <v>4</v>
      </c>
      <c r="E14" s="4">
        <f t="shared" si="0"/>
        <v>25</v>
      </c>
    </row>
    <row r="15" spans="1:10" x14ac:dyDescent="0.3">
      <c r="A15">
        <v>14</v>
      </c>
      <c r="B15" t="s">
        <v>99</v>
      </c>
      <c r="C15" s="4">
        <v>4</v>
      </c>
      <c r="D15">
        <v>2</v>
      </c>
      <c r="E15" s="4">
        <f t="shared" si="0"/>
        <v>-100</v>
      </c>
    </row>
    <row r="16" spans="1:10" x14ac:dyDescent="0.3">
      <c r="A16">
        <v>15</v>
      </c>
      <c r="B16" t="s">
        <v>99</v>
      </c>
      <c r="C16" s="4">
        <v>3</v>
      </c>
      <c r="D16">
        <v>3</v>
      </c>
      <c r="E16" s="4">
        <f t="shared" si="0"/>
        <v>0</v>
      </c>
    </row>
    <row r="17" spans="1:16" x14ac:dyDescent="0.3">
      <c r="A17">
        <v>16</v>
      </c>
      <c r="B17" t="s">
        <v>99</v>
      </c>
      <c r="C17" s="4">
        <v>5</v>
      </c>
      <c r="D17">
        <v>5</v>
      </c>
      <c r="E17" s="4">
        <f t="shared" si="0"/>
        <v>0</v>
      </c>
    </row>
    <row r="18" spans="1:16" x14ac:dyDescent="0.3">
      <c r="A18">
        <v>17</v>
      </c>
      <c r="B18" t="s">
        <v>99</v>
      </c>
      <c r="C18" s="4">
        <v>5</v>
      </c>
      <c r="D18">
        <v>4</v>
      </c>
      <c r="E18" s="4">
        <f t="shared" si="0"/>
        <v>-25</v>
      </c>
    </row>
    <row r="19" spans="1:16" x14ac:dyDescent="0.3">
      <c r="A19">
        <v>18</v>
      </c>
      <c r="B19" t="s">
        <v>99</v>
      </c>
      <c r="C19" s="4">
        <v>3</v>
      </c>
      <c r="D19">
        <v>2</v>
      </c>
      <c r="E19" s="4">
        <f t="shared" si="0"/>
        <v>-50</v>
      </c>
    </row>
    <row r="20" spans="1:16" x14ac:dyDescent="0.3">
      <c r="A20">
        <v>19</v>
      </c>
      <c r="B20" t="s">
        <v>99</v>
      </c>
      <c r="C20" s="4">
        <v>6</v>
      </c>
      <c r="D20">
        <v>4</v>
      </c>
      <c r="E20" s="4">
        <f t="shared" si="0"/>
        <v>-50</v>
      </c>
    </row>
    <row r="21" spans="1:16" x14ac:dyDescent="0.3">
      <c r="A21">
        <v>20</v>
      </c>
      <c r="B21" t="s">
        <v>98</v>
      </c>
      <c r="C21">
        <v>4</v>
      </c>
      <c r="D21">
        <v>6</v>
      </c>
      <c r="E21" s="4">
        <f t="shared" si="0"/>
        <v>33.333333333333329</v>
      </c>
      <c r="K21" s="4"/>
      <c r="M21" s="4"/>
      <c r="N21" s="4"/>
      <c r="O21" s="4"/>
      <c r="P21" s="4"/>
    </row>
    <row r="22" spans="1:16" x14ac:dyDescent="0.3">
      <c r="A22">
        <v>21</v>
      </c>
      <c r="B22" t="s">
        <v>98</v>
      </c>
      <c r="C22">
        <v>3</v>
      </c>
      <c r="D22">
        <v>2</v>
      </c>
      <c r="E22" s="4">
        <f t="shared" si="0"/>
        <v>-50</v>
      </c>
      <c r="K22" s="4"/>
      <c r="M22" s="4"/>
      <c r="N22" s="4"/>
      <c r="O22" s="4"/>
      <c r="P22" s="4"/>
    </row>
    <row r="23" spans="1:16" x14ac:dyDescent="0.3">
      <c r="A23">
        <v>22</v>
      </c>
      <c r="B23" t="s">
        <v>98</v>
      </c>
      <c r="C23">
        <v>3</v>
      </c>
      <c r="D23">
        <v>4</v>
      </c>
      <c r="E23" s="4">
        <f t="shared" si="0"/>
        <v>25</v>
      </c>
      <c r="K23" s="4"/>
    </row>
    <row r="24" spans="1:16" x14ac:dyDescent="0.3">
      <c r="A24">
        <v>23</v>
      </c>
      <c r="B24" t="s">
        <v>98</v>
      </c>
      <c r="C24">
        <v>2</v>
      </c>
      <c r="D24">
        <v>4</v>
      </c>
      <c r="E24" s="4">
        <f t="shared" si="0"/>
        <v>50</v>
      </c>
      <c r="K24" s="4"/>
    </row>
    <row r="25" spans="1:16" x14ac:dyDescent="0.3">
      <c r="A25">
        <v>24</v>
      </c>
      <c r="B25" t="s">
        <v>98</v>
      </c>
      <c r="C25">
        <v>4</v>
      </c>
      <c r="D25">
        <v>2</v>
      </c>
      <c r="E25" s="4">
        <f t="shared" si="0"/>
        <v>-100</v>
      </c>
    </row>
    <row r="26" spans="1:16" x14ac:dyDescent="0.3">
      <c r="A26">
        <v>25</v>
      </c>
      <c r="B26" t="s">
        <v>98</v>
      </c>
      <c r="C26">
        <v>3</v>
      </c>
      <c r="D26">
        <v>2</v>
      </c>
      <c r="E26" s="4">
        <f t="shared" si="0"/>
        <v>-50</v>
      </c>
    </row>
    <row r="27" spans="1:16" x14ac:dyDescent="0.3">
      <c r="A27">
        <v>26</v>
      </c>
      <c r="B27" t="s">
        <v>98</v>
      </c>
      <c r="C27">
        <v>4</v>
      </c>
      <c r="D27">
        <v>4</v>
      </c>
      <c r="E27" s="4">
        <f t="shared" si="0"/>
        <v>0</v>
      </c>
    </row>
    <row r="28" spans="1:16" x14ac:dyDescent="0.3">
      <c r="A28">
        <v>27</v>
      </c>
      <c r="B28" t="s">
        <v>98</v>
      </c>
      <c r="C28">
        <v>5</v>
      </c>
      <c r="D28">
        <v>4</v>
      </c>
      <c r="E28" s="4">
        <f t="shared" si="0"/>
        <v>-25</v>
      </c>
    </row>
    <row r="29" spans="1:16" x14ac:dyDescent="0.3">
      <c r="A29">
        <v>28</v>
      </c>
      <c r="B29" t="s">
        <v>98</v>
      </c>
      <c r="C29">
        <v>6</v>
      </c>
      <c r="D29">
        <v>3</v>
      </c>
      <c r="E29" s="4">
        <f t="shared" si="0"/>
        <v>-100</v>
      </c>
    </row>
    <row r="30" spans="1:16" x14ac:dyDescent="0.3">
      <c r="A30">
        <v>29</v>
      </c>
      <c r="B30" t="s">
        <v>108</v>
      </c>
      <c r="C30">
        <v>4</v>
      </c>
      <c r="D30">
        <v>2</v>
      </c>
      <c r="E30" s="4">
        <f t="shared" si="0"/>
        <v>-100</v>
      </c>
    </row>
    <row r="31" spans="1:16" x14ac:dyDescent="0.3">
      <c r="A31">
        <v>30</v>
      </c>
      <c r="B31" t="s">
        <v>108</v>
      </c>
      <c r="C31">
        <v>4</v>
      </c>
      <c r="D31">
        <v>4</v>
      </c>
      <c r="E31" s="4">
        <f t="shared" si="0"/>
        <v>0</v>
      </c>
    </row>
    <row r="32" spans="1:16" x14ac:dyDescent="0.3">
      <c r="A32">
        <v>31</v>
      </c>
      <c r="B32" t="s">
        <v>108</v>
      </c>
      <c r="C32">
        <v>2</v>
      </c>
      <c r="D32">
        <v>3</v>
      </c>
      <c r="E32" s="4">
        <f t="shared" si="0"/>
        <v>33.333333333333329</v>
      </c>
    </row>
    <row r="33" spans="1:5" x14ac:dyDescent="0.3">
      <c r="A33">
        <v>32</v>
      </c>
      <c r="B33" t="s">
        <v>108</v>
      </c>
      <c r="C33">
        <v>3</v>
      </c>
      <c r="D33">
        <v>3</v>
      </c>
      <c r="E33" s="4">
        <f t="shared" si="0"/>
        <v>0</v>
      </c>
    </row>
    <row r="34" spans="1:5" x14ac:dyDescent="0.3">
      <c r="A34">
        <v>33</v>
      </c>
      <c r="B34" t="s">
        <v>108</v>
      </c>
      <c r="C34">
        <v>5</v>
      </c>
      <c r="D34">
        <v>2</v>
      </c>
      <c r="E34" s="4">
        <f t="shared" si="0"/>
        <v>-150</v>
      </c>
    </row>
    <row r="35" spans="1:5" x14ac:dyDescent="0.3">
      <c r="A35">
        <v>34</v>
      </c>
      <c r="B35" t="s">
        <v>108</v>
      </c>
      <c r="C35">
        <v>3</v>
      </c>
      <c r="D35">
        <v>3</v>
      </c>
      <c r="E35" s="4">
        <f t="shared" si="0"/>
        <v>0</v>
      </c>
    </row>
    <row r="36" spans="1:5" x14ac:dyDescent="0.3">
      <c r="A36">
        <v>35</v>
      </c>
      <c r="B36" t="s">
        <v>108</v>
      </c>
      <c r="C36">
        <v>7</v>
      </c>
      <c r="D36">
        <v>7</v>
      </c>
      <c r="E36" s="4">
        <f t="shared" si="0"/>
        <v>0</v>
      </c>
    </row>
    <row r="37" spans="1:5" x14ac:dyDescent="0.3">
      <c r="A37">
        <v>36</v>
      </c>
      <c r="B37" t="s">
        <v>108</v>
      </c>
      <c r="C37">
        <v>1</v>
      </c>
      <c r="D37">
        <v>1</v>
      </c>
      <c r="E37" s="4">
        <f t="shared" si="0"/>
        <v>0</v>
      </c>
    </row>
    <row r="38" spans="1:5" x14ac:dyDescent="0.3">
      <c r="A38">
        <v>37</v>
      </c>
      <c r="B38" t="s">
        <v>108</v>
      </c>
      <c r="C38">
        <v>3</v>
      </c>
      <c r="D38">
        <v>3</v>
      </c>
      <c r="E38" s="4">
        <f t="shared" si="0"/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4327B-CCD6-459C-B2D8-52D141AB12F4}">
  <dimension ref="A1:P38"/>
  <sheetViews>
    <sheetView zoomScale="98" workbookViewId="0">
      <selection activeCell="F41" sqref="F1:K41"/>
    </sheetView>
  </sheetViews>
  <sheetFormatPr defaultRowHeight="14.4" x14ac:dyDescent="0.3"/>
  <cols>
    <col min="6" max="6" width="13.6640625" customWidth="1"/>
    <col min="7" max="7" width="13.6640625" bestFit="1" customWidth="1"/>
  </cols>
  <sheetData>
    <row r="1" spans="1:16" x14ac:dyDescent="0.3">
      <c r="A1" t="s">
        <v>0</v>
      </c>
      <c r="B1" t="s">
        <v>97</v>
      </c>
      <c r="C1" t="s">
        <v>110</v>
      </c>
      <c r="D1" t="s">
        <v>111</v>
      </c>
      <c r="E1" t="s">
        <v>120</v>
      </c>
    </row>
    <row r="2" spans="1:16" x14ac:dyDescent="0.3">
      <c r="A2">
        <v>1</v>
      </c>
      <c r="B2" t="s">
        <v>59</v>
      </c>
      <c r="C2">
        <v>3</v>
      </c>
      <c r="D2" s="4">
        <v>3</v>
      </c>
      <c r="E2" s="4">
        <f>((D2-C2)/D2)*100</f>
        <v>0</v>
      </c>
    </row>
    <row r="3" spans="1:16" x14ac:dyDescent="0.3">
      <c r="A3">
        <v>2</v>
      </c>
      <c r="B3" t="s">
        <v>59</v>
      </c>
      <c r="C3">
        <v>4</v>
      </c>
      <c r="D3" s="4">
        <v>5</v>
      </c>
      <c r="E3" s="4">
        <f t="shared" ref="E3:E38" si="0">((D3-C3)/D3)*100</f>
        <v>20</v>
      </c>
    </row>
    <row r="4" spans="1:16" x14ac:dyDescent="0.3">
      <c r="A4">
        <v>3</v>
      </c>
      <c r="B4" t="s">
        <v>59</v>
      </c>
      <c r="C4">
        <v>4</v>
      </c>
      <c r="D4" s="4">
        <v>3</v>
      </c>
      <c r="E4" s="4">
        <f t="shared" si="0"/>
        <v>-33.333333333333329</v>
      </c>
    </row>
    <row r="5" spans="1:16" x14ac:dyDescent="0.3">
      <c r="A5">
        <v>4</v>
      </c>
      <c r="B5" t="s">
        <v>59</v>
      </c>
      <c r="C5">
        <v>6</v>
      </c>
      <c r="D5" s="4">
        <v>7</v>
      </c>
      <c r="E5" s="4">
        <f t="shared" si="0"/>
        <v>14.285714285714285</v>
      </c>
    </row>
    <row r="6" spans="1:16" x14ac:dyDescent="0.3">
      <c r="A6">
        <v>5</v>
      </c>
      <c r="B6" t="s">
        <v>59</v>
      </c>
      <c r="C6">
        <v>3</v>
      </c>
      <c r="D6" s="4">
        <v>4</v>
      </c>
      <c r="E6" s="4">
        <f t="shared" si="0"/>
        <v>25</v>
      </c>
    </row>
    <row r="7" spans="1:16" x14ac:dyDescent="0.3">
      <c r="A7">
        <v>6</v>
      </c>
      <c r="B7" t="s">
        <v>59</v>
      </c>
      <c r="C7">
        <v>4</v>
      </c>
      <c r="D7" s="15">
        <v>5</v>
      </c>
      <c r="E7" s="4">
        <f t="shared" si="0"/>
        <v>20</v>
      </c>
      <c r="M7" s="4"/>
      <c r="P7" s="4"/>
    </row>
    <row r="8" spans="1:16" x14ac:dyDescent="0.3">
      <c r="A8">
        <v>7</v>
      </c>
      <c r="B8" t="s">
        <v>59</v>
      </c>
      <c r="C8">
        <v>3</v>
      </c>
      <c r="D8" s="4">
        <v>4</v>
      </c>
      <c r="E8" s="4">
        <f t="shared" si="0"/>
        <v>25</v>
      </c>
      <c r="G8" s="7"/>
      <c r="H8" s="4"/>
      <c r="I8" s="4"/>
      <c r="J8" s="4"/>
    </row>
    <row r="9" spans="1:16" x14ac:dyDescent="0.3">
      <c r="A9">
        <v>8</v>
      </c>
      <c r="B9" t="s">
        <v>59</v>
      </c>
      <c r="C9">
        <v>2</v>
      </c>
      <c r="D9" s="4">
        <v>3</v>
      </c>
      <c r="E9" s="4">
        <f t="shared" si="0"/>
        <v>33.333333333333329</v>
      </c>
    </row>
    <row r="10" spans="1:16" x14ac:dyDescent="0.3">
      <c r="A10">
        <v>9</v>
      </c>
      <c r="B10" t="s">
        <v>59</v>
      </c>
      <c r="C10">
        <v>4</v>
      </c>
      <c r="D10" s="4">
        <v>4</v>
      </c>
      <c r="E10" s="4">
        <f t="shared" si="0"/>
        <v>0</v>
      </c>
    </row>
    <row r="11" spans="1:16" x14ac:dyDescent="0.3">
      <c r="A11">
        <v>10</v>
      </c>
      <c r="B11" t="s">
        <v>59</v>
      </c>
      <c r="C11">
        <v>7</v>
      </c>
      <c r="D11" s="4">
        <v>6</v>
      </c>
      <c r="E11" s="4">
        <f t="shared" si="0"/>
        <v>-16.666666666666664</v>
      </c>
    </row>
    <row r="12" spans="1:16" x14ac:dyDescent="0.3">
      <c r="A12">
        <v>11</v>
      </c>
      <c r="B12" t="s">
        <v>59</v>
      </c>
      <c r="C12">
        <v>5</v>
      </c>
      <c r="D12" s="4">
        <v>6</v>
      </c>
      <c r="E12" s="4">
        <f t="shared" si="0"/>
        <v>16.666666666666664</v>
      </c>
    </row>
    <row r="13" spans="1:16" x14ac:dyDescent="0.3">
      <c r="A13">
        <v>12</v>
      </c>
      <c r="B13" t="s">
        <v>99</v>
      </c>
      <c r="C13">
        <v>3</v>
      </c>
      <c r="D13">
        <v>2</v>
      </c>
      <c r="E13" s="4">
        <f t="shared" si="0"/>
        <v>-50</v>
      </c>
    </row>
    <row r="14" spans="1:16" x14ac:dyDescent="0.3">
      <c r="A14">
        <v>13</v>
      </c>
      <c r="B14" t="s">
        <v>99</v>
      </c>
      <c r="C14">
        <v>5</v>
      </c>
      <c r="D14">
        <v>2</v>
      </c>
      <c r="E14" s="4">
        <f t="shared" si="0"/>
        <v>-150</v>
      </c>
    </row>
    <row r="15" spans="1:16" x14ac:dyDescent="0.3">
      <c r="A15">
        <v>14</v>
      </c>
      <c r="B15" t="s">
        <v>99</v>
      </c>
      <c r="C15">
        <v>3</v>
      </c>
      <c r="D15">
        <v>3</v>
      </c>
      <c r="E15" s="4">
        <f t="shared" si="0"/>
        <v>0</v>
      </c>
    </row>
    <row r="16" spans="1:16" x14ac:dyDescent="0.3">
      <c r="A16">
        <v>15</v>
      </c>
      <c r="B16" t="s">
        <v>99</v>
      </c>
      <c r="C16">
        <v>5</v>
      </c>
      <c r="D16">
        <v>4</v>
      </c>
      <c r="E16" s="4">
        <f t="shared" si="0"/>
        <v>-25</v>
      </c>
    </row>
    <row r="17" spans="1:16" x14ac:dyDescent="0.3">
      <c r="A17">
        <v>16</v>
      </c>
      <c r="B17" t="s">
        <v>99</v>
      </c>
      <c r="C17">
        <v>4</v>
      </c>
      <c r="D17">
        <v>2</v>
      </c>
      <c r="E17" s="4">
        <f t="shared" si="0"/>
        <v>-100</v>
      </c>
    </row>
    <row r="18" spans="1:16" x14ac:dyDescent="0.3">
      <c r="A18">
        <v>17</v>
      </c>
      <c r="B18" t="s">
        <v>99</v>
      </c>
      <c r="C18">
        <v>6</v>
      </c>
      <c r="D18">
        <v>3</v>
      </c>
      <c r="E18" s="4">
        <f t="shared" si="0"/>
        <v>-100</v>
      </c>
      <c r="J18" s="4"/>
      <c r="O18" s="4"/>
      <c r="P18" s="4"/>
    </row>
    <row r="19" spans="1:16" x14ac:dyDescent="0.3">
      <c r="A19">
        <v>18</v>
      </c>
      <c r="B19" t="s">
        <v>99</v>
      </c>
      <c r="C19">
        <v>4</v>
      </c>
      <c r="D19">
        <v>2</v>
      </c>
      <c r="E19" s="4">
        <f t="shared" si="0"/>
        <v>-100</v>
      </c>
      <c r="J19" s="4"/>
      <c r="O19" s="4"/>
      <c r="P19" s="4"/>
    </row>
    <row r="20" spans="1:16" x14ac:dyDescent="0.3">
      <c r="A20">
        <v>19</v>
      </c>
      <c r="B20" t="s">
        <v>99</v>
      </c>
      <c r="C20">
        <v>3</v>
      </c>
      <c r="D20">
        <v>1</v>
      </c>
      <c r="E20" s="4">
        <f t="shared" si="0"/>
        <v>-200</v>
      </c>
      <c r="J20" s="4"/>
      <c r="K20" s="4"/>
    </row>
    <row r="21" spans="1:16" x14ac:dyDescent="0.3">
      <c r="A21">
        <v>20</v>
      </c>
      <c r="B21" t="s">
        <v>98</v>
      </c>
      <c r="C21" s="4">
        <v>6</v>
      </c>
      <c r="D21">
        <v>3</v>
      </c>
      <c r="E21" s="4">
        <f t="shared" si="0"/>
        <v>-100</v>
      </c>
      <c r="J21" s="4"/>
      <c r="K21" s="4"/>
    </row>
    <row r="22" spans="1:16" x14ac:dyDescent="0.3">
      <c r="A22">
        <v>21</v>
      </c>
      <c r="B22" t="s">
        <v>98</v>
      </c>
      <c r="C22" s="4">
        <v>3</v>
      </c>
      <c r="D22">
        <v>1</v>
      </c>
      <c r="E22" s="4">
        <f t="shared" si="0"/>
        <v>-200</v>
      </c>
    </row>
    <row r="23" spans="1:16" x14ac:dyDescent="0.3">
      <c r="A23">
        <v>22</v>
      </c>
      <c r="B23" t="s">
        <v>98</v>
      </c>
      <c r="C23" s="4">
        <v>5</v>
      </c>
      <c r="D23">
        <v>4</v>
      </c>
      <c r="E23" s="4">
        <f t="shared" si="0"/>
        <v>-25</v>
      </c>
    </row>
    <row r="24" spans="1:16" x14ac:dyDescent="0.3">
      <c r="A24">
        <v>23</v>
      </c>
      <c r="B24" t="s">
        <v>98</v>
      </c>
      <c r="C24" s="4">
        <v>5</v>
      </c>
      <c r="D24">
        <v>5</v>
      </c>
      <c r="E24" s="4">
        <f t="shared" si="0"/>
        <v>0</v>
      </c>
    </row>
    <row r="25" spans="1:16" x14ac:dyDescent="0.3">
      <c r="A25">
        <v>24</v>
      </c>
      <c r="B25" t="s">
        <v>98</v>
      </c>
      <c r="C25" s="4">
        <v>4</v>
      </c>
      <c r="D25">
        <v>3</v>
      </c>
      <c r="E25" s="4">
        <f t="shared" si="0"/>
        <v>-33.333333333333329</v>
      </c>
    </row>
    <row r="26" spans="1:16" x14ac:dyDescent="0.3">
      <c r="A26">
        <v>25</v>
      </c>
      <c r="B26" t="s">
        <v>98</v>
      </c>
      <c r="C26" s="4">
        <v>4</v>
      </c>
      <c r="D26">
        <v>3</v>
      </c>
      <c r="E26" s="4">
        <f t="shared" si="0"/>
        <v>-33.333333333333329</v>
      </c>
    </row>
    <row r="27" spans="1:16" x14ac:dyDescent="0.3">
      <c r="A27">
        <v>26</v>
      </c>
      <c r="B27" t="s">
        <v>98</v>
      </c>
      <c r="C27" s="4">
        <v>4</v>
      </c>
      <c r="D27">
        <v>4</v>
      </c>
      <c r="E27" s="4">
        <f t="shared" si="0"/>
        <v>0</v>
      </c>
    </row>
    <row r="28" spans="1:16" x14ac:dyDescent="0.3">
      <c r="A28">
        <v>27</v>
      </c>
      <c r="B28" t="s">
        <v>98</v>
      </c>
      <c r="C28" s="4">
        <v>5</v>
      </c>
      <c r="D28">
        <v>3</v>
      </c>
      <c r="E28" s="4">
        <f t="shared" si="0"/>
        <v>-66.666666666666657</v>
      </c>
    </row>
    <row r="29" spans="1:16" x14ac:dyDescent="0.3">
      <c r="A29">
        <v>28</v>
      </c>
      <c r="B29" t="s">
        <v>98</v>
      </c>
      <c r="C29">
        <v>5</v>
      </c>
      <c r="D29">
        <v>4</v>
      </c>
      <c r="E29" s="4">
        <f t="shared" si="0"/>
        <v>-25</v>
      </c>
    </row>
    <row r="30" spans="1:16" x14ac:dyDescent="0.3">
      <c r="A30">
        <v>29</v>
      </c>
      <c r="B30" t="s">
        <v>108</v>
      </c>
      <c r="C30">
        <v>4</v>
      </c>
      <c r="D30">
        <v>2</v>
      </c>
      <c r="E30" s="4">
        <f t="shared" si="0"/>
        <v>-100</v>
      </c>
    </row>
    <row r="31" spans="1:16" x14ac:dyDescent="0.3">
      <c r="A31">
        <v>30</v>
      </c>
      <c r="B31" t="s">
        <v>108</v>
      </c>
      <c r="C31">
        <v>4</v>
      </c>
      <c r="D31">
        <v>3</v>
      </c>
      <c r="E31" s="4">
        <f t="shared" si="0"/>
        <v>-33.333333333333329</v>
      </c>
    </row>
    <row r="32" spans="1:16" x14ac:dyDescent="0.3">
      <c r="A32">
        <v>31</v>
      </c>
      <c r="B32" t="s">
        <v>108</v>
      </c>
      <c r="C32">
        <v>3</v>
      </c>
      <c r="D32">
        <v>1</v>
      </c>
      <c r="E32" s="4">
        <f t="shared" si="0"/>
        <v>-200</v>
      </c>
      <c r="I32" s="4"/>
      <c r="J32" s="4"/>
    </row>
    <row r="33" spans="1:10" x14ac:dyDescent="0.3">
      <c r="A33">
        <v>32</v>
      </c>
      <c r="B33" t="s">
        <v>108</v>
      </c>
      <c r="C33">
        <v>4</v>
      </c>
      <c r="D33">
        <v>1</v>
      </c>
      <c r="E33" s="4">
        <f t="shared" si="0"/>
        <v>-300</v>
      </c>
      <c r="I33" s="4"/>
      <c r="J33" s="4"/>
    </row>
    <row r="34" spans="1:10" x14ac:dyDescent="0.3">
      <c r="A34">
        <v>33</v>
      </c>
      <c r="B34" t="s">
        <v>108</v>
      </c>
      <c r="C34">
        <v>5</v>
      </c>
      <c r="D34">
        <v>3</v>
      </c>
      <c r="E34" s="4">
        <f t="shared" si="0"/>
        <v>-66.666666666666657</v>
      </c>
      <c r="I34" s="4"/>
      <c r="J34" s="4"/>
    </row>
    <row r="35" spans="1:10" x14ac:dyDescent="0.3">
      <c r="A35">
        <v>34</v>
      </c>
      <c r="B35" t="s">
        <v>108</v>
      </c>
      <c r="C35">
        <v>4</v>
      </c>
      <c r="D35">
        <v>2</v>
      </c>
      <c r="E35" s="4">
        <f t="shared" si="0"/>
        <v>-100</v>
      </c>
      <c r="I35" s="4"/>
      <c r="J35" s="4"/>
    </row>
    <row r="36" spans="1:10" x14ac:dyDescent="0.3">
      <c r="A36">
        <v>35</v>
      </c>
      <c r="B36" t="s">
        <v>108</v>
      </c>
      <c r="C36">
        <v>4</v>
      </c>
      <c r="D36">
        <v>2</v>
      </c>
      <c r="E36" s="4">
        <f t="shared" si="0"/>
        <v>-100</v>
      </c>
    </row>
    <row r="37" spans="1:10" x14ac:dyDescent="0.3">
      <c r="A37">
        <v>36</v>
      </c>
      <c r="B37" t="s">
        <v>108</v>
      </c>
      <c r="C37">
        <v>5</v>
      </c>
      <c r="D37">
        <v>2</v>
      </c>
      <c r="E37" s="4">
        <f t="shared" si="0"/>
        <v>-150</v>
      </c>
    </row>
    <row r="38" spans="1:10" x14ac:dyDescent="0.3">
      <c r="A38">
        <v>37</v>
      </c>
      <c r="B38" t="s">
        <v>108</v>
      </c>
      <c r="C38">
        <v>6</v>
      </c>
      <c r="D38">
        <v>3</v>
      </c>
      <c r="E38" s="4">
        <f t="shared" si="0"/>
        <v>-100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D3207-2D73-48DD-A649-0DB86925D646}">
  <dimension ref="A1:Q38"/>
  <sheetViews>
    <sheetView zoomScale="98" workbookViewId="0">
      <selection activeCell="F26" sqref="F1:Q26"/>
    </sheetView>
  </sheetViews>
  <sheetFormatPr defaultRowHeight="14.4" x14ac:dyDescent="0.3"/>
  <cols>
    <col min="6" max="7" width="13.6640625" bestFit="1" customWidth="1"/>
  </cols>
  <sheetData>
    <row r="1" spans="1:10" x14ac:dyDescent="0.3">
      <c r="A1" t="s">
        <v>0</v>
      </c>
      <c r="B1" t="s">
        <v>97</v>
      </c>
      <c r="C1" t="s">
        <v>110</v>
      </c>
      <c r="D1" t="s">
        <v>111</v>
      </c>
      <c r="E1" t="s">
        <v>120</v>
      </c>
    </row>
    <row r="2" spans="1:10" x14ac:dyDescent="0.3">
      <c r="A2">
        <v>1</v>
      </c>
      <c r="B2" t="s">
        <v>59</v>
      </c>
      <c r="C2" s="4">
        <v>4</v>
      </c>
      <c r="D2">
        <v>4</v>
      </c>
      <c r="E2" s="4">
        <f>((D2-C2)/D2)*100</f>
        <v>0</v>
      </c>
    </row>
    <row r="3" spans="1:10" x14ac:dyDescent="0.3">
      <c r="A3">
        <v>2</v>
      </c>
      <c r="B3" t="s">
        <v>59</v>
      </c>
      <c r="C3" s="4">
        <v>3</v>
      </c>
      <c r="D3">
        <v>3</v>
      </c>
      <c r="E3" s="4">
        <f t="shared" ref="E3:E38" si="0">((D3-C3)/D3)*100</f>
        <v>0</v>
      </c>
    </row>
    <row r="4" spans="1:10" x14ac:dyDescent="0.3">
      <c r="A4">
        <v>3</v>
      </c>
      <c r="B4" t="s">
        <v>59</v>
      </c>
      <c r="C4" s="4">
        <v>2</v>
      </c>
      <c r="D4">
        <v>3</v>
      </c>
      <c r="E4" s="4">
        <f t="shared" si="0"/>
        <v>33.333333333333329</v>
      </c>
    </row>
    <row r="5" spans="1:10" x14ac:dyDescent="0.3">
      <c r="A5">
        <v>4</v>
      </c>
      <c r="B5" t="s">
        <v>59</v>
      </c>
      <c r="C5" s="4">
        <v>3</v>
      </c>
      <c r="D5">
        <v>2</v>
      </c>
      <c r="E5" s="4">
        <f t="shared" si="0"/>
        <v>-50</v>
      </c>
    </row>
    <row r="6" spans="1:10" x14ac:dyDescent="0.3">
      <c r="A6">
        <v>5</v>
      </c>
      <c r="B6" t="s">
        <v>59</v>
      </c>
      <c r="C6" s="4">
        <v>5</v>
      </c>
      <c r="D6">
        <v>3</v>
      </c>
      <c r="E6" s="4">
        <f t="shared" si="0"/>
        <v>-66.666666666666657</v>
      </c>
    </row>
    <row r="7" spans="1:10" x14ac:dyDescent="0.3">
      <c r="A7">
        <v>6</v>
      </c>
      <c r="B7" t="s">
        <v>59</v>
      </c>
      <c r="C7" s="4">
        <v>4</v>
      </c>
      <c r="D7">
        <v>4</v>
      </c>
      <c r="E7" s="4">
        <f t="shared" si="0"/>
        <v>0</v>
      </c>
    </row>
    <row r="8" spans="1:10" x14ac:dyDescent="0.3">
      <c r="A8">
        <v>7</v>
      </c>
      <c r="B8" t="s">
        <v>59</v>
      </c>
      <c r="C8" s="4">
        <v>1</v>
      </c>
      <c r="D8">
        <v>2</v>
      </c>
      <c r="E8" s="4">
        <f t="shared" si="0"/>
        <v>50</v>
      </c>
      <c r="G8" s="4"/>
      <c r="H8" s="4"/>
      <c r="I8" s="4"/>
      <c r="J8" s="4"/>
    </row>
    <row r="9" spans="1:10" x14ac:dyDescent="0.3">
      <c r="A9">
        <v>8</v>
      </c>
      <c r="B9" t="s">
        <v>59</v>
      </c>
      <c r="C9" s="4">
        <v>4</v>
      </c>
      <c r="D9">
        <v>4</v>
      </c>
      <c r="E9" s="4">
        <f t="shared" si="0"/>
        <v>0</v>
      </c>
    </row>
    <row r="10" spans="1:10" x14ac:dyDescent="0.3">
      <c r="A10">
        <v>9</v>
      </c>
      <c r="B10" t="s">
        <v>59</v>
      </c>
      <c r="C10" s="4">
        <v>3</v>
      </c>
      <c r="D10">
        <v>4</v>
      </c>
      <c r="E10" s="4">
        <f t="shared" si="0"/>
        <v>25</v>
      </c>
    </row>
    <row r="11" spans="1:10" x14ac:dyDescent="0.3">
      <c r="A11">
        <v>10</v>
      </c>
      <c r="B11" t="s">
        <v>59</v>
      </c>
      <c r="C11" s="4">
        <v>4</v>
      </c>
      <c r="D11">
        <v>5</v>
      </c>
      <c r="E11" s="4">
        <f t="shared" si="0"/>
        <v>20</v>
      </c>
    </row>
    <row r="12" spans="1:10" x14ac:dyDescent="0.3">
      <c r="A12">
        <v>11</v>
      </c>
      <c r="B12" t="s">
        <v>59</v>
      </c>
      <c r="C12" s="4">
        <v>5</v>
      </c>
      <c r="D12">
        <v>5</v>
      </c>
      <c r="E12" s="4">
        <f t="shared" si="0"/>
        <v>0</v>
      </c>
    </row>
    <row r="13" spans="1:10" x14ac:dyDescent="0.3">
      <c r="A13">
        <v>12</v>
      </c>
      <c r="B13" t="s">
        <v>99</v>
      </c>
      <c r="C13" s="4">
        <v>4</v>
      </c>
      <c r="D13">
        <v>4</v>
      </c>
      <c r="E13" s="4">
        <f t="shared" si="0"/>
        <v>0</v>
      </c>
    </row>
    <row r="14" spans="1:10" x14ac:dyDescent="0.3">
      <c r="A14">
        <v>13</v>
      </c>
      <c r="B14" t="s">
        <v>99</v>
      </c>
      <c r="C14" s="4">
        <v>3</v>
      </c>
      <c r="D14">
        <v>3</v>
      </c>
      <c r="E14" s="4">
        <f t="shared" si="0"/>
        <v>0</v>
      </c>
    </row>
    <row r="15" spans="1:10" x14ac:dyDescent="0.3">
      <c r="A15">
        <v>14</v>
      </c>
      <c r="B15" t="s">
        <v>99</v>
      </c>
      <c r="C15" s="4">
        <v>4</v>
      </c>
      <c r="D15">
        <v>4</v>
      </c>
      <c r="E15" s="4">
        <f t="shared" si="0"/>
        <v>0</v>
      </c>
    </row>
    <row r="16" spans="1:10" x14ac:dyDescent="0.3">
      <c r="A16">
        <v>15</v>
      </c>
      <c r="B16" t="s">
        <v>99</v>
      </c>
      <c r="C16" s="4">
        <v>5</v>
      </c>
      <c r="D16">
        <v>5</v>
      </c>
      <c r="E16" s="4">
        <f t="shared" si="0"/>
        <v>0</v>
      </c>
    </row>
    <row r="17" spans="1:17" x14ac:dyDescent="0.3">
      <c r="A17">
        <v>16</v>
      </c>
      <c r="B17" t="s">
        <v>99</v>
      </c>
      <c r="C17" s="4">
        <v>4</v>
      </c>
      <c r="D17">
        <v>4</v>
      </c>
      <c r="E17" s="4">
        <f t="shared" si="0"/>
        <v>0</v>
      </c>
    </row>
    <row r="18" spans="1:17" x14ac:dyDescent="0.3">
      <c r="A18">
        <v>17</v>
      </c>
      <c r="B18" t="s">
        <v>99</v>
      </c>
      <c r="C18" s="4">
        <v>4</v>
      </c>
      <c r="D18">
        <v>4</v>
      </c>
      <c r="E18" s="4">
        <f t="shared" si="0"/>
        <v>0</v>
      </c>
      <c r="J18" s="4"/>
    </row>
    <row r="19" spans="1:17" x14ac:dyDescent="0.3">
      <c r="A19">
        <v>18</v>
      </c>
      <c r="B19" t="s">
        <v>99</v>
      </c>
      <c r="C19" s="4">
        <v>2</v>
      </c>
      <c r="D19">
        <v>2</v>
      </c>
      <c r="E19" s="4">
        <f t="shared" si="0"/>
        <v>0</v>
      </c>
      <c r="J19" s="4"/>
    </row>
    <row r="20" spans="1:17" x14ac:dyDescent="0.3">
      <c r="A20">
        <v>19</v>
      </c>
      <c r="B20" t="s">
        <v>99</v>
      </c>
      <c r="C20" s="4">
        <v>4</v>
      </c>
      <c r="D20">
        <v>5</v>
      </c>
      <c r="E20" s="4">
        <f t="shared" si="0"/>
        <v>20</v>
      </c>
      <c r="J20" s="4"/>
    </row>
    <row r="21" spans="1:17" x14ac:dyDescent="0.3">
      <c r="A21">
        <v>20</v>
      </c>
      <c r="B21" t="s">
        <v>98</v>
      </c>
      <c r="C21">
        <v>5</v>
      </c>
      <c r="D21">
        <v>6</v>
      </c>
      <c r="E21" s="4">
        <f t="shared" si="0"/>
        <v>16.666666666666664</v>
      </c>
      <c r="J21" s="4"/>
    </row>
    <row r="22" spans="1:17" x14ac:dyDescent="0.3">
      <c r="A22">
        <v>21</v>
      </c>
      <c r="B22" t="s">
        <v>98</v>
      </c>
      <c r="C22">
        <v>4</v>
      </c>
      <c r="D22">
        <v>4</v>
      </c>
      <c r="E22" s="4">
        <f t="shared" si="0"/>
        <v>0</v>
      </c>
    </row>
    <row r="23" spans="1:17" x14ac:dyDescent="0.3">
      <c r="A23">
        <v>22</v>
      </c>
      <c r="B23" t="s">
        <v>98</v>
      </c>
      <c r="C23">
        <v>5</v>
      </c>
      <c r="D23">
        <v>4</v>
      </c>
      <c r="E23" s="4">
        <f t="shared" si="0"/>
        <v>-25</v>
      </c>
      <c r="K23" s="4"/>
      <c r="L23" s="4"/>
      <c r="N23" s="4"/>
      <c r="O23" s="4"/>
      <c r="P23" s="4"/>
      <c r="Q23" s="4"/>
    </row>
    <row r="24" spans="1:17" x14ac:dyDescent="0.3">
      <c r="A24">
        <v>23</v>
      </c>
      <c r="B24" t="s">
        <v>98</v>
      </c>
      <c r="C24">
        <v>5</v>
      </c>
      <c r="D24">
        <v>3</v>
      </c>
      <c r="E24" s="4">
        <f t="shared" si="0"/>
        <v>-66.666666666666657</v>
      </c>
      <c r="K24" s="4"/>
      <c r="L24" s="4"/>
      <c r="N24" s="4"/>
      <c r="O24" s="4"/>
      <c r="P24" s="4"/>
      <c r="Q24" s="4"/>
    </row>
    <row r="25" spans="1:17" x14ac:dyDescent="0.3">
      <c r="A25">
        <v>24</v>
      </c>
      <c r="B25" t="s">
        <v>98</v>
      </c>
      <c r="C25">
        <v>3</v>
      </c>
      <c r="D25">
        <v>2</v>
      </c>
      <c r="E25" s="4">
        <f t="shared" si="0"/>
        <v>-50</v>
      </c>
      <c r="K25" s="4"/>
      <c r="L25" s="4"/>
    </row>
    <row r="26" spans="1:17" x14ac:dyDescent="0.3">
      <c r="A26">
        <v>25</v>
      </c>
      <c r="B26" t="s">
        <v>98</v>
      </c>
      <c r="C26">
        <v>4</v>
      </c>
      <c r="D26">
        <v>4</v>
      </c>
      <c r="E26" s="4">
        <f t="shared" si="0"/>
        <v>0</v>
      </c>
      <c r="K26" s="4"/>
      <c r="L26" s="4"/>
    </row>
    <row r="27" spans="1:17" x14ac:dyDescent="0.3">
      <c r="A27">
        <v>26</v>
      </c>
      <c r="B27" t="s">
        <v>98</v>
      </c>
      <c r="C27">
        <v>3</v>
      </c>
      <c r="D27">
        <v>2</v>
      </c>
      <c r="E27" s="4">
        <f t="shared" si="0"/>
        <v>-50</v>
      </c>
    </row>
    <row r="28" spans="1:17" x14ac:dyDescent="0.3">
      <c r="A28">
        <v>27</v>
      </c>
      <c r="B28" t="s">
        <v>98</v>
      </c>
      <c r="C28">
        <v>4</v>
      </c>
      <c r="D28">
        <v>4</v>
      </c>
      <c r="E28" s="4">
        <f t="shared" si="0"/>
        <v>0</v>
      </c>
    </row>
    <row r="29" spans="1:17" x14ac:dyDescent="0.3">
      <c r="A29">
        <v>28</v>
      </c>
      <c r="B29" t="s">
        <v>98</v>
      </c>
      <c r="C29">
        <v>4</v>
      </c>
      <c r="D29">
        <v>4</v>
      </c>
      <c r="E29" s="4">
        <f t="shared" si="0"/>
        <v>0</v>
      </c>
    </row>
    <row r="30" spans="1:17" x14ac:dyDescent="0.3">
      <c r="A30">
        <v>29</v>
      </c>
      <c r="B30" t="s">
        <v>108</v>
      </c>
      <c r="C30">
        <v>5</v>
      </c>
      <c r="D30">
        <v>3</v>
      </c>
      <c r="E30" s="4">
        <f t="shared" si="0"/>
        <v>-66.666666666666657</v>
      </c>
    </row>
    <row r="31" spans="1:17" x14ac:dyDescent="0.3">
      <c r="A31">
        <v>30</v>
      </c>
      <c r="B31" t="s">
        <v>108</v>
      </c>
      <c r="C31">
        <v>3</v>
      </c>
      <c r="D31">
        <v>3</v>
      </c>
      <c r="E31" s="4">
        <f t="shared" si="0"/>
        <v>0</v>
      </c>
    </row>
    <row r="32" spans="1:17" x14ac:dyDescent="0.3">
      <c r="A32">
        <v>31</v>
      </c>
      <c r="B32" t="s">
        <v>108</v>
      </c>
      <c r="C32">
        <v>4</v>
      </c>
      <c r="D32">
        <v>4</v>
      </c>
      <c r="E32" s="4">
        <f t="shared" si="0"/>
        <v>0</v>
      </c>
      <c r="I32" s="4"/>
      <c r="J32" s="4"/>
    </row>
    <row r="33" spans="1:12" x14ac:dyDescent="0.3">
      <c r="A33">
        <v>32</v>
      </c>
      <c r="B33" t="s">
        <v>108</v>
      </c>
      <c r="C33">
        <v>5</v>
      </c>
      <c r="D33">
        <v>3</v>
      </c>
      <c r="E33" s="4">
        <f t="shared" si="0"/>
        <v>-66.666666666666657</v>
      </c>
      <c r="I33" s="4"/>
      <c r="J33" s="4"/>
    </row>
    <row r="34" spans="1:12" x14ac:dyDescent="0.3">
      <c r="A34">
        <v>33</v>
      </c>
      <c r="B34" t="s">
        <v>108</v>
      </c>
      <c r="C34">
        <v>4</v>
      </c>
      <c r="D34">
        <v>4</v>
      </c>
      <c r="E34" s="4">
        <f t="shared" si="0"/>
        <v>0</v>
      </c>
      <c r="I34" s="4"/>
      <c r="J34" s="4"/>
    </row>
    <row r="35" spans="1:12" x14ac:dyDescent="0.3">
      <c r="A35">
        <v>34</v>
      </c>
      <c r="B35" t="s">
        <v>108</v>
      </c>
      <c r="C35">
        <v>2</v>
      </c>
      <c r="D35">
        <v>1</v>
      </c>
      <c r="E35" s="4">
        <f t="shared" si="0"/>
        <v>-100</v>
      </c>
      <c r="I35" s="4"/>
      <c r="J35" s="4"/>
    </row>
    <row r="36" spans="1:12" x14ac:dyDescent="0.3">
      <c r="A36">
        <v>35</v>
      </c>
      <c r="B36" t="s">
        <v>108</v>
      </c>
      <c r="C36">
        <v>4</v>
      </c>
      <c r="D36">
        <v>4</v>
      </c>
      <c r="E36" s="4">
        <f t="shared" si="0"/>
        <v>0</v>
      </c>
    </row>
    <row r="37" spans="1:12" x14ac:dyDescent="0.3">
      <c r="A37">
        <v>36</v>
      </c>
      <c r="B37" t="s">
        <v>108</v>
      </c>
      <c r="C37">
        <v>2</v>
      </c>
      <c r="D37">
        <v>1</v>
      </c>
      <c r="E37" s="4">
        <f t="shared" si="0"/>
        <v>-100</v>
      </c>
      <c r="K37" s="4"/>
      <c r="L37" s="4"/>
    </row>
    <row r="38" spans="1:12" x14ac:dyDescent="0.3">
      <c r="A38">
        <v>37</v>
      </c>
      <c r="B38" t="s">
        <v>108</v>
      </c>
      <c r="C38">
        <v>3</v>
      </c>
      <c r="D38">
        <v>2</v>
      </c>
      <c r="E38" s="4">
        <f t="shared" si="0"/>
        <v>-50</v>
      </c>
      <c r="K38" s="4"/>
      <c r="L38" s="4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FE91F-7430-4BD2-9E3E-9D087642C8D9}">
  <dimension ref="A1:Q38"/>
  <sheetViews>
    <sheetView topLeftCell="C1" zoomScale="98" workbookViewId="0">
      <selection activeCell="F40" sqref="F1:O40"/>
    </sheetView>
  </sheetViews>
  <sheetFormatPr defaultRowHeight="14.4" x14ac:dyDescent="0.3"/>
  <cols>
    <col min="6" max="6" width="13.6640625" customWidth="1"/>
    <col min="7" max="7" width="13.6640625" bestFit="1" customWidth="1"/>
    <col min="10" max="10" width="13.44140625" bestFit="1" customWidth="1"/>
  </cols>
  <sheetData>
    <row r="1" spans="1:10" x14ac:dyDescent="0.3">
      <c r="A1" t="s">
        <v>0</v>
      </c>
      <c r="B1" t="s">
        <v>97</v>
      </c>
      <c r="C1" t="s">
        <v>110</v>
      </c>
      <c r="D1" t="s">
        <v>111</v>
      </c>
      <c r="E1" t="s">
        <v>120</v>
      </c>
    </row>
    <row r="2" spans="1:10" x14ac:dyDescent="0.3">
      <c r="A2">
        <v>1</v>
      </c>
      <c r="B2" t="s">
        <v>59</v>
      </c>
      <c r="C2" s="4">
        <v>5</v>
      </c>
      <c r="D2">
        <v>6</v>
      </c>
      <c r="E2" s="4">
        <f>((D2-C2)/D2)*100</f>
        <v>16.666666666666664</v>
      </c>
    </row>
    <row r="3" spans="1:10" x14ac:dyDescent="0.3">
      <c r="A3">
        <v>2</v>
      </c>
      <c r="B3" t="s">
        <v>59</v>
      </c>
      <c r="C3" s="4">
        <v>4</v>
      </c>
      <c r="D3">
        <v>4</v>
      </c>
      <c r="E3" s="4">
        <f t="shared" ref="E3:E38" si="0">((D3-C3)/D3)*100</f>
        <v>0</v>
      </c>
    </row>
    <row r="4" spans="1:10" x14ac:dyDescent="0.3">
      <c r="A4">
        <v>3</v>
      </c>
      <c r="B4" t="s">
        <v>59</v>
      </c>
      <c r="C4" s="4">
        <v>4</v>
      </c>
      <c r="D4">
        <v>4</v>
      </c>
      <c r="E4" s="4">
        <f t="shared" si="0"/>
        <v>0</v>
      </c>
    </row>
    <row r="5" spans="1:10" x14ac:dyDescent="0.3">
      <c r="A5">
        <v>4</v>
      </c>
      <c r="B5" t="s">
        <v>59</v>
      </c>
      <c r="C5" s="4">
        <v>4</v>
      </c>
      <c r="D5">
        <v>5</v>
      </c>
      <c r="E5" s="4">
        <f t="shared" si="0"/>
        <v>20</v>
      </c>
    </row>
    <row r="6" spans="1:10" x14ac:dyDescent="0.3">
      <c r="A6">
        <v>5</v>
      </c>
      <c r="B6" t="s">
        <v>59</v>
      </c>
      <c r="C6" s="4">
        <v>4</v>
      </c>
      <c r="D6">
        <v>5</v>
      </c>
      <c r="E6" s="4">
        <f t="shared" si="0"/>
        <v>20</v>
      </c>
    </row>
    <row r="7" spans="1:10" x14ac:dyDescent="0.3">
      <c r="A7">
        <v>6</v>
      </c>
      <c r="B7" t="s">
        <v>59</v>
      </c>
      <c r="C7" s="4">
        <v>5</v>
      </c>
      <c r="D7">
        <v>5</v>
      </c>
      <c r="E7" s="4">
        <f t="shared" si="0"/>
        <v>0</v>
      </c>
    </row>
    <row r="8" spans="1:10" x14ac:dyDescent="0.3">
      <c r="A8">
        <v>7</v>
      </c>
      <c r="B8" t="s">
        <v>59</v>
      </c>
      <c r="C8" s="4">
        <v>3</v>
      </c>
      <c r="D8">
        <v>2</v>
      </c>
      <c r="E8" s="4">
        <f t="shared" si="0"/>
        <v>-50</v>
      </c>
      <c r="G8" s="7"/>
      <c r="H8" s="4"/>
      <c r="I8" s="4"/>
      <c r="J8" s="4"/>
    </row>
    <row r="9" spans="1:10" x14ac:dyDescent="0.3">
      <c r="A9">
        <v>8</v>
      </c>
      <c r="B9" t="s">
        <v>59</v>
      </c>
      <c r="C9" s="4">
        <v>5</v>
      </c>
      <c r="D9">
        <v>5</v>
      </c>
      <c r="E9" s="4">
        <f t="shared" si="0"/>
        <v>0</v>
      </c>
    </row>
    <row r="10" spans="1:10" x14ac:dyDescent="0.3">
      <c r="A10">
        <v>9</v>
      </c>
      <c r="B10" t="s">
        <v>59</v>
      </c>
      <c r="C10" s="4">
        <v>2</v>
      </c>
      <c r="D10">
        <v>2</v>
      </c>
      <c r="E10" s="4">
        <f t="shared" si="0"/>
        <v>0</v>
      </c>
    </row>
    <row r="11" spans="1:10" x14ac:dyDescent="0.3">
      <c r="A11">
        <v>10</v>
      </c>
      <c r="B11" t="s">
        <v>59</v>
      </c>
      <c r="C11" s="4">
        <v>6</v>
      </c>
      <c r="D11">
        <v>5</v>
      </c>
      <c r="E11" s="4">
        <f t="shared" si="0"/>
        <v>-20</v>
      </c>
    </row>
    <row r="12" spans="1:10" x14ac:dyDescent="0.3">
      <c r="A12">
        <v>11</v>
      </c>
      <c r="B12" t="s">
        <v>59</v>
      </c>
      <c r="C12" s="4">
        <v>6</v>
      </c>
      <c r="D12">
        <v>7</v>
      </c>
      <c r="E12" s="4">
        <f t="shared" si="0"/>
        <v>14.285714285714285</v>
      </c>
    </row>
    <row r="13" spans="1:10" x14ac:dyDescent="0.3">
      <c r="A13">
        <v>12</v>
      </c>
      <c r="B13" t="s">
        <v>99</v>
      </c>
      <c r="C13" s="4">
        <v>4</v>
      </c>
      <c r="D13">
        <v>4</v>
      </c>
      <c r="E13" s="4">
        <f t="shared" si="0"/>
        <v>0</v>
      </c>
    </row>
    <row r="14" spans="1:10" x14ac:dyDescent="0.3">
      <c r="A14">
        <v>13</v>
      </c>
      <c r="B14" t="s">
        <v>99</v>
      </c>
      <c r="C14" s="4">
        <v>3</v>
      </c>
      <c r="D14">
        <v>2</v>
      </c>
      <c r="E14" s="4">
        <f t="shared" si="0"/>
        <v>-50</v>
      </c>
    </row>
    <row r="15" spans="1:10" x14ac:dyDescent="0.3">
      <c r="A15">
        <v>14</v>
      </c>
      <c r="B15" t="s">
        <v>99</v>
      </c>
      <c r="C15" s="4">
        <v>4</v>
      </c>
      <c r="D15">
        <v>3</v>
      </c>
      <c r="E15" s="4">
        <f t="shared" si="0"/>
        <v>-33.333333333333329</v>
      </c>
    </row>
    <row r="16" spans="1:10" x14ac:dyDescent="0.3">
      <c r="A16">
        <v>15</v>
      </c>
      <c r="B16" t="s">
        <v>99</v>
      </c>
      <c r="C16" s="4">
        <v>5</v>
      </c>
      <c r="D16">
        <v>3</v>
      </c>
      <c r="E16" s="4">
        <f t="shared" si="0"/>
        <v>-66.666666666666657</v>
      </c>
    </row>
    <row r="17" spans="1:17" x14ac:dyDescent="0.3">
      <c r="A17">
        <v>16</v>
      </c>
      <c r="B17" t="s">
        <v>99</v>
      </c>
      <c r="C17" s="4">
        <v>4</v>
      </c>
      <c r="D17">
        <v>4</v>
      </c>
      <c r="E17" s="4">
        <f t="shared" si="0"/>
        <v>0</v>
      </c>
    </row>
    <row r="18" spans="1:17" x14ac:dyDescent="0.3">
      <c r="A18">
        <v>17</v>
      </c>
      <c r="B18" t="s">
        <v>99</v>
      </c>
      <c r="C18" s="4">
        <v>4</v>
      </c>
      <c r="D18">
        <v>4</v>
      </c>
      <c r="E18" s="4">
        <f t="shared" si="0"/>
        <v>0</v>
      </c>
      <c r="J18" s="4"/>
    </row>
    <row r="19" spans="1:17" x14ac:dyDescent="0.3">
      <c r="A19">
        <v>18</v>
      </c>
      <c r="B19" t="s">
        <v>99</v>
      </c>
      <c r="C19" s="4">
        <v>1</v>
      </c>
      <c r="D19">
        <v>1</v>
      </c>
      <c r="E19" s="4">
        <f t="shared" si="0"/>
        <v>0</v>
      </c>
      <c r="J19" s="4"/>
    </row>
    <row r="20" spans="1:17" x14ac:dyDescent="0.3">
      <c r="A20">
        <v>19</v>
      </c>
      <c r="B20" t="s">
        <v>99</v>
      </c>
      <c r="C20" s="4">
        <v>4</v>
      </c>
      <c r="D20">
        <v>4</v>
      </c>
      <c r="E20" s="4">
        <f t="shared" si="0"/>
        <v>0</v>
      </c>
      <c r="J20" s="4"/>
      <c r="K20" s="4"/>
      <c r="L20" s="4"/>
      <c r="N20" s="4"/>
      <c r="O20" s="4"/>
      <c r="P20" s="4"/>
      <c r="Q20" s="4"/>
    </row>
    <row r="21" spans="1:17" x14ac:dyDescent="0.3">
      <c r="A21">
        <v>20</v>
      </c>
      <c r="B21" t="s">
        <v>98</v>
      </c>
      <c r="C21">
        <v>6</v>
      </c>
      <c r="D21">
        <v>6</v>
      </c>
      <c r="E21" s="4">
        <f t="shared" si="0"/>
        <v>0</v>
      </c>
      <c r="J21" s="4"/>
      <c r="K21" s="4"/>
      <c r="L21" s="4"/>
      <c r="N21" s="4"/>
      <c r="O21" s="4"/>
      <c r="P21" s="4"/>
      <c r="Q21" s="4"/>
    </row>
    <row r="22" spans="1:17" x14ac:dyDescent="0.3">
      <c r="A22">
        <v>21</v>
      </c>
      <c r="B22" t="s">
        <v>98</v>
      </c>
      <c r="C22">
        <v>4</v>
      </c>
      <c r="D22">
        <v>3</v>
      </c>
      <c r="E22" s="4">
        <f t="shared" si="0"/>
        <v>-33.333333333333329</v>
      </c>
      <c r="K22" s="4"/>
      <c r="L22" s="4"/>
    </row>
    <row r="23" spans="1:17" x14ac:dyDescent="0.3">
      <c r="A23">
        <v>22</v>
      </c>
      <c r="B23" t="s">
        <v>98</v>
      </c>
      <c r="C23">
        <v>5</v>
      </c>
      <c r="D23">
        <v>5</v>
      </c>
      <c r="E23" s="4">
        <f t="shared" si="0"/>
        <v>0</v>
      </c>
      <c r="G23" s="19"/>
      <c r="J23" s="21"/>
      <c r="K23" s="4"/>
      <c r="L23" s="4"/>
    </row>
    <row r="24" spans="1:17" x14ac:dyDescent="0.3">
      <c r="A24">
        <v>23</v>
      </c>
      <c r="B24" t="s">
        <v>98</v>
      </c>
      <c r="C24">
        <v>5</v>
      </c>
      <c r="D24">
        <v>3</v>
      </c>
      <c r="E24" s="4">
        <f t="shared" si="0"/>
        <v>-66.666666666666657</v>
      </c>
      <c r="G24" s="19"/>
      <c r="J24" s="21"/>
    </row>
    <row r="25" spans="1:17" x14ac:dyDescent="0.3">
      <c r="A25">
        <v>24</v>
      </c>
      <c r="B25" t="s">
        <v>98</v>
      </c>
      <c r="C25">
        <v>3</v>
      </c>
      <c r="D25">
        <v>2</v>
      </c>
      <c r="E25" s="4">
        <f t="shared" si="0"/>
        <v>-50</v>
      </c>
      <c r="G25" s="20"/>
      <c r="J25" s="21"/>
    </row>
    <row r="26" spans="1:17" x14ac:dyDescent="0.3">
      <c r="A26">
        <v>25</v>
      </c>
      <c r="B26" t="s">
        <v>98</v>
      </c>
      <c r="C26">
        <v>4</v>
      </c>
      <c r="D26">
        <v>4</v>
      </c>
      <c r="E26" s="4">
        <f t="shared" si="0"/>
        <v>0</v>
      </c>
    </row>
    <row r="27" spans="1:17" x14ac:dyDescent="0.3">
      <c r="A27">
        <v>26</v>
      </c>
      <c r="B27" t="s">
        <v>98</v>
      </c>
      <c r="C27">
        <v>5</v>
      </c>
      <c r="D27">
        <v>5</v>
      </c>
      <c r="E27" s="4">
        <f t="shared" si="0"/>
        <v>0</v>
      </c>
    </row>
    <row r="28" spans="1:17" x14ac:dyDescent="0.3">
      <c r="A28">
        <v>27</v>
      </c>
      <c r="B28" t="s">
        <v>98</v>
      </c>
      <c r="C28">
        <v>5</v>
      </c>
      <c r="D28">
        <v>4</v>
      </c>
      <c r="E28" s="4">
        <f t="shared" si="0"/>
        <v>-25</v>
      </c>
    </row>
    <row r="29" spans="1:17" x14ac:dyDescent="0.3">
      <c r="A29">
        <v>28</v>
      </c>
      <c r="B29" t="s">
        <v>98</v>
      </c>
      <c r="C29">
        <v>4</v>
      </c>
      <c r="D29">
        <v>4</v>
      </c>
      <c r="E29" s="4">
        <f t="shared" si="0"/>
        <v>0</v>
      </c>
    </row>
    <row r="30" spans="1:17" x14ac:dyDescent="0.3">
      <c r="A30">
        <v>29</v>
      </c>
      <c r="B30" t="s">
        <v>108</v>
      </c>
      <c r="C30">
        <v>4</v>
      </c>
      <c r="D30">
        <v>2</v>
      </c>
      <c r="E30" s="4">
        <f t="shared" si="0"/>
        <v>-100</v>
      </c>
    </row>
    <row r="31" spans="1:17" x14ac:dyDescent="0.3">
      <c r="A31">
        <v>30</v>
      </c>
      <c r="B31" t="s">
        <v>108</v>
      </c>
      <c r="C31">
        <v>4</v>
      </c>
      <c r="D31">
        <v>4</v>
      </c>
      <c r="E31" s="4">
        <f t="shared" si="0"/>
        <v>0</v>
      </c>
    </row>
    <row r="32" spans="1:17" x14ac:dyDescent="0.3">
      <c r="A32">
        <v>31</v>
      </c>
      <c r="B32" t="s">
        <v>108</v>
      </c>
      <c r="C32">
        <v>4</v>
      </c>
      <c r="D32">
        <v>4</v>
      </c>
      <c r="E32" s="4">
        <f t="shared" si="0"/>
        <v>0</v>
      </c>
      <c r="I32" s="4"/>
      <c r="J32" s="4"/>
    </row>
    <row r="33" spans="1:12" x14ac:dyDescent="0.3">
      <c r="A33">
        <v>32</v>
      </c>
      <c r="B33" t="s">
        <v>108</v>
      </c>
      <c r="C33">
        <v>5</v>
      </c>
      <c r="D33">
        <v>3</v>
      </c>
      <c r="E33" s="4">
        <f t="shared" si="0"/>
        <v>-66.666666666666657</v>
      </c>
      <c r="I33" s="4"/>
      <c r="J33" s="4"/>
    </row>
    <row r="34" spans="1:12" x14ac:dyDescent="0.3">
      <c r="A34">
        <v>33</v>
      </c>
      <c r="B34" t="s">
        <v>108</v>
      </c>
      <c r="C34">
        <v>6</v>
      </c>
      <c r="D34">
        <v>4</v>
      </c>
      <c r="E34" s="4">
        <f t="shared" si="0"/>
        <v>-50</v>
      </c>
      <c r="I34" s="4"/>
      <c r="J34" s="4"/>
    </row>
    <row r="35" spans="1:12" x14ac:dyDescent="0.3">
      <c r="A35">
        <v>34</v>
      </c>
      <c r="B35" t="s">
        <v>108</v>
      </c>
      <c r="C35">
        <v>3</v>
      </c>
      <c r="D35">
        <v>2</v>
      </c>
      <c r="E35" s="4">
        <f t="shared" si="0"/>
        <v>-50</v>
      </c>
      <c r="I35" s="4"/>
      <c r="J35" s="4"/>
    </row>
    <row r="36" spans="1:12" x14ac:dyDescent="0.3">
      <c r="A36">
        <v>35</v>
      </c>
      <c r="B36" t="s">
        <v>108</v>
      </c>
      <c r="C36">
        <v>4</v>
      </c>
      <c r="D36">
        <v>4</v>
      </c>
      <c r="E36" s="4">
        <f t="shared" si="0"/>
        <v>0</v>
      </c>
    </row>
    <row r="37" spans="1:12" x14ac:dyDescent="0.3">
      <c r="A37">
        <v>36</v>
      </c>
      <c r="B37" t="s">
        <v>108</v>
      </c>
      <c r="C37">
        <v>1</v>
      </c>
      <c r="D37">
        <v>1</v>
      </c>
      <c r="E37" s="4">
        <f t="shared" si="0"/>
        <v>0</v>
      </c>
    </row>
    <row r="38" spans="1:12" x14ac:dyDescent="0.3">
      <c r="A38">
        <v>37</v>
      </c>
      <c r="B38" t="s">
        <v>108</v>
      </c>
      <c r="C38">
        <v>4</v>
      </c>
      <c r="D38">
        <v>3</v>
      </c>
      <c r="E38" s="4">
        <f t="shared" si="0"/>
        <v>-33.333333333333329</v>
      </c>
      <c r="K38" s="4"/>
      <c r="L38" s="4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C0C91-60F9-4FBB-B3E3-F3AE67FF7745}">
  <dimension ref="A1:O38"/>
  <sheetViews>
    <sheetView zoomScale="98" workbookViewId="0">
      <selection activeCell="E41" sqref="E1:S41"/>
    </sheetView>
  </sheetViews>
  <sheetFormatPr defaultRowHeight="14.4" x14ac:dyDescent="0.3"/>
  <cols>
    <col min="6" max="6" width="13.6640625" customWidth="1"/>
    <col min="7" max="7" width="13.6640625" bestFit="1" customWidth="1"/>
  </cols>
  <sheetData>
    <row r="1" spans="1:10" x14ac:dyDescent="0.3">
      <c r="A1" t="s">
        <v>0</v>
      </c>
      <c r="B1" t="s">
        <v>97</v>
      </c>
      <c r="C1" t="s">
        <v>110</v>
      </c>
      <c r="D1" t="s">
        <v>111</v>
      </c>
    </row>
    <row r="2" spans="1:10" x14ac:dyDescent="0.3">
      <c r="A2">
        <v>1</v>
      </c>
      <c r="B2" t="s">
        <v>59</v>
      </c>
      <c r="C2" s="4">
        <f>SUM(Hooper_st!C2,Hooper_sl!C2,Hooper_ms!C2,Hooper_ft!C2)</f>
        <v>15</v>
      </c>
      <c r="D2" s="4">
        <f>SUM(Hooper_st!D2,Hooper_sl!D2,Hooper_ms!D2,Hooper_ft!D2)</f>
        <v>15</v>
      </c>
      <c r="E2" s="4"/>
    </row>
    <row r="3" spans="1:10" x14ac:dyDescent="0.3">
      <c r="A3">
        <v>2</v>
      </c>
      <c r="B3" t="s">
        <v>59</v>
      </c>
      <c r="C3" s="4">
        <f>SUM(Hooper_st!C3,Hooper_sl!C3,Hooper_ms!C3,Hooper_ft!C3)</f>
        <v>12</v>
      </c>
      <c r="D3" s="4">
        <f>SUM(Hooper_st!D3,Hooper_sl!D3,Hooper_ms!D3,Hooper_ft!D3)</f>
        <v>14</v>
      </c>
      <c r="E3" s="4"/>
    </row>
    <row r="4" spans="1:10" x14ac:dyDescent="0.3">
      <c r="A4">
        <v>3</v>
      </c>
      <c r="B4" t="s">
        <v>59</v>
      </c>
      <c r="C4" s="4">
        <f>SUM(Hooper_st!C4,Hooper_sl!C4,Hooper_ms!C4,Hooper_ft!C4)</f>
        <v>13</v>
      </c>
      <c r="D4" s="4">
        <f>SUM(Hooper_st!D4,Hooper_sl!D4,Hooper_ms!D4,Hooper_ft!D4)</f>
        <v>14</v>
      </c>
      <c r="E4" s="4"/>
    </row>
    <row r="5" spans="1:10" x14ac:dyDescent="0.3">
      <c r="A5">
        <v>4</v>
      </c>
      <c r="B5" t="s">
        <v>59</v>
      </c>
      <c r="C5" s="4">
        <f>SUM(Hooper_st!C5,Hooper_sl!C5,Hooper_ms!C5,Hooper_ft!C5)</f>
        <v>17</v>
      </c>
      <c r="D5" s="4">
        <f>SUM(Hooper_st!D5,Hooper_sl!D5,Hooper_ms!D5,Hooper_ft!D5)</f>
        <v>17</v>
      </c>
      <c r="E5" s="4"/>
    </row>
    <row r="6" spans="1:10" x14ac:dyDescent="0.3">
      <c r="A6">
        <v>5</v>
      </c>
      <c r="B6" t="s">
        <v>59</v>
      </c>
      <c r="C6" s="4">
        <f>SUM(Hooper_st!C6,Hooper_sl!C6,Hooper_ms!C6,Hooper_ft!C6)</f>
        <v>16</v>
      </c>
      <c r="D6" s="4">
        <f>SUM(Hooper_st!D6,Hooper_sl!D6,Hooper_ms!D6,Hooper_ft!D6)</f>
        <v>15</v>
      </c>
      <c r="E6" s="4"/>
    </row>
    <row r="7" spans="1:10" x14ac:dyDescent="0.3">
      <c r="A7">
        <v>6</v>
      </c>
      <c r="B7" t="s">
        <v>59</v>
      </c>
      <c r="C7" s="4">
        <f>SUM(Hooper_st!C7,Hooper_sl!C7,Hooper_ms!C7,Hooper_ft!C7)</f>
        <v>20</v>
      </c>
      <c r="D7" s="4">
        <f>SUM(Hooper_st!D7,Hooper_sl!D7,Hooper_ms!D7,Hooper_ft!D7)</f>
        <v>21</v>
      </c>
      <c r="E7" s="4"/>
    </row>
    <row r="8" spans="1:10" x14ac:dyDescent="0.3">
      <c r="A8">
        <v>7</v>
      </c>
      <c r="B8" t="s">
        <v>59</v>
      </c>
      <c r="C8" s="4">
        <f>SUM(Hooper_st!C8,Hooper_sl!C8,Hooper_ms!C8,Hooper_ft!C8)</f>
        <v>8</v>
      </c>
      <c r="D8" s="4">
        <f>SUM(Hooper_st!D8,Hooper_sl!D8,Hooper_ms!D8,Hooper_ft!D8)</f>
        <v>9</v>
      </c>
      <c r="E8" s="4"/>
      <c r="G8" s="7"/>
      <c r="H8" s="4"/>
      <c r="I8" s="4"/>
      <c r="J8" s="4"/>
    </row>
    <row r="9" spans="1:10" x14ac:dyDescent="0.3">
      <c r="A9">
        <v>8</v>
      </c>
      <c r="B9" t="s">
        <v>59</v>
      </c>
      <c r="C9" s="4">
        <f>SUM(Hooper_st!C9,Hooper_sl!C9,Hooper_ms!C9,Hooper_ft!C9)</f>
        <v>13</v>
      </c>
      <c r="D9" s="4">
        <f>SUM(Hooper_st!D9,Hooper_sl!D9,Hooper_ms!D9,Hooper_ft!D9)</f>
        <v>17</v>
      </c>
      <c r="E9" s="4"/>
    </row>
    <row r="10" spans="1:10" x14ac:dyDescent="0.3">
      <c r="A10">
        <v>9</v>
      </c>
      <c r="B10" t="s">
        <v>59</v>
      </c>
      <c r="C10" s="4">
        <f>SUM(Hooper_st!C10,Hooper_sl!C10,Hooper_ms!C10,Hooper_ft!C10)</f>
        <v>12</v>
      </c>
      <c r="D10" s="4">
        <f>SUM(Hooper_st!D10,Hooper_sl!D10,Hooper_ms!D10,Hooper_ft!D10)</f>
        <v>13</v>
      </c>
      <c r="E10" s="4"/>
    </row>
    <row r="11" spans="1:10" x14ac:dyDescent="0.3">
      <c r="A11">
        <v>10</v>
      </c>
      <c r="B11" t="s">
        <v>59</v>
      </c>
      <c r="C11" s="4">
        <f>SUM(Hooper_st!C11,Hooper_sl!C11,Hooper_ms!C11,Hooper_ft!C11)</f>
        <v>18</v>
      </c>
      <c r="D11" s="4">
        <f>SUM(Hooper_st!D11,Hooper_sl!D11,Hooper_ms!D11,Hooper_ft!D11)</f>
        <v>22</v>
      </c>
      <c r="E11" s="4"/>
    </row>
    <row r="12" spans="1:10" x14ac:dyDescent="0.3">
      <c r="A12">
        <v>11</v>
      </c>
      <c r="B12" t="s">
        <v>59</v>
      </c>
      <c r="C12" s="4">
        <f>SUM(Hooper_st!C12,Hooper_sl!C12,Hooper_ms!C12,Hooper_ft!C12)</f>
        <v>22</v>
      </c>
      <c r="D12" s="4">
        <f>SUM(Hooper_st!D12,Hooper_sl!D12,Hooper_ms!D12,Hooper_ft!D12)</f>
        <v>22</v>
      </c>
      <c r="E12" s="4"/>
    </row>
    <row r="13" spans="1:10" x14ac:dyDescent="0.3">
      <c r="A13">
        <v>12</v>
      </c>
      <c r="B13" t="s">
        <v>99</v>
      </c>
      <c r="C13" s="4">
        <f>SUM(Hooper_st!C13,Hooper_sl!C13,Hooper_ms!C13,Hooper_ft!C13)</f>
        <v>16</v>
      </c>
      <c r="D13" s="4">
        <f>SUM(Hooper_st!D13,Hooper_sl!D13,Hooper_ms!D13,Hooper_ft!D13)</f>
        <v>15</v>
      </c>
      <c r="E13" s="4"/>
    </row>
    <row r="14" spans="1:10" x14ac:dyDescent="0.3">
      <c r="A14">
        <v>13</v>
      </c>
      <c r="B14" t="s">
        <v>99</v>
      </c>
      <c r="C14" s="4">
        <f>SUM(Hooper_st!C14,Hooper_sl!C14,Hooper_ms!C14,Hooper_ft!C14)</f>
        <v>14</v>
      </c>
      <c r="D14" s="4">
        <f>SUM(Hooper_st!D14,Hooper_sl!D14,Hooper_ms!D14,Hooper_ft!D14)</f>
        <v>11</v>
      </c>
      <c r="E14" s="4"/>
    </row>
    <row r="15" spans="1:10" x14ac:dyDescent="0.3">
      <c r="A15">
        <v>14</v>
      </c>
      <c r="B15" t="s">
        <v>99</v>
      </c>
      <c r="C15" s="4">
        <f>SUM(Hooper_st!C15,Hooper_sl!C15,Hooper_ms!C15,Hooper_ft!C15)</f>
        <v>15</v>
      </c>
      <c r="D15" s="4">
        <f>SUM(Hooper_st!D15,Hooper_sl!D15,Hooper_ms!D15,Hooper_ft!D15)</f>
        <v>12</v>
      </c>
      <c r="E15" s="4"/>
    </row>
    <row r="16" spans="1:10" x14ac:dyDescent="0.3">
      <c r="A16">
        <v>15</v>
      </c>
      <c r="B16" t="s">
        <v>99</v>
      </c>
      <c r="C16" s="4">
        <f>SUM(Hooper_st!C16,Hooper_sl!C16,Hooper_ms!C16,Hooper_ft!C16)</f>
        <v>18</v>
      </c>
      <c r="D16" s="4">
        <f>SUM(Hooper_st!D16,Hooper_sl!D16,Hooper_ms!D16,Hooper_ft!D16)</f>
        <v>15</v>
      </c>
      <c r="E16" s="4"/>
      <c r="F16" s="4"/>
    </row>
    <row r="17" spans="1:15" x14ac:dyDescent="0.3">
      <c r="A17">
        <v>16</v>
      </c>
      <c r="B17" t="s">
        <v>99</v>
      </c>
      <c r="C17" s="4">
        <f>SUM(Hooper_st!C17,Hooper_sl!C17,Hooper_ms!C17,Hooper_ft!C17)</f>
        <v>17</v>
      </c>
      <c r="D17" s="4">
        <f>SUM(Hooper_st!D17,Hooper_sl!D17,Hooper_ms!D17,Hooper_ft!D17)</f>
        <v>15</v>
      </c>
      <c r="E17" s="4"/>
      <c r="F17" s="4"/>
    </row>
    <row r="18" spans="1:15" x14ac:dyDescent="0.3">
      <c r="A18">
        <v>17</v>
      </c>
      <c r="B18" t="s">
        <v>99</v>
      </c>
      <c r="C18" s="4">
        <f>SUM(Hooper_st!C18,Hooper_sl!C18,Hooper_ms!C18,Hooper_ft!C18)</f>
        <v>19</v>
      </c>
      <c r="D18" s="4">
        <f>SUM(Hooper_st!D18,Hooper_sl!D18,Hooper_ms!D18,Hooper_ft!D18)</f>
        <v>15</v>
      </c>
      <c r="E18" s="4"/>
      <c r="J18" s="4"/>
    </row>
    <row r="19" spans="1:15" x14ac:dyDescent="0.3">
      <c r="A19">
        <v>18</v>
      </c>
      <c r="B19" t="s">
        <v>99</v>
      </c>
      <c r="C19" s="4">
        <f>SUM(Hooper_st!C19,Hooper_sl!C19,Hooper_ms!C19,Hooper_ft!C19)</f>
        <v>10</v>
      </c>
      <c r="D19" s="4">
        <f>SUM(Hooper_st!D19,Hooper_sl!D19,Hooper_ms!D19,Hooper_ft!D19)</f>
        <v>7</v>
      </c>
      <c r="E19" s="4"/>
      <c r="J19" s="4"/>
    </row>
    <row r="20" spans="1:15" x14ac:dyDescent="0.3">
      <c r="A20">
        <v>19</v>
      </c>
      <c r="B20" t="s">
        <v>99</v>
      </c>
      <c r="C20" s="4">
        <f>SUM(Hooper_st!C20,Hooper_sl!C20,Hooper_ms!C20,Hooper_ft!C20)</f>
        <v>17</v>
      </c>
      <c r="D20" s="4">
        <f>SUM(Hooper_st!D20,Hooper_sl!D20,Hooper_ms!D20,Hooper_ft!D20)</f>
        <v>14</v>
      </c>
      <c r="E20" s="4"/>
      <c r="J20" s="4"/>
    </row>
    <row r="21" spans="1:15" x14ac:dyDescent="0.3">
      <c r="A21">
        <v>20</v>
      </c>
      <c r="B21" t="s">
        <v>98</v>
      </c>
      <c r="C21" s="4">
        <f>SUM(Hooper_st!C21,Hooper_sl!C21,Hooper_ms!C21,Hooper_ft!C21)</f>
        <v>21</v>
      </c>
      <c r="D21" s="4">
        <f>SUM(Hooper_st!D21,Hooper_sl!D21,Hooper_ms!D21,Hooper_ft!D21)</f>
        <v>21</v>
      </c>
      <c r="E21" s="4"/>
      <c r="J21" s="4"/>
      <c r="L21" s="4"/>
      <c r="M21" s="4"/>
      <c r="N21" s="4"/>
      <c r="O21" s="4"/>
    </row>
    <row r="22" spans="1:15" x14ac:dyDescent="0.3">
      <c r="A22">
        <v>21</v>
      </c>
      <c r="B22" t="s">
        <v>98</v>
      </c>
      <c r="C22" s="4">
        <f>SUM(Hooper_st!C22,Hooper_sl!C22,Hooper_ms!C22,Hooper_ft!C22)</f>
        <v>14</v>
      </c>
      <c r="D22" s="4">
        <f>SUM(Hooper_st!D22,Hooper_sl!D22,Hooper_ms!D22,Hooper_ft!D22)</f>
        <v>10</v>
      </c>
      <c r="E22" s="4"/>
      <c r="L22" s="4"/>
      <c r="M22" s="4"/>
      <c r="N22" s="4"/>
      <c r="O22" s="4"/>
    </row>
    <row r="23" spans="1:15" x14ac:dyDescent="0.3">
      <c r="A23">
        <v>22</v>
      </c>
      <c r="B23" t="s">
        <v>98</v>
      </c>
      <c r="C23" s="4">
        <f>SUM(Hooper_st!C23,Hooper_sl!C23,Hooper_ms!C23,Hooper_ft!C23)</f>
        <v>18</v>
      </c>
      <c r="D23" s="4">
        <f>SUM(Hooper_st!D23,Hooper_sl!D23,Hooper_ms!D23,Hooper_ft!D23)</f>
        <v>17</v>
      </c>
      <c r="E23" s="4"/>
    </row>
    <row r="24" spans="1:15" x14ac:dyDescent="0.3">
      <c r="A24">
        <v>23</v>
      </c>
      <c r="B24" t="s">
        <v>98</v>
      </c>
      <c r="C24" s="4">
        <f>SUM(Hooper_st!C24,Hooper_sl!C24,Hooper_ms!C24,Hooper_ft!C24)</f>
        <v>17</v>
      </c>
      <c r="D24" s="4">
        <f>SUM(Hooper_st!D24,Hooper_sl!D24,Hooper_ms!D24,Hooper_ft!D24)</f>
        <v>15</v>
      </c>
      <c r="E24" s="4"/>
    </row>
    <row r="25" spans="1:15" x14ac:dyDescent="0.3">
      <c r="A25">
        <v>24</v>
      </c>
      <c r="B25" t="s">
        <v>98</v>
      </c>
      <c r="C25" s="4">
        <f>SUM(Hooper_st!C25,Hooper_sl!C25,Hooper_ms!C25,Hooper_ft!C25)</f>
        <v>14</v>
      </c>
      <c r="D25" s="4">
        <f>SUM(Hooper_st!D25,Hooper_sl!D25,Hooper_ms!D25,Hooper_ft!D25)</f>
        <v>9</v>
      </c>
      <c r="E25" s="4"/>
    </row>
    <row r="26" spans="1:15" x14ac:dyDescent="0.3">
      <c r="A26">
        <v>25</v>
      </c>
      <c r="B26" t="s">
        <v>98</v>
      </c>
      <c r="C26" s="4">
        <f>SUM(Hooper_st!C26,Hooper_sl!C26,Hooper_ms!C26,Hooper_ft!C26)</f>
        <v>15</v>
      </c>
      <c r="D26" s="4">
        <f>SUM(Hooper_st!D26,Hooper_sl!D26,Hooper_ms!D26,Hooper_ft!D26)</f>
        <v>13</v>
      </c>
      <c r="E26" s="4"/>
    </row>
    <row r="27" spans="1:15" x14ac:dyDescent="0.3">
      <c r="A27">
        <v>26</v>
      </c>
      <c r="B27" t="s">
        <v>98</v>
      </c>
      <c r="C27" s="4">
        <f>SUM(Hooper_st!C27,Hooper_sl!C27,Hooper_ms!C27,Hooper_ft!C27)</f>
        <v>16</v>
      </c>
      <c r="D27" s="4">
        <f>SUM(Hooper_st!D27,Hooper_sl!D27,Hooper_ms!D27,Hooper_ft!D27)</f>
        <v>15</v>
      </c>
      <c r="E27" s="4"/>
    </row>
    <row r="28" spans="1:15" x14ac:dyDescent="0.3">
      <c r="A28">
        <v>27</v>
      </c>
      <c r="B28" t="s">
        <v>98</v>
      </c>
      <c r="C28" s="4">
        <f>SUM(Hooper_st!C28,Hooper_sl!C28,Hooper_ms!C28,Hooper_ft!C28)</f>
        <v>19</v>
      </c>
      <c r="D28" s="4">
        <f>SUM(Hooper_st!D28,Hooper_sl!D28,Hooper_ms!D28,Hooper_ft!D28)</f>
        <v>15</v>
      </c>
      <c r="E28" s="4"/>
    </row>
    <row r="29" spans="1:15" x14ac:dyDescent="0.3">
      <c r="A29">
        <v>28</v>
      </c>
      <c r="B29" t="s">
        <v>98</v>
      </c>
      <c r="C29" s="4">
        <f>SUM(Hooper_st!C29,Hooper_sl!C29,Hooper_ms!C29,Hooper_ft!C29)</f>
        <v>19</v>
      </c>
      <c r="D29" s="4">
        <f>SUM(Hooper_st!D29,Hooper_sl!D29,Hooper_ms!D29,Hooper_ft!D29)</f>
        <v>15</v>
      </c>
      <c r="E29" s="4"/>
    </row>
    <row r="30" spans="1:15" x14ac:dyDescent="0.3">
      <c r="A30">
        <v>29</v>
      </c>
      <c r="B30" t="s">
        <v>108</v>
      </c>
      <c r="C30" s="4">
        <f>SUM(Hooper_st!C30,Hooper_sl!C30,Hooper_ms!C30,Hooper_ft!C30)</f>
        <v>17</v>
      </c>
      <c r="D30" s="4">
        <f>SUM(Hooper_st!D30,Hooper_sl!D30,Hooper_ms!D30,Hooper_ft!D30)</f>
        <v>9</v>
      </c>
      <c r="E30" s="4"/>
    </row>
    <row r="31" spans="1:15" x14ac:dyDescent="0.3">
      <c r="A31">
        <v>30</v>
      </c>
      <c r="B31" t="s">
        <v>108</v>
      </c>
      <c r="C31" s="4">
        <f>SUM(Hooper_st!C31,Hooper_sl!C31,Hooper_ms!C31,Hooper_ft!C31)</f>
        <v>15</v>
      </c>
      <c r="D31" s="4">
        <f>SUM(Hooper_st!D31,Hooper_sl!D31,Hooper_ms!D31,Hooper_ft!D31)</f>
        <v>14</v>
      </c>
      <c r="E31" s="4"/>
    </row>
    <row r="32" spans="1:15" x14ac:dyDescent="0.3">
      <c r="A32">
        <v>31</v>
      </c>
      <c r="B32" t="s">
        <v>108</v>
      </c>
      <c r="C32" s="4">
        <f>SUM(Hooper_st!C32,Hooper_sl!C32,Hooper_ms!C32,Hooper_ft!C32)</f>
        <v>13</v>
      </c>
      <c r="D32" s="4">
        <f>SUM(Hooper_st!D32,Hooper_sl!D32,Hooper_ms!D32,Hooper_ft!D32)</f>
        <v>12</v>
      </c>
      <c r="E32" s="4"/>
      <c r="I32" s="4"/>
    </row>
    <row r="33" spans="1:10" x14ac:dyDescent="0.3">
      <c r="A33">
        <v>32</v>
      </c>
      <c r="B33" t="s">
        <v>108</v>
      </c>
      <c r="C33" s="4">
        <f>SUM(Hooper_st!C33,Hooper_sl!C33,Hooper_ms!C33,Hooper_ft!C33)</f>
        <v>17</v>
      </c>
      <c r="D33" s="4">
        <f>SUM(Hooper_st!D33,Hooper_sl!D33,Hooper_ms!D33,Hooper_ft!D33)</f>
        <v>10</v>
      </c>
      <c r="E33" s="4"/>
      <c r="I33" s="4"/>
    </row>
    <row r="34" spans="1:10" x14ac:dyDescent="0.3">
      <c r="A34">
        <v>33</v>
      </c>
      <c r="B34" t="s">
        <v>108</v>
      </c>
      <c r="C34" s="4">
        <f>SUM(Hooper_st!C34,Hooper_sl!C34,Hooper_ms!C34,Hooper_ft!C34)</f>
        <v>20</v>
      </c>
      <c r="D34" s="4">
        <f>SUM(Hooper_st!D34,Hooper_sl!D34,Hooper_ms!D34,Hooper_ft!D34)</f>
        <v>13</v>
      </c>
      <c r="E34" s="4"/>
    </row>
    <row r="35" spans="1:10" x14ac:dyDescent="0.3">
      <c r="A35">
        <v>34</v>
      </c>
      <c r="B35" t="s">
        <v>108</v>
      </c>
      <c r="C35" s="4">
        <f>SUM(Hooper_st!C35,Hooper_sl!C35,Hooper_ms!C35,Hooper_ft!C35)</f>
        <v>12</v>
      </c>
      <c r="D35" s="4">
        <f>SUM(Hooper_st!D35,Hooper_sl!D35,Hooper_ms!D35,Hooper_ft!D35)</f>
        <v>8</v>
      </c>
      <c r="E35" s="4"/>
      <c r="J35" s="4"/>
    </row>
    <row r="36" spans="1:10" x14ac:dyDescent="0.3">
      <c r="A36">
        <v>35</v>
      </c>
      <c r="B36" t="s">
        <v>108</v>
      </c>
      <c r="C36" s="4">
        <f>SUM(Hooper_st!C36,Hooper_sl!C36,Hooper_ms!C36,Hooper_ft!C36)</f>
        <v>19</v>
      </c>
      <c r="D36" s="4">
        <f>SUM(Hooper_st!D36,Hooper_sl!D36,Hooper_ms!D36,Hooper_ft!D36)</f>
        <v>17</v>
      </c>
      <c r="E36" s="4"/>
    </row>
    <row r="37" spans="1:10" x14ac:dyDescent="0.3">
      <c r="A37">
        <v>36</v>
      </c>
      <c r="B37" t="s">
        <v>108</v>
      </c>
      <c r="C37" s="4">
        <f>SUM(Hooper_st!C37,Hooper_sl!C37,Hooper_ms!C37,Hooper_ft!C37)</f>
        <v>9</v>
      </c>
      <c r="D37" s="4">
        <f>SUM(Hooper_st!D37,Hooper_sl!D37,Hooper_ms!D37,Hooper_ft!D37)</f>
        <v>5</v>
      </c>
      <c r="E37" s="4"/>
    </row>
    <row r="38" spans="1:10" x14ac:dyDescent="0.3">
      <c r="A38">
        <v>37</v>
      </c>
      <c r="B38" t="s">
        <v>108</v>
      </c>
      <c r="C38" s="4">
        <f>SUM(Hooper_st!C38,Hooper_sl!C38,Hooper_ms!C38,Hooper_ft!C38)</f>
        <v>16</v>
      </c>
      <c r="D38" s="4">
        <f>SUM(Hooper_st!D38,Hooper_sl!D38,Hooper_ms!D38,Hooper_ft!D38)</f>
        <v>11</v>
      </c>
      <c r="E38" s="4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59520-FDB0-4A49-93CC-624E378DD98A}">
  <dimension ref="A1:CH38"/>
  <sheetViews>
    <sheetView topLeftCell="BL1" workbookViewId="0">
      <selection activeCell="CB27" sqref="CB27"/>
    </sheetView>
  </sheetViews>
  <sheetFormatPr defaultRowHeight="14.4" x14ac:dyDescent="0.3"/>
  <cols>
    <col min="43" max="44" width="8.88671875" style="5"/>
  </cols>
  <sheetData>
    <row r="1" spans="1:86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I1" t="s">
        <v>101</v>
      </c>
      <c r="AJ1" t="s">
        <v>102</v>
      </c>
      <c r="AK1" t="s">
        <v>103</v>
      </c>
      <c r="AL1" t="s">
        <v>104</v>
      </c>
      <c r="AM1" t="s">
        <v>58</v>
      </c>
      <c r="AN1" t="s">
        <v>105</v>
      </c>
      <c r="AO1" t="s">
        <v>106</v>
      </c>
      <c r="AP1" t="s">
        <v>107</v>
      </c>
      <c r="AS1" t="s">
        <v>0</v>
      </c>
      <c r="AT1">
        <v>1</v>
      </c>
      <c r="AU1">
        <v>2</v>
      </c>
      <c r="AV1">
        <v>3</v>
      </c>
      <c r="AW1">
        <v>4</v>
      </c>
      <c r="AX1">
        <v>5</v>
      </c>
      <c r="AY1">
        <v>6</v>
      </c>
      <c r="AZ1">
        <v>7</v>
      </c>
      <c r="BA1">
        <v>8</v>
      </c>
      <c r="BB1">
        <v>9</v>
      </c>
      <c r="BC1">
        <v>10</v>
      </c>
      <c r="BD1">
        <v>11</v>
      </c>
      <c r="BE1">
        <v>12</v>
      </c>
      <c r="BF1">
        <v>13</v>
      </c>
      <c r="BG1">
        <v>14</v>
      </c>
      <c r="BH1">
        <v>15</v>
      </c>
      <c r="BI1">
        <v>16</v>
      </c>
      <c r="BJ1">
        <v>17</v>
      </c>
      <c r="BK1">
        <v>18</v>
      </c>
      <c r="BL1">
        <v>19</v>
      </c>
      <c r="BM1">
        <v>20</v>
      </c>
      <c r="BN1">
        <v>21</v>
      </c>
      <c r="BO1">
        <v>22</v>
      </c>
      <c r="BP1">
        <v>23</v>
      </c>
      <c r="BQ1">
        <v>24</v>
      </c>
      <c r="BR1">
        <v>25</v>
      </c>
      <c r="BS1">
        <v>26</v>
      </c>
      <c r="BT1">
        <v>27</v>
      </c>
      <c r="BU1">
        <v>28</v>
      </c>
      <c r="BV1">
        <v>29</v>
      </c>
      <c r="BW1">
        <v>30</v>
      </c>
      <c r="BX1">
        <v>31</v>
      </c>
      <c r="BY1">
        <v>32</v>
      </c>
      <c r="CA1" t="s">
        <v>50</v>
      </c>
      <c r="CB1" t="s">
        <v>51</v>
      </c>
      <c r="CC1" t="s">
        <v>52</v>
      </c>
      <c r="CD1" t="s">
        <v>53</v>
      </c>
      <c r="CE1" t="s">
        <v>40</v>
      </c>
      <c r="CF1" t="s">
        <v>54</v>
      </c>
      <c r="CG1" t="s">
        <v>55</v>
      </c>
      <c r="CH1" t="s">
        <v>56</v>
      </c>
    </row>
    <row r="2" spans="1:86" x14ac:dyDescent="0.3">
      <c r="A2" t="s">
        <v>1</v>
      </c>
      <c r="B2">
        <v>3</v>
      </c>
      <c r="C2">
        <v>3</v>
      </c>
      <c r="D2">
        <v>0</v>
      </c>
      <c r="E2">
        <v>0</v>
      </c>
      <c r="F2">
        <v>2</v>
      </c>
      <c r="G2">
        <v>3</v>
      </c>
      <c r="H2">
        <v>3</v>
      </c>
      <c r="I2">
        <v>4</v>
      </c>
      <c r="J2">
        <v>4</v>
      </c>
      <c r="K2">
        <v>4</v>
      </c>
      <c r="L2">
        <v>3</v>
      </c>
      <c r="M2">
        <v>4</v>
      </c>
      <c r="N2">
        <v>0</v>
      </c>
      <c r="O2">
        <v>0</v>
      </c>
      <c r="P2">
        <v>4</v>
      </c>
      <c r="Q2">
        <v>3</v>
      </c>
      <c r="R2">
        <v>3</v>
      </c>
      <c r="S2">
        <v>3</v>
      </c>
      <c r="T2">
        <v>1</v>
      </c>
      <c r="U2">
        <v>2</v>
      </c>
      <c r="V2">
        <v>1</v>
      </c>
      <c r="W2">
        <v>2</v>
      </c>
      <c r="X2">
        <v>2</v>
      </c>
      <c r="Y2">
        <v>3</v>
      </c>
      <c r="Z2">
        <v>2</v>
      </c>
      <c r="AA2">
        <v>2</v>
      </c>
      <c r="AB2">
        <v>3</v>
      </c>
      <c r="AC2">
        <v>0</v>
      </c>
      <c r="AD2">
        <v>2</v>
      </c>
      <c r="AE2">
        <v>1</v>
      </c>
      <c r="AF2">
        <v>1</v>
      </c>
      <c r="AG2">
        <v>1</v>
      </c>
      <c r="AI2">
        <f>D2+E2+G2+H2</f>
        <v>6</v>
      </c>
      <c r="AJ2">
        <f>F2+U2+V2+AE2</f>
        <v>6</v>
      </c>
      <c r="AK2">
        <f>N2+O2+T2+AC2</f>
        <v>1</v>
      </c>
      <c r="AL2">
        <f>B2+C2+P2+S2</f>
        <v>13</v>
      </c>
      <c r="AM2">
        <f>Q2+Z2+AA2+AD2</f>
        <v>9</v>
      </c>
      <c r="AN2">
        <f>L2+AB2+AF2+AG2</f>
        <v>8</v>
      </c>
      <c r="AO2">
        <f>J2+M2+R2+Y2</f>
        <v>14</v>
      </c>
      <c r="AP2">
        <f>I2+K2+W2+X2</f>
        <v>12</v>
      </c>
      <c r="AS2" t="s">
        <v>1</v>
      </c>
      <c r="AT2">
        <v>3</v>
      </c>
      <c r="AU2">
        <v>3</v>
      </c>
      <c r="AV2">
        <v>0</v>
      </c>
      <c r="AW2">
        <v>0</v>
      </c>
      <c r="AX2">
        <v>0</v>
      </c>
      <c r="AY2">
        <v>0</v>
      </c>
      <c r="AZ2">
        <v>1</v>
      </c>
      <c r="BA2">
        <v>3</v>
      </c>
      <c r="BB2">
        <v>3</v>
      </c>
      <c r="BC2">
        <v>3</v>
      </c>
      <c r="BD2">
        <v>1</v>
      </c>
      <c r="BE2">
        <v>3</v>
      </c>
      <c r="BF2">
        <v>0</v>
      </c>
      <c r="BG2">
        <v>0</v>
      </c>
      <c r="BH2">
        <v>3</v>
      </c>
      <c r="BI2">
        <v>2</v>
      </c>
      <c r="BJ2">
        <v>3</v>
      </c>
      <c r="BK2">
        <v>2</v>
      </c>
      <c r="BL2">
        <v>0</v>
      </c>
      <c r="BM2">
        <v>1</v>
      </c>
      <c r="BN2">
        <v>0</v>
      </c>
      <c r="BO2">
        <v>2</v>
      </c>
      <c r="BP2">
        <v>2</v>
      </c>
      <c r="BQ2">
        <v>2</v>
      </c>
      <c r="BR2">
        <v>1</v>
      </c>
      <c r="BS2">
        <v>1</v>
      </c>
      <c r="BT2">
        <v>1</v>
      </c>
      <c r="BU2">
        <v>0</v>
      </c>
      <c r="BV2">
        <v>1</v>
      </c>
      <c r="BW2">
        <v>0</v>
      </c>
      <c r="BX2">
        <v>1</v>
      </c>
      <c r="BY2">
        <v>0</v>
      </c>
      <c r="CA2">
        <f>AV2+AW2+AY2+AZ2</f>
        <v>1</v>
      </c>
      <c r="CB2">
        <f>AX2+BM2+BN2+BW2</f>
        <v>1</v>
      </c>
      <c r="CC2">
        <f>BF2+BG2+BL2+BU2</f>
        <v>0</v>
      </c>
      <c r="CD2">
        <f>AT2+AU2+BH2+BK2</f>
        <v>11</v>
      </c>
      <c r="CE2">
        <f>BI2+BR2+BS2+BV2</f>
        <v>5</v>
      </c>
      <c r="CF2">
        <f>BD2+BT2+BX2+BY2</f>
        <v>3</v>
      </c>
      <c r="CG2">
        <f>BB2+BE2+BJ2+BQ2</f>
        <v>11</v>
      </c>
      <c r="CH2">
        <f>BA2+BC2+BO2+BP2</f>
        <v>10</v>
      </c>
    </row>
    <row r="3" spans="1:86" x14ac:dyDescent="0.3">
      <c r="A3" t="s">
        <v>2</v>
      </c>
      <c r="B3">
        <v>4</v>
      </c>
      <c r="C3">
        <v>4</v>
      </c>
      <c r="D3">
        <v>0</v>
      </c>
      <c r="E3">
        <v>0</v>
      </c>
      <c r="F3">
        <v>0</v>
      </c>
      <c r="G3">
        <v>0</v>
      </c>
      <c r="H3">
        <v>0</v>
      </c>
      <c r="I3">
        <v>4</v>
      </c>
      <c r="J3">
        <v>2</v>
      </c>
      <c r="K3">
        <v>4</v>
      </c>
      <c r="L3">
        <v>0</v>
      </c>
      <c r="M3">
        <v>3</v>
      </c>
      <c r="N3">
        <v>0</v>
      </c>
      <c r="O3">
        <v>0</v>
      </c>
      <c r="P3">
        <v>3</v>
      </c>
      <c r="Q3">
        <v>0</v>
      </c>
      <c r="R3">
        <v>2</v>
      </c>
      <c r="S3">
        <v>3</v>
      </c>
      <c r="T3">
        <v>0</v>
      </c>
      <c r="U3">
        <v>0</v>
      </c>
      <c r="V3">
        <v>0</v>
      </c>
      <c r="W3">
        <v>4</v>
      </c>
      <c r="X3">
        <v>4</v>
      </c>
      <c r="Y3">
        <v>3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I3">
        <f t="shared" ref="AI3:AI19" si="0">D3+E3+G3+H3</f>
        <v>0</v>
      </c>
      <c r="AJ3">
        <f t="shared" ref="AJ3:AJ19" si="1">F3+U3+V3+AE3</f>
        <v>0</v>
      </c>
      <c r="AK3">
        <f t="shared" ref="AK3:AK19" si="2">N3+O3+T3+AC3</f>
        <v>2</v>
      </c>
      <c r="AL3">
        <f t="shared" ref="AL3:AL19" si="3">B3+C3+P3+S3</f>
        <v>14</v>
      </c>
      <c r="AM3">
        <f t="shared" ref="AM3:AM19" si="4">Q3+Z3+AA3+AD3</f>
        <v>0</v>
      </c>
      <c r="AN3">
        <f t="shared" ref="AN3:AN19" si="5">L3+AB3+AF3+AG3</f>
        <v>0</v>
      </c>
      <c r="AO3">
        <f t="shared" ref="AO3:AO19" si="6">J3+M3+R3+Y3</f>
        <v>10</v>
      </c>
      <c r="AP3">
        <f t="shared" ref="AP3:AP19" si="7">I3+K3+W3+X3</f>
        <v>16</v>
      </c>
      <c r="AS3" t="s">
        <v>2</v>
      </c>
      <c r="AT3">
        <v>3</v>
      </c>
      <c r="AU3">
        <v>3</v>
      </c>
      <c r="AV3">
        <v>0</v>
      </c>
      <c r="AW3">
        <v>0</v>
      </c>
      <c r="AX3">
        <v>0</v>
      </c>
      <c r="AY3">
        <v>0</v>
      </c>
      <c r="AZ3">
        <v>0</v>
      </c>
      <c r="BA3">
        <v>4</v>
      </c>
      <c r="BB3">
        <v>3</v>
      </c>
      <c r="BC3">
        <v>4</v>
      </c>
      <c r="BD3">
        <v>0</v>
      </c>
      <c r="BE3">
        <v>2</v>
      </c>
      <c r="BF3">
        <v>0</v>
      </c>
      <c r="BG3">
        <v>0</v>
      </c>
      <c r="BH3">
        <v>3</v>
      </c>
      <c r="BI3">
        <v>1</v>
      </c>
      <c r="BJ3">
        <v>3</v>
      </c>
      <c r="BK3">
        <v>3</v>
      </c>
      <c r="BL3">
        <v>0</v>
      </c>
      <c r="BM3">
        <v>0</v>
      </c>
      <c r="BN3">
        <v>0</v>
      </c>
      <c r="BO3">
        <v>4</v>
      </c>
      <c r="BP3">
        <v>4</v>
      </c>
      <c r="BQ3">
        <v>3</v>
      </c>
      <c r="BR3">
        <v>1</v>
      </c>
      <c r="BS3">
        <v>1</v>
      </c>
      <c r="BT3">
        <v>1</v>
      </c>
      <c r="BU3">
        <v>1</v>
      </c>
      <c r="BV3">
        <v>0</v>
      </c>
      <c r="BW3">
        <v>0</v>
      </c>
      <c r="BX3">
        <v>0</v>
      </c>
      <c r="BY3">
        <v>0</v>
      </c>
      <c r="CA3">
        <f t="shared" ref="CA3:CA19" si="8">AV3+AW3+AY3+AZ3</f>
        <v>0</v>
      </c>
      <c r="CB3">
        <f t="shared" ref="CB3:CB19" si="9">AX3+BM3+BN3+BW3</f>
        <v>0</v>
      </c>
      <c r="CC3">
        <f t="shared" ref="CC3:CC19" si="10">BF3+BG3+BL3+BU3</f>
        <v>1</v>
      </c>
      <c r="CD3">
        <f t="shared" ref="CD3:CD19" si="11">AT3+AU3+BH3+BK3</f>
        <v>12</v>
      </c>
      <c r="CE3">
        <f t="shared" ref="CE3:CE19" si="12">BI3+BR3+BS3+BV3</f>
        <v>3</v>
      </c>
      <c r="CF3">
        <f t="shared" ref="CF3:CF19" si="13">BD3+BT3+BX3+BY3</f>
        <v>1</v>
      </c>
      <c r="CG3">
        <f t="shared" ref="CG3:CG19" si="14">BB3+BE3+BJ3+BQ3</f>
        <v>11</v>
      </c>
      <c r="CH3">
        <f t="shared" ref="CH3:CH19" si="15">BA3+BC3+BO3+BP3</f>
        <v>16</v>
      </c>
    </row>
    <row r="4" spans="1:86" x14ac:dyDescent="0.3">
      <c r="A4" t="s">
        <v>3</v>
      </c>
      <c r="B4">
        <v>2</v>
      </c>
      <c r="C4">
        <v>3</v>
      </c>
      <c r="D4">
        <v>1</v>
      </c>
      <c r="E4">
        <v>1</v>
      </c>
      <c r="F4">
        <v>2</v>
      </c>
      <c r="G4">
        <v>0</v>
      </c>
      <c r="H4">
        <v>1</v>
      </c>
      <c r="I4">
        <v>4</v>
      </c>
      <c r="J4">
        <v>4</v>
      </c>
      <c r="K4">
        <v>4</v>
      </c>
      <c r="L4">
        <v>2</v>
      </c>
      <c r="M4">
        <v>2</v>
      </c>
      <c r="N4">
        <v>0</v>
      </c>
      <c r="O4">
        <v>1</v>
      </c>
      <c r="P4">
        <v>3</v>
      </c>
      <c r="Q4">
        <v>1</v>
      </c>
      <c r="R4">
        <v>3</v>
      </c>
      <c r="S4">
        <v>3</v>
      </c>
      <c r="T4">
        <v>1</v>
      </c>
      <c r="U4">
        <v>1</v>
      </c>
      <c r="V4">
        <v>1</v>
      </c>
      <c r="W4">
        <v>2</v>
      </c>
      <c r="X4">
        <v>3</v>
      </c>
      <c r="Y4">
        <v>2</v>
      </c>
      <c r="Z4">
        <v>1</v>
      </c>
      <c r="AA4">
        <v>2</v>
      </c>
      <c r="AB4">
        <v>1</v>
      </c>
      <c r="AC4">
        <v>1</v>
      </c>
      <c r="AD4">
        <v>0</v>
      </c>
      <c r="AE4">
        <v>1</v>
      </c>
      <c r="AF4">
        <v>1</v>
      </c>
      <c r="AG4">
        <v>2</v>
      </c>
      <c r="AI4">
        <f t="shared" si="0"/>
        <v>3</v>
      </c>
      <c r="AJ4">
        <f t="shared" si="1"/>
        <v>5</v>
      </c>
      <c r="AK4">
        <f t="shared" si="2"/>
        <v>3</v>
      </c>
      <c r="AL4">
        <f t="shared" si="3"/>
        <v>11</v>
      </c>
      <c r="AM4">
        <f t="shared" si="4"/>
        <v>4</v>
      </c>
      <c r="AN4">
        <f t="shared" si="5"/>
        <v>6</v>
      </c>
      <c r="AO4">
        <f t="shared" si="6"/>
        <v>11</v>
      </c>
      <c r="AP4">
        <f t="shared" si="7"/>
        <v>13</v>
      </c>
      <c r="AS4" t="s">
        <v>3</v>
      </c>
      <c r="AT4">
        <v>2</v>
      </c>
      <c r="AU4">
        <v>3</v>
      </c>
      <c r="AV4">
        <v>1</v>
      </c>
      <c r="AW4">
        <v>2</v>
      </c>
      <c r="AX4">
        <v>1</v>
      </c>
      <c r="AY4">
        <v>1</v>
      </c>
      <c r="AZ4">
        <v>1</v>
      </c>
      <c r="BA4">
        <v>3</v>
      </c>
      <c r="BB4">
        <v>3</v>
      </c>
      <c r="BC4">
        <v>4</v>
      </c>
      <c r="BD4">
        <v>2</v>
      </c>
      <c r="BE4">
        <v>1</v>
      </c>
      <c r="BF4">
        <v>1</v>
      </c>
      <c r="BG4">
        <v>0</v>
      </c>
      <c r="BH4">
        <v>3</v>
      </c>
      <c r="BI4">
        <v>2</v>
      </c>
      <c r="BJ4">
        <v>3</v>
      </c>
      <c r="BK4">
        <v>3</v>
      </c>
      <c r="BL4">
        <v>2</v>
      </c>
      <c r="BM4">
        <v>1</v>
      </c>
      <c r="BN4">
        <v>1</v>
      </c>
      <c r="BO4">
        <v>2</v>
      </c>
      <c r="BP4">
        <v>1</v>
      </c>
      <c r="BQ4">
        <v>1</v>
      </c>
      <c r="BR4">
        <v>2</v>
      </c>
      <c r="BS4">
        <v>3</v>
      </c>
      <c r="BT4">
        <v>1</v>
      </c>
      <c r="BU4">
        <v>1</v>
      </c>
      <c r="BV4">
        <v>1</v>
      </c>
      <c r="BW4">
        <v>3</v>
      </c>
      <c r="BX4">
        <v>2</v>
      </c>
      <c r="BY4">
        <v>1</v>
      </c>
      <c r="CA4">
        <f t="shared" si="8"/>
        <v>5</v>
      </c>
      <c r="CB4">
        <f t="shared" si="9"/>
        <v>6</v>
      </c>
      <c r="CC4">
        <f t="shared" si="10"/>
        <v>4</v>
      </c>
      <c r="CD4">
        <f t="shared" si="11"/>
        <v>11</v>
      </c>
      <c r="CE4">
        <f t="shared" si="12"/>
        <v>8</v>
      </c>
      <c r="CF4">
        <f t="shared" si="13"/>
        <v>6</v>
      </c>
      <c r="CG4">
        <f t="shared" si="14"/>
        <v>8</v>
      </c>
      <c r="CH4">
        <f t="shared" si="15"/>
        <v>10</v>
      </c>
    </row>
    <row r="5" spans="1:86" x14ac:dyDescent="0.3">
      <c r="A5" t="s">
        <v>4</v>
      </c>
      <c r="B5">
        <v>4</v>
      </c>
      <c r="C5">
        <v>4</v>
      </c>
      <c r="D5">
        <v>0</v>
      </c>
      <c r="E5">
        <v>0</v>
      </c>
      <c r="F5">
        <v>1</v>
      </c>
      <c r="G5">
        <v>0</v>
      </c>
      <c r="H5">
        <v>2</v>
      </c>
      <c r="I5">
        <v>3</v>
      </c>
      <c r="J5">
        <v>4</v>
      </c>
      <c r="K5">
        <v>3</v>
      </c>
      <c r="L5">
        <v>0</v>
      </c>
      <c r="M5">
        <v>3</v>
      </c>
      <c r="N5">
        <v>0</v>
      </c>
      <c r="O5">
        <v>0</v>
      </c>
      <c r="P5">
        <v>4</v>
      </c>
      <c r="Q5">
        <v>2</v>
      </c>
      <c r="R5">
        <v>4</v>
      </c>
      <c r="S5">
        <v>4</v>
      </c>
      <c r="T5">
        <v>0</v>
      </c>
      <c r="U5">
        <v>0</v>
      </c>
      <c r="V5">
        <v>0</v>
      </c>
      <c r="W5">
        <v>3</v>
      </c>
      <c r="X5">
        <v>4</v>
      </c>
      <c r="Y5">
        <v>4</v>
      </c>
      <c r="Z5">
        <v>4</v>
      </c>
      <c r="AA5">
        <v>3</v>
      </c>
      <c r="AB5">
        <v>2</v>
      </c>
      <c r="AC5">
        <v>1</v>
      </c>
      <c r="AD5">
        <v>0</v>
      </c>
      <c r="AE5">
        <v>0</v>
      </c>
      <c r="AF5">
        <v>0</v>
      </c>
      <c r="AG5">
        <v>0</v>
      </c>
      <c r="AI5">
        <f t="shared" si="0"/>
        <v>2</v>
      </c>
      <c r="AJ5">
        <f t="shared" si="1"/>
        <v>1</v>
      </c>
      <c r="AK5">
        <f t="shared" si="2"/>
        <v>1</v>
      </c>
      <c r="AL5">
        <f t="shared" si="3"/>
        <v>16</v>
      </c>
      <c r="AM5">
        <f t="shared" si="4"/>
        <v>9</v>
      </c>
      <c r="AN5">
        <f t="shared" si="5"/>
        <v>2</v>
      </c>
      <c r="AO5">
        <f t="shared" si="6"/>
        <v>15</v>
      </c>
      <c r="AP5">
        <f t="shared" si="7"/>
        <v>13</v>
      </c>
      <c r="AS5" t="s">
        <v>4</v>
      </c>
      <c r="AT5">
        <v>4</v>
      </c>
      <c r="AU5">
        <v>4</v>
      </c>
      <c r="AV5">
        <v>1</v>
      </c>
      <c r="AW5">
        <v>0</v>
      </c>
      <c r="AX5">
        <v>0</v>
      </c>
      <c r="AY5">
        <v>0</v>
      </c>
      <c r="AZ5">
        <v>1</v>
      </c>
      <c r="BA5">
        <v>2</v>
      </c>
      <c r="BB5">
        <v>4</v>
      </c>
      <c r="BC5">
        <v>2</v>
      </c>
      <c r="BD5">
        <v>0</v>
      </c>
      <c r="BE5">
        <v>1</v>
      </c>
      <c r="BF5">
        <v>0</v>
      </c>
      <c r="BG5">
        <v>0</v>
      </c>
      <c r="BH5">
        <v>4</v>
      </c>
      <c r="BI5">
        <v>0</v>
      </c>
      <c r="BJ5">
        <v>4</v>
      </c>
      <c r="BK5">
        <v>3</v>
      </c>
      <c r="BL5">
        <v>0</v>
      </c>
      <c r="BM5">
        <v>0</v>
      </c>
      <c r="BN5">
        <v>0</v>
      </c>
      <c r="BO5">
        <v>3</v>
      </c>
      <c r="BP5">
        <v>3</v>
      </c>
      <c r="BQ5">
        <v>3</v>
      </c>
      <c r="BR5">
        <v>1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CA5">
        <f t="shared" si="8"/>
        <v>2</v>
      </c>
      <c r="CB5">
        <f t="shared" si="9"/>
        <v>0</v>
      </c>
      <c r="CC5">
        <f t="shared" si="10"/>
        <v>0</v>
      </c>
      <c r="CD5">
        <f t="shared" si="11"/>
        <v>15</v>
      </c>
      <c r="CE5">
        <f t="shared" si="12"/>
        <v>1</v>
      </c>
      <c r="CF5">
        <f t="shared" si="13"/>
        <v>0</v>
      </c>
      <c r="CG5">
        <f t="shared" si="14"/>
        <v>12</v>
      </c>
      <c r="CH5">
        <f t="shared" si="15"/>
        <v>10</v>
      </c>
    </row>
    <row r="6" spans="1:86" x14ac:dyDescent="0.3">
      <c r="A6" t="s">
        <v>5</v>
      </c>
      <c r="B6">
        <v>4</v>
      </c>
      <c r="C6">
        <v>1</v>
      </c>
      <c r="D6">
        <v>0</v>
      </c>
      <c r="E6">
        <v>1</v>
      </c>
      <c r="F6">
        <v>3</v>
      </c>
      <c r="G6">
        <v>4</v>
      </c>
      <c r="H6">
        <v>2</v>
      </c>
      <c r="I6">
        <v>2</v>
      </c>
      <c r="J6">
        <v>2</v>
      </c>
      <c r="K6">
        <v>1</v>
      </c>
      <c r="L6">
        <v>0</v>
      </c>
      <c r="M6">
        <v>3</v>
      </c>
      <c r="N6">
        <v>0</v>
      </c>
      <c r="O6">
        <v>0</v>
      </c>
      <c r="P6">
        <v>2</v>
      </c>
      <c r="Q6">
        <v>1</v>
      </c>
      <c r="R6">
        <v>3</v>
      </c>
      <c r="S6">
        <v>2</v>
      </c>
      <c r="T6">
        <v>1</v>
      </c>
      <c r="U6">
        <v>0</v>
      </c>
      <c r="V6">
        <v>0</v>
      </c>
      <c r="W6">
        <v>2</v>
      </c>
      <c r="X6">
        <v>2</v>
      </c>
      <c r="Y6">
        <v>3</v>
      </c>
      <c r="Z6">
        <v>4</v>
      </c>
      <c r="AA6">
        <v>3</v>
      </c>
      <c r="AB6">
        <v>1</v>
      </c>
      <c r="AC6">
        <v>3</v>
      </c>
      <c r="AD6">
        <v>1</v>
      </c>
      <c r="AE6">
        <v>0</v>
      </c>
      <c r="AF6">
        <v>0</v>
      </c>
      <c r="AG6">
        <v>3</v>
      </c>
      <c r="AI6">
        <f t="shared" si="0"/>
        <v>7</v>
      </c>
      <c r="AJ6">
        <f t="shared" si="1"/>
        <v>3</v>
      </c>
      <c r="AK6">
        <f t="shared" si="2"/>
        <v>4</v>
      </c>
      <c r="AL6">
        <f t="shared" si="3"/>
        <v>9</v>
      </c>
      <c r="AM6">
        <f t="shared" si="4"/>
        <v>9</v>
      </c>
      <c r="AN6">
        <f t="shared" si="5"/>
        <v>4</v>
      </c>
      <c r="AO6">
        <f t="shared" si="6"/>
        <v>11</v>
      </c>
      <c r="AP6">
        <f t="shared" si="7"/>
        <v>7</v>
      </c>
      <c r="AS6" t="s">
        <v>5</v>
      </c>
      <c r="AT6">
        <v>2</v>
      </c>
      <c r="AU6">
        <v>3</v>
      </c>
      <c r="AV6">
        <v>0</v>
      </c>
      <c r="AW6">
        <v>0</v>
      </c>
      <c r="AX6">
        <v>0</v>
      </c>
      <c r="AY6">
        <v>0</v>
      </c>
      <c r="AZ6">
        <v>3</v>
      </c>
      <c r="BA6">
        <v>3</v>
      </c>
      <c r="BB6">
        <v>3</v>
      </c>
      <c r="BC6">
        <v>2</v>
      </c>
      <c r="BD6">
        <v>1</v>
      </c>
      <c r="BE6">
        <v>2</v>
      </c>
      <c r="BF6">
        <v>0</v>
      </c>
      <c r="BG6">
        <v>0</v>
      </c>
      <c r="BH6">
        <v>2</v>
      </c>
      <c r="BI6">
        <v>0</v>
      </c>
      <c r="BJ6">
        <v>3</v>
      </c>
      <c r="BK6">
        <v>3</v>
      </c>
      <c r="BL6">
        <v>0</v>
      </c>
      <c r="BM6">
        <v>0</v>
      </c>
      <c r="BN6">
        <v>0</v>
      </c>
      <c r="BO6">
        <v>2</v>
      </c>
      <c r="BP6">
        <v>2</v>
      </c>
      <c r="BQ6">
        <v>2</v>
      </c>
      <c r="BR6">
        <v>1</v>
      </c>
      <c r="BS6">
        <v>2</v>
      </c>
      <c r="BT6">
        <v>0</v>
      </c>
      <c r="BU6">
        <v>0</v>
      </c>
      <c r="BV6">
        <v>1</v>
      </c>
      <c r="BW6">
        <v>1</v>
      </c>
      <c r="BX6">
        <v>0</v>
      </c>
      <c r="BY6">
        <v>1</v>
      </c>
      <c r="CA6">
        <f t="shared" si="8"/>
        <v>3</v>
      </c>
      <c r="CB6">
        <f t="shared" si="9"/>
        <v>1</v>
      </c>
      <c r="CC6">
        <f t="shared" si="10"/>
        <v>0</v>
      </c>
      <c r="CD6">
        <f t="shared" si="11"/>
        <v>10</v>
      </c>
      <c r="CE6">
        <f t="shared" si="12"/>
        <v>4</v>
      </c>
      <c r="CF6">
        <f t="shared" si="13"/>
        <v>2</v>
      </c>
      <c r="CG6">
        <f t="shared" si="14"/>
        <v>10</v>
      </c>
      <c r="CH6">
        <f t="shared" si="15"/>
        <v>9</v>
      </c>
    </row>
    <row r="7" spans="1:86" x14ac:dyDescent="0.3">
      <c r="A7" t="s">
        <v>6</v>
      </c>
      <c r="B7">
        <v>1</v>
      </c>
      <c r="C7">
        <v>0</v>
      </c>
      <c r="D7">
        <v>2</v>
      </c>
      <c r="E7">
        <v>4</v>
      </c>
      <c r="F7">
        <v>4</v>
      </c>
      <c r="G7">
        <v>1</v>
      </c>
      <c r="H7">
        <v>0</v>
      </c>
      <c r="I7">
        <v>4</v>
      </c>
      <c r="J7">
        <v>1</v>
      </c>
      <c r="K7">
        <v>4</v>
      </c>
      <c r="L7">
        <v>0</v>
      </c>
      <c r="M7">
        <v>0</v>
      </c>
      <c r="N7">
        <v>0</v>
      </c>
      <c r="O7">
        <v>0</v>
      </c>
      <c r="P7">
        <v>1</v>
      </c>
      <c r="Q7">
        <v>2</v>
      </c>
      <c r="R7">
        <v>0</v>
      </c>
      <c r="S7">
        <v>0</v>
      </c>
      <c r="T7">
        <v>4</v>
      </c>
      <c r="U7">
        <v>4</v>
      </c>
      <c r="V7">
        <v>0</v>
      </c>
      <c r="W7">
        <v>0</v>
      </c>
      <c r="X7">
        <v>0</v>
      </c>
      <c r="Y7">
        <v>2</v>
      </c>
      <c r="Z7">
        <v>4</v>
      </c>
      <c r="AA7">
        <v>2</v>
      </c>
      <c r="AB7">
        <v>4</v>
      </c>
      <c r="AC7">
        <v>4</v>
      </c>
      <c r="AD7">
        <v>2</v>
      </c>
      <c r="AE7">
        <v>4</v>
      </c>
      <c r="AF7">
        <v>4</v>
      </c>
      <c r="AG7">
        <v>4</v>
      </c>
      <c r="AI7">
        <f t="shared" si="0"/>
        <v>7</v>
      </c>
      <c r="AJ7">
        <f t="shared" si="1"/>
        <v>12</v>
      </c>
      <c r="AK7">
        <f t="shared" si="2"/>
        <v>8</v>
      </c>
      <c r="AL7">
        <f t="shared" si="3"/>
        <v>2</v>
      </c>
      <c r="AM7">
        <f t="shared" si="4"/>
        <v>10</v>
      </c>
      <c r="AN7">
        <f t="shared" si="5"/>
        <v>12</v>
      </c>
      <c r="AO7">
        <f t="shared" si="6"/>
        <v>3</v>
      </c>
      <c r="AP7">
        <f t="shared" si="7"/>
        <v>8</v>
      </c>
      <c r="AS7" t="s">
        <v>6</v>
      </c>
      <c r="AT7">
        <v>1</v>
      </c>
      <c r="AU7">
        <v>0</v>
      </c>
      <c r="AV7">
        <v>4</v>
      </c>
      <c r="AW7">
        <v>4</v>
      </c>
      <c r="AX7">
        <v>4</v>
      </c>
      <c r="AY7">
        <v>2</v>
      </c>
      <c r="AZ7">
        <v>2</v>
      </c>
      <c r="BA7">
        <v>1</v>
      </c>
      <c r="BB7">
        <v>1</v>
      </c>
      <c r="BC7">
        <v>1</v>
      </c>
      <c r="BD7">
        <v>1</v>
      </c>
      <c r="BE7">
        <v>4</v>
      </c>
      <c r="BF7">
        <v>4</v>
      </c>
      <c r="BG7">
        <v>4</v>
      </c>
      <c r="BH7">
        <v>1</v>
      </c>
      <c r="BI7">
        <v>2</v>
      </c>
      <c r="BJ7">
        <v>1</v>
      </c>
      <c r="BK7">
        <v>1</v>
      </c>
      <c r="BL7">
        <v>4</v>
      </c>
      <c r="BM7">
        <v>4</v>
      </c>
      <c r="BN7">
        <v>0</v>
      </c>
      <c r="BO7">
        <v>1</v>
      </c>
      <c r="BP7">
        <v>1</v>
      </c>
      <c r="BQ7">
        <v>4</v>
      </c>
      <c r="BR7">
        <v>4</v>
      </c>
      <c r="BS7">
        <v>1</v>
      </c>
      <c r="BT7">
        <v>0</v>
      </c>
      <c r="BU7">
        <v>4</v>
      </c>
      <c r="BV7">
        <v>1</v>
      </c>
      <c r="BW7">
        <v>4</v>
      </c>
      <c r="BX7">
        <v>4</v>
      </c>
      <c r="BY7">
        <v>4</v>
      </c>
      <c r="CA7">
        <f t="shared" si="8"/>
        <v>12</v>
      </c>
      <c r="CB7">
        <f t="shared" si="9"/>
        <v>12</v>
      </c>
      <c r="CC7">
        <f t="shared" si="10"/>
        <v>16</v>
      </c>
      <c r="CD7">
        <f t="shared" si="11"/>
        <v>3</v>
      </c>
      <c r="CE7">
        <f t="shared" si="12"/>
        <v>8</v>
      </c>
      <c r="CF7">
        <f t="shared" si="13"/>
        <v>9</v>
      </c>
      <c r="CG7">
        <f t="shared" si="14"/>
        <v>10</v>
      </c>
      <c r="CH7">
        <f t="shared" si="15"/>
        <v>4</v>
      </c>
    </row>
    <row r="8" spans="1:86" x14ac:dyDescent="0.3">
      <c r="A8" t="s">
        <v>7</v>
      </c>
      <c r="B8">
        <v>4</v>
      </c>
      <c r="C8">
        <v>4</v>
      </c>
      <c r="D8">
        <v>1</v>
      </c>
      <c r="E8">
        <v>0</v>
      </c>
      <c r="F8">
        <v>0</v>
      </c>
      <c r="G8">
        <v>0</v>
      </c>
      <c r="H8">
        <v>0</v>
      </c>
      <c r="I8">
        <v>4</v>
      </c>
      <c r="J8">
        <v>4</v>
      </c>
      <c r="K8">
        <v>4</v>
      </c>
      <c r="L8">
        <v>0</v>
      </c>
      <c r="M8">
        <v>4</v>
      </c>
      <c r="N8">
        <v>0</v>
      </c>
      <c r="O8">
        <v>0</v>
      </c>
      <c r="P8">
        <v>4</v>
      </c>
      <c r="Q8">
        <v>0</v>
      </c>
      <c r="R8">
        <v>4</v>
      </c>
      <c r="S8">
        <v>4</v>
      </c>
      <c r="T8">
        <v>0</v>
      </c>
      <c r="U8">
        <v>0</v>
      </c>
      <c r="V8">
        <v>0</v>
      </c>
      <c r="W8">
        <v>4</v>
      </c>
      <c r="X8">
        <v>4</v>
      </c>
      <c r="Y8">
        <v>4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I8">
        <f t="shared" si="0"/>
        <v>1</v>
      </c>
      <c r="AJ8">
        <f t="shared" si="1"/>
        <v>0</v>
      </c>
      <c r="AK8">
        <f t="shared" si="2"/>
        <v>0</v>
      </c>
      <c r="AL8">
        <f t="shared" si="3"/>
        <v>16</v>
      </c>
      <c r="AM8">
        <f t="shared" si="4"/>
        <v>0</v>
      </c>
      <c r="AN8">
        <f t="shared" si="5"/>
        <v>0</v>
      </c>
      <c r="AO8">
        <f t="shared" si="6"/>
        <v>16</v>
      </c>
      <c r="AP8">
        <f t="shared" si="7"/>
        <v>16</v>
      </c>
      <c r="AS8" t="s">
        <v>7</v>
      </c>
      <c r="AT8">
        <v>4</v>
      </c>
      <c r="AU8">
        <v>4</v>
      </c>
      <c r="AV8">
        <v>0</v>
      </c>
      <c r="AW8">
        <v>0</v>
      </c>
      <c r="AX8">
        <v>0</v>
      </c>
      <c r="AY8">
        <v>0</v>
      </c>
      <c r="AZ8">
        <v>0</v>
      </c>
      <c r="BA8">
        <v>4</v>
      </c>
      <c r="BB8">
        <v>4</v>
      </c>
      <c r="BC8">
        <v>4</v>
      </c>
      <c r="BD8">
        <v>0</v>
      </c>
      <c r="BE8">
        <v>4</v>
      </c>
      <c r="BF8">
        <v>0</v>
      </c>
      <c r="BG8">
        <v>0</v>
      </c>
      <c r="BH8">
        <v>4</v>
      </c>
      <c r="BI8">
        <v>0</v>
      </c>
      <c r="BJ8">
        <v>4</v>
      </c>
      <c r="BK8">
        <v>4</v>
      </c>
      <c r="BL8">
        <v>0</v>
      </c>
      <c r="BM8">
        <v>0</v>
      </c>
      <c r="BN8">
        <v>0</v>
      </c>
      <c r="BO8">
        <v>4</v>
      </c>
      <c r="BP8">
        <v>4</v>
      </c>
      <c r="BQ8">
        <v>4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CA8">
        <f t="shared" si="8"/>
        <v>0</v>
      </c>
      <c r="CB8">
        <f t="shared" si="9"/>
        <v>0</v>
      </c>
      <c r="CC8">
        <f t="shared" si="10"/>
        <v>0</v>
      </c>
      <c r="CD8">
        <f t="shared" si="11"/>
        <v>16</v>
      </c>
      <c r="CE8">
        <f t="shared" si="12"/>
        <v>0</v>
      </c>
      <c r="CF8">
        <f t="shared" si="13"/>
        <v>0</v>
      </c>
      <c r="CG8">
        <f t="shared" si="14"/>
        <v>16</v>
      </c>
      <c r="CH8">
        <f t="shared" si="15"/>
        <v>16</v>
      </c>
    </row>
    <row r="9" spans="1:86" x14ac:dyDescent="0.3">
      <c r="A9" t="s">
        <v>8</v>
      </c>
      <c r="B9">
        <v>2</v>
      </c>
      <c r="C9">
        <v>1</v>
      </c>
      <c r="D9">
        <v>0</v>
      </c>
      <c r="E9">
        <v>0</v>
      </c>
      <c r="F9">
        <v>0</v>
      </c>
      <c r="G9">
        <v>1</v>
      </c>
      <c r="H9">
        <v>2</v>
      </c>
      <c r="I9">
        <v>4</v>
      </c>
      <c r="J9">
        <v>3</v>
      </c>
      <c r="K9">
        <v>2</v>
      </c>
      <c r="L9">
        <v>0</v>
      </c>
      <c r="M9">
        <v>2</v>
      </c>
      <c r="N9">
        <v>0</v>
      </c>
      <c r="O9">
        <v>0</v>
      </c>
      <c r="P9">
        <v>1</v>
      </c>
      <c r="Q9">
        <v>2</v>
      </c>
      <c r="R9">
        <v>3</v>
      </c>
      <c r="S9">
        <v>2</v>
      </c>
      <c r="T9">
        <v>0</v>
      </c>
      <c r="U9">
        <v>1</v>
      </c>
      <c r="V9">
        <v>0</v>
      </c>
      <c r="W9">
        <v>2</v>
      </c>
      <c r="X9">
        <v>2</v>
      </c>
      <c r="Y9">
        <v>3</v>
      </c>
      <c r="Z9">
        <v>3</v>
      </c>
      <c r="AA9">
        <v>2</v>
      </c>
      <c r="AB9">
        <v>1</v>
      </c>
      <c r="AC9">
        <v>1</v>
      </c>
      <c r="AD9">
        <v>2</v>
      </c>
      <c r="AE9">
        <v>1</v>
      </c>
      <c r="AF9">
        <v>1</v>
      </c>
      <c r="AG9">
        <v>2</v>
      </c>
      <c r="AI9">
        <f t="shared" si="0"/>
        <v>3</v>
      </c>
      <c r="AJ9">
        <f t="shared" si="1"/>
        <v>2</v>
      </c>
      <c r="AK9">
        <f t="shared" si="2"/>
        <v>1</v>
      </c>
      <c r="AL9">
        <f t="shared" si="3"/>
        <v>6</v>
      </c>
      <c r="AM9">
        <f t="shared" si="4"/>
        <v>9</v>
      </c>
      <c r="AN9">
        <f t="shared" si="5"/>
        <v>4</v>
      </c>
      <c r="AO9">
        <f t="shared" si="6"/>
        <v>11</v>
      </c>
      <c r="AP9">
        <f t="shared" si="7"/>
        <v>10</v>
      </c>
      <c r="AS9" t="s">
        <v>8</v>
      </c>
      <c r="AT9">
        <v>2</v>
      </c>
      <c r="AU9">
        <v>3</v>
      </c>
      <c r="AV9">
        <v>1</v>
      </c>
      <c r="AW9">
        <v>0</v>
      </c>
      <c r="AX9">
        <v>1</v>
      </c>
      <c r="AY9">
        <v>0</v>
      </c>
      <c r="AZ9">
        <v>2</v>
      </c>
      <c r="BA9">
        <v>3</v>
      </c>
      <c r="BB9">
        <v>3</v>
      </c>
      <c r="BC9">
        <v>2</v>
      </c>
      <c r="BD9">
        <v>1</v>
      </c>
      <c r="BE9">
        <v>2</v>
      </c>
      <c r="BF9">
        <v>0</v>
      </c>
      <c r="BG9">
        <v>0</v>
      </c>
      <c r="BH9">
        <v>2</v>
      </c>
      <c r="BI9">
        <v>2</v>
      </c>
      <c r="BJ9">
        <v>3</v>
      </c>
      <c r="BK9">
        <v>2</v>
      </c>
      <c r="BL9">
        <v>0</v>
      </c>
      <c r="BM9">
        <v>1</v>
      </c>
      <c r="BN9">
        <v>0</v>
      </c>
      <c r="BO9">
        <v>2</v>
      </c>
      <c r="BP9">
        <v>2</v>
      </c>
      <c r="BQ9">
        <v>2</v>
      </c>
      <c r="BR9">
        <v>3</v>
      </c>
      <c r="BS9">
        <v>2</v>
      </c>
      <c r="BT9">
        <v>2</v>
      </c>
      <c r="BU9">
        <v>1</v>
      </c>
      <c r="BV9">
        <v>0</v>
      </c>
      <c r="BW9">
        <v>2</v>
      </c>
      <c r="BX9">
        <v>2</v>
      </c>
      <c r="BY9">
        <v>2</v>
      </c>
      <c r="CA9">
        <f t="shared" si="8"/>
        <v>3</v>
      </c>
      <c r="CB9">
        <f t="shared" si="9"/>
        <v>4</v>
      </c>
      <c r="CC9">
        <f t="shared" si="10"/>
        <v>1</v>
      </c>
      <c r="CD9">
        <f t="shared" si="11"/>
        <v>9</v>
      </c>
      <c r="CE9">
        <f t="shared" si="12"/>
        <v>7</v>
      </c>
      <c r="CF9">
        <f t="shared" si="13"/>
        <v>7</v>
      </c>
      <c r="CG9">
        <f t="shared" si="14"/>
        <v>10</v>
      </c>
      <c r="CH9">
        <f t="shared" si="15"/>
        <v>9</v>
      </c>
    </row>
    <row r="10" spans="1:86" x14ac:dyDescent="0.3">
      <c r="A10" t="s">
        <v>9</v>
      </c>
      <c r="B10">
        <v>4</v>
      </c>
      <c r="C10">
        <v>3</v>
      </c>
      <c r="D10">
        <v>1</v>
      </c>
      <c r="E10">
        <v>0</v>
      </c>
      <c r="F10">
        <v>0</v>
      </c>
      <c r="G10">
        <v>1</v>
      </c>
      <c r="H10">
        <v>0</v>
      </c>
      <c r="I10">
        <v>3</v>
      </c>
      <c r="J10">
        <v>4</v>
      </c>
      <c r="K10">
        <v>4</v>
      </c>
      <c r="L10">
        <v>1</v>
      </c>
      <c r="M10">
        <v>2</v>
      </c>
      <c r="N10">
        <v>0</v>
      </c>
      <c r="O10">
        <v>0</v>
      </c>
      <c r="P10">
        <v>2</v>
      </c>
      <c r="Q10">
        <v>0</v>
      </c>
      <c r="R10">
        <v>2</v>
      </c>
      <c r="S10">
        <v>2</v>
      </c>
      <c r="T10">
        <v>0</v>
      </c>
      <c r="U10">
        <v>1</v>
      </c>
      <c r="V10">
        <v>0</v>
      </c>
      <c r="W10">
        <v>2</v>
      </c>
      <c r="X10">
        <v>2</v>
      </c>
      <c r="Y10">
        <v>2</v>
      </c>
      <c r="Z10">
        <v>1</v>
      </c>
      <c r="AA10">
        <v>1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I10">
        <f t="shared" si="0"/>
        <v>2</v>
      </c>
      <c r="AJ10">
        <f t="shared" si="1"/>
        <v>1</v>
      </c>
      <c r="AK10">
        <f t="shared" si="2"/>
        <v>0</v>
      </c>
      <c r="AL10">
        <f t="shared" si="3"/>
        <v>11</v>
      </c>
      <c r="AM10">
        <f t="shared" si="4"/>
        <v>2</v>
      </c>
      <c r="AN10">
        <f t="shared" si="5"/>
        <v>2</v>
      </c>
      <c r="AO10">
        <f t="shared" si="6"/>
        <v>10</v>
      </c>
      <c r="AP10">
        <f t="shared" si="7"/>
        <v>11</v>
      </c>
      <c r="AS10" t="s">
        <v>9</v>
      </c>
      <c r="AT10">
        <v>2</v>
      </c>
      <c r="AU10">
        <v>4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2</v>
      </c>
      <c r="BB10">
        <v>1</v>
      </c>
      <c r="BC10">
        <v>4</v>
      </c>
      <c r="BD10">
        <v>2</v>
      </c>
      <c r="BE10">
        <v>3</v>
      </c>
      <c r="BF10">
        <v>0</v>
      </c>
      <c r="BG10">
        <v>0</v>
      </c>
      <c r="BH10">
        <v>2</v>
      </c>
      <c r="BI10">
        <v>0</v>
      </c>
      <c r="BJ10">
        <v>2</v>
      </c>
      <c r="BK10">
        <v>2</v>
      </c>
      <c r="BL10">
        <v>0</v>
      </c>
      <c r="BM10">
        <v>0</v>
      </c>
      <c r="BN10">
        <v>0</v>
      </c>
      <c r="BO10">
        <v>2</v>
      </c>
      <c r="BP10">
        <v>2</v>
      </c>
      <c r="BQ10">
        <v>2</v>
      </c>
      <c r="BR10">
        <v>1</v>
      </c>
      <c r="BS10">
        <v>1</v>
      </c>
      <c r="BT10">
        <v>1</v>
      </c>
      <c r="BU10">
        <v>0</v>
      </c>
      <c r="BV10">
        <v>1</v>
      </c>
      <c r="BW10">
        <v>1</v>
      </c>
      <c r="BX10">
        <v>0</v>
      </c>
      <c r="BY10">
        <v>0</v>
      </c>
      <c r="CA10">
        <f t="shared" si="8"/>
        <v>0</v>
      </c>
      <c r="CB10">
        <f t="shared" si="9"/>
        <v>1</v>
      </c>
      <c r="CC10">
        <f t="shared" si="10"/>
        <v>0</v>
      </c>
      <c r="CD10">
        <f t="shared" si="11"/>
        <v>10</v>
      </c>
      <c r="CE10">
        <f t="shared" si="12"/>
        <v>3</v>
      </c>
      <c r="CF10">
        <f t="shared" si="13"/>
        <v>3</v>
      </c>
      <c r="CG10">
        <f t="shared" si="14"/>
        <v>8</v>
      </c>
      <c r="CH10">
        <f t="shared" si="15"/>
        <v>10</v>
      </c>
    </row>
    <row r="11" spans="1:86" x14ac:dyDescent="0.3">
      <c r="A11" t="s">
        <v>10</v>
      </c>
      <c r="B11">
        <v>1</v>
      </c>
      <c r="C11">
        <v>1</v>
      </c>
      <c r="D11">
        <v>2</v>
      </c>
      <c r="E11">
        <v>4</v>
      </c>
      <c r="F11">
        <v>2</v>
      </c>
      <c r="G11">
        <v>3</v>
      </c>
      <c r="H11">
        <v>0</v>
      </c>
      <c r="I11">
        <v>4</v>
      </c>
      <c r="J11">
        <v>1</v>
      </c>
      <c r="K11">
        <v>2</v>
      </c>
      <c r="L11">
        <v>4</v>
      </c>
      <c r="M11">
        <v>3</v>
      </c>
      <c r="N11">
        <v>3</v>
      </c>
      <c r="O11">
        <v>3</v>
      </c>
      <c r="P11">
        <v>0</v>
      </c>
      <c r="Q11">
        <v>2</v>
      </c>
      <c r="R11">
        <v>0</v>
      </c>
      <c r="S11">
        <v>1</v>
      </c>
      <c r="T11">
        <v>4</v>
      </c>
      <c r="U11">
        <v>2</v>
      </c>
      <c r="V11">
        <v>1</v>
      </c>
      <c r="W11">
        <v>1</v>
      </c>
      <c r="X11">
        <v>1</v>
      </c>
      <c r="Y11">
        <v>0</v>
      </c>
      <c r="Z11">
        <v>2</v>
      </c>
      <c r="AA11">
        <v>3</v>
      </c>
      <c r="AB11">
        <v>1</v>
      </c>
      <c r="AC11">
        <v>2</v>
      </c>
      <c r="AD11">
        <v>3</v>
      </c>
      <c r="AE11">
        <v>1</v>
      </c>
      <c r="AF11">
        <v>1</v>
      </c>
      <c r="AG11">
        <v>4</v>
      </c>
      <c r="AI11">
        <f t="shared" si="0"/>
        <v>9</v>
      </c>
      <c r="AJ11">
        <f t="shared" si="1"/>
        <v>6</v>
      </c>
      <c r="AK11">
        <f t="shared" si="2"/>
        <v>12</v>
      </c>
      <c r="AL11">
        <f t="shared" si="3"/>
        <v>3</v>
      </c>
      <c r="AM11">
        <f t="shared" si="4"/>
        <v>10</v>
      </c>
      <c r="AN11">
        <f t="shared" si="5"/>
        <v>10</v>
      </c>
      <c r="AO11">
        <f t="shared" si="6"/>
        <v>4</v>
      </c>
      <c r="AP11">
        <f t="shared" si="7"/>
        <v>8</v>
      </c>
      <c r="AS11" t="s">
        <v>10</v>
      </c>
      <c r="AT11">
        <v>1</v>
      </c>
      <c r="AU11">
        <v>2</v>
      </c>
      <c r="AV11">
        <v>2</v>
      </c>
      <c r="AW11">
        <v>2</v>
      </c>
      <c r="AX11">
        <v>2</v>
      </c>
      <c r="AY11">
        <v>1</v>
      </c>
      <c r="AZ11">
        <v>1</v>
      </c>
      <c r="BA11">
        <v>3</v>
      </c>
      <c r="BB11">
        <v>4</v>
      </c>
      <c r="BC11">
        <v>0</v>
      </c>
      <c r="BD11">
        <v>0</v>
      </c>
      <c r="BE11">
        <v>4</v>
      </c>
      <c r="BF11">
        <v>4</v>
      </c>
      <c r="BG11">
        <v>4</v>
      </c>
      <c r="BH11">
        <v>0</v>
      </c>
      <c r="BI11">
        <v>2</v>
      </c>
      <c r="BJ11">
        <v>2</v>
      </c>
      <c r="BK11">
        <v>3</v>
      </c>
      <c r="BL11">
        <v>1</v>
      </c>
      <c r="BM11">
        <v>1</v>
      </c>
      <c r="BN11">
        <v>3</v>
      </c>
      <c r="BO11">
        <v>0</v>
      </c>
      <c r="BP11">
        <v>0</v>
      </c>
      <c r="BQ11">
        <v>1</v>
      </c>
      <c r="BR11">
        <v>1</v>
      </c>
      <c r="BS11">
        <v>2</v>
      </c>
      <c r="BT11">
        <v>3</v>
      </c>
      <c r="BU11">
        <v>4</v>
      </c>
      <c r="BV11">
        <v>3</v>
      </c>
      <c r="BW11">
        <v>2</v>
      </c>
      <c r="BX11">
        <v>2</v>
      </c>
      <c r="BY11">
        <v>2</v>
      </c>
      <c r="CA11">
        <f t="shared" si="8"/>
        <v>6</v>
      </c>
      <c r="CB11">
        <f t="shared" si="9"/>
        <v>8</v>
      </c>
      <c r="CC11">
        <f t="shared" si="10"/>
        <v>13</v>
      </c>
      <c r="CD11">
        <f t="shared" si="11"/>
        <v>6</v>
      </c>
      <c r="CE11">
        <f t="shared" si="12"/>
        <v>8</v>
      </c>
      <c r="CF11">
        <f t="shared" si="13"/>
        <v>7</v>
      </c>
      <c r="CG11">
        <f t="shared" si="14"/>
        <v>11</v>
      </c>
      <c r="CH11">
        <f t="shared" si="15"/>
        <v>3</v>
      </c>
    </row>
    <row r="12" spans="1:86" s="3" customFormat="1" x14ac:dyDescent="0.3">
      <c r="A12" s="3" t="s">
        <v>39</v>
      </c>
      <c r="B12" s="3">
        <v>1</v>
      </c>
      <c r="C12" s="3">
        <v>1</v>
      </c>
      <c r="D12" s="3">
        <v>0</v>
      </c>
      <c r="E12" s="3">
        <v>3</v>
      </c>
      <c r="F12" s="3">
        <v>3</v>
      </c>
      <c r="G12" s="3">
        <v>1</v>
      </c>
      <c r="H12" s="3">
        <v>1</v>
      </c>
      <c r="I12" s="3">
        <v>2</v>
      </c>
      <c r="J12" s="3">
        <v>0</v>
      </c>
      <c r="K12" s="3">
        <v>1</v>
      </c>
      <c r="L12" s="3">
        <v>3</v>
      </c>
      <c r="M12" s="3">
        <v>4</v>
      </c>
      <c r="N12" s="3">
        <v>3</v>
      </c>
      <c r="O12" s="3">
        <v>2</v>
      </c>
      <c r="P12" s="3">
        <v>0</v>
      </c>
      <c r="Q12" s="3">
        <v>2</v>
      </c>
      <c r="R12" s="3">
        <v>2</v>
      </c>
      <c r="S12" s="3">
        <v>0</v>
      </c>
      <c r="T12" s="3">
        <v>1</v>
      </c>
      <c r="U12" s="3">
        <v>4</v>
      </c>
      <c r="V12" s="3">
        <v>2</v>
      </c>
      <c r="W12" s="3">
        <v>1</v>
      </c>
      <c r="X12" s="3">
        <v>1</v>
      </c>
      <c r="Y12" s="3">
        <v>0</v>
      </c>
      <c r="Z12" s="3">
        <v>3</v>
      </c>
      <c r="AA12" s="3">
        <v>4</v>
      </c>
      <c r="AB12" s="3">
        <v>1</v>
      </c>
      <c r="AC12" s="3">
        <v>2</v>
      </c>
      <c r="AD12" s="3">
        <v>3</v>
      </c>
      <c r="AE12" s="3">
        <v>4</v>
      </c>
      <c r="AF12" s="3">
        <v>0</v>
      </c>
      <c r="AG12" s="3">
        <v>4</v>
      </c>
      <c r="AI12" s="3">
        <f t="shared" si="0"/>
        <v>5</v>
      </c>
      <c r="AJ12" s="3">
        <f t="shared" si="1"/>
        <v>13</v>
      </c>
      <c r="AK12" s="3">
        <f t="shared" si="2"/>
        <v>8</v>
      </c>
      <c r="AL12" s="3">
        <f t="shared" si="3"/>
        <v>2</v>
      </c>
      <c r="AM12" s="3">
        <f t="shared" si="4"/>
        <v>12</v>
      </c>
      <c r="AN12" s="3">
        <f t="shared" si="5"/>
        <v>8</v>
      </c>
      <c r="AO12" s="3">
        <f t="shared" si="6"/>
        <v>6</v>
      </c>
      <c r="AP12" s="3">
        <f t="shared" si="7"/>
        <v>5</v>
      </c>
      <c r="AQ12" s="6"/>
      <c r="AR12" s="6"/>
      <c r="AS12" s="3" t="s">
        <v>39</v>
      </c>
      <c r="AT12" s="3">
        <v>1</v>
      </c>
      <c r="AU12" s="3">
        <v>3</v>
      </c>
      <c r="AV12" s="3">
        <v>3</v>
      </c>
      <c r="AW12" s="3">
        <v>4</v>
      </c>
      <c r="AX12" s="3">
        <v>4</v>
      </c>
      <c r="AY12" s="3">
        <v>2</v>
      </c>
      <c r="AZ12" s="3">
        <v>0</v>
      </c>
      <c r="BA12" s="3">
        <v>2</v>
      </c>
      <c r="BB12" s="3">
        <v>1</v>
      </c>
      <c r="BC12" s="3">
        <v>1</v>
      </c>
      <c r="BD12" s="3">
        <v>4</v>
      </c>
      <c r="BE12" s="3">
        <v>1</v>
      </c>
      <c r="BF12" s="3">
        <v>2</v>
      </c>
      <c r="BG12" s="3">
        <v>0</v>
      </c>
      <c r="BH12" s="3">
        <v>1</v>
      </c>
      <c r="BI12" s="3">
        <v>3</v>
      </c>
      <c r="BJ12" s="3">
        <v>2</v>
      </c>
      <c r="BK12" s="3">
        <v>1</v>
      </c>
      <c r="BL12" s="3">
        <v>1</v>
      </c>
      <c r="BM12" s="3">
        <v>3</v>
      </c>
      <c r="BN12" s="3">
        <v>0</v>
      </c>
      <c r="BO12" s="3">
        <v>1</v>
      </c>
      <c r="BP12" s="3">
        <v>2</v>
      </c>
      <c r="BQ12" s="3">
        <v>2</v>
      </c>
      <c r="BR12" s="3">
        <v>3</v>
      </c>
      <c r="BS12" s="3">
        <v>4</v>
      </c>
      <c r="BT12" s="3">
        <v>2</v>
      </c>
      <c r="BU12" s="3">
        <v>2</v>
      </c>
      <c r="BV12" s="3">
        <v>3</v>
      </c>
      <c r="BW12" s="3">
        <v>3</v>
      </c>
      <c r="BX12" s="3">
        <v>1</v>
      </c>
      <c r="BY12" s="3">
        <v>3</v>
      </c>
      <c r="CA12" s="3">
        <f t="shared" si="8"/>
        <v>9</v>
      </c>
      <c r="CB12" s="3">
        <f t="shared" si="9"/>
        <v>10</v>
      </c>
      <c r="CC12" s="3">
        <f t="shared" si="10"/>
        <v>5</v>
      </c>
      <c r="CD12" s="3">
        <f t="shared" si="11"/>
        <v>6</v>
      </c>
      <c r="CE12" s="3">
        <f t="shared" si="12"/>
        <v>13</v>
      </c>
      <c r="CF12" s="3">
        <f t="shared" si="13"/>
        <v>10</v>
      </c>
      <c r="CG12" s="3">
        <f t="shared" si="14"/>
        <v>6</v>
      </c>
      <c r="CH12" s="3">
        <f t="shared" si="15"/>
        <v>6</v>
      </c>
    </row>
    <row r="13" spans="1:86" x14ac:dyDescent="0.3">
      <c r="A13" t="s">
        <v>11</v>
      </c>
      <c r="B13">
        <v>2</v>
      </c>
      <c r="C13">
        <v>1</v>
      </c>
      <c r="D13">
        <v>1</v>
      </c>
      <c r="E13">
        <v>2</v>
      </c>
      <c r="F13">
        <v>3</v>
      </c>
      <c r="G13">
        <v>3</v>
      </c>
      <c r="H13">
        <v>2</v>
      </c>
      <c r="I13">
        <v>3</v>
      </c>
      <c r="J13">
        <v>3</v>
      </c>
      <c r="K13">
        <v>2</v>
      </c>
      <c r="L13">
        <v>2</v>
      </c>
      <c r="M13">
        <v>2</v>
      </c>
      <c r="N13">
        <v>3</v>
      </c>
      <c r="O13">
        <v>3</v>
      </c>
      <c r="P13">
        <v>2</v>
      </c>
      <c r="Q13">
        <v>4</v>
      </c>
      <c r="R13">
        <v>2</v>
      </c>
      <c r="S13">
        <v>1</v>
      </c>
      <c r="T13">
        <v>1</v>
      </c>
      <c r="U13">
        <v>1</v>
      </c>
      <c r="V13">
        <v>0</v>
      </c>
      <c r="W13">
        <v>2</v>
      </c>
      <c r="X13">
        <v>2</v>
      </c>
      <c r="Y13">
        <v>2</v>
      </c>
      <c r="Z13">
        <v>4</v>
      </c>
      <c r="AA13">
        <v>4</v>
      </c>
      <c r="AB13">
        <v>2</v>
      </c>
      <c r="AC13">
        <v>0</v>
      </c>
      <c r="AD13">
        <v>3</v>
      </c>
      <c r="AE13">
        <v>3</v>
      </c>
      <c r="AF13">
        <v>3</v>
      </c>
      <c r="AG13">
        <v>4</v>
      </c>
      <c r="AI13">
        <f t="shared" si="0"/>
        <v>8</v>
      </c>
      <c r="AJ13">
        <f t="shared" si="1"/>
        <v>7</v>
      </c>
      <c r="AK13">
        <f t="shared" si="2"/>
        <v>7</v>
      </c>
      <c r="AL13">
        <f t="shared" si="3"/>
        <v>6</v>
      </c>
      <c r="AM13">
        <f t="shared" si="4"/>
        <v>15</v>
      </c>
      <c r="AN13">
        <f t="shared" si="5"/>
        <v>11</v>
      </c>
      <c r="AO13">
        <f t="shared" si="6"/>
        <v>9</v>
      </c>
      <c r="AP13">
        <f t="shared" si="7"/>
        <v>9</v>
      </c>
      <c r="AS13" t="s">
        <v>11</v>
      </c>
      <c r="AT13">
        <v>1</v>
      </c>
      <c r="AU13">
        <v>2</v>
      </c>
      <c r="AV13">
        <v>1</v>
      </c>
      <c r="AW13">
        <v>3</v>
      </c>
      <c r="AX13">
        <v>3</v>
      </c>
      <c r="AY13">
        <v>2</v>
      </c>
      <c r="AZ13">
        <v>2</v>
      </c>
      <c r="BA13">
        <v>2</v>
      </c>
      <c r="BB13">
        <v>1</v>
      </c>
      <c r="BC13">
        <v>2</v>
      </c>
      <c r="BD13">
        <v>3</v>
      </c>
      <c r="BE13">
        <v>2</v>
      </c>
      <c r="BF13">
        <v>3</v>
      </c>
      <c r="BG13">
        <v>3</v>
      </c>
      <c r="BH13">
        <v>2</v>
      </c>
      <c r="BI13">
        <v>4</v>
      </c>
      <c r="BJ13">
        <v>2</v>
      </c>
      <c r="BK13">
        <v>1</v>
      </c>
      <c r="BL13">
        <v>3</v>
      </c>
      <c r="BM13">
        <v>2</v>
      </c>
      <c r="BN13">
        <v>0</v>
      </c>
      <c r="BO13">
        <v>2</v>
      </c>
      <c r="BP13">
        <v>2</v>
      </c>
      <c r="BQ13">
        <v>2</v>
      </c>
      <c r="BR13">
        <v>4</v>
      </c>
      <c r="BS13">
        <v>4</v>
      </c>
      <c r="BT13">
        <v>1</v>
      </c>
      <c r="BU13">
        <v>2</v>
      </c>
      <c r="BV13">
        <v>3</v>
      </c>
      <c r="BW13">
        <v>3</v>
      </c>
      <c r="BX13">
        <v>3</v>
      </c>
      <c r="BY13">
        <v>4</v>
      </c>
      <c r="CA13">
        <f t="shared" si="8"/>
        <v>8</v>
      </c>
      <c r="CB13">
        <f t="shared" si="9"/>
        <v>8</v>
      </c>
      <c r="CC13">
        <f t="shared" si="10"/>
        <v>11</v>
      </c>
      <c r="CD13">
        <f t="shared" si="11"/>
        <v>6</v>
      </c>
      <c r="CE13">
        <f t="shared" si="12"/>
        <v>15</v>
      </c>
      <c r="CF13">
        <f t="shared" si="13"/>
        <v>11</v>
      </c>
      <c r="CG13">
        <f t="shared" si="14"/>
        <v>7</v>
      </c>
      <c r="CH13">
        <f t="shared" si="15"/>
        <v>8</v>
      </c>
    </row>
    <row r="14" spans="1:86" x14ac:dyDescent="0.3">
      <c r="A14" t="s">
        <v>12</v>
      </c>
      <c r="B14">
        <v>4</v>
      </c>
      <c r="C14">
        <v>3</v>
      </c>
      <c r="D14">
        <v>0</v>
      </c>
      <c r="E14">
        <v>0</v>
      </c>
      <c r="F14">
        <v>0</v>
      </c>
      <c r="G14">
        <v>1</v>
      </c>
      <c r="H14">
        <v>0</v>
      </c>
      <c r="I14">
        <v>4</v>
      </c>
      <c r="J14">
        <v>4</v>
      </c>
      <c r="K14">
        <v>4</v>
      </c>
      <c r="L14">
        <v>0</v>
      </c>
      <c r="M14">
        <v>3</v>
      </c>
      <c r="N14">
        <v>0</v>
      </c>
      <c r="O14">
        <v>0</v>
      </c>
      <c r="P14">
        <v>4</v>
      </c>
      <c r="Q14">
        <v>1</v>
      </c>
      <c r="R14">
        <v>3</v>
      </c>
      <c r="S14">
        <v>4</v>
      </c>
      <c r="T14">
        <v>0</v>
      </c>
      <c r="U14">
        <v>0</v>
      </c>
      <c r="V14">
        <v>0</v>
      </c>
      <c r="W14">
        <v>4</v>
      </c>
      <c r="X14">
        <v>4</v>
      </c>
      <c r="Y14">
        <v>4</v>
      </c>
      <c r="Z14">
        <v>2</v>
      </c>
      <c r="AA14">
        <v>2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I14">
        <f t="shared" si="0"/>
        <v>1</v>
      </c>
      <c r="AJ14">
        <f t="shared" si="1"/>
        <v>0</v>
      </c>
      <c r="AK14">
        <f t="shared" si="2"/>
        <v>0</v>
      </c>
      <c r="AL14">
        <f t="shared" si="3"/>
        <v>15</v>
      </c>
      <c r="AM14">
        <f t="shared" si="4"/>
        <v>5</v>
      </c>
      <c r="AN14">
        <f t="shared" si="5"/>
        <v>0</v>
      </c>
      <c r="AO14">
        <f t="shared" si="6"/>
        <v>14</v>
      </c>
      <c r="AP14">
        <f t="shared" si="7"/>
        <v>16</v>
      </c>
      <c r="AS14" t="s">
        <v>12</v>
      </c>
      <c r="AT14">
        <v>4</v>
      </c>
      <c r="AU14">
        <v>4</v>
      </c>
      <c r="AV14">
        <v>1</v>
      </c>
      <c r="AW14">
        <v>1</v>
      </c>
      <c r="AX14">
        <v>1</v>
      </c>
      <c r="AY14">
        <v>1</v>
      </c>
      <c r="AZ14">
        <v>0</v>
      </c>
      <c r="BA14">
        <v>4</v>
      </c>
      <c r="BB14">
        <v>3</v>
      </c>
      <c r="BC14">
        <v>4</v>
      </c>
      <c r="BD14">
        <v>1</v>
      </c>
      <c r="BE14">
        <v>4</v>
      </c>
      <c r="BF14">
        <v>0</v>
      </c>
      <c r="BG14">
        <v>0</v>
      </c>
      <c r="BH14">
        <v>4</v>
      </c>
      <c r="BI14">
        <v>2</v>
      </c>
      <c r="BJ14">
        <v>3</v>
      </c>
      <c r="BK14">
        <v>3</v>
      </c>
      <c r="BL14">
        <v>0</v>
      </c>
      <c r="BM14">
        <v>1</v>
      </c>
      <c r="BN14">
        <v>0</v>
      </c>
      <c r="BO14">
        <v>3</v>
      </c>
      <c r="BP14">
        <v>3</v>
      </c>
      <c r="BQ14">
        <v>3</v>
      </c>
      <c r="BR14">
        <v>3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CA14">
        <f t="shared" si="8"/>
        <v>3</v>
      </c>
      <c r="CB14">
        <f t="shared" si="9"/>
        <v>2</v>
      </c>
      <c r="CC14">
        <f t="shared" si="10"/>
        <v>0</v>
      </c>
      <c r="CD14">
        <f t="shared" si="11"/>
        <v>15</v>
      </c>
      <c r="CE14">
        <f t="shared" si="12"/>
        <v>5</v>
      </c>
      <c r="CF14">
        <f t="shared" si="13"/>
        <v>1</v>
      </c>
      <c r="CG14">
        <f t="shared" si="14"/>
        <v>13</v>
      </c>
      <c r="CH14">
        <f t="shared" si="15"/>
        <v>14</v>
      </c>
    </row>
    <row r="15" spans="1:86" x14ac:dyDescent="0.3">
      <c r="A15" t="s">
        <v>13</v>
      </c>
      <c r="B15">
        <v>3</v>
      </c>
      <c r="C15">
        <v>3</v>
      </c>
      <c r="D15">
        <v>1</v>
      </c>
      <c r="E15">
        <v>0</v>
      </c>
      <c r="F15">
        <v>0</v>
      </c>
      <c r="G15">
        <v>1</v>
      </c>
      <c r="H15">
        <v>0</v>
      </c>
      <c r="I15">
        <v>3</v>
      </c>
      <c r="J15">
        <v>3</v>
      </c>
      <c r="K15">
        <v>3</v>
      </c>
      <c r="L15">
        <v>1</v>
      </c>
      <c r="M15">
        <v>3</v>
      </c>
      <c r="N15">
        <v>2</v>
      </c>
      <c r="O15">
        <v>0</v>
      </c>
      <c r="P15">
        <v>4</v>
      </c>
      <c r="Q15">
        <v>1</v>
      </c>
      <c r="R15">
        <v>3</v>
      </c>
      <c r="S15">
        <v>3</v>
      </c>
      <c r="T15">
        <v>0</v>
      </c>
      <c r="U15">
        <v>1</v>
      </c>
      <c r="V15">
        <v>0</v>
      </c>
      <c r="W15">
        <v>3</v>
      </c>
      <c r="X15">
        <v>3</v>
      </c>
      <c r="Y15">
        <v>4</v>
      </c>
      <c r="Z15">
        <v>1</v>
      </c>
      <c r="AA15">
        <v>1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I15">
        <f t="shared" si="0"/>
        <v>2</v>
      </c>
      <c r="AJ15">
        <f t="shared" si="1"/>
        <v>2</v>
      </c>
      <c r="AK15">
        <f t="shared" si="2"/>
        <v>2</v>
      </c>
      <c r="AL15">
        <f t="shared" si="3"/>
        <v>13</v>
      </c>
      <c r="AM15">
        <f t="shared" si="4"/>
        <v>3</v>
      </c>
      <c r="AN15">
        <f t="shared" si="5"/>
        <v>1</v>
      </c>
      <c r="AO15">
        <f t="shared" si="6"/>
        <v>13</v>
      </c>
      <c r="AP15">
        <f t="shared" si="7"/>
        <v>12</v>
      </c>
      <c r="AS15" t="s">
        <v>13</v>
      </c>
      <c r="AT15">
        <v>3</v>
      </c>
      <c r="AU15">
        <v>2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3</v>
      </c>
      <c r="BB15">
        <v>3</v>
      </c>
      <c r="BC15">
        <v>2</v>
      </c>
      <c r="BD15">
        <v>1</v>
      </c>
      <c r="BE15">
        <v>4</v>
      </c>
      <c r="BF15">
        <v>0</v>
      </c>
      <c r="BG15">
        <v>0</v>
      </c>
      <c r="BH15">
        <v>4</v>
      </c>
      <c r="BI15">
        <v>1</v>
      </c>
      <c r="BJ15">
        <v>3</v>
      </c>
      <c r="BK15">
        <v>3</v>
      </c>
      <c r="BL15">
        <v>0</v>
      </c>
      <c r="BM15">
        <v>0</v>
      </c>
      <c r="BN15">
        <v>0</v>
      </c>
      <c r="BO15">
        <v>4</v>
      </c>
      <c r="BP15">
        <v>3</v>
      </c>
      <c r="BQ15">
        <v>3</v>
      </c>
      <c r="BR15">
        <v>1</v>
      </c>
      <c r="BS15">
        <v>1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1</v>
      </c>
      <c r="CA15">
        <f t="shared" si="8"/>
        <v>1</v>
      </c>
      <c r="CB15">
        <f t="shared" si="9"/>
        <v>0</v>
      </c>
      <c r="CC15">
        <f t="shared" si="10"/>
        <v>0</v>
      </c>
      <c r="CD15">
        <f t="shared" si="11"/>
        <v>12</v>
      </c>
      <c r="CE15">
        <f t="shared" si="12"/>
        <v>3</v>
      </c>
      <c r="CF15">
        <f t="shared" si="13"/>
        <v>2</v>
      </c>
      <c r="CG15">
        <f t="shared" si="14"/>
        <v>13</v>
      </c>
      <c r="CH15">
        <f t="shared" si="15"/>
        <v>12</v>
      </c>
    </row>
    <row r="16" spans="1:86" x14ac:dyDescent="0.3">
      <c r="A16" t="s">
        <v>14</v>
      </c>
      <c r="B16">
        <v>2</v>
      </c>
      <c r="C16">
        <v>1</v>
      </c>
      <c r="D16">
        <v>1</v>
      </c>
      <c r="E16">
        <v>1</v>
      </c>
      <c r="F16">
        <v>1</v>
      </c>
      <c r="G16">
        <v>2</v>
      </c>
      <c r="H16">
        <v>3</v>
      </c>
      <c r="I16">
        <v>3</v>
      </c>
      <c r="J16">
        <v>3</v>
      </c>
      <c r="K16">
        <v>3</v>
      </c>
      <c r="L16">
        <v>3</v>
      </c>
      <c r="M16">
        <v>1</v>
      </c>
      <c r="N16">
        <v>2</v>
      </c>
      <c r="O16">
        <v>1</v>
      </c>
      <c r="P16">
        <v>2</v>
      </c>
      <c r="Q16">
        <v>2</v>
      </c>
      <c r="R16">
        <v>3</v>
      </c>
      <c r="S16">
        <v>1</v>
      </c>
      <c r="T16">
        <v>2</v>
      </c>
      <c r="U16">
        <v>2</v>
      </c>
      <c r="V16">
        <v>1</v>
      </c>
      <c r="W16">
        <v>1</v>
      </c>
      <c r="X16">
        <v>1</v>
      </c>
      <c r="Y16">
        <v>1</v>
      </c>
      <c r="Z16">
        <v>2</v>
      </c>
      <c r="AA16">
        <v>3</v>
      </c>
      <c r="AB16">
        <v>2</v>
      </c>
      <c r="AC16">
        <v>1</v>
      </c>
      <c r="AD16">
        <v>2</v>
      </c>
      <c r="AE16">
        <v>2</v>
      </c>
      <c r="AF16">
        <v>3</v>
      </c>
      <c r="AG16">
        <v>4</v>
      </c>
      <c r="AI16">
        <f t="shared" si="0"/>
        <v>7</v>
      </c>
      <c r="AJ16">
        <f t="shared" si="1"/>
        <v>6</v>
      </c>
      <c r="AK16">
        <f t="shared" si="2"/>
        <v>6</v>
      </c>
      <c r="AL16">
        <f t="shared" si="3"/>
        <v>6</v>
      </c>
      <c r="AM16">
        <f t="shared" si="4"/>
        <v>9</v>
      </c>
      <c r="AN16">
        <f t="shared" si="5"/>
        <v>12</v>
      </c>
      <c r="AO16">
        <f t="shared" si="6"/>
        <v>8</v>
      </c>
      <c r="AP16">
        <f t="shared" si="7"/>
        <v>8</v>
      </c>
      <c r="AS16" t="s">
        <v>14</v>
      </c>
      <c r="AT16">
        <v>2</v>
      </c>
      <c r="AU16">
        <v>3</v>
      </c>
      <c r="AV16">
        <v>1</v>
      </c>
      <c r="AW16">
        <v>1</v>
      </c>
      <c r="AX16">
        <v>1</v>
      </c>
      <c r="AY16">
        <v>2</v>
      </c>
      <c r="AZ16">
        <v>1</v>
      </c>
      <c r="BA16">
        <v>3</v>
      </c>
      <c r="BB16">
        <v>3</v>
      </c>
      <c r="BC16">
        <v>2</v>
      </c>
      <c r="BD16">
        <v>3</v>
      </c>
      <c r="BE16">
        <v>2</v>
      </c>
      <c r="BF16">
        <v>1</v>
      </c>
      <c r="BG16">
        <v>1</v>
      </c>
      <c r="BH16">
        <v>2</v>
      </c>
      <c r="BI16">
        <v>3</v>
      </c>
      <c r="BJ16">
        <v>1</v>
      </c>
      <c r="BK16">
        <v>3</v>
      </c>
      <c r="BL16">
        <v>1</v>
      </c>
      <c r="BM16">
        <v>1</v>
      </c>
      <c r="BN16">
        <v>1</v>
      </c>
      <c r="BO16">
        <v>2</v>
      </c>
      <c r="BP16">
        <v>2</v>
      </c>
      <c r="BQ16">
        <v>3</v>
      </c>
      <c r="BR16">
        <v>4</v>
      </c>
      <c r="BS16">
        <v>3</v>
      </c>
      <c r="BT16">
        <v>2</v>
      </c>
      <c r="BU16">
        <v>2</v>
      </c>
      <c r="BV16">
        <v>3</v>
      </c>
      <c r="BW16">
        <v>2</v>
      </c>
      <c r="BX16">
        <v>0</v>
      </c>
      <c r="BY16">
        <v>2</v>
      </c>
      <c r="CA16">
        <f t="shared" si="8"/>
        <v>5</v>
      </c>
      <c r="CB16">
        <f t="shared" si="9"/>
        <v>5</v>
      </c>
      <c r="CC16">
        <f t="shared" si="10"/>
        <v>5</v>
      </c>
      <c r="CD16">
        <f t="shared" si="11"/>
        <v>10</v>
      </c>
      <c r="CE16">
        <f t="shared" si="12"/>
        <v>13</v>
      </c>
      <c r="CF16">
        <f t="shared" si="13"/>
        <v>7</v>
      </c>
      <c r="CG16">
        <f t="shared" si="14"/>
        <v>9</v>
      </c>
      <c r="CH16">
        <f t="shared" si="15"/>
        <v>9</v>
      </c>
    </row>
    <row r="17" spans="1:86" x14ac:dyDescent="0.3">
      <c r="A17" t="s">
        <v>15</v>
      </c>
      <c r="B17">
        <v>2</v>
      </c>
      <c r="C17">
        <v>2</v>
      </c>
      <c r="D17">
        <v>2</v>
      </c>
      <c r="E17">
        <v>1</v>
      </c>
      <c r="F17">
        <v>1</v>
      </c>
      <c r="G17">
        <v>2</v>
      </c>
      <c r="H17">
        <v>2</v>
      </c>
      <c r="I17">
        <v>3</v>
      </c>
      <c r="J17">
        <v>4</v>
      </c>
      <c r="K17">
        <v>1</v>
      </c>
      <c r="L17">
        <v>3</v>
      </c>
      <c r="M17">
        <v>2</v>
      </c>
      <c r="N17">
        <v>0</v>
      </c>
      <c r="O17">
        <v>3</v>
      </c>
      <c r="P17">
        <v>3</v>
      </c>
      <c r="Q17">
        <v>2</v>
      </c>
      <c r="R17">
        <v>3</v>
      </c>
      <c r="S17">
        <v>3</v>
      </c>
      <c r="T17">
        <v>1</v>
      </c>
      <c r="U17">
        <v>2</v>
      </c>
      <c r="V17">
        <v>0</v>
      </c>
      <c r="W17">
        <v>0</v>
      </c>
      <c r="X17">
        <v>1</v>
      </c>
      <c r="Y17">
        <v>0</v>
      </c>
      <c r="Z17">
        <v>1</v>
      </c>
      <c r="AA17">
        <v>2</v>
      </c>
      <c r="AB17">
        <v>2</v>
      </c>
      <c r="AC17">
        <v>2</v>
      </c>
      <c r="AD17">
        <v>2</v>
      </c>
      <c r="AE17">
        <v>2</v>
      </c>
      <c r="AF17">
        <v>3</v>
      </c>
      <c r="AG17">
        <v>3</v>
      </c>
      <c r="AI17">
        <f t="shared" si="0"/>
        <v>7</v>
      </c>
      <c r="AJ17">
        <f t="shared" si="1"/>
        <v>5</v>
      </c>
      <c r="AK17">
        <f t="shared" si="2"/>
        <v>6</v>
      </c>
      <c r="AL17">
        <f t="shared" si="3"/>
        <v>10</v>
      </c>
      <c r="AM17">
        <f t="shared" si="4"/>
        <v>7</v>
      </c>
      <c r="AN17">
        <f t="shared" si="5"/>
        <v>11</v>
      </c>
      <c r="AO17">
        <f t="shared" si="6"/>
        <v>9</v>
      </c>
      <c r="AP17">
        <f t="shared" si="7"/>
        <v>5</v>
      </c>
      <c r="AS17" t="s">
        <v>15</v>
      </c>
      <c r="AT17">
        <v>2</v>
      </c>
      <c r="AU17">
        <v>2</v>
      </c>
      <c r="AV17">
        <v>1</v>
      </c>
      <c r="AW17">
        <v>0</v>
      </c>
      <c r="AX17">
        <v>1</v>
      </c>
      <c r="AY17">
        <v>1</v>
      </c>
      <c r="AZ17">
        <v>1</v>
      </c>
      <c r="BA17">
        <v>2</v>
      </c>
      <c r="BB17">
        <v>3</v>
      </c>
      <c r="BC17">
        <v>2</v>
      </c>
      <c r="BD17">
        <v>3</v>
      </c>
      <c r="BE17">
        <v>2</v>
      </c>
      <c r="BF17">
        <v>2</v>
      </c>
      <c r="BG17">
        <v>2</v>
      </c>
      <c r="BH17">
        <v>3</v>
      </c>
      <c r="BI17">
        <v>2</v>
      </c>
      <c r="BJ17">
        <v>2</v>
      </c>
      <c r="BK17">
        <v>1</v>
      </c>
      <c r="BL17">
        <v>2</v>
      </c>
      <c r="BM17">
        <v>1</v>
      </c>
      <c r="BN17">
        <v>0</v>
      </c>
      <c r="BO17">
        <v>1</v>
      </c>
      <c r="BP17">
        <v>1</v>
      </c>
      <c r="BQ17">
        <v>1</v>
      </c>
      <c r="BR17">
        <v>2</v>
      </c>
      <c r="BS17">
        <v>3</v>
      </c>
      <c r="BT17">
        <v>2</v>
      </c>
      <c r="BU17">
        <v>1</v>
      </c>
      <c r="BV17">
        <v>3</v>
      </c>
      <c r="BW17">
        <v>2</v>
      </c>
      <c r="BX17">
        <v>2</v>
      </c>
      <c r="BY17">
        <v>3</v>
      </c>
      <c r="CA17">
        <f t="shared" si="8"/>
        <v>3</v>
      </c>
      <c r="CB17">
        <f t="shared" si="9"/>
        <v>4</v>
      </c>
      <c r="CC17">
        <f t="shared" si="10"/>
        <v>7</v>
      </c>
      <c r="CD17">
        <f t="shared" si="11"/>
        <v>8</v>
      </c>
      <c r="CE17">
        <f t="shared" si="12"/>
        <v>10</v>
      </c>
      <c r="CF17">
        <f t="shared" si="13"/>
        <v>10</v>
      </c>
      <c r="CG17">
        <f t="shared" si="14"/>
        <v>8</v>
      </c>
      <c r="CH17">
        <f t="shared" si="15"/>
        <v>6</v>
      </c>
    </row>
    <row r="18" spans="1:86" x14ac:dyDescent="0.3">
      <c r="A18" t="s">
        <v>16</v>
      </c>
      <c r="B18">
        <v>3</v>
      </c>
      <c r="C18">
        <v>4</v>
      </c>
      <c r="D18">
        <v>2</v>
      </c>
      <c r="E18">
        <v>1</v>
      </c>
      <c r="F18">
        <v>1</v>
      </c>
      <c r="G18">
        <v>0</v>
      </c>
      <c r="H18">
        <v>0</v>
      </c>
      <c r="I18">
        <v>3</v>
      </c>
      <c r="J18">
        <v>3</v>
      </c>
      <c r="K18">
        <v>2</v>
      </c>
      <c r="L18">
        <v>0</v>
      </c>
      <c r="M18">
        <v>3</v>
      </c>
      <c r="N18">
        <v>2</v>
      </c>
      <c r="O18">
        <v>0</v>
      </c>
      <c r="P18">
        <v>3</v>
      </c>
      <c r="Q18">
        <v>2</v>
      </c>
      <c r="R18">
        <v>3</v>
      </c>
      <c r="S18">
        <v>3</v>
      </c>
      <c r="T18">
        <v>0</v>
      </c>
      <c r="U18">
        <v>1</v>
      </c>
      <c r="V18">
        <v>0</v>
      </c>
      <c r="W18">
        <v>2</v>
      </c>
      <c r="X18">
        <v>2</v>
      </c>
      <c r="Y18">
        <v>2</v>
      </c>
      <c r="Z18">
        <v>1</v>
      </c>
      <c r="AA18">
        <v>1</v>
      </c>
      <c r="AB18">
        <v>1</v>
      </c>
      <c r="AC18">
        <v>0</v>
      </c>
      <c r="AD18">
        <v>1</v>
      </c>
      <c r="AE18">
        <v>0</v>
      </c>
      <c r="AF18">
        <v>0</v>
      </c>
      <c r="AG18">
        <v>0</v>
      </c>
      <c r="AI18">
        <f t="shared" si="0"/>
        <v>3</v>
      </c>
      <c r="AJ18">
        <f t="shared" si="1"/>
        <v>2</v>
      </c>
      <c r="AK18">
        <f t="shared" si="2"/>
        <v>2</v>
      </c>
      <c r="AL18">
        <f t="shared" si="3"/>
        <v>13</v>
      </c>
      <c r="AM18">
        <f t="shared" si="4"/>
        <v>5</v>
      </c>
      <c r="AN18">
        <f t="shared" si="5"/>
        <v>1</v>
      </c>
      <c r="AO18">
        <f t="shared" si="6"/>
        <v>11</v>
      </c>
      <c r="AP18">
        <f t="shared" si="7"/>
        <v>9</v>
      </c>
      <c r="AS18" t="s">
        <v>16</v>
      </c>
      <c r="AT18">
        <v>3</v>
      </c>
      <c r="AU18">
        <v>3</v>
      </c>
      <c r="AV18">
        <v>2</v>
      </c>
      <c r="AW18">
        <v>2</v>
      </c>
      <c r="AX18">
        <v>1</v>
      </c>
      <c r="AY18">
        <v>1</v>
      </c>
      <c r="AZ18">
        <v>1</v>
      </c>
      <c r="BA18">
        <v>2</v>
      </c>
      <c r="BB18">
        <v>2</v>
      </c>
      <c r="BC18">
        <v>2</v>
      </c>
      <c r="BD18">
        <v>0</v>
      </c>
      <c r="BE18">
        <v>2</v>
      </c>
      <c r="BF18">
        <v>1</v>
      </c>
      <c r="BG18">
        <v>1</v>
      </c>
      <c r="BH18">
        <v>3</v>
      </c>
      <c r="BI18">
        <v>1</v>
      </c>
      <c r="BJ18">
        <v>2</v>
      </c>
      <c r="BK18">
        <v>2</v>
      </c>
      <c r="BL18">
        <v>0</v>
      </c>
      <c r="BM18">
        <v>1</v>
      </c>
      <c r="BN18">
        <v>0</v>
      </c>
      <c r="BO18">
        <v>2</v>
      </c>
      <c r="BP18">
        <v>2</v>
      </c>
      <c r="BQ18">
        <v>2</v>
      </c>
      <c r="BR18">
        <v>1</v>
      </c>
      <c r="BS18">
        <v>3</v>
      </c>
      <c r="BT18">
        <v>0</v>
      </c>
      <c r="BU18">
        <v>0</v>
      </c>
      <c r="BV18">
        <v>1</v>
      </c>
      <c r="BW18">
        <v>0</v>
      </c>
      <c r="BX18">
        <v>1</v>
      </c>
      <c r="BY18">
        <v>0</v>
      </c>
      <c r="CA18">
        <f t="shared" si="8"/>
        <v>6</v>
      </c>
      <c r="CB18">
        <f t="shared" si="9"/>
        <v>2</v>
      </c>
      <c r="CC18">
        <f t="shared" si="10"/>
        <v>2</v>
      </c>
      <c r="CD18">
        <f t="shared" si="11"/>
        <v>11</v>
      </c>
      <c r="CE18">
        <f t="shared" si="12"/>
        <v>6</v>
      </c>
      <c r="CF18">
        <f t="shared" si="13"/>
        <v>1</v>
      </c>
      <c r="CG18">
        <f t="shared" si="14"/>
        <v>8</v>
      </c>
      <c r="CH18">
        <f t="shared" si="15"/>
        <v>8</v>
      </c>
    </row>
    <row r="19" spans="1:86" x14ac:dyDescent="0.3">
      <c r="A19" t="s">
        <v>17</v>
      </c>
      <c r="B19">
        <v>2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2</v>
      </c>
      <c r="J19">
        <v>1</v>
      </c>
      <c r="K19">
        <v>2</v>
      </c>
      <c r="L19">
        <v>1</v>
      </c>
      <c r="M19">
        <v>2</v>
      </c>
      <c r="N19">
        <v>1</v>
      </c>
      <c r="O19">
        <v>1</v>
      </c>
      <c r="P19">
        <v>2</v>
      </c>
      <c r="Q19">
        <v>1</v>
      </c>
      <c r="R19">
        <v>2</v>
      </c>
      <c r="S19">
        <v>2</v>
      </c>
      <c r="T19">
        <v>0</v>
      </c>
      <c r="U19">
        <v>0</v>
      </c>
      <c r="V19">
        <v>0</v>
      </c>
      <c r="W19">
        <v>2</v>
      </c>
      <c r="X19">
        <v>2</v>
      </c>
      <c r="Y19">
        <v>2</v>
      </c>
      <c r="Z19">
        <v>1</v>
      </c>
      <c r="AA19">
        <v>1</v>
      </c>
      <c r="AB19">
        <v>0</v>
      </c>
      <c r="AC19">
        <v>1</v>
      </c>
      <c r="AD19">
        <v>1</v>
      </c>
      <c r="AE19">
        <v>1</v>
      </c>
      <c r="AF19">
        <v>1</v>
      </c>
      <c r="AG19">
        <v>1</v>
      </c>
      <c r="AI19">
        <f t="shared" si="0"/>
        <v>0</v>
      </c>
      <c r="AJ19">
        <f t="shared" si="1"/>
        <v>1</v>
      </c>
      <c r="AK19">
        <f t="shared" si="2"/>
        <v>3</v>
      </c>
      <c r="AL19">
        <f t="shared" si="3"/>
        <v>7</v>
      </c>
      <c r="AM19">
        <f t="shared" si="4"/>
        <v>4</v>
      </c>
      <c r="AN19">
        <f t="shared" si="5"/>
        <v>3</v>
      </c>
      <c r="AO19">
        <f t="shared" si="6"/>
        <v>7</v>
      </c>
      <c r="AP19">
        <f t="shared" si="7"/>
        <v>8</v>
      </c>
      <c r="AS19" t="s">
        <v>17</v>
      </c>
      <c r="AT19">
        <v>2</v>
      </c>
      <c r="AU19">
        <v>2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1</v>
      </c>
      <c r="BB19">
        <v>2</v>
      </c>
      <c r="BC19">
        <v>1</v>
      </c>
      <c r="BD19">
        <v>0</v>
      </c>
      <c r="BE19">
        <v>2</v>
      </c>
      <c r="BF19">
        <v>0</v>
      </c>
      <c r="BG19">
        <v>0</v>
      </c>
      <c r="BH19">
        <v>2</v>
      </c>
      <c r="BI19">
        <v>0</v>
      </c>
      <c r="BJ19">
        <v>2</v>
      </c>
      <c r="BK19">
        <v>2</v>
      </c>
      <c r="BL19">
        <v>0</v>
      </c>
      <c r="BM19">
        <v>0</v>
      </c>
      <c r="BN19">
        <v>0</v>
      </c>
      <c r="BO19">
        <v>1</v>
      </c>
      <c r="BP19">
        <v>1</v>
      </c>
      <c r="BQ19">
        <v>2</v>
      </c>
      <c r="BR19">
        <v>1</v>
      </c>
      <c r="BS19">
        <v>1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CA19">
        <f t="shared" si="8"/>
        <v>0</v>
      </c>
      <c r="CB19">
        <f t="shared" si="9"/>
        <v>0</v>
      </c>
      <c r="CC19">
        <f t="shared" si="10"/>
        <v>0</v>
      </c>
      <c r="CD19">
        <f t="shared" si="11"/>
        <v>8</v>
      </c>
      <c r="CE19">
        <f t="shared" si="12"/>
        <v>2</v>
      </c>
      <c r="CF19">
        <f t="shared" si="13"/>
        <v>0</v>
      </c>
      <c r="CG19">
        <f t="shared" si="14"/>
        <v>8</v>
      </c>
      <c r="CH19">
        <f t="shared" si="15"/>
        <v>4</v>
      </c>
    </row>
    <row r="20" spans="1:86" s="3" customFormat="1" x14ac:dyDescent="0.3">
      <c r="A20" s="3" t="s">
        <v>57</v>
      </c>
      <c r="B20" s="3">
        <v>2</v>
      </c>
      <c r="C20" s="3">
        <v>2</v>
      </c>
      <c r="D20" s="3">
        <v>1</v>
      </c>
      <c r="E20" s="3">
        <v>1</v>
      </c>
      <c r="F20" s="3">
        <v>2</v>
      </c>
      <c r="G20" s="3">
        <v>1</v>
      </c>
      <c r="H20" s="3">
        <v>1</v>
      </c>
      <c r="I20" s="3">
        <v>1</v>
      </c>
      <c r="J20" s="3">
        <v>0</v>
      </c>
      <c r="K20" s="3">
        <v>1</v>
      </c>
      <c r="L20" s="3">
        <v>1</v>
      </c>
      <c r="M20" s="3">
        <v>1</v>
      </c>
      <c r="N20" s="3">
        <v>3</v>
      </c>
      <c r="O20" s="3">
        <v>0</v>
      </c>
      <c r="P20" s="3">
        <v>2</v>
      </c>
      <c r="Q20" s="3">
        <v>1</v>
      </c>
      <c r="R20" s="3">
        <v>2</v>
      </c>
      <c r="S20" s="3">
        <v>2</v>
      </c>
      <c r="T20" s="3">
        <v>0</v>
      </c>
      <c r="U20" s="3">
        <v>2</v>
      </c>
      <c r="V20" s="3">
        <v>0</v>
      </c>
      <c r="W20" s="3">
        <v>1</v>
      </c>
      <c r="X20" s="3">
        <v>1</v>
      </c>
      <c r="Y20" s="3">
        <v>2</v>
      </c>
      <c r="Z20" s="3">
        <v>1</v>
      </c>
      <c r="AA20" s="3">
        <v>4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1</v>
      </c>
      <c r="AI20" s="3">
        <f t="shared" ref="AI20" si="16">D20+E20+G20+H20</f>
        <v>4</v>
      </c>
      <c r="AJ20" s="3">
        <f t="shared" ref="AJ20" si="17">F20+U20+V20+AE20</f>
        <v>4</v>
      </c>
      <c r="AK20" s="3">
        <f t="shared" ref="AK20" si="18">N20+O20+T20+AC20</f>
        <v>3</v>
      </c>
      <c r="AL20" s="3">
        <f t="shared" ref="AL20" si="19">B20+C20+P20+S20</f>
        <v>8</v>
      </c>
      <c r="AM20" s="3">
        <f t="shared" ref="AM20" si="20">Q20+Z20+AA20+AD20</f>
        <v>6</v>
      </c>
      <c r="AN20" s="3">
        <f t="shared" ref="AN20" si="21">L20+AB20+AF20+AG20</f>
        <v>2</v>
      </c>
      <c r="AO20" s="3">
        <f t="shared" ref="AO20" si="22">J20+M20+R20+Y20</f>
        <v>5</v>
      </c>
      <c r="AP20" s="3">
        <f t="shared" ref="AP20" si="23">I20+K20+W20+X20</f>
        <v>4</v>
      </c>
      <c r="AQ20" s="6"/>
      <c r="AR20" s="6"/>
      <c r="AS20" s="3" t="s">
        <v>57</v>
      </c>
      <c r="AT20" s="3">
        <v>1</v>
      </c>
      <c r="AU20" s="3">
        <v>2</v>
      </c>
      <c r="AV20" s="3">
        <v>3</v>
      </c>
      <c r="AW20" s="3">
        <v>1</v>
      </c>
      <c r="AX20" s="3">
        <v>3</v>
      </c>
      <c r="AY20" s="3">
        <v>3</v>
      </c>
      <c r="AZ20" s="3">
        <v>0</v>
      </c>
      <c r="BA20" s="3">
        <v>1</v>
      </c>
      <c r="BB20" s="3">
        <v>2</v>
      </c>
      <c r="BC20" s="3">
        <v>1</v>
      </c>
      <c r="BD20" s="3">
        <v>1</v>
      </c>
      <c r="BE20" s="3">
        <v>1</v>
      </c>
      <c r="BF20" s="3">
        <v>1</v>
      </c>
      <c r="BG20" s="3">
        <v>1</v>
      </c>
      <c r="BH20" s="3">
        <v>2</v>
      </c>
      <c r="BI20" s="3">
        <v>3</v>
      </c>
      <c r="BJ20" s="3">
        <v>2</v>
      </c>
      <c r="BK20" s="3">
        <v>2</v>
      </c>
      <c r="BL20" s="3">
        <v>0</v>
      </c>
      <c r="BM20" s="3">
        <v>2</v>
      </c>
      <c r="BN20" s="3">
        <v>0</v>
      </c>
      <c r="BO20" s="3">
        <v>1</v>
      </c>
      <c r="BP20" s="3">
        <v>1</v>
      </c>
      <c r="BQ20" s="3">
        <v>2</v>
      </c>
      <c r="BR20" s="3">
        <v>3</v>
      </c>
      <c r="BS20" s="3">
        <v>3</v>
      </c>
      <c r="BT20" s="3">
        <v>0</v>
      </c>
      <c r="BU20" s="3">
        <v>0</v>
      </c>
      <c r="BV20" s="3">
        <v>3</v>
      </c>
      <c r="BW20" s="3">
        <v>1</v>
      </c>
      <c r="BX20" s="3">
        <v>1</v>
      </c>
      <c r="BY20" s="3">
        <v>1</v>
      </c>
      <c r="CA20" s="3">
        <f t="shared" ref="CA20" si="24">AV20+AW20+AY20+AZ20</f>
        <v>7</v>
      </c>
      <c r="CB20" s="3">
        <f t="shared" ref="CB20" si="25">AX20+BM20+BN20+BW20</f>
        <v>6</v>
      </c>
      <c r="CC20" s="3">
        <f t="shared" ref="CC20" si="26">BF20+BG20+BL20+BU20</f>
        <v>2</v>
      </c>
      <c r="CD20" s="3">
        <f t="shared" ref="CD20" si="27">AT20+AU20+BH20+BK20</f>
        <v>7</v>
      </c>
      <c r="CE20" s="3">
        <f t="shared" ref="CE20" si="28">BI20+BR20+BS20+BV20</f>
        <v>12</v>
      </c>
      <c r="CF20" s="3">
        <f t="shared" ref="CF20" si="29">BD20+BT20+BX20+BY20</f>
        <v>3</v>
      </c>
      <c r="CG20" s="3">
        <f t="shared" ref="CG20" si="30">BB20+BE20+BJ20+BQ20</f>
        <v>7</v>
      </c>
      <c r="CH20" s="3">
        <f t="shared" ref="CH20" si="31">BA20+BC20+BO20+BP20</f>
        <v>4</v>
      </c>
    </row>
    <row r="21" spans="1:86" x14ac:dyDescent="0.3">
      <c r="A21" t="s">
        <v>18</v>
      </c>
      <c r="B21">
        <v>1</v>
      </c>
      <c r="C21">
        <v>2</v>
      </c>
      <c r="D21">
        <v>0</v>
      </c>
      <c r="E21">
        <v>1</v>
      </c>
      <c r="F21">
        <v>1</v>
      </c>
      <c r="G21">
        <v>0</v>
      </c>
      <c r="H21">
        <v>2</v>
      </c>
      <c r="I21">
        <v>3</v>
      </c>
      <c r="J21">
        <v>2</v>
      </c>
      <c r="K21">
        <v>3</v>
      </c>
      <c r="L21">
        <v>1</v>
      </c>
      <c r="M21">
        <v>2</v>
      </c>
      <c r="N21">
        <v>0</v>
      </c>
      <c r="O21">
        <v>0</v>
      </c>
      <c r="P21">
        <v>2</v>
      </c>
      <c r="Q21">
        <v>3</v>
      </c>
      <c r="R21">
        <v>2</v>
      </c>
      <c r="S21">
        <v>1</v>
      </c>
      <c r="T21">
        <v>0</v>
      </c>
      <c r="U21">
        <v>0</v>
      </c>
      <c r="V21">
        <v>0</v>
      </c>
      <c r="W21">
        <v>1</v>
      </c>
      <c r="X21">
        <v>1</v>
      </c>
      <c r="Y21">
        <v>3</v>
      </c>
      <c r="Z21">
        <v>3</v>
      </c>
      <c r="AA21">
        <v>3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I21">
        <f t="shared" ref="AI21:AI35" si="32">D21+E21+G21+H21</f>
        <v>3</v>
      </c>
      <c r="AJ21">
        <f t="shared" ref="AJ21:AJ35" si="33">F21+U21+V21+AE21</f>
        <v>1</v>
      </c>
      <c r="AK21">
        <f t="shared" ref="AK21:AK35" si="34">N21+O21+T21+AC21</f>
        <v>0</v>
      </c>
      <c r="AL21">
        <f t="shared" ref="AL21:AL35" si="35">B21+C21+P21+S21</f>
        <v>6</v>
      </c>
      <c r="AM21">
        <f t="shared" ref="AM21:AM35" si="36">Q21+Z21+AA21+AD21</f>
        <v>10</v>
      </c>
      <c r="AN21">
        <f t="shared" ref="AN21:AN35" si="37">L21+AB21+AF21+AG21</f>
        <v>1</v>
      </c>
      <c r="AO21">
        <f t="shared" ref="AO21:AO35" si="38">J21+M21+R21+Y21</f>
        <v>9</v>
      </c>
      <c r="AP21">
        <f t="shared" ref="AP21:AP35" si="39">I21+K21+W21+X21</f>
        <v>8</v>
      </c>
      <c r="AS21" t="s">
        <v>18</v>
      </c>
      <c r="AT21">
        <v>1</v>
      </c>
      <c r="AU21">
        <v>1</v>
      </c>
      <c r="AV21">
        <v>2</v>
      </c>
      <c r="AW21">
        <v>3</v>
      </c>
      <c r="AX21">
        <v>4</v>
      </c>
      <c r="AY21">
        <v>2</v>
      </c>
      <c r="AZ21">
        <v>2</v>
      </c>
      <c r="BA21">
        <v>1</v>
      </c>
      <c r="BB21">
        <v>0</v>
      </c>
      <c r="BC21">
        <v>0</v>
      </c>
      <c r="BD21">
        <v>4</v>
      </c>
      <c r="BE21">
        <v>1</v>
      </c>
      <c r="BF21">
        <v>2</v>
      </c>
      <c r="BG21">
        <v>1</v>
      </c>
      <c r="BH21">
        <v>1</v>
      </c>
      <c r="BI21">
        <v>3</v>
      </c>
      <c r="BJ21">
        <v>1</v>
      </c>
      <c r="BK21">
        <v>0</v>
      </c>
      <c r="BL21">
        <v>0</v>
      </c>
      <c r="BM21">
        <v>4</v>
      </c>
      <c r="BN21">
        <v>1</v>
      </c>
      <c r="BO21">
        <v>1</v>
      </c>
      <c r="BP21">
        <v>0</v>
      </c>
      <c r="BQ21">
        <v>2</v>
      </c>
      <c r="BR21">
        <v>3</v>
      </c>
      <c r="BS21">
        <v>3</v>
      </c>
      <c r="BT21">
        <v>4</v>
      </c>
      <c r="BU21">
        <v>3</v>
      </c>
      <c r="BV21">
        <v>3</v>
      </c>
      <c r="BW21">
        <v>3</v>
      </c>
      <c r="BX21">
        <v>2</v>
      </c>
      <c r="BY21">
        <v>4</v>
      </c>
      <c r="CA21">
        <f t="shared" ref="CA21:CA37" si="40">AV21+AW21+AY21+AZ21</f>
        <v>9</v>
      </c>
      <c r="CB21">
        <f t="shared" ref="CB21:CB37" si="41">AX21+BM21+BN21+BW21</f>
        <v>12</v>
      </c>
      <c r="CC21">
        <f t="shared" ref="CC21:CC37" si="42">BF21+BG21+BL21+BU21</f>
        <v>6</v>
      </c>
      <c r="CD21">
        <f t="shared" ref="CD21:CD37" si="43">AT21+AU21+BH21+BK21</f>
        <v>3</v>
      </c>
      <c r="CE21">
        <f t="shared" ref="CE21:CE37" si="44">BI21+BR21+BS21+BV21</f>
        <v>12</v>
      </c>
      <c r="CF21">
        <f t="shared" ref="CF21:CF37" si="45">BD21+BT21+BX21+BY21</f>
        <v>14</v>
      </c>
      <c r="CG21">
        <f t="shared" ref="CG21:CG37" si="46">BB21+BE21+BJ21+BQ21</f>
        <v>4</v>
      </c>
      <c r="CH21">
        <f t="shared" ref="CH21:CH37" si="47">BA21+BC21+BO21+BP21</f>
        <v>2</v>
      </c>
    </row>
    <row r="22" spans="1:86" x14ac:dyDescent="0.3">
      <c r="A22" t="s">
        <v>19</v>
      </c>
      <c r="B22">
        <v>3</v>
      </c>
      <c r="C22">
        <v>3</v>
      </c>
      <c r="D22">
        <v>0</v>
      </c>
      <c r="E22">
        <v>0</v>
      </c>
      <c r="F22">
        <v>2</v>
      </c>
      <c r="G22">
        <v>2</v>
      </c>
      <c r="H22">
        <v>0</v>
      </c>
      <c r="I22">
        <v>3</v>
      </c>
      <c r="J22">
        <v>2</v>
      </c>
      <c r="K22">
        <v>2</v>
      </c>
      <c r="L22">
        <v>1</v>
      </c>
      <c r="M22">
        <v>2</v>
      </c>
      <c r="N22">
        <v>0</v>
      </c>
      <c r="O22">
        <v>0</v>
      </c>
      <c r="P22">
        <v>2</v>
      </c>
      <c r="Q22">
        <v>1</v>
      </c>
      <c r="R22">
        <v>2</v>
      </c>
      <c r="S22">
        <v>2</v>
      </c>
      <c r="T22">
        <v>2</v>
      </c>
      <c r="U22">
        <v>1</v>
      </c>
      <c r="V22">
        <v>2</v>
      </c>
      <c r="W22">
        <v>1</v>
      </c>
      <c r="X22">
        <v>2</v>
      </c>
      <c r="Y22">
        <v>2</v>
      </c>
      <c r="Z22">
        <v>1</v>
      </c>
      <c r="AA22">
        <v>1</v>
      </c>
      <c r="AB22">
        <v>2</v>
      </c>
      <c r="AC22">
        <v>0</v>
      </c>
      <c r="AD22">
        <v>1</v>
      </c>
      <c r="AE22">
        <v>1</v>
      </c>
      <c r="AF22">
        <v>2</v>
      </c>
      <c r="AG22">
        <v>2</v>
      </c>
      <c r="AI22">
        <f t="shared" si="32"/>
        <v>2</v>
      </c>
      <c r="AJ22">
        <f t="shared" si="33"/>
        <v>6</v>
      </c>
      <c r="AK22">
        <f t="shared" si="34"/>
        <v>2</v>
      </c>
      <c r="AL22">
        <f t="shared" si="35"/>
        <v>10</v>
      </c>
      <c r="AM22">
        <f t="shared" si="36"/>
        <v>4</v>
      </c>
      <c r="AN22">
        <f t="shared" si="37"/>
        <v>7</v>
      </c>
      <c r="AO22">
        <f t="shared" si="38"/>
        <v>8</v>
      </c>
      <c r="AP22">
        <f t="shared" si="39"/>
        <v>8</v>
      </c>
      <c r="AS22" t="s">
        <v>19</v>
      </c>
      <c r="AT22">
        <v>2</v>
      </c>
      <c r="AU22">
        <v>3</v>
      </c>
      <c r="AV22">
        <v>1</v>
      </c>
      <c r="AW22">
        <v>1</v>
      </c>
      <c r="AX22">
        <v>1</v>
      </c>
      <c r="AY22">
        <v>0</v>
      </c>
      <c r="AZ22">
        <v>0</v>
      </c>
      <c r="BA22">
        <v>2</v>
      </c>
      <c r="BB22">
        <v>0</v>
      </c>
      <c r="BC22">
        <v>2</v>
      </c>
      <c r="BD22">
        <v>2</v>
      </c>
      <c r="BE22">
        <v>2</v>
      </c>
      <c r="BF22">
        <v>3</v>
      </c>
      <c r="BG22">
        <v>0</v>
      </c>
      <c r="BH22">
        <v>2</v>
      </c>
      <c r="BI22">
        <v>1</v>
      </c>
      <c r="BJ22">
        <v>3</v>
      </c>
      <c r="BK22">
        <v>2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2</v>
      </c>
      <c r="BR22">
        <v>1</v>
      </c>
      <c r="BS22">
        <v>1</v>
      </c>
      <c r="BT22">
        <v>1</v>
      </c>
      <c r="BU22">
        <v>0</v>
      </c>
      <c r="BV22">
        <v>1</v>
      </c>
      <c r="BW22">
        <v>1</v>
      </c>
      <c r="BX22">
        <v>2</v>
      </c>
      <c r="BY22">
        <v>1</v>
      </c>
      <c r="CA22">
        <f t="shared" si="40"/>
        <v>2</v>
      </c>
      <c r="CB22">
        <f t="shared" si="41"/>
        <v>2</v>
      </c>
      <c r="CC22">
        <f t="shared" si="42"/>
        <v>3</v>
      </c>
      <c r="CD22">
        <f t="shared" si="43"/>
        <v>9</v>
      </c>
      <c r="CE22">
        <f t="shared" si="44"/>
        <v>4</v>
      </c>
      <c r="CF22">
        <f t="shared" si="45"/>
        <v>6</v>
      </c>
      <c r="CG22">
        <f t="shared" si="46"/>
        <v>7</v>
      </c>
      <c r="CH22">
        <f t="shared" si="47"/>
        <v>4</v>
      </c>
    </row>
    <row r="23" spans="1:86" x14ac:dyDescent="0.3">
      <c r="A23" t="s">
        <v>20</v>
      </c>
      <c r="B23">
        <v>2</v>
      </c>
      <c r="C23">
        <v>2</v>
      </c>
      <c r="D23">
        <v>0</v>
      </c>
      <c r="E23">
        <v>0</v>
      </c>
      <c r="F23">
        <v>0</v>
      </c>
      <c r="G23">
        <v>1</v>
      </c>
      <c r="H23">
        <v>0</v>
      </c>
      <c r="I23">
        <v>2</v>
      </c>
      <c r="J23">
        <v>2</v>
      </c>
      <c r="K23">
        <v>2</v>
      </c>
      <c r="L23">
        <v>0</v>
      </c>
      <c r="M23">
        <v>3</v>
      </c>
      <c r="N23">
        <v>0</v>
      </c>
      <c r="O23">
        <v>0</v>
      </c>
      <c r="P23">
        <v>1</v>
      </c>
      <c r="Q23">
        <v>1</v>
      </c>
      <c r="R23">
        <v>2</v>
      </c>
      <c r="S23">
        <v>2</v>
      </c>
      <c r="T23">
        <v>0</v>
      </c>
      <c r="U23">
        <v>0</v>
      </c>
      <c r="V23">
        <v>0</v>
      </c>
      <c r="W23">
        <v>2</v>
      </c>
      <c r="X23">
        <v>2</v>
      </c>
      <c r="Y23">
        <v>2</v>
      </c>
      <c r="Z23">
        <v>1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I23">
        <f t="shared" si="32"/>
        <v>1</v>
      </c>
      <c r="AJ23">
        <f t="shared" si="33"/>
        <v>0</v>
      </c>
      <c r="AK23">
        <f t="shared" si="34"/>
        <v>0</v>
      </c>
      <c r="AL23">
        <f t="shared" si="35"/>
        <v>7</v>
      </c>
      <c r="AM23">
        <f t="shared" si="36"/>
        <v>3</v>
      </c>
      <c r="AN23">
        <f t="shared" si="37"/>
        <v>0</v>
      </c>
      <c r="AO23">
        <f t="shared" si="38"/>
        <v>9</v>
      </c>
      <c r="AP23">
        <f t="shared" si="39"/>
        <v>8</v>
      </c>
      <c r="AS23" t="s">
        <v>20</v>
      </c>
      <c r="AT23">
        <v>3</v>
      </c>
      <c r="AU23">
        <v>2</v>
      </c>
      <c r="AV23">
        <v>0</v>
      </c>
      <c r="AW23">
        <v>1</v>
      </c>
      <c r="AX23">
        <v>1</v>
      </c>
      <c r="AY23">
        <v>1</v>
      </c>
      <c r="AZ23">
        <v>0</v>
      </c>
      <c r="BA23">
        <v>2</v>
      </c>
      <c r="BB23">
        <v>2</v>
      </c>
      <c r="BC23">
        <v>2</v>
      </c>
      <c r="BD23">
        <v>0</v>
      </c>
      <c r="BE23">
        <v>1</v>
      </c>
      <c r="BF23">
        <v>0</v>
      </c>
      <c r="BG23">
        <v>0</v>
      </c>
      <c r="BH23">
        <v>1</v>
      </c>
      <c r="BI23">
        <v>2</v>
      </c>
      <c r="BJ23">
        <v>2</v>
      </c>
      <c r="BK23">
        <v>1</v>
      </c>
      <c r="BL23">
        <v>0</v>
      </c>
      <c r="BM23">
        <v>0</v>
      </c>
      <c r="BN23">
        <v>0</v>
      </c>
      <c r="BO23">
        <v>1</v>
      </c>
      <c r="BP23">
        <v>2</v>
      </c>
      <c r="BQ23">
        <v>2</v>
      </c>
      <c r="BR23">
        <v>1</v>
      </c>
      <c r="BS23">
        <v>1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CA23">
        <f t="shared" si="40"/>
        <v>2</v>
      </c>
      <c r="CB23">
        <f t="shared" si="41"/>
        <v>1</v>
      </c>
      <c r="CC23">
        <f t="shared" si="42"/>
        <v>0</v>
      </c>
      <c r="CD23">
        <f t="shared" si="43"/>
        <v>7</v>
      </c>
      <c r="CE23">
        <f t="shared" si="44"/>
        <v>4</v>
      </c>
      <c r="CF23">
        <f t="shared" si="45"/>
        <v>0</v>
      </c>
      <c r="CG23">
        <f t="shared" si="46"/>
        <v>7</v>
      </c>
      <c r="CH23">
        <f t="shared" si="47"/>
        <v>7</v>
      </c>
    </row>
    <row r="24" spans="1:86" x14ac:dyDescent="0.3">
      <c r="A24" t="s">
        <v>21</v>
      </c>
      <c r="B24">
        <v>2</v>
      </c>
      <c r="C24">
        <v>3</v>
      </c>
      <c r="D24">
        <v>3</v>
      </c>
      <c r="E24">
        <v>3</v>
      </c>
      <c r="F24">
        <v>3</v>
      </c>
      <c r="G24">
        <v>2</v>
      </c>
      <c r="H24">
        <v>2</v>
      </c>
      <c r="I24">
        <v>1</v>
      </c>
      <c r="J24">
        <v>1</v>
      </c>
      <c r="K24">
        <v>2</v>
      </c>
      <c r="L24">
        <v>0</v>
      </c>
      <c r="M24">
        <v>4</v>
      </c>
      <c r="N24">
        <v>0</v>
      </c>
      <c r="O24">
        <v>0</v>
      </c>
      <c r="P24">
        <v>4</v>
      </c>
      <c r="Q24">
        <v>2</v>
      </c>
      <c r="R24">
        <v>2</v>
      </c>
      <c r="S24">
        <v>3</v>
      </c>
      <c r="T24">
        <v>0</v>
      </c>
      <c r="U24">
        <v>0</v>
      </c>
      <c r="V24">
        <v>0</v>
      </c>
      <c r="W24">
        <v>2</v>
      </c>
      <c r="X24">
        <v>2</v>
      </c>
      <c r="Y24">
        <v>2</v>
      </c>
      <c r="Z24">
        <v>3</v>
      </c>
      <c r="AA24">
        <v>3</v>
      </c>
      <c r="AB24">
        <v>2</v>
      </c>
      <c r="AC24">
        <v>2</v>
      </c>
      <c r="AD24">
        <v>2</v>
      </c>
      <c r="AE24">
        <v>1</v>
      </c>
      <c r="AF24">
        <v>1</v>
      </c>
      <c r="AG24">
        <v>1</v>
      </c>
      <c r="AI24">
        <f t="shared" si="32"/>
        <v>10</v>
      </c>
      <c r="AJ24">
        <f t="shared" si="33"/>
        <v>4</v>
      </c>
      <c r="AK24">
        <f t="shared" si="34"/>
        <v>2</v>
      </c>
      <c r="AL24">
        <f t="shared" si="35"/>
        <v>12</v>
      </c>
      <c r="AM24">
        <f t="shared" si="36"/>
        <v>10</v>
      </c>
      <c r="AN24">
        <f t="shared" si="37"/>
        <v>4</v>
      </c>
      <c r="AO24">
        <f t="shared" si="38"/>
        <v>9</v>
      </c>
      <c r="AP24">
        <f t="shared" si="39"/>
        <v>7</v>
      </c>
      <c r="AS24" t="s">
        <v>21</v>
      </c>
      <c r="AT24">
        <v>2</v>
      </c>
      <c r="AU24">
        <v>2</v>
      </c>
      <c r="AV24">
        <v>1</v>
      </c>
      <c r="AW24">
        <v>1</v>
      </c>
      <c r="AX24">
        <v>1</v>
      </c>
      <c r="AY24">
        <v>1</v>
      </c>
      <c r="AZ24">
        <v>0</v>
      </c>
      <c r="BA24">
        <v>1</v>
      </c>
      <c r="BB24">
        <v>2</v>
      </c>
      <c r="BC24">
        <v>2</v>
      </c>
      <c r="BD24">
        <v>1</v>
      </c>
      <c r="BE24">
        <v>2</v>
      </c>
      <c r="BF24">
        <v>1</v>
      </c>
      <c r="BG24">
        <v>1</v>
      </c>
      <c r="BH24">
        <v>2</v>
      </c>
      <c r="BI24">
        <v>1</v>
      </c>
      <c r="BJ24">
        <v>1</v>
      </c>
      <c r="BK24">
        <v>2</v>
      </c>
      <c r="BL24">
        <v>0</v>
      </c>
      <c r="BM24">
        <v>1</v>
      </c>
      <c r="BN24">
        <v>0</v>
      </c>
      <c r="BO24">
        <v>1</v>
      </c>
      <c r="BP24">
        <v>2</v>
      </c>
      <c r="BQ24">
        <v>2</v>
      </c>
      <c r="BR24">
        <v>4</v>
      </c>
      <c r="BS24">
        <v>4</v>
      </c>
      <c r="BT24">
        <v>2</v>
      </c>
      <c r="BU24">
        <v>2</v>
      </c>
      <c r="BV24">
        <v>3</v>
      </c>
      <c r="BW24">
        <v>2</v>
      </c>
      <c r="BX24">
        <v>2</v>
      </c>
      <c r="BY24">
        <v>2</v>
      </c>
      <c r="CA24">
        <f t="shared" si="40"/>
        <v>3</v>
      </c>
      <c r="CB24">
        <f t="shared" si="41"/>
        <v>4</v>
      </c>
      <c r="CC24">
        <f t="shared" si="42"/>
        <v>4</v>
      </c>
      <c r="CD24">
        <f t="shared" si="43"/>
        <v>8</v>
      </c>
      <c r="CE24">
        <f t="shared" si="44"/>
        <v>12</v>
      </c>
      <c r="CF24">
        <f t="shared" si="45"/>
        <v>7</v>
      </c>
      <c r="CG24">
        <f t="shared" si="46"/>
        <v>7</v>
      </c>
      <c r="CH24">
        <f t="shared" si="47"/>
        <v>6</v>
      </c>
    </row>
    <row r="25" spans="1:86" x14ac:dyDescent="0.3">
      <c r="A25" t="s">
        <v>22</v>
      </c>
      <c r="B25">
        <v>2</v>
      </c>
      <c r="C25">
        <v>3</v>
      </c>
      <c r="D25">
        <v>1</v>
      </c>
      <c r="E25">
        <v>2</v>
      </c>
      <c r="F25">
        <v>1</v>
      </c>
      <c r="G25">
        <v>1</v>
      </c>
      <c r="H25">
        <v>1</v>
      </c>
      <c r="I25">
        <v>3</v>
      </c>
      <c r="J25">
        <v>3</v>
      </c>
      <c r="K25">
        <v>4</v>
      </c>
      <c r="L25">
        <v>2</v>
      </c>
      <c r="M25">
        <v>1</v>
      </c>
      <c r="N25">
        <v>1</v>
      </c>
      <c r="O25">
        <v>0</v>
      </c>
      <c r="P25">
        <v>3</v>
      </c>
      <c r="Q25">
        <v>2</v>
      </c>
      <c r="R25">
        <v>3</v>
      </c>
      <c r="S25">
        <v>3</v>
      </c>
      <c r="T25">
        <v>2</v>
      </c>
      <c r="U25">
        <v>1</v>
      </c>
      <c r="V25">
        <v>1</v>
      </c>
      <c r="W25">
        <v>2</v>
      </c>
      <c r="X25">
        <v>1</v>
      </c>
      <c r="Y25">
        <v>1</v>
      </c>
      <c r="Z25">
        <v>2</v>
      </c>
      <c r="AA25">
        <v>3</v>
      </c>
      <c r="AB25">
        <v>1</v>
      </c>
      <c r="AC25">
        <v>1</v>
      </c>
      <c r="AD25">
        <v>1</v>
      </c>
      <c r="AE25">
        <v>3</v>
      </c>
      <c r="AF25">
        <v>2</v>
      </c>
      <c r="AG25">
        <v>1</v>
      </c>
      <c r="AI25">
        <f t="shared" si="32"/>
        <v>5</v>
      </c>
      <c r="AJ25">
        <f t="shared" si="33"/>
        <v>6</v>
      </c>
      <c r="AK25">
        <f t="shared" si="34"/>
        <v>4</v>
      </c>
      <c r="AL25">
        <f t="shared" si="35"/>
        <v>11</v>
      </c>
      <c r="AM25">
        <f t="shared" si="36"/>
        <v>8</v>
      </c>
      <c r="AN25">
        <f t="shared" si="37"/>
        <v>6</v>
      </c>
      <c r="AO25">
        <f t="shared" si="38"/>
        <v>8</v>
      </c>
      <c r="AP25">
        <f t="shared" si="39"/>
        <v>10</v>
      </c>
      <c r="AS25" t="s">
        <v>22</v>
      </c>
      <c r="AT25">
        <v>4</v>
      </c>
      <c r="AU25">
        <v>3</v>
      </c>
      <c r="AV25">
        <v>0</v>
      </c>
      <c r="AW25">
        <v>1</v>
      </c>
      <c r="AX25">
        <v>1</v>
      </c>
      <c r="AY25">
        <v>1</v>
      </c>
      <c r="AZ25">
        <v>1</v>
      </c>
      <c r="BA25">
        <v>4</v>
      </c>
      <c r="BB25">
        <v>4</v>
      </c>
      <c r="BC25">
        <v>3</v>
      </c>
      <c r="BD25">
        <v>3</v>
      </c>
      <c r="BE25">
        <v>2</v>
      </c>
      <c r="BF25">
        <v>2</v>
      </c>
      <c r="BG25">
        <v>1</v>
      </c>
      <c r="BH25">
        <v>4</v>
      </c>
      <c r="BI25">
        <v>3</v>
      </c>
      <c r="BJ25">
        <v>3</v>
      </c>
      <c r="BK25">
        <v>4</v>
      </c>
      <c r="BL25">
        <v>0</v>
      </c>
      <c r="BM25">
        <v>1</v>
      </c>
      <c r="BN25">
        <v>1</v>
      </c>
      <c r="BO25">
        <v>4</v>
      </c>
      <c r="BP25">
        <v>4</v>
      </c>
      <c r="BQ25">
        <v>4</v>
      </c>
      <c r="BR25">
        <v>1</v>
      </c>
      <c r="BS25">
        <v>1</v>
      </c>
      <c r="BT25">
        <v>2</v>
      </c>
      <c r="BU25">
        <v>0</v>
      </c>
      <c r="BV25">
        <v>1</v>
      </c>
      <c r="BW25">
        <v>1</v>
      </c>
      <c r="BX25">
        <v>0</v>
      </c>
      <c r="BY25">
        <v>1</v>
      </c>
      <c r="CA25">
        <f t="shared" si="40"/>
        <v>3</v>
      </c>
      <c r="CB25">
        <f t="shared" si="41"/>
        <v>4</v>
      </c>
      <c r="CC25">
        <f t="shared" si="42"/>
        <v>3</v>
      </c>
      <c r="CD25">
        <f t="shared" si="43"/>
        <v>15</v>
      </c>
      <c r="CE25">
        <f t="shared" si="44"/>
        <v>6</v>
      </c>
      <c r="CF25">
        <f t="shared" si="45"/>
        <v>6</v>
      </c>
      <c r="CG25">
        <f t="shared" si="46"/>
        <v>13</v>
      </c>
      <c r="CH25">
        <f t="shared" si="47"/>
        <v>15</v>
      </c>
    </row>
    <row r="26" spans="1:86" x14ac:dyDescent="0.3">
      <c r="A26" t="s">
        <v>23</v>
      </c>
      <c r="B26">
        <v>2</v>
      </c>
      <c r="C26">
        <v>4</v>
      </c>
      <c r="D26">
        <v>0</v>
      </c>
      <c r="E26">
        <v>0</v>
      </c>
      <c r="F26">
        <v>0</v>
      </c>
      <c r="G26">
        <v>0</v>
      </c>
      <c r="H26">
        <v>0</v>
      </c>
      <c r="I26">
        <v>2</v>
      </c>
      <c r="J26">
        <v>1</v>
      </c>
      <c r="K26">
        <v>4</v>
      </c>
      <c r="L26">
        <v>2</v>
      </c>
      <c r="M26">
        <v>3</v>
      </c>
      <c r="N26">
        <v>0</v>
      </c>
      <c r="O26">
        <v>0</v>
      </c>
      <c r="P26">
        <v>2</v>
      </c>
      <c r="Q26">
        <v>0</v>
      </c>
      <c r="R26">
        <v>2</v>
      </c>
      <c r="S26">
        <v>2</v>
      </c>
      <c r="T26">
        <v>0</v>
      </c>
      <c r="U26">
        <v>0</v>
      </c>
      <c r="V26">
        <v>0</v>
      </c>
      <c r="W26">
        <v>2</v>
      </c>
      <c r="X26">
        <v>2</v>
      </c>
      <c r="Y26">
        <v>2</v>
      </c>
      <c r="Z26">
        <v>1</v>
      </c>
      <c r="AA26">
        <v>1</v>
      </c>
      <c r="AB26">
        <v>1</v>
      </c>
      <c r="AC26">
        <v>0</v>
      </c>
      <c r="AD26">
        <v>1</v>
      </c>
      <c r="AE26">
        <v>1</v>
      </c>
      <c r="AF26">
        <v>0</v>
      </c>
      <c r="AG26">
        <v>0</v>
      </c>
      <c r="AI26">
        <f t="shared" si="32"/>
        <v>0</v>
      </c>
      <c r="AJ26">
        <f t="shared" si="33"/>
        <v>1</v>
      </c>
      <c r="AK26">
        <f t="shared" si="34"/>
        <v>0</v>
      </c>
      <c r="AL26">
        <f t="shared" si="35"/>
        <v>10</v>
      </c>
      <c r="AM26">
        <f t="shared" si="36"/>
        <v>3</v>
      </c>
      <c r="AN26">
        <f t="shared" si="37"/>
        <v>3</v>
      </c>
      <c r="AO26">
        <f t="shared" si="38"/>
        <v>8</v>
      </c>
      <c r="AP26">
        <f t="shared" si="39"/>
        <v>10</v>
      </c>
      <c r="AS26" t="s">
        <v>23</v>
      </c>
      <c r="AT26">
        <v>2</v>
      </c>
      <c r="AU26">
        <v>2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2</v>
      </c>
      <c r="BB26">
        <v>1</v>
      </c>
      <c r="BC26">
        <v>2</v>
      </c>
      <c r="BD26">
        <v>0</v>
      </c>
      <c r="BE26">
        <v>2</v>
      </c>
      <c r="BF26">
        <v>0</v>
      </c>
      <c r="BG26">
        <v>0</v>
      </c>
      <c r="BH26">
        <v>2</v>
      </c>
      <c r="BI26">
        <v>0</v>
      </c>
      <c r="BJ26">
        <v>2</v>
      </c>
      <c r="BK26">
        <v>2</v>
      </c>
      <c r="BL26">
        <v>0</v>
      </c>
      <c r="BM26">
        <v>0</v>
      </c>
      <c r="BN26">
        <v>0</v>
      </c>
      <c r="BO26">
        <v>2</v>
      </c>
      <c r="BP26">
        <v>2</v>
      </c>
      <c r="BQ26">
        <v>2</v>
      </c>
      <c r="BR26">
        <v>1</v>
      </c>
      <c r="BS26">
        <v>1</v>
      </c>
      <c r="BT26">
        <v>0</v>
      </c>
      <c r="BU26">
        <v>0</v>
      </c>
      <c r="BV26">
        <v>0</v>
      </c>
      <c r="BW26">
        <v>1</v>
      </c>
      <c r="BX26">
        <v>0</v>
      </c>
      <c r="BY26">
        <v>0</v>
      </c>
      <c r="CA26">
        <f t="shared" si="40"/>
        <v>0</v>
      </c>
      <c r="CB26">
        <f t="shared" si="41"/>
        <v>1</v>
      </c>
      <c r="CC26">
        <f t="shared" si="42"/>
        <v>0</v>
      </c>
      <c r="CD26">
        <f t="shared" si="43"/>
        <v>8</v>
      </c>
      <c r="CE26">
        <f t="shared" si="44"/>
        <v>2</v>
      </c>
      <c r="CF26">
        <f t="shared" si="45"/>
        <v>0</v>
      </c>
      <c r="CG26">
        <f t="shared" si="46"/>
        <v>7</v>
      </c>
      <c r="CH26">
        <f t="shared" si="47"/>
        <v>8</v>
      </c>
    </row>
    <row r="27" spans="1:86" x14ac:dyDescent="0.3">
      <c r="A27" t="s">
        <v>24</v>
      </c>
      <c r="B27">
        <v>2</v>
      </c>
      <c r="C27">
        <v>1</v>
      </c>
      <c r="D27">
        <v>3</v>
      </c>
      <c r="E27">
        <v>1</v>
      </c>
      <c r="F27">
        <v>2</v>
      </c>
      <c r="G27">
        <v>1</v>
      </c>
      <c r="H27">
        <v>1</v>
      </c>
      <c r="I27">
        <v>3</v>
      </c>
      <c r="J27">
        <v>3</v>
      </c>
      <c r="K27">
        <v>2</v>
      </c>
      <c r="L27">
        <v>1</v>
      </c>
      <c r="M27">
        <v>2</v>
      </c>
      <c r="N27">
        <v>1</v>
      </c>
      <c r="O27">
        <v>1</v>
      </c>
      <c r="P27">
        <v>1</v>
      </c>
      <c r="Q27">
        <v>1</v>
      </c>
      <c r="R27">
        <v>2</v>
      </c>
      <c r="S27">
        <v>1</v>
      </c>
      <c r="T27">
        <v>0</v>
      </c>
      <c r="U27">
        <v>1</v>
      </c>
      <c r="V27">
        <v>0</v>
      </c>
      <c r="W27">
        <v>1</v>
      </c>
      <c r="X27">
        <v>3</v>
      </c>
      <c r="Y27">
        <v>3</v>
      </c>
      <c r="Z27">
        <v>1</v>
      </c>
      <c r="AA27">
        <v>1</v>
      </c>
      <c r="AB27">
        <v>0</v>
      </c>
      <c r="AC27">
        <v>0</v>
      </c>
      <c r="AD27">
        <v>1</v>
      </c>
      <c r="AE27">
        <v>1</v>
      </c>
      <c r="AF27">
        <v>0</v>
      </c>
      <c r="AG27">
        <v>1</v>
      </c>
      <c r="AI27">
        <f t="shared" si="32"/>
        <v>6</v>
      </c>
      <c r="AJ27">
        <f t="shared" si="33"/>
        <v>4</v>
      </c>
      <c r="AK27">
        <f t="shared" si="34"/>
        <v>2</v>
      </c>
      <c r="AL27">
        <f t="shared" si="35"/>
        <v>5</v>
      </c>
      <c r="AM27">
        <f t="shared" si="36"/>
        <v>4</v>
      </c>
      <c r="AN27">
        <f t="shared" si="37"/>
        <v>2</v>
      </c>
      <c r="AO27">
        <f t="shared" si="38"/>
        <v>10</v>
      </c>
      <c r="AP27">
        <f t="shared" si="39"/>
        <v>9</v>
      </c>
      <c r="AS27" t="s">
        <v>24</v>
      </c>
      <c r="AT27">
        <v>1</v>
      </c>
      <c r="AU27">
        <v>0</v>
      </c>
      <c r="AV27">
        <v>0</v>
      </c>
      <c r="AW27">
        <v>1</v>
      </c>
      <c r="AX27">
        <v>1</v>
      </c>
      <c r="AY27">
        <v>1</v>
      </c>
      <c r="AZ27">
        <v>1</v>
      </c>
      <c r="BA27">
        <v>3</v>
      </c>
      <c r="BB27">
        <v>3</v>
      </c>
      <c r="BC27">
        <v>2</v>
      </c>
      <c r="BD27">
        <v>1</v>
      </c>
      <c r="BE27">
        <v>3</v>
      </c>
      <c r="BF27">
        <v>1</v>
      </c>
      <c r="BG27">
        <v>0</v>
      </c>
      <c r="BH27">
        <v>1</v>
      </c>
      <c r="BI27">
        <v>2</v>
      </c>
      <c r="BJ27">
        <v>3</v>
      </c>
      <c r="BK27">
        <v>1</v>
      </c>
      <c r="BL27">
        <v>0</v>
      </c>
      <c r="BM27">
        <v>1</v>
      </c>
      <c r="BN27">
        <v>0</v>
      </c>
      <c r="BO27">
        <v>1</v>
      </c>
      <c r="BP27">
        <v>1</v>
      </c>
      <c r="BQ27">
        <v>3</v>
      </c>
      <c r="BR27">
        <v>4</v>
      </c>
      <c r="BS27">
        <v>4</v>
      </c>
      <c r="BT27">
        <v>0</v>
      </c>
      <c r="BU27">
        <v>0</v>
      </c>
      <c r="BV27">
        <v>1</v>
      </c>
      <c r="BW27">
        <v>1</v>
      </c>
      <c r="BX27">
        <v>0</v>
      </c>
      <c r="BY27">
        <v>1</v>
      </c>
      <c r="CA27">
        <f t="shared" si="40"/>
        <v>3</v>
      </c>
      <c r="CB27">
        <f t="shared" si="41"/>
        <v>3</v>
      </c>
      <c r="CC27">
        <f t="shared" si="42"/>
        <v>1</v>
      </c>
      <c r="CD27">
        <f t="shared" si="43"/>
        <v>3</v>
      </c>
      <c r="CE27">
        <f t="shared" si="44"/>
        <v>11</v>
      </c>
      <c r="CF27">
        <f t="shared" si="45"/>
        <v>2</v>
      </c>
      <c r="CG27">
        <f t="shared" si="46"/>
        <v>12</v>
      </c>
      <c r="CH27">
        <f t="shared" si="47"/>
        <v>7</v>
      </c>
    </row>
    <row r="28" spans="1:86" x14ac:dyDescent="0.3">
      <c r="A28" t="s">
        <v>25</v>
      </c>
      <c r="B28">
        <v>2</v>
      </c>
      <c r="C28">
        <v>2</v>
      </c>
      <c r="D28">
        <v>1</v>
      </c>
      <c r="E28">
        <v>0</v>
      </c>
      <c r="F28">
        <v>1</v>
      </c>
      <c r="G28">
        <v>1</v>
      </c>
      <c r="H28">
        <v>1</v>
      </c>
      <c r="I28">
        <v>2</v>
      </c>
      <c r="J28">
        <v>3</v>
      </c>
      <c r="K28">
        <v>2</v>
      </c>
      <c r="L28">
        <v>3</v>
      </c>
      <c r="M28">
        <v>2</v>
      </c>
      <c r="N28">
        <v>2</v>
      </c>
      <c r="O28">
        <v>2</v>
      </c>
      <c r="P28">
        <v>3</v>
      </c>
      <c r="Q28">
        <v>2</v>
      </c>
      <c r="R28">
        <v>2</v>
      </c>
      <c r="S28">
        <v>1</v>
      </c>
      <c r="T28">
        <v>2</v>
      </c>
      <c r="U28">
        <v>1</v>
      </c>
      <c r="V28">
        <v>0</v>
      </c>
      <c r="W28">
        <v>1</v>
      </c>
      <c r="X28">
        <v>1</v>
      </c>
      <c r="Y28">
        <v>1</v>
      </c>
      <c r="Z28">
        <v>2</v>
      </c>
      <c r="AA28">
        <v>3</v>
      </c>
      <c r="AB28">
        <v>2</v>
      </c>
      <c r="AC28">
        <v>1</v>
      </c>
      <c r="AD28">
        <v>3</v>
      </c>
      <c r="AE28">
        <v>2</v>
      </c>
      <c r="AF28">
        <v>2</v>
      </c>
      <c r="AG28">
        <v>3</v>
      </c>
      <c r="AI28">
        <f t="shared" si="32"/>
        <v>3</v>
      </c>
      <c r="AJ28">
        <f t="shared" si="33"/>
        <v>4</v>
      </c>
      <c r="AK28">
        <f t="shared" si="34"/>
        <v>7</v>
      </c>
      <c r="AL28">
        <f t="shared" si="35"/>
        <v>8</v>
      </c>
      <c r="AM28">
        <f t="shared" si="36"/>
        <v>10</v>
      </c>
      <c r="AN28">
        <f t="shared" si="37"/>
        <v>10</v>
      </c>
      <c r="AO28">
        <f t="shared" si="38"/>
        <v>8</v>
      </c>
      <c r="AP28">
        <f t="shared" si="39"/>
        <v>6</v>
      </c>
      <c r="AS28" t="s">
        <v>25</v>
      </c>
      <c r="AT28">
        <v>3</v>
      </c>
      <c r="AU28">
        <v>3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1</v>
      </c>
      <c r="BG28">
        <v>1</v>
      </c>
      <c r="BH28">
        <v>2</v>
      </c>
      <c r="BI28">
        <v>1</v>
      </c>
      <c r="BJ28">
        <v>2</v>
      </c>
      <c r="BK28">
        <v>2</v>
      </c>
      <c r="BL28">
        <v>1</v>
      </c>
      <c r="BM28">
        <v>2</v>
      </c>
      <c r="BN28">
        <v>1</v>
      </c>
      <c r="BO28">
        <v>2</v>
      </c>
      <c r="BP28">
        <v>1</v>
      </c>
      <c r="BQ28">
        <v>0</v>
      </c>
      <c r="BR28">
        <v>1</v>
      </c>
      <c r="BS28">
        <v>2</v>
      </c>
      <c r="BT28">
        <v>2</v>
      </c>
      <c r="BU28">
        <v>1</v>
      </c>
      <c r="BV28">
        <v>1</v>
      </c>
      <c r="BW28">
        <v>2</v>
      </c>
      <c r="BX28">
        <v>1</v>
      </c>
      <c r="BY28">
        <v>2</v>
      </c>
      <c r="CA28">
        <f t="shared" si="40"/>
        <v>1</v>
      </c>
      <c r="CB28">
        <f t="shared" si="41"/>
        <v>5</v>
      </c>
      <c r="CC28">
        <f t="shared" si="42"/>
        <v>4</v>
      </c>
      <c r="CD28">
        <f t="shared" si="43"/>
        <v>10</v>
      </c>
      <c r="CE28">
        <f t="shared" si="44"/>
        <v>5</v>
      </c>
      <c r="CF28">
        <f t="shared" si="45"/>
        <v>7</v>
      </c>
      <c r="CG28">
        <f t="shared" si="46"/>
        <v>6</v>
      </c>
      <c r="CH28">
        <f t="shared" si="47"/>
        <v>7</v>
      </c>
    </row>
    <row r="29" spans="1:86" s="3" customFormat="1" x14ac:dyDescent="0.3">
      <c r="A29" s="3" t="s">
        <v>26</v>
      </c>
      <c r="B29" s="3">
        <v>1</v>
      </c>
      <c r="C29" s="3">
        <v>4</v>
      </c>
      <c r="D29" s="3">
        <v>2</v>
      </c>
      <c r="E29" s="3">
        <v>2</v>
      </c>
      <c r="F29" s="3">
        <v>2</v>
      </c>
      <c r="G29" s="3">
        <v>2</v>
      </c>
      <c r="H29" s="3">
        <v>2</v>
      </c>
      <c r="I29" s="3">
        <v>1</v>
      </c>
      <c r="J29" s="3">
        <v>1</v>
      </c>
      <c r="K29" s="3">
        <v>1</v>
      </c>
      <c r="L29" s="3">
        <v>4</v>
      </c>
      <c r="M29" s="3">
        <v>2</v>
      </c>
      <c r="N29" s="3">
        <v>1</v>
      </c>
      <c r="O29" s="3">
        <v>2</v>
      </c>
      <c r="P29" s="3">
        <v>2</v>
      </c>
      <c r="Q29" s="3">
        <v>1</v>
      </c>
      <c r="R29" s="3">
        <v>2</v>
      </c>
      <c r="S29" s="3">
        <v>1</v>
      </c>
      <c r="T29" s="3">
        <v>1</v>
      </c>
      <c r="U29" s="3">
        <v>2</v>
      </c>
      <c r="V29" s="3">
        <v>1</v>
      </c>
      <c r="W29" s="3">
        <v>2</v>
      </c>
      <c r="X29" s="3">
        <v>1</v>
      </c>
      <c r="Y29" s="3">
        <v>2</v>
      </c>
      <c r="Z29" s="3">
        <v>2</v>
      </c>
      <c r="AA29" s="3">
        <v>2</v>
      </c>
      <c r="AB29" s="3">
        <v>2</v>
      </c>
      <c r="AC29" s="3">
        <v>2</v>
      </c>
      <c r="AD29" s="3">
        <v>1</v>
      </c>
      <c r="AE29" s="3">
        <v>2</v>
      </c>
      <c r="AF29" s="3">
        <v>2</v>
      </c>
      <c r="AG29" s="3">
        <v>1</v>
      </c>
      <c r="AI29" s="3">
        <f t="shared" si="32"/>
        <v>8</v>
      </c>
      <c r="AJ29" s="3">
        <f t="shared" si="33"/>
        <v>7</v>
      </c>
      <c r="AK29" s="3">
        <f t="shared" si="34"/>
        <v>6</v>
      </c>
      <c r="AL29" s="3">
        <f t="shared" si="35"/>
        <v>8</v>
      </c>
      <c r="AM29" s="3">
        <f t="shared" si="36"/>
        <v>6</v>
      </c>
      <c r="AN29" s="3">
        <f t="shared" si="37"/>
        <v>9</v>
      </c>
      <c r="AO29" s="3">
        <f t="shared" si="38"/>
        <v>7</v>
      </c>
      <c r="AP29" s="3">
        <f t="shared" si="39"/>
        <v>5</v>
      </c>
      <c r="AQ29" s="6"/>
      <c r="AR29" s="6"/>
      <c r="AS29" s="3" t="s">
        <v>26</v>
      </c>
      <c r="AT29" s="3">
        <v>3</v>
      </c>
      <c r="AU29" s="3">
        <v>3</v>
      </c>
      <c r="AV29" s="3">
        <v>2</v>
      </c>
      <c r="AW29" s="3">
        <v>0</v>
      </c>
      <c r="AX29" s="3">
        <v>2</v>
      </c>
      <c r="AY29" s="3">
        <v>1</v>
      </c>
      <c r="AZ29" s="3">
        <v>2</v>
      </c>
      <c r="BA29" s="3">
        <v>3</v>
      </c>
      <c r="BB29" s="3">
        <v>2</v>
      </c>
      <c r="BC29" s="3">
        <v>4</v>
      </c>
      <c r="BD29" s="3">
        <v>1</v>
      </c>
      <c r="BE29" s="3">
        <v>3</v>
      </c>
      <c r="BF29" s="3">
        <v>3</v>
      </c>
      <c r="BG29" s="3">
        <v>0</v>
      </c>
      <c r="BH29" s="3">
        <v>1</v>
      </c>
      <c r="BI29" s="3">
        <v>0</v>
      </c>
      <c r="BJ29" s="3">
        <v>2</v>
      </c>
      <c r="BK29" s="3">
        <v>2</v>
      </c>
      <c r="BL29" s="3">
        <v>0</v>
      </c>
      <c r="BM29" s="3">
        <v>2</v>
      </c>
      <c r="BN29" s="3">
        <v>0</v>
      </c>
      <c r="BO29" s="3">
        <v>2</v>
      </c>
      <c r="BP29" s="3">
        <v>2</v>
      </c>
      <c r="BQ29" s="3">
        <v>3</v>
      </c>
      <c r="BR29" s="3">
        <v>3</v>
      </c>
      <c r="BS29" s="3">
        <v>2</v>
      </c>
      <c r="BT29" s="3">
        <v>2</v>
      </c>
      <c r="BU29" s="3">
        <v>0</v>
      </c>
      <c r="BV29" s="3">
        <v>2</v>
      </c>
      <c r="BW29" s="3">
        <v>2</v>
      </c>
      <c r="BX29" s="3">
        <v>1</v>
      </c>
      <c r="BY29" s="3">
        <v>0</v>
      </c>
      <c r="CA29" s="3">
        <f t="shared" si="40"/>
        <v>5</v>
      </c>
      <c r="CB29" s="3">
        <f t="shared" si="41"/>
        <v>6</v>
      </c>
      <c r="CC29" s="3">
        <f t="shared" si="42"/>
        <v>3</v>
      </c>
      <c r="CD29" s="3">
        <f t="shared" si="43"/>
        <v>9</v>
      </c>
      <c r="CE29" s="3">
        <f t="shared" si="44"/>
        <v>7</v>
      </c>
      <c r="CF29" s="3">
        <f t="shared" si="45"/>
        <v>4</v>
      </c>
      <c r="CG29" s="3">
        <f t="shared" si="46"/>
        <v>10</v>
      </c>
      <c r="CH29" s="3">
        <f t="shared" si="47"/>
        <v>11</v>
      </c>
    </row>
    <row r="30" spans="1:86" x14ac:dyDescent="0.3">
      <c r="A30" t="s">
        <v>27</v>
      </c>
      <c r="B30">
        <v>3</v>
      </c>
      <c r="C30">
        <v>2</v>
      </c>
      <c r="D30">
        <v>4</v>
      </c>
      <c r="E30">
        <v>4</v>
      </c>
      <c r="F30">
        <v>2</v>
      </c>
      <c r="G30">
        <v>3</v>
      </c>
      <c r="H30">
        <v>3</v>
      </c>
      <c r="I30">
        <v>2</v>
      </c>
      <c r="J30">
        <v>1</v>
      </c>
      <c r="K30">
        <v>2</v>
      </c>
      <c r="L30">
        <v>3</v>
      </c>
      <c r="M30">
        <v>1</v>
      </c>
      <c r="N30">
        <v>1</v>
      </c>
      <c r="O30">
        <v>1</v>
      </c>
      <c r="P30">
        <v>1</v>
      </c>
      <c r="Q30">
        <v>3</v>
      </c>
      <c r="R30">
        <v>1</v>
      </c>
      <c r="S30">
        <v>2</v>
      </c>
      <c r="T30">
        <v>1</v>
      </c>
      <c r="U30">
        <v>2</v>
      </c>
      <c r="V30">
        <v>1</v>
      </c>
      <c r="W30">
        <v>1</v>
      </c>
      <c r="X30">
        <v>1</v>
      </c>
      <c r="Y30">
        <v>2</v>
      </c>
      <c r="Z30">
        <v>3</v>
      </c>
      <c r="AA30">
        <v>3</v>
      </c>
      <c r="AB30">
        <v>1</v>
      </c>
      <c r="AC30">
        <v>2</v>
      </c>
      <c r="AD30">
        <v>2</v>
      </c>
      <c r="AE30">
        <v>3</v>
      </c>
      <c r="AF30">
        <v>1</v>
      </c>
      <c r="AG30">
        <v>4</v>
      </c>
      <c r="AI30">
        <f t="shared" si="32"/>
        <v>14</v>
      </c>
      <c r="AJ30">
        <f t="shared" si="33"/>
        <v>8</v>
      </c>
      <c r="AK30">
        <f t="shared" si="34"/>
        <v>5</v>
      </c>
      <c r="AL30">
        <f t="shared" si="35"/>
        <v>8</v>
      </c>
      <c r="AM30">
        <f t="shared" si="36"/>
        <v>11</v>
      </c>
      <c r="AN30">
        <f t="shared" si="37"/>
        <v>9</v>
      </c>
      <c r="AO30">
        <f t="shared" si="38"/>
        <v>5</v>
      </c>
      <c r="AP30">
        <f t="shared" si="39"/>
        <v>6</v>
      </c>
      <c r="AS30" t="s">
        <v>27</v>
      </c>
      <c r="AT30">
        <v>3</v>
      </c>
      <c r="AU30">
        <v>2</v>
      </c>
      <c r="AV30">
        <v>0</v>
      </c>
      <c r="AW30">
        <v>0</v>
      </c>
      <c r="AX30">
        <v>1</v>
      </c>
      <c r="AY30">
        <v>1</v>
      </c>
      <c r="AZ30">
        <v>1</v>
      </c>
      <c r="BA30">
        <v>3</v>
      </c>
      <c r="BB30">
        <v>3</v>
      </c>
      <c r="BC30">
        <v>2</v>
      </c>
      <c r="BD30">
        <v>1</v>
      </c>
      <c r="BE30">
        <v>2</v>
      </c>
      <c r="BF30">
        <v>0</v>
      </c>
      <c r="BG30">
        <v>0</v>
      </c>
      <c r="BH30">
        <v>3</v>
      </c>
      <c r="BI30">
        <v>0</v>
      </c>
      <c r="BJ30">
        <v>3</v>
      </c>
      <c r="BK30">
        <v>3</v>
      </c>
      <c r="BL30">
        <v>0</v>
      </c>
      <c r="BM30">
        <v>0</v>
      </c>
      <c r="BN30">
        <v>0</v>
      </c>
      <c r="BO30">
        <v>3</v>
      </c>
      <c r="BP30">
        <v>3</v>
      </c>
      <c r="BQ30">
        <v>4</v>
      </c>
      <c r="BR30">
        <v>0</v>
      </c>
      <c r="BS30">
        <v>1</v>
      </c>
      <c r="BT30">
        <v>0</v>
      </c>
      <c r="BU30">
        <v>0</v>
      </c>
      <c r="BV30">
        <v>0</v>
      </c>
      <c r="BW30">
        <v>1</v>
      </c>
      <c r="BX30">
        <v>0</v>
      </c>
      <c r="BY30">
        <v>1</v>
      </c>
      <c r="CA30">
        <f t="shared" si="40"/>
        <v>2</v>
      </c>
      <c r="CB30">
        <f t="shared" si="41"/>
        <v>2</v>
      </c>
      <c r="CC30">
        <f t="shared" si="42"/>
        <v>0</v>
      </c>
      <c r="CD30">
        <f t="shared" si="43"/>
        <v>11</v>
      </c>
      <c r="CE30">
        <f t="shared" si="44"/>
        <v>1</v>
      </c>
      <c r="CF30">
        <f t="shared" si="45"/>
        <v>2</v>
      </c>
      <c r="CG30">
        <f t="shared" si="46"/>
        <v>12</v>
      </c>
      <c r="CH30">
        <f t="shared" si="47"/>
        <v>11</v>
      </c>
    </row>
    <row r="31" spans="1:86" x14ac:dyDescent="0.3">
      <c r="A31" t="s">
        <v>28</v>
      </c>
      <c r="B31">
        <v>4</v>
      </c>
      <c r="C31">
        <v>4</v>
      </c>
      <c r="D31">
        <v>1</v>
      </c>
      <c r="E31">
        <v>1</v>
      </c>
      <c r="F31">
        <v>1</v>
      </c>
      <c r="G31">
        <v>1</v>
      </c>
      <c r="H31">
        <v>0</v>
      </c>
      <c r="I31">
        <v>4</v>
      </c>
      <c r="J31">
        <v>3</v>
      </c>
      <c r="K31">
        <v>4</v>
      </c>
      <c r="L31">
        <v>1</v>
      </c>
      <c r="M31">
        <v>4</v>
      </c>
      <c r="N31">
        <v>0</v>
      </c>
      <c r="O31">
        <v>0</v>
      </c>
      <c r="P31">
        <v>4</v>
      </c>
      <c r="Q31">
        <v>4</v>
      </c>
      <c r="R31">
        <v>3</v>
      </c>
      <c r="S31">
        <v>3</v>
      </c>
      <c r="T31">
        <v>0</v>
      </c>
      <c r="U31">
        <v>1</v>
      </c>
      <c r="V31">
        <v>0</v>
      </c>
      <c r="W31">
        <v>3</v>
      </c>
      <c r="X31">
        <v>3</v>
      </c>
      <c r="Y31">
        <v>4</v>
      </c>
      <c r="Z31">
        <v>2</v>
      </c>
      <c r="AA31">
        <v>4</v>
      </c>
      <c r="AB31">
        <v>0</v>
      </c>
      <c r="AC31">
        <v>0</v>
      </c>
      <c r="AD31">
        <v>3</v>
      </c>
      <c r="AE31">
        <v>0</v>
      </c>
      <c r="AF31">
        <v>0</v>
      </c>
      <c r="AG31">
        <v>0</v>
      </c>
      <c r="AI31">
        <f t="shared" si="32"/>
        <v>3</v>
      </c>
      <c r="AJ31">
        <f t="shared" si="33"/>
        <v>2</v>
      </c>
      <c r="AK31">
        <f t="shared" si="34"/>
        <v>0</v>
      </c>
      <c r="AL31">
        <f t="shared" si="35"/>
        <v>15</v>
      </c>
      <c r="AM31">
        <f t="shared" si="36"/>
        <v>13</v>
      </c>
      <c r="AN31">
        <f t="shared" si="37"/>
        <v>1</v>
      </c>
      <c r="AO31">
        <f t="shared" si="38"/>
        <v>14</v>
      </c>
      <c r="AP31">
        <f t="shared" si="39"/>
        <v>14</v>
      </c>
      <c r="AS31" t="s">
        <v>28</v>
      </c>
      <c r="AT31">
        <v>4</v>
      </c>
      <c r="AU31">
        <v>4</v>
      </c>
      <c r="AV31">
        <v>1</v>
      </c>
      <c r="AW31">
        <v>1</v>
      </c>
      <c r="AX31">
        <v>1</v>
      </c>
      <c r="AY31">
        <v>1</v>
      </c>
      <c r="AZ31">
        <v>0</v>
      </c>
      <c r="BA31">
        <v>4</v>
      </c>
      <c r="BB31">
        <v>3</v>
      </c>
      <c r="BC31">
        <v>4</v>
      </c>
      <c r="BD31">
        <v>1</v>
      </c>
      <c r="BE31">
        <v>4</v>
      </c>
      <c r="BF31">
        <v>0</v>
      </c>
      <c r="BG31">
        <v>0</v>
      </c>
      <c r="BH31">
        <v>4</v>
      </c>
      <c r="BI31">
        <v>2</v>
      </c>
      <c r="BJ31">
        <v>3</v>
      </c>
      <c r="BK31">
        <v>3</v>
      </c>
      <c r="BL31">
        <v>0</v>
      </c>
      <c r="BM31">
        <v>1</v>
      </c>
      <c r="BN31">
        <v>0</v>
      </c>
      <c r="BO31">
        <v>3</v>
      </c>
      <c r="BP31">
        <v>3</v>
      </c>
      <c r="BQ31">
        <v>3</v>
      </c>
      <c r="BR31">
        <v>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CA31">
        <f t="shared" si="40"/>
        <v>3</v>
      </c>
      <c r="CB31">
        <f t="shared" si="41"/>
        <v>2</v>
      </c>
      <c r="CC31">
        <f t="shared" si="42"/>
        <v>0</v>
      </c>
      <c r="CD31">
        <f t="shared" si="43"/>
        <v>15</v>
      </c>
      <c r="CE31">
        <f t="shared" si="44"/>
        <v>5</v>
      </c>
      <c r="CF31">
        <f t="shared" si="45"/>
        <v>1</v>
      </c>
      <c r="CG31">
        <f t="shared" si="46"/>
        <v>13</v>
      </c>
      <c r="CH31">
        <f t="shared" si="47"/>
        <v>14</v>
      </c>
    </row>
    <row r="32" spans="1:86" x14ac:dyDescent="0.3">
      <c r="A32" t="s">
        <v>29</v>
      </c>
      <c r="B32">
        <v>3</v>
      </c>
      <c r="C32">
        <v>2</v>
      </c>
      <c r="D32">
        <v>0</v>
      </c>
      <c r="E32">
        <v>1</v>
      </c>
      <c r="F32">
        <v>0</v>
      </c>
      <c r="G32">
        <v>0</v>
      </c>
      <c r="H32">
        <v>0</v>
      </c>
      <c r="I32">
        <v>3</v>
      </c>
      <c r="J32">
        <v>3</v>
      </c>
      <c r="K32">
        <v>2</v>
      </c>
      <c r="L32">
        <v>1</v>
      </c>
      <c r="M32">
        <v>4</v>
      </c>
      <c r="N32">
        <v>0</v>
      </c>
      <c r="O32">
        <v>0</v>
      </c>
      <c r="P32">
        <v>4</v>
      </c>
      <c r="Q32">
        <v>3</v>
      </c>
      <c r="R32">
        <v>3</v>
      </c>
      <c r="S32">
        <v>3</v>
      </c>
      <c r="T32">
        <v>0</v>
      </c>
      <c r="U32">
        <v>0</v>
      </c>
      <c r="V32">
        <v>0</v>
      </c>
      <c r="W32">
        <v>4</v>
      </c>
      <c r="X32">
        <v>3</v>
      </c>
      <c r="Y32">
        <v>3</v>
      </c>
      <c r="Z32">
        <v>3</v>
      </c>
      <c r="AA32">
        <v>2</v>
      </c>
      <c r="AB32">
        <v>0</v>
      </c>
      <c r="AC32">
        <v>0</v>
      </c>
      <c r="AD32">
        <v>4</v>
      </c>
      <c r="AE32">
        <v>0</v>
      </c>
      <c r="AF32">
        <v>0</v>
      </c>
      <c r="AG32">
        <v>1</v>
      </c>
      <c r="AI32">
        <f t="shared" si="32"/>
        <v>1</v>
      </c>
      <c r="AJ32">
        <f t="shared" si="33"/>
        <v>0</v>
      </c>
      <c r="AK32">
        <f t="shared" si="34"/>
        <v>0</v>
      </c>
      <c r="AL32">
        <f t="shared" si="35"/>
        <v>12</v>
      </c>
      <c r="AM32">
        <f t="shared" si="36"/>
        <v>12</v>
      </c>
      <c r="AN32">
        <f t="shared" si="37"/>
        <v>2</v>
      </c>
      <c r="AO32">
        <f t="shared" si="38"/>
        <v>13</v>
      </c>
      <c r="AP32">
        <f t="shared" si="39"/>
        <v>12</v>
      </c>
      <c r="AS32" t="s">
        <v>29</v>
      </c>
      <c r="AT32">
        <v>3</v>
      </c>
      <c r="AU32">
        <v>3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4</v>
      </c>
      <c r="BB32">
        <v>3</v>
      </c>
      <c r="BC32">
        <v>3</v>
      </c>
      <c r="BD32">
        <v>0</v>
      </c>
      <c r="BE32">
        <v>3</v>
      </c>
      <c r="BF32">
        <v>0</v>
      </c>
      <c r="BG32">
        <v>0</v>
      </c>
      <c r="BH32">
        <v>3</v>
      </c>
      <c r="BI32">
        <v>1</v>
      </c>
      <c r="BJ32">
        <v>3</v>
      </c>
      <c r="BK32">
        <v>3</v>
      </c>
      <c r="BL32">
        <v>0</v>
      </c>
      <c r="BM32">
        <v>0</v>
      </c>
      <c r="BN32">
        <v>0</v>
      </c>
      <c r="BO32">
        <v>3</v>
      </c>
      <c r="BP32">
        <v>3</v>
      </c>
      <c r="BQ32">
        <v>3</v>
      </c>
      <c r="BR32">
        <v>1</v>
      </c>
      <c r="BS32">
        <v>1</v>
      </c>
      <c r="BT32">
        <v>1</v>
      </c>
      <c r="BU32">
        <v>0</v>
      </c>
      <c r="BV32">
        <v>0</v>
      </c>
      <c r="BW32">
        <v>0</v>
      </c>
      <c r="BX32">
        <v>0</v>
      </c>
      <c r="BY32">
        <v>0</v>
      </c>
      <c r="CA32">
        <f t="shared" si="40"/>
        <v>1</v>
      </c>
      <c r="CB32">
        <f t="shared" si="41"/>
        <v>0</v>
      </c>
      <c r="CC32">
        <f t="shared" si="42"/>
        <v>0</v>
      </c>
      <c r="CD32">
        <f t="shared" si="43"/>
        <v>12</v>
      </c>
      <c r="CE32">
        <f t="shared" si="44"/>
        <v>3</v>
      </c>
      <c r="CF32">
        <f t="shared" si="45"/>
        <v>1</v>
      </c>
      <c r="CG32">
        <f t="shared" si="46"/>
        <v>12</v>
      </c>
      <c r="CH32">
        <f t="shared" si="47"/>
        <v>13</v>
      </c>
    </row>
    <row r="33" spans="1:86" x14ac:dyDescent="0.3">
      <c r="A33" t="s">
        <v>30</v>
      </c>
      <c r="B33">
        <v>2</v>
      </c>
      <c r="C33">
        <v>3</v>
      </c>
      <c r="D33">
        <v>1</v>
      </c>
      <c r="E33">
        <v>1</v>
      </c>
      <c r="F33">
        <v>1</v>
      </c>
      <c r="G33">
        <v>2</v>
      </c>
      <c r="H33">
        <v>1</v>
      </c>
      <c r="I33">
        <v>3</v>
      </c>
      <c r="J33">
        <v>3</v>
      </c>
      <c r="K33">
        <v>2</v>
      </c>
      <c r="L33">
        <v>3</v>
      </c>
      <c r="M33">
        <v>2</v>
      </c>
      <c r="N33">
        <v>1</v>
      </c>
      <c r="O33">
        <v>1</v>
      </c>
      <c r="P33">
        <v>2</v>
      </c>
      <c r="Q33">
        <v>4</v>
      </c>
      <c r="R33">
        <v>1</v>
      </c>
      <c r="S33">
        <v>3</v>
      </c>
      <c r="T33">
        <v>1</v>
      </c>
      <c r="U33">
        <v>1</v>
      </c>
      <c r="V33">
        <v>1</v>
      </c>
      <c r="W33">
        <v>2</v>
      </c>
      <c r="X33">
        <v>2</v>
      </c>
      <c r="Y33">
        <v>3</v>
      </c>
      <c r="Z33">
        <v>2</v>
      </c>
      <c r="AA33">
        <v>3</v>
      </c>
      <c r="AB33">
        <v>2</v>
      </c>
      <c r="AC33">
        <v>2</v>
      </c>
      <c r="AD33">
        <v>3</v>
      </c>
      <c r="AE33">
        <v>2</v>
      </c>
      <c r="AF33">
        <v>0</v>
      </c>
      <c r="AG33">
        <v>2</v>
      </c>
      <c r="AI33">
        <f t="shared" si="32"/>
        <v>5</v>
      </c>
      <c r="AJ33">
        <f t="shared" si="33"/>
        <v>5</v>
      </c>
      <c r="AK33">
        <f t="shared" si="34"/>
        <v>5</v>
      </c>
      <c r="AL33">
        <f t="shared" si="35"/>
        <v>10</v>
      </c>
      <c r="AM33">
        <f t="shared" si="36"/>
        <v>12</v>
      </c>
      <c r="AN33">
        <f t="shared" si="37"/>
        <v>7</v>
      </c>
      <c r="AO33">
        <f t="shared" si="38"/>
        <v>9</v>
      </c>
      <c r="AP33">
        <f t="shared" si="39"/>
        <v>9</v>
      </c>
      <c r="AS33" t="s">
        <v>30</v>
      </c>
      <c r="AT33">
        <v>1</v>
      </c>
      <c r="AU33">
        <v>2</v>
      </c>
      <c r="AV33">
        <v>1</v>
      </c>
      <c r="AW33">
        <v>1</v>
      </c>
      <c r="AX33">
        <v>2</v>
      </c>
      <c r="AY33">
        <v>1</v>
      </c>
      <c r="AZ33">
        <v>1</v>
      </c>
      <c r="BA33">
        <v>1</v>
      </c>
      <c r="BB33">
        <v>2</v>
      </c>
      <c r="BC33">
        <v>3</v>
      </c>
      <c r="BD33">
        <v>2</v>
      </c>
      <c r="BE33">
        <v>2</v>
      </c>
      <c r="BF33">
        <v>2</v>
      </c>
      <c r="BG33">
        <v>1</v>
      </c>
      <c r="BH33">
        <v>2</v>
      </c>
      <c r="BI33">
        <v>3</v>
      </c>
      <c r="BJ33">
        <v>3</v>
      </c>
      <c r="BK33">
        <v>2</v>
      </c>
      <c r="BL33">
        <v>2</v>
      </c>
      <c r="BM33">
        <v>1</v>
      </c>
      <c r="BN33">
        <v>1</v>
      </c>
      <c r="BO33">
        <v>2</v>
      </c>
      <c r="BP33">
        <v>1</v>
      </c>
      <c r="BQ33">
        <v>3</v>
      </c>
      <c r="BR33">
        <v>1</v>
      </c>
      <c r="BS33">
        <v>1</v>
      </c>
      <c r="BT33">
        <v>2</v>
      </c>
      <c r="BU33">
        <v>2</v>
      </c>
      <c r="BV33">
        <v>1</v>
      </c>
      <c r="BW33">
        <v>1</v>
      </c>
      <c r="BX33">
        <v>2</v>
      </c>
      <c r="BY33">
        <v>3</v>
      </c>
      <c r="CA33">
        <f t="shared" si="40"/>
        <v>4</v>
      </c>
      <c r="CB33">
        <f t="shared" si="41"/>
        <v>5</v>
      </c>
      <c r="CC33">
        <f t="shared" si="42"/>
        <v>7</v>
      </c>
      <c r="CD33">
        <f t="shared" si="43"/>
        <v>7</v>
      </c>
      <c r="CE33">
        <f t="shared" si="44"/>
        <v>6</v>
      </c>
      <c r="CF33">
        <f t="shared" si="45"/>
        <v>9</v>
      </c>
      <c r="CG33">
        <f t="shared" si="46"/>
        <v>10</v>
      </c>
      <c r="CH33">
        <f t="shared" si="47"/>
        <v>7</v>
      </c>
    </row>
    <row r="34" spans="1:86" x14ac:dyDescent="0.3">
      <c r="A34" t="s">
        <v>31</v>
      </c>
      <c r="B34">
        <v>1</v>
      </c>
      <c r="C34">
        <v>2</v>
      </c>
      <c r="D34">
        <v>1</v>
      </c>
      <c r="E34">
        <v>3</v>
      </c>
      <c r="F34">
        <v>3</v>
      </c>
      <c r="G34">
        <v>2</v>
      </c>
      <c r="H34">
        <v>2</v>
      </c>
      <c r="I34">
        <v>2</v>
      </c>
      <c r="J34">
        <v>1</v>
      </c>
      <c r="K34">
        <v>2</v>
      </c>
      <c r="L34">
        <v>3</v>
      </c>
      <c r="M34">
        <v>2</v>
      </c>
      <c r="N34">
        <v>3</v>
      </c>
      <c r="O34">
        <v>3</v>
      </c>
      <c r="P34">
        <v>2</v>
      </c>
      <c r="Q34">
        <v>3</v>
      </c>
      <c r="R34">
        <v>2</v>
      </c>
      <c r="S34">
        <v>1</v>
      </c>
      <c r="T34">
        <v>3</v>
      </c>
      <c r="U34">
        <v>2</v>
      </c>
      <c r="V34">
        <v>0</v>
      </c>
      <c r="W34">
        <v>2</v>
      </c>
      <c r="X34">
        <v>2</v>
      </c>
      <c r="Y34">
        <v>2</v>
      </c>
      <c r="Z34">
        <v>4</v>
      </c>
      <c r="AA34">
        <v>4</v>
      </c>
      <c r="AB34">
        <v>1</v>
      </c>
      <c r="AC34">
        <v>2</v>
      </c>
      <c r="AD34">
        <v>3</v>
      </c>
      <c r="AE34">
        <v>3</v>
      </c>
      <c r="AF34">
        <v>3</v>
      </c>
      <c r="AG34">
        <v>4</v>
      </c>
      <c r="AI34">
        <f t="shared" si="32"/>
        <v>8</v>
      </c>
      <c r="AJ34">
        <f t="shared" si="33"/>
        <v>8</v>
      </c>
      <c r="AK34">
        <f t="shared" si="34"/>
        <v>11</v>
      </c>
      <c r="AL34">
        <f t="shared" si="35"/>
        <v>6</v>
      </c>
      <c r="AM34">
        <f t="shared" si="36"/>
        <v>14</v>
      </c>
      <c r="AN34">
        <f t="shared" si="37"/>
        <v>11</v>
      </c>
      <c r="AO34">
        <f t="shared" si="38"/>
        <v>7</v>
      </c>
      <c r="AP34">
        <f t="shared" si="39"/>
        <v>8</v>
      </c>
      <c r="AS34" t="s">
        <v>31</v>
      </c>
      <c r="AT34">
        <v>2</v>
      </c>
      <c r="AU34">
        <v>2</v>
      </c>
      <c r="AV34">
        <v>1</v>
      </c>
      <c r="AW34">
        <v>3</v>
      </c>
      <c r="AX34">
        <v>2</v>
      </c>
      <c r="AY34">
        <v>3</v>
      </c>
      <c r="AZ34">
        <v>2</v>
      </c>
      <c r="BA34">
        <v>2</v>
      </c>
      <c r="BB34">
        <v>2</v>
      </c>
      <c r="BC34">
        <v>3</v>
      </c>
      <c r="BD34">
        <v>2</v>
      </c>
      <c r="BE34">
        <v>2</v>
      </c>
      <c r="BF34">
        <v>3</v>
      </c>
      <c r="BG34">
        <v>2</v>
      </c>
      <c r="BH34">
        <v>2</v>
      </c>
      <c r="BI34">
        <v>3</v>
      </c>
      <c r="BJ34">
        <v>3</v>
      </c>
      <c r="BK34">
        <v>2</v>
      </c>
      <c r="BL34">
        <v>3</v>
      </c>
      <c r="BM34">
        <v>3</v>
      </c>
      <c r="BN34">
        <v>0</v>
      </c>
      <c r="BO34">
        <v>2</v>
      </c>
      <c r="BP34">
        <v>2</v>
      </c>
      <c r="BQ34">
        <v>3</v>
      </c>
      <c r="BR34">
        <v>4</v>
      </c>
      <c r="BS34">
        <v>3</v>
      </c>
      <c r="BT34">
        <v>2</v>
      </c>
      <c r="BU34">
        <v>2</v>
      </c>
      <c r="BV34">
        <v>3</v>
      </c>
      <c r="BW34">
        <v>2</v>
      </c>
      <c r="BX34">
        <v>3</v>
      </c>
      <c r="BY34">
        <v>3</v>
      </c>
      <c r="CA34">
        <f t="shared" si="40"/>
        <v>9</v>
      </c>
      <c r="CB34">
        <f t="shared" si="41"/>
        <v>7</v>
      </c>
      <c r="CC34">
        <f t="shared" si="42"/>
        <v>10</v>
      </c>
      <c r="CD34">
        <f t="shared" si="43"/>
        <v>8</v>
      </c>
      <c r="CE34">
        <f t="shared" si="44"/>
        <v>13</v>
      </c>
      <c r="CF34">
        <f t="shared" si="45"/>
        <v>10</v>
      </c>
      <c r="CG34">
        <f t="shared" si="46"/>
        <v>10</v>
      </c>
      <c r="CH34">
        <f t="shared" si="47"/>
        <v>9</v>
      </c>
    </row>
    <row r="35" spans="1:86" x14ac:dyDescent="0.3">
      <c r="A35" t="s">
        <v>32</v>
      </c>
      <c r="B35">
        <v>4</v>
      </c>
      <c r="C35">
        <v>4</v>
      </c>
      <c r="D35">
        <v>1</v>
      </c>
      <c r="E35">
        <v>0</v>
      </c>
      <c r="F35">
        <v>0</v>
      </c>
      <c r="G35">
        <v>0</v>
      </c>
      <c r="H35">
        <v>1</v>
      </c>
      <c r="I35">
        <v>2</v>
      </c>
      <c r="J35">
        <v>4</v>
      </c>
      <c r="K35">
        <v>2</v>
      </c>
      <c r="L35">
        <v>0</v>
      </c>
      <c r="M35">
        <v>1</v>
      </c>
      <c r="N35">
        <v>0</v>
      </c>
      <c r="O35">
        <v>0</v>
      </c>
      <c r="P35">
        <v>4</v>
      </c>
      <c r="Q35">
        <v>4</v>
      </c>
      <c r="R35">
        <v>4</v>
      </c>
      <c r="S35">
        <v>3</v>
      </c>
      <c r="T35">
        <v>0</v>
      </c>
      <c r="U35">
        <v>0</v>
      </c>
      <c r="V35">
        <v>0</v>
      </c>
      <c r="W35">
        <v>3</v>
      </c>
      <c r="X35">
        <v>3</v>
      </c>
      <c r="Y35">
        <v>3</v>
      </c>
      <c r="Z35">
        <v>3</v>
      </c>
      <c r="AA35">
        <v>2</v>
      </c>
      <c r="AB35">
        <v>0</v>
      </c>
      <c r="AC35">
        <v>0</v>
      </c>
      <c r="AD35">
        <v>3</v>
      </c>
      <c r="AE35">
        <v>0</v>
      </c>
      <c r="AF35">
        <v>0</v>
      </c>
      <c r="AG35">
        <v>0</v>
      </c>
      <c r="AI35">
        <f t="shared" si="32"/>
        <v>2</v>
      </c>
      <c r="AJ35">
        <f t="shared" si="33"/>
        <v>0</v>
      </c>
      <c r="AK35">
        <f t="shared" si="34"/>
        <v>0</v>
      </c>
      <c r="AL35">
        <f t="shared" si="35"/>
        <v>15</v>
      </c>
      <c r="AM35">
        <f t="shared" si="36"/>
        <v>12</v>
      </c>
      <c r="AN35">
        <f t="shared" si="37"/>
        <v>0</v>
      </c>
      <c r="AO35">
        <f t="shared" si="38"/>
        <v>12</v>
      </c>
      <c r="AP35">
        <f t="shared" si="39"/>
        <v>10</v>
      </c>
      <c r="AS35" t="s">
        <v>32</v>
      </c>
      <c r="AT35">
        <v>4</v>
      </c>
      <c r="AU35">
        <v>4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4</v>
      </c>
      <c r="BB35">
        <v>4</v>
      </c>
      <c r="BC35">
        <v>4</v>
      </c>
      <c r="BD35">
        <v>0</v>
      </c>
      <c r="BE35">
        <v>4</v>
      </c>
      <c r="BF35">
        <v>0</v>
      </c>
      <c r="BG35">
        <v>0</v>
      </c>
      <c r="BH35">
        <v>4</v>
      </c>
      <c r="BI35">
        <v>0</v>
      </c>
      <c r="BJ35">
        <v>4</v>
      </c>
      <c r="BK35">
        <v>4</v>
      </c>
      <c r="BL35">
        <v>0</v>
      </c>
      <c r="BM35">
        <v>0</v>
      </c>
      <c r="BN35">
        <v>0</v>
      </c>
      <c r="BO35">
        <v>4</v>
      </c>
      <c r="BP35">
        <v>4</v>
      </c>
      <c r="BQ35">
        <v>4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CA35">
        <f t="shared" si="40"/>
        <v>0</v>
      </c>
      <c r="CB35">
        <f t="shared" si="41"/>
        <v>0</v>
      </c>
      <c r="CC35">
        <f t="shared" si="42"/>
        <v>0</v>
      </c>
      <c r="CD35">
        <f t="shared" si="43"/>
        <v>16</v>
      </c>
      <c r="CE35">
        <f t="shared" si="44"/>
        <v>0</v>
      </c>
      <c r="CF35">
        <f t="shared" si="45"/>
        <v>0</v>
      </c>
      <c r="CG35">
        <f t="shared" si="46"/>
        <v>16</v>
      </c>
      <c r="CH35">
        <f t="shared" si="47"/>
        <v>16</v>
      </c>
    </row>
    <row r="36" spans="1:86" x14ac:dyDescent="0.3">
      <c r="A36" t="s">
        <v>33</v>
      </c>
      <c r="B36">
        <v>1</v>
      </c>
      <c r="C36">
        <v>0</v>
      </c>
      <c r="D36">
        <v>4</v>
      </c>
      <c r="E36">
        <v>4</v>
      </c>
      <c r="F36">
        <v>4</v>
      </c>
      <c r="G36">
        <v>2</v>
      </c>
      <c r="H36">
        <v>2</v>
      </c>
      <c r="I36">
        <v>1</v>
      </c>
      <c r="J36">
        <v>1</v>
      </c>
      <c r="K36">
        <v>1</v>
      </c>
      <c r="L36">
        <v>1</v>
      </c>
      <c r="M36">
        <v>4</v>
      </c>
      <c r="N36">
        <v>4</v>
      </c>
      <c r="O36">
        <v>4</v>
      </c>
      <c r="P36">
        <v>1</v>
      </c>
      <c r="Q36">
        <v>2</v>
      </c>
      <c r="R36">
        <v>1</v>
      </c>
      <c r="S36">
        <v>1</v>
      </c>
      <c r="T36">
        <v>4</v>
      </c>
      <c r="U36">
        <v>4</v>
      </c>
      <c r="V36">
        <v>0</v>
      </c>
      <c r="W36">
        <v>1</v>
      </c>
      <c r="X36">
        <v>1</v>
      </c>
      <c r="Y36">
        <v>4</v>
      </c>
      <c r="Z36">
        <v>2</v>
      </c>
      <c r="AA36">
        <v>3</v>
      </c>
      <c r="AB36">
        <v>0</v>
      </c>
      <c r="AC36">
        <v>4</v>
      </c>
      <c r="AD36">
        <v>1</v>
      </c>
      <c r="AE36">
        <v>4</v>
      </c>
      <c r="AF36">
        <v>4</v>
      </c>
      <c r="AG36">
        <v>4</v>
      </c>
      <c r="AI36">
        <f t="shared" ref="AI36:AI38" si="48">D36+E36+G36+H36</f>
        <v>12</v>
      </c>
      <c r="AJ36">
        <f t="shared" ref="AJ36:AJ38" si="49">F36+U36+V36+AE36</f>
        <v>12</v>
      </c>
      <c r="AK36">
        <f t="shared" ref="AK36:AK38" si="50">N36+O36+T36+AC36</f>
        <v>16</v>
      </c>
      <c r="AL36">
        <f t="shared" ref="AL36:AL38" si="51">B36+C36+P36+S36</f>
        <v>3</v>
      </c>
      <c r="AM36">
        <f t="shared" ref="AM36:AM38" si="52">Q36+Z36+AA36+AD36</f>
        <v>8</v>
      </c>
      <c r="AN36">
        <f t="shared" ref="AN36:AN38" si="53">L36+AB36+AF36+AG36</f>
        <v>9</v>
      </c>
      <c r="AO36">
        <f t="shared" ref="AO36:AO38" si="54">J36+M36+R36+Y36</f>
        <v>10</v>
      </c>
      <c r="AP36">
        <f t="shared" ref="AP36:AP38" si="55">I36+K36+W36+X36</f>
        <v>4</v>
      </c>
      <c r="AS36" t="s">
        <v>33</v>
      </c>
      <c r="AT36">
        <v>0</v>
      </c>
      <c r="AU36">
        <v>0</v>
      </c>
      <c r="AV36">
        <v>4</v>
      </c>
      <c r="AW36">
        <v>4</v>
      </c>
      <c r="AX36">
        <v>4</v>
      </c>
      <c r="AY36">
        <v>2</v>
      </c>
      <c r="AZ36">
        <v>2</v>
      </c>
      <c r="BA36">
        <v>2</v>
      </c>
      <c r="BB36">
        <v>2</v>
      </c>
      <c r="BC36">
        <v>2</v>
      </c>
      <c r="BD36">
        <v>0</v>
      </c>
      <c r="BE36">
        <v>0</v>
      </c>
      <c r="BF36">
        <v>0</v>
      </c>
      <c r="BG36">
        <v>0</v>
      </c>
      <c r="BH36">
        <v>2</v>
      </c>
      <c r="BI36">
        <v>2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4</v>
      </c>
      <c r="BS36">
        <v>3</v>
      </c>
      <c r="BT36">
        <v>0</v>
      </c>
      <c r="BU36">
        <v>4</v>
      </c>
      <c r="BV36">
        <v>2</v>
      </c>
      <c r="BW36">
        <v>4</v>
      </c>
      <c r="BX36">
        <v>4</v>
      </c>
      <c r="BY36">
        <v>4</v>
      </c>
      <c r="CA36">
        <f t="shared" si="40"/>
        <v>12</v>
      </c>
      <c r="CB36">
        <f t="shared" si="41"/>
        <v>8</v>
      </c>
      <c r="CC36">
        <f t="shared" si="42"/>
        <v>4</v>
      </c>
      <c r="CD36">
        <f t="shared" si="43"/>
        <v>2</v>
      </c>
      <c r="CE36">
        <f t="shared" si="44"/>
        <v>11</v>
      </c>
      <c r="CF36">
        <f t="shared" si="45"/>
        <v>8</v>
      </c>
      <c r="CG36">
        <f t="shared" si="46"/>
        <v>2</v>
      </c>
      <c r="CH36">
        <f t="shared" si="47"/>
        <v>4</v>
      </c>
    </row>
    <row r="37" spans="1:86" x14ac:dyDescent="0.3">
      <c r="A37" t="s">
        <v>34</v>
      </c>
      <c r="B37">
        <v>4</v>
      </c>
      <c r="C37">
        <v>4</v>
      </c>
      <c r="D37">
        <v>0</v>
      </c>
      <c r="E37">
        <v>0</v>
      </c>
      <c r="F37">
        <v>0</v>
      </c>
      <c r="G37">
        <v>0</v>
      </c>
      <c r="H37">
        <v>0</v>
      </c>
      <c r="I37">
        <v>4</v>
      </c>
      <c r="J37">
        <v>4</v>
      </c>
      <c r="K37">
        <v>4</v>
      </c>
      <c r="L37">
        <v>0</v>
      </c>
      <c r="M37">
        <v>4</v>
      </c>
      <c r="N37">
        <v>0</v>
      </c>
      <c r="O37">
        <v>0</v>
      </c>
      <c r="P37">
        <v>4</v>
      </c>
      <c r="Q37">
        <v>3</v>
      </c>
      <c r="R37">
        <v>4</v>
      </c>
      <c r="S37">
        <v>4</v>
      </c>
      <c r="T37">
        <v>0</v>
      </c>
      <c r="U37">
        <v>0</v>
      </c>
      <c r="V37">
        <v>0</v>
      </c>
      <c r="W37">
        <v>4</v>
      </c>
      <c r="X37">
        <v>4</v>
      </c>
      <c r="Y37">
        <v>4</v>
      </c>
      <c r="Z37">
        <v>3</v>
      </c>
      <c r="AA37">
        <v>2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I37">
        <f t="shared" si="48"/>
        <v>0</v>
      </c>
      <c r="AJ37">
        <f t="shared" si="49"/>
        <v>0</v>
      </c>
      <c r="AK37">
        <f t="shared" si="50"/>
        <v>0</v>
      </c>
      <c r="AL37">
        <f t="shared" si="51"/>
        <v>16</v>
      </c>
      <c r="AM37">
        <f t="shared" si="52"/>
        <v>8</v>
      </c>
      <c r="AN37">
        <f t="shared" si="53"/>
        <v>0</v>
      </c>
      <c r="AO37">
        <f t="shared" si="54"/>
        <v>16</v>
      </c>
      <c r="AP37">
        <f t="shared" si="55"/>
        <v>16</v>
      </c>
      <c r="AS37" t="s">
        <v>34</v>
      </c>
      <c r="AT37">
        <v>4</v>
      </c>
      <c r="AU37">
        <v>4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4</v>
      </c>
      <c r="BB37">
        <v>4</v>
      </c>
      <c r="BC37">
        <v>4</v>
      </c>
      <c r="BD37">
        <v>0</v>
      </c>
      <c r="BE37">
        <v>4</v>
      </c>
      <c r="BF37">
        <v>0</v>
      </c>
      <c r="BG37">
        <v>0</v>
      </c>
      <c r="BH37">
        <v>4</v>
      </c>
      <c r="BI37">
        <v>0</v>
      </c>
      <c r="BJ37">
        <v>4</v>
      </c>
      <c r="BK37">
        <v>4</v>
      </c>
      <c r="BL37">
        <v>0</v>
      </c>
      <c r="BM37">
        <v>0</v>
      </c>
      <c r="BN37">
        <v>0</v>
      </c>
      <c r="BO37">
        <v>4</v>
      </c>
      <c r="BP37">
        <v>4</v>
      </c>
      <c r="BQ37">
        <v>4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CA37">
        <f t="shared" si="40"/>
        <v>0</v>
      </c>
      <c r="CB37">
        <f t="shared" si="41"/>
        <v>0</v>
      </c>
      <c r="CC37">
        <f t="shared" si="42"/>
        <v>0</v>
      </c>
      <c r="CD37">
        <f t="shared" si="43"/>
        <v>16</v>
      </c>
      <c r="CE37">
        <f t="shared" si="44"/>
        <v>0</v>
      </c>
      <c r="CF37">
        <f t="shared" si="45"/>
        <v>0</v>
      </c>
      <c r="CG37">
        <f t="shared" si="46"/>
        <v>16</v>
      </c>
      <c r="CH37">
        <f t="shared" si="47"/>
        <v>16</v>
      </c>
    </row>
    <row r="38" spans="1:86" s="3" customFormat="1" x14ac:dyDescent="0.3">
      <c r="A38" s="3" t="s">
        <v>35</v>
      </c>
      <c r="B38" s="3">
        <v>2</v>
      </c>
      <c r="C38" s="3">
        <v>3</v>
      </c>
      <c r="D38" s="3">
        <v>0</v>
      </c>
      <c r="E38" s="3">
        <v>0</v>
      </c>
      <c r="F38" s="3">
        <v>0</v>
      </c>
      <c r="G38" s="3">
        <v>0</v>
      </c>
      <c r="H38" s="3">
        <v>3</v>
      </c>
      <c r="I38" s="3">
        <v>3</v>
      </c>
      <c r="J38" s="3">
        <v>3</v>
      </c>
      <c r="K38" s="3">
        <v>2</v>
      </c>
      <c r="L38" s="3">
        <v>1</v>
      </c>
      <c r="M38" s="3">
        <v>2</v>
      </c>
      <c r="N38" s="3">
        <v>0</v>
      </c>
      <c r="O38" s="3">
        <v>0</v>
      </c>
      <c r="P38" s="3">
        <v>2</v>
      </c>
      <c r="Q38">
        <v>2</v>
      </c>
      <c r="R38" s="3">
        <v>3</v>
      </c>
      <c r="S38" s="3">
        <v>3</v>
      </c>
      <c r="T38" s="3">
        <v>0</v>
      </c>
      <c r="U38" s="3">
        <v>0</v>
      </c>
      <c r="V38" s="3">
        <v>0</v>
      </c>
      <c r="W38" s="3">
        <v>2</v>
      </c>
      <c r="X38" s="3">
        <v>2</v>
      </c>
      <c r="Y38" s="3">
        <v>2</v>
      </c>
      <c r="Z38">
        <v>2</v>
      </c>
      <c r="AA38" s="3">
        <v>2</v>
      </c>
      <c r="AB38" s="3">
        <v>0</v>
      </c>
      <c r="AC38" s="3">
        <v>0</v>
      </c>
      <c r="AD38" s="3">
        <v>1</v>
      </c>
      <c r="AE38" s="3">
        <v>1</v>
      </c>
      <c r="AF38" s="3">
        <v>0</v>
      </c>
      <c r="AG38" s="3">
        <v>1</v>
      </c>
      <c r="AI38" s="3">
        <f t="shared" si="48"/>
        <v>3</v>
      </c>
      <c r="AJ38" s="3">
        <f t="shared" si="49"/>
        <v>1</v>
      </c>
      <c r="AK38" s="3">
        <f t="shared" si="50"/>
        <v>0</v>
      </c>
      <c r="AL38" s="3">
        <f t="shared" si="51"/>
        <v>10</v>
      </c>
      <c r="AM38" s="3">
        <f t="shared" si="52"/>
        <v>7</v>
      </c>
      <c r="AN38" s="3">
        <f t="shared" si="53"/>
        <v>2</v>
      </c>
      <c r="AO38" s="3">
        <f t="shared" si="54"/>
        <v>10</v>
      </c>
      <c r="AP38" s="3">
        <f t="shared" si="55"/>
        <v>9</v>
      </c>
      <c r="AQ38" s="6"/>
      <c r="AR38" s="6"/>
      <c r="AS38" s="3" t="s">
        <v>35</v>
      </c>
      <c r="AT38" s="3">
        <v>1</v>
      </c>
      <c r="AU38" s="3">
        <v>1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2</v>
      </c>
      <c r="BB38" s="3">
        <v>2</v>
      </c>
      <c r="BC38" s="3">
        <v>2</v>
      </c>
      <c r="BD38" s="3">
        <v>1</v>
      </c>
      <c r="BE38" s="3">
        <v>2</v>
      </c>
      <c r="BF38" s="3">
        <v>0</v>
      </c>
      <c r="BG38" s="3">
        <v>0</v>
      </c>
      <c r="BH38" s="3">
        <v>1</v>
      </c>
      <c r="BI38" s="3">
        <v>1</v>
      </c>
      <c r="BJ38" s="3">
        <v>2</v>
      </c>
      <c r="BK38" s="3">
        <v>1</v>
      </c>
      <c r="BL38" s="3">
        <v>0</v>
      </c>
      <c r="BM38" s="3">
        <v>0</v>
      </c>
      <c r="BN38" s="3">
        <v>0</v>
      </c>
      <c r="BO38" s="3">
        <v>2</v>
      </c>
      <c r="BP38" s="3">
        <v>2</v>
      </c>
      <c r="BQ38" s="3">
        <v>2</v>
      </c>
      <c r="BR38" s="3">
        <v>2</v>
      </c>
      <c r="BS38" s="3">
        <v>1</v>
      </c>
      <c r="BT38" s="3">
        <v>2</v>
      </c>
      <c r="BU38" s="3">
        <v>1</v>
      </c>
      <c r="BV38" s="3">
        <v>1</v>
      </c>
      <c r="BW38" s="3">
        <v>1</v>
      </c>
      <c r="BX38" s="3">
        <v>0</v>
      </c>
      <c r="BY38" s="3">
        <v>0</v>
      </c>
      <c r="CA38" s="3">
        <f t="shared" ref="CA38" si="56">AV38+AW38+AY38+AZ38</f>
        <v>0</v>
      </c>
      <c r="CB38" s="3">
        <f t="shared" ref="CB38" si="57">AX38+BM38+BN38+BW38</f>
        <v>1</v>
      </c>
      <c r="CC38" s="3">
        <f t="shared" ref="CC38" si="58">BF38+BG38+BL38+BU38</f>
        <v>1</v>
      </c>
      <c r="CD38" s="3">
        <f t="shared" ref="CD38" si="59">AT38+AU38+BH38+BK38</f>
        <v>4</v>
      </c>
      <c r="CE38" s="3">
        <f t="shared" ref="CE38" si="60">BI38+BR38+BS38+BV38</f>
        <v>5</v>
      </c>
      <c r="CF38" s="3">
        <f t="shared" ref="CF38" si="61">BD38+BT38+BX38+BY38</f>
        <v>3</v>
      </c>
      <c r="CG38" s="3">
        <f t="shared" ref="CG38" si="62">BB38+BE38+BJ38+BQ38</f>
        <v>8</v>
      </c>
      <c r="CH38" s="3">
        <f t="shared" ref="CH38" si="63">BA38+BC38+BO38+BP38</f>
        <v>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5595E-9857-4752-BB6C-315EF517DC3E}">
  <dimension ref="A1:D38"/>
  <sheetViews>
    <sheetView topLeftCell="B1" workbookViewId="0">
      <selection activeCell="F42" sqref="F1:S42"/>
    </sheetView>
  </sheetViews>
  <sheetFormatPr defaultRowHeight="14.4" x14ac:dyDescent="0.3"/>
  <cols>
    <col min="6" max="7" width="13.6640625" customWidth="1"/>
  </cols>
  <sheetData>
    <row r="1" spans="1:4" x14ac:dyDescent="0.3">
      <c r="A1" t="s">
        <v>0</v>
      </c>
      <c r="B1" t="s">
        <v>97</v>
      </c>
      <c r="C1" t="s">
        <v>110</v>
      </c>
      <c r="D1" t="s">
        <v>111</v>
      </c>
    </row>
    <row r="2" spans="1:4" x14ac:dyDescent="0.3">
      <c r="A2">
        <v>1</v>
      </c>
      <c r="B2" t="s">
        <v>59</v>
      </c>
      <c r="C2">
        <v>6</v>
      </c>
      <c r="D2">
        <v>1</v>
      </c>
    </row>
    <row r="3" spans="1:4" x14ac:dyDescent="0.3">
      <c r="A3">
        <v>2</v>
      </c>
      <c r="B3" t="s">
        <v>59</v>
      </c>
      <c r="C3">
        <v>0</v>
      </c>
      <c r="D3">
        <v>0</v>
      </c>
    </row>
    <row r="4" spans="1:4" x14ac:dyDescent="0.3">
      <c r="A4">
        <v>3</v>
      </c>
      <c r="B4" t="s">
        <v>59</v>
      </c>
      <c r="C4">
        <v>3</v>
      </c>
      <c r="D4">
        <v>5</v>
      </c>
    </row>
    <row r="5" spans="1:4" x14ac:dyDescent="0.3">
      <c r="A5">
        <v>4</v>
      </c>
      <c r="B5" t="s">
        <v>59</v>
      </c>
      <c r="C5">
        <v>2</v>
      </c>
      <c r="D5">
        <v>2</v>
      </c>
    </row>
    <row r="6" spans="1:4" x14ac:dyDescent="0.3">
      <c r="A6">
        <v>5</v>
      </c>
      <c r="B6" t="s">
        <v>59</v>
      </c>
      <c r="C6">
        <v>7</v>
      </c>
      <c r="D6">
        <v>3</v>
      </c>
    </row>
    <row r="7" spans="1:4" x14ac:dyDescent="0.3">
      <c r="A7">
        <v>6</v>
      </c>
      <c r="B7" t="s">
        <v>59</v>
      </c>
      <c r="C7">
        <v>7</v>
      </c>
      <c r="D7">
        <v>12</v>
      </c>
    </row>
    <row r="8" spans="1:4" x14ac:dyDescent="0.3">
      <c r="A8">
        <v>7</v>
      </c>
      <c r="B8" t="s">
        <v>59</v>
      </c>
      <c r="C8">
        <v>1</v>
      </c>
      <c r="D8">
        <v>0</v>
      </c>
    </row>
    <row r="9" spans="1:4" x14ac:dyDescent="0.3">
      <c r="A9">
        <v>8</v>
      </c>
      <c r="B9" t="s">
        <v>59</v>
      </c>
      <c r="C9">
        <v>3</v>
      </c>
      <c r="D9">
        <v>3</v>
      </c>
    </row>
    <row r="10" spans="1:4" x14ac:dyDescent="0.3">
      <c r="A10">
        <v>9</v>
      </c>
      <c r="B10" t="s">
        <v>59</v>
      </c>
      <c r="C10">
        <v>2</v>
      </c>
      <c r="D10">
        <v>0</v>
      </c>
    </row>
    <row r="11" spans="1:4" x14ac:dyDescent="0.3">
      <c r="A11">
        <v>10</v>
      </c>
      <c r="B11" t="s">
        <v>59</v>
      </c>
      <c r="C11">
        <v>9</v>
      </c>
      <c r="D11">
        <v>6</v>
      </c>
    </row>
    <row r="12" spans="1:4" x14ac:dyDescent="0.3">
      <c r="A12">
        <v>11</v>
      </c>
      <c r="B12" t="s">
        <v>59</v>
      </c>
      <c r="C12">
        <v>5</v>
      </c>
      <c r="D12">
        <v>9</v>
      </c>
    </row>
    <row r="13" spans="1:4" x14ac:dyDescent="0.3">
      <c r="A13">
        <v>12</v>
      </c>
      <c r="B13" t="s">
        <v>99</v>
      </c>
      <c r="C13">
        <v>8</v>
      </c>
      <c r="D13">
        <v>8</v>
      </c>
    </row>
    <row r="14" spans="1:4" x14ac:dyDescent="0.3">
      <c r="A14">
        <v>13</v>
      </c>
      <c r="B14" t="s">
        <v>99</v>
      </c>
      <c r="C14">
        <v>1</v>
      </c>
      <c r="D14">
        <v>3</v>
      </c>
    </row>
    <row r="15" spans="1:4" x14ac:dyDescent="0.3">
      <c r="A15">
        <v>14</v>
      </c>
      <c r="B15" t="s">
        <v>99</v>
      </c>
      <c r="C15">
        <v>2</v>
      </c>
      <c r="D15">
        <v>1</v>
      </c>
    </row>
    <row r="16" spans="1:4" x14ac:dyDescent="0.3">
      <c r="A16">
        <v>15</v>
      </c>
      <c r="B16" t="s">
        <v>99</v>
      </c>
      <c r="C16">
        <v>7</v>
      </c>
      <c r="D16">
        <v>5</v>
      </c>
    </row>
    <row r="17" spans="1:4" x14ac:dyDescent="0.3">
      <c r="A17">
        <v>16</v>
      </c>
      <c r="B17" t="s">
        <v>99</v>
      </c>
      <c r="C17">
        <v>7</v>
      </c>
      <c r="D17">
        <v>3</v>
      </c>
    </row>
    <row r="18" spans="1:4" x14ac:dyDescent="0.3">
      <c r="A18">
        <v>17</v>
      </c>
      <c r="B18" t="s">
        <v>99</v>
      </c>
      <c r="C18">
        <v>3</v>
      </c>
      <c r="D18">
        <v>6</v>
      </c>
    </row>
    <row r="19" spans="1:4" x14ac:dyDescent="0.3">
      <c r="A19">
        <v>18</v>
      </c>
      <c r="B19" t="s">
        <v>99</v>
      </c>
      <c r="C19">
        <v>0</v>
      </c>
      <c r="D19">
        <v>0</v>
      </c>
    </row>
    <row r="20" spans="1:4" x14ac:dyDescent="0.3">
      <c r="A20">
        <v>19</v>
      </c>
      <c r="B20" t="s">
        <v>99</v>
      </c>
      <c r="C20">
        <v>4</v>
      </c>
      <c r="D20">
        <v>7</v>
      </c>
    </row>
    <row r="21" spans="1:4" x14ac:dyDescent="0.3">
      <c r="A21">
        <v>20</v>
      </c>
      <c r="B21" t="s">
        <v>98</v>
      </c>
      <c r="C21">
        <v>3</v>
      </c>
      <c r="D21">
        <v>9</v>
      </c>
    </row>
    <row r="22" spans="1:4" x14ac:dyDescent="0.3">
      <c r="A22">
        <v>21</v>
      </c>
      <c r="B22" t="s">
        <v>98</v>
      </c>
      <c r="C22">
        <v>2</v>
      </c>
      <c r="D22">
        <v>2</v>
      </c>
    </row>
    <row r="23" spans="1:4" x14ac:dyDescent="0.3">
      <c r="A23">
        <v>22</v>
      </c>
      <c r="B23" t="s">
        <v>98</v>
      </c>
      <c r="C23">
        <v>1</v>
      </c>
      <c r="D23">
        <v>2</v>
      </c>
    </row>
    <row r="24" spans="1:4" x14ac:dyDescent="0.3">
      <c r="A24">
        <v>23</v>
      </c>
      <c r="B24" t="s">
        <v>98</v>
      </c>
      <c r="C24">
        <v>10</v>
      </c>
      <c r="D24">
        <v>3</v>
      </c>
    </row>
    <row r="25" spans="1:4" x14ac:dyDescent="0.3">
      <c r="A25">
        <v>24</v>
      </c>
      <c r="B25" t="s">
        <v>98</v>
      </c>
      <c r="C25">
        <v>5</v>
      </c>
      <c r="D25">
        <v>3</v>
      </c>
    </row>
    <row r="26" spans="1:4" x14ac:dyDescent="0.3">
      <c r="A26">
        <v>25</v>
      </c>
      <c r="B26" t="s">
        <v>98</v>
      </c>
      <c r="C26">
        <v>0</v>
      </c>
      <c r="D26">
        <v>0</v>
      </c>
    </row>
    <row r="27" spans="1:4" x14ac:dyDescent="0.3">
      <c r="A27">
        <v>26</v>
      </c>
      <c r="B27" t="s">
        <v>98</v>
      </c>
      <c r="C27">
        <v>6</v>
      </c>
      <c r="D27">
        <v>3</v>
      </c>
    </row>
    <row r="28" spans="1:4" x14ac:dyDescent="0.3">
      <c r="A28">
        <v>27</v>
      </c>
      <c r="B28" t="s">
        <v>98</v>
      </c>
      <c r="C28">
        <v>3</v>
      </c>
      <c r="D28">
        <v>1</v>
      </c>
    </row>
    <row r="29" spans="1:4" x14ac:dyDescent="0.3">
      <c r="A29">
        <v>28</v>
      </c>
      <c r="B29" t="s">
        <v>98</v>
      </c>
      <c r="C29">
        <v>8</v>
      </c>
      <c r="D29">
        <v>5</v>
      </c>
    </row>
    <row r="30" spans="1:4" x14ac:dyDescent="0.3">
      <c r="A30">
        <v>29</v>
      </c>
      <c r="B30" t="s">
        <v>108</v>
      </c>
      <c r="C30">
        <v>14</v>
      </c>
      <c r="D30">
        <v>2</v>
      </c>
    </row>
    <row r="31" spans="1:4" x14ac:dyDescent="0.3">
      <c r="A31">
        <v>30</v>
      </c>
      <c r="B31" t="s">
        <v>108</v>
      </c>
      <c r="C31">
        <v>3</v>
      </c>
      <c r="D31">
        <v>3</v>
      </c>
    </row>
    <row r="32" spans="1:4" x14ac:dyDescent="0.3">
      <c r="A32">
        <v>31</v>
      </c>
      <c r="B32" t="s">
        <v>108</v>
      </c>
      <c r="C32">
        <v>1</v>
      </c>
      <c r="D32">
        <v>1</v>
      </c>
    </row>
    <row r="33" spans="1:4" x14ac:dyDescent="0.3">
      <c r="A33">
        <v>32</v>
      </c>
      <c r="B33" t="s">
        <v>108</v>
      </c>
      <c r="C33">
        <v>5</v>
      </c>
      <c r="D33">
        <v>4</v>
      </c>
    </row>
    <row r="34" spans="1:4" x14ac:dyDescent="0.3">
      <c r="A34">
        <v>33</v>
      </c>
      <c r="B34" t="s">
        <v>108</v>
      </c>
      <c r="C34">
        <v>8</v>
      </c>
      <c r="D34">
        <v>9</v>
      </c>
    </row>
    <row r="35" spans="1:4" x14ac:dyDescent="0.3">
      <c r="A35">
        <v>34</v>
      </c>
      <c r="B35" t="s">
        <v>108</v>
      </c>
      <c r="C35">
        <v>2</v>
      </c>
      <c r="D35">
        <v>0</v>
      </c>
    </row>
    <row r="36" spans="1:4" x14ac:dyDescent="0.3">
      <c r="A36">
        <v>35</v>
      </c>
      <c r="B36" t="s">
        <v>108</v>
      </c>
      <c r="C36">
        <v>12</v>
      </c>
      <c r="D36">
        <v>12</v>
      </c>
    </row>
    <row r="37" spans="1:4" x14ac:dyDescent="0.3">
      <c r="A37">
        <v>36</v>
      </c>
      <c r="B37" t="s">
        <v>108</v>
      </c>
      <c r="C37">
        <v>0</v>
      </c>
      <c r="D37">
        <v>0</v>
      </c>
    </row>
    <row r="38" spans="1:4" x14ac:dyDescent="0.3">
      <c r="A38">
        <v>37</v>
      </c>
      <c r="B38" t="s">
        <v>108</v>
      </c>
      <c r="C38">
        <v>3</v>
      </c>
      <c r="D38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6A870-D128-426D-8134-5DCF8CA1CDA1}">
  <dimension ref="A1:D38"/>
  <sheetViews>
    <sheetView workbookViewId="0">
      <selection activeCell="I32" sqref="I32"/>
    </sheetView>
  </sheetViews>
  <sheetFormatPr defaultRowHeight="14.4" x14ac:dyDescent="0.3"/>
  <cols>
    <col min="6" max="7" width="13.6640625" customWidth="1"/>
  </cols>
  <sheetData>
    <row r="1" spans="1:4" x14ac:dyDescent="0.3">
      <c r="A1" t="s">
        <v>0</v>
      </c>
      <c r="B1" t="s">
        <v>97</v>
      </c>
      <c r="C1" t="s">
        <v>110</v>
      </c>
      <c r="D1" t="s">
        <v>111</v>
      </c>
    </row>
    <row r="2" spans="1:4" x14ac:dyDescent="0.3">
      <c r="A2">
        <v>1</v>
      </c>
      <c r="B2" t="s">
        <v>59</v>
      </c>
      <c r="C2">
        <v>6</v>
      </c>
      <c r="D2">
        <v>1</v>
      </c>
    </row>
    <row r="3" spans="1:4" x14ac:dyDescent="0.3">
      <c r="A3">
        <v>2</v>
      </c>
      <c r="B3" t="s">
        <v>59</v>
      </c>
      <c r="C3">
        <v>0</v>
      </c>
      <c r="D3">
        <v>0</v>
      </c>
    </row>
    <row r="4" spans="1:4" x14ac:dyDescent="0.3">
      <c r="A4">
        <v>3</v>
      </c>
      <c r="B4" t="s">
        <v>59</v>
      </c>
      <c r="C4">
        <v>5</v>
      </c>
      <c r="D4">
        <v>6</v>
      </c>
    </row>
    <row r="5" spans="1:4" x14ac:dyDescent="0.3">
      <c r="A5">
        <v>4</v>
      </c>
      <c r="B5" t="s">
        <v>59</v>
      </c>
      <c r="C5">
        <v>1</v>
      </c>
      <c r="D5">
        <v>0</v>
      </c>
    </row>
    <row r="6" spans="1:4" x14ac:dyDescent="0.3">
      <c r="A6">
        <v>5</v>
      </c>
      <c r="B6" t="s">
        <v>59</v>
      </c>
      <c r="C6">
        <v>3</v>
      </c>
      <c r="D6">
        <v>1</v>
      </c>
    </row>
    <row r="7" spans="1:4" x14ac:dyDescent="0.3">
      <c r="A7">
        <v>6</v>
      </c>
      <c r="B7" t="s">
        <v>59</v>
      </c>
      <c r="C7">
        <v>12</v>
      </c>
      <c r="D7">
        <v>12</v>
      </c>
    </row>
    <row r="8" spans="1:4" x14ac:dyDescent="0.3">
      <c r="A8">
        <v>7</v>
      </c>
      <c r="B8" t="s">
        <v>59</v>
      </c>
      <c r="C8">
        <v>0</v>
      </c>
      <c r="D8">
        <v>0</v>
      </c>
    </row>
    <row r="9" spans="1:4" x14ac:dyDescent="0.3">
      <c r="A9">
        <v>8</v>
      </c>
      <c r="B9" t="s">
        <v>59</v>
      </c>
      <c r="C9">
        <v>2</v>
      </c>
      <c r="D9">
        <v>4</v>
      </c>
    </row>
    <row r="10" spans="1:4" x14ac:dyDescent="0.3">
      <c r="A10">
        <v>9</v>
      </c>
      <c r="B10" t="s">
        <v>59</v>
      </c>
      <c r="C10">
        <v>1</v>
      </c>
      <c r="D10">
        <v>1</v>
      </c>
    </row>
    <row r="11" spans="1:4" x14ac:dyDescent="0.3">
      <c r="A11">
        <v>10</v>
      </c>
      <c r="B11" t="s">
        <v>59</v>
      </c>
      <c r="C11">
        <v>6</v>
      </c>
      <c r="D11">
        <v>8</v>
      </c>
    </row>
    <row r="12" spans="1:4" x14ac:dyDescent="0.3">
      <c r="A12">
        <v>11</v>
      </c>
      <c r="B12" t="s">
        <v>59</v>
      </c>
      <c r="C12">
        <v>13</v>
      </c>
      <c r="D12">
        <v>10</v>
      </c>
    </row>
    <row r="13" spans="1:4" x14ac:dyDescent="0.3">
      <c r="A13">
        <v>12</v>
      </c>
      <c r="B13" t="s">
        <v>99</v>
      </c>
      <c r="C13">
        <v>7</v>
      </c>
      <c r="D13">
        <v>8</v>
      </c>
    </row>
    <row r="14" spans="1:4" x14ac:dyDescent="0.3">
      <c r="A14">
        <v>13</v>
      </c>
      <c r="B14" t="s">
        <v>99</v>
      </c>
      <c r="C14">
        <v>0</v>
      </c>
      <c r="D14">
        <v>2</v>
      </c>
    </row>
    <row r="15" spans="1:4" x14ac:dyDescent="0.3">
      <c r="A15">
        <v>14</v>
      </c>
      <c r="B15" t="s">
        <v>99</v>
      </c>
      <c r="C15">
        <v>2</v>
      </c>
      <c r="D15">
        <v>0</v>
      </c>
    </row>
    <row r="16" spans="1:4" x14ac:dyDescent="0.3">
      <c r="A16">
        <v>15</v>
      </c>
      <c r="B16" t="s">
        <v>99</v>
      </c>
      <c r="C16">
        <v>6</v>
      </c>
      <c r="D16">
        <v>5</v>
      </c>
    </row>
    <row r="17" spans="1:4" x14ac:dyDescent="0.3">
      <c r="A17">
        <v>16</v>
      </c>
      <c r="B17" t="s">
        <v>99</v>
      </c>
      <c r="C17">
        <v>5</v>
      </c>
      <c r="D17">
        <v>4</v>
      </c>
    </row>
    <row r="18" spans="1:4" x14ac:dyDescent="0.3">
      <c r="A18">
        <v>17</v>
      </c>
      <c r="B18" t="s">
        <v>99</v>
      </c>
      <c r="C18">
        <v>2</v>
      </c>
      <c r="D18">
        <v>2</v>
      </c>
    </row>
    <row r="19" spans="1:4" x14ac:dyDescent="0.3">
      <c r="A19">
        <v>18</v>
      </c>
      <c r="B19" t="s">
        <v>99</v>
      </c>
      <c r="C19">
        <v>1</v>
      </c>
      <c r="D19">
        <v>0</v>
      </c>
    </row>
    <row r="20" spans="1:4" x14ac:dyDescent="0.3">
      <c r="A20">
        <v>19</v>
      </c>
      <c r="B20" t="s">
        <v>99</v>
      </c>
      <c r="C20">
        <v>4</v>
      </c>
      <c r="D20">
        <v>6</v>
      </c>
    </row>
    <row r="21" spans="1:4" x14ac:dyDescent="0.3">
      <c r="A21">
        <v>20</v>
      </c>
      <c r="B21" t="s">
        <v>98</v>
      </c>
      <c r="C21">
        <v>1</v>
      </c>
      <c r="D21">
        <v>12</v>
      </c>
    </row>
    <row r="22" spans="1:4" x14ac:dyDescent="0.3">
      <c r="A22">
        <v>21</v>
      </c>
      <c r="B22" t="s">
        <v>98</v>
      </c>
      <c r="C22">
        <v>6</v>
      </c>
      <c r="D22">
        <v>2</v>
      </c>
    </row>
    <row r="23" spans="1:4" x14ac:dyDescent="0.3">
      <c r="A23">
        <v>22</v>
      </c>
      <c r="B23" t="s">
        <v>98</v>
      </c>
      <c r="C23">
        <v>0</v>
      </c>
      <c r="D23">
        <v>1</v>
      </c>
    </row>
    <row r="24" spans="1:4" x14ac:dyDescent="0.3">
      <c r="A24">
        <v>23</v>
      </c>
      <c r="B24" t="s">
        <v>98</v>
      </c>
      <c r="C24">
        <v>4</v>
      </c>
      <c r="D24">
        <v>4</v>
      </c>
    </row>
    <row r="25" spans="1:4" x14ac:dyDescent="0.3">
      <c r="A25">
        <v>24</v>
      </c>
      <c r="B25" t="s">
        <v>98</v>
      </c>
      <c r="C25">
        <v>6</v>
      </c>
      <c r="D25">
        <v>4</v>
      </c>
    </row>
    <row r="26" spans="1:4" x14ac:dyDescent="0.3">
      <c r="A26">
        <v>25</v>
      </c>
      <c r="B26" t="s">
        <v>98</v>
      </c>
      <c r="C26">
        <v>1</v>
      </c>
      <c r="D26">
        <v>1</v>
      </c>
    </row>
    <row r="27" spans="1:4" x14ac:dyDescent="0.3">
      <c r="A27">
        <v>26</v>
      </c>
      <c r="B27" t="s">
        <v>98</v>
      </c>
      <c r="C27">
        <v>4</v>
      </c>
      <c r="D27">
        <v>3</v>
      </c>
    </row>
    <row r="28" spans="1:4" x14ac:dyDescent="0.3">
      <c r="A28">
        <v>27</v>
      </c>
      <c r="B28" t="s">
        <v>98</v>
      </c>
      <c r="C28">
        <v>4</v>
      </c>
      <c r="D28">
        <v>5</v>
      </c>
    </row>
    <row r="29" spans="1:4" x14ac:dyDescent="0.3">
      <c r="A29">
        <v>28</v>
      </c>
      <c r="B29" t="s">
        <v>98</v>
      </c>
      <c r="C29">
        <v>7</v>
      </c>
      <c r="D29">
        <v>6</v>
      </c>
    </row>
    <row r="30" spans="1:4" x14ac:dyDescent="0.3">
      <c r="A30">
        <v>29</v>
      </c>
      <c r="B30" t="s">
        <v>108</v>
      </c>
      <c r="C30">
        <v>8</v>
      </c>
      <c r="D30">
        <v>2</v>
      </c>
    </row>
    <row r="31" spans="1:4" x14ac:dyDescent="0.3">
      <c r="A31">
        <v>30</v>
      </c>
      <c r="B31" t="s">
        <v>108</v>
      </c>
      <c r="C31">
        <v>2</v>
      </c>
      <c r="D31">
        <v>2</v>
      </c>
    </row>
    <row r="32" spans="1:4" x14ac:dyDescent="0.3">
      <c r="A32">
        <v>31</v>
      </c>
      <c r="B32" t="s">
        <v>108</v>
      </c>
      <c r="C32">
        <v>0</v>
      </c>
      <c r="D32">
        <v>0</v>
      </c>
    </row>
    <row r="33" spans="1:4" x14ac:dyDescent="0.3">
      <c r="A33">
        <v>32</v>
      </c>
      <c r="B33" t="s">
        <v>108</v>
      </c>
      <c r="C33">
        <v>5</v>
      </c>
      <c r="D33">
        <v>5</v>
      </c>
    </row>
    <row r="34" spans="1:4" x14ac:dyDescent="0.3">
      <c r="A34">
        <v>33</v>
      </c>
      <c r="B34" t="s">
        <v>108</v>
      </c>
      <c r="C34">
        <v>8</v>
      </c>
      <c r="D34">
        <v>7</v>
      </c>
    </row>
    <row r="35" spans="1:4" x14ac:dyDescent="0.3">
      <c r="A35">
        <v>34</v>
      </c>
      <c r="B35" t="s">
        <v>108</v>
      </c>
      <c r="C35">
        <v>0</v>
      </c>
      <c r="D35">
        <v>0</v>
      </c>
    </row>
    <row r="36" spans="1:4" x14ac:dyDescent="0.3">
      <c r="A36">
        <v>35</v>
      </c>
      <c r="B36" t="s">
        <v>108</v>
      </c>
      <c r="C36">
        <v>12</v>
      </c>
      <c r="D36">
        <v>8</v>
      </c>
    </row>
    <row r="37" spans="1:4" x14ac:dyDescent="0.3">
      <c r="A37">
        <v>36</v>
      </c>
      <c r="B37" t="s">
        <v>108</v>
      </c>
      <c r="C37">
        <v>0</v>
      </c>
      <c r="D37">
        <v>0</v>
      </c>
    </row>
    <row r="38" spans="1:4" x14ac:dyDescent="0.3">
      <c r="A38">
        <v>37</v>
      </c>
      <c r="B38" t="s">
        <v>108</v>
      </c>
      <c r="C38">
        <v>1</v>
      </c>
      <c r="D3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EBBD8-1B6C-4E38-9414-6A9DED28847D}">
  <dimension ref="A1:D38"/>
  <sheetViews>
    <sheetView topLeftCell="A31" workbookViewId="0">
      <selection activeCell="F52" sqref="F1:P52"/>
    </sheetView>
  </sheetViews>
  <sheetFormatPr defaultRowHeight="14.4" x14ac:dyDescent="0.3"/>
  <cols>
    <col min="6" max="7" width="13.6640625" customWidth="1"/>
  </cols>
  <sheetData>
    <row r="1" spans="1:4" x14ac:dyDescent="0.3">
      <c r="A1" t="s">
        <v>0</v>
      </c>
      <c r="B1" t="s">
        <v>97</v>
      </c>
      <c r="C1" t="s">
        <v>110</v>
      </c>
      <c r="D1" t="s">
        <v>111</v>
      </c>
    </row>
    <row r="2" spans="1:4" x14ac:dyDescent="0.3">
      <c r="A2">
        <v>1</v>
      </c>
      <c r="B2" t="s">
        <v>59</v>
      </c>
      <c r="C2">
        <v>1</v>
      </c>
      <c r="D2">
        <v>0</v>
      </c>
    </row>
    <row r="3" spans="1:4" x14ac:dyDescent="0.3">
      <c r="A3">
        <v>2</v>
      </c>
      <c r="B3" t="s">
        <v>59</v>
      </c>
      <c r="C3">
        <v>2</v>
      </c>
      <c r="D3">
        <v>1</v>
      </c>
    </row>
    <row r="4" spans="1:4" x14ac:dyDescent="0.3">
      <c r="A4">
        <v>3</v>
      </c>
      <c r="B4" t="s">
        <v>59</v>
      </c>
      <c r="C4">
        <v>3</v>
      </c>
      <c r="D4">
        <v>4</v>
      </c>
    </row>
    <row r="5" spans="1:4" x14ac:dyDescent="0.3">
      <c r="A5">
        <v>4</v>
      </c>
      <c r="B5" t="s">
        <v>59</v>
      </c>
      <c r="C5">
        <v>1</v>
      </c>
      <c r="D5">
        <v>0</v>
      </c>
    </row>
    <row r="6" spans="1:4" x14ac:dyDescent="0.3">
      <c r="A6">
        <v>5</v>
      </c>
      <c r="B6" t="s">
        <v>59</v>
      </c>
      <c r="C6">
        <v>4</v>
      </c>
      <c r="D6">
        <v>0</v>
      </c>
    </row>
    <row r="7" spans="1:4" x14ac:dyDescent="0.3">
      <c r="A7">
        <v>6</v>
      </c>
      <c r="B7" t="s">
        <v>59</v>
      </c>
      <c r="C7">
        <v>8</v>
      </c>
      <c r="D7">
        <v>16</v>
      </c>
    </row>
    <row r="8" spans="1:4" x14ac:dyDescent="0.3">
      <c r="A8">
        <v>7</v>
      </c>
      <c r="B8" t="s">
        <v>59</v>
      </c>
      <c r="C8">
        <v>0</v>
      </c>
      <c r="D8">
        <v>0</v>
      </c>
    </row>
    <row r="9" spans="1:4" x14ac:dyDescent="0.3">
      <c r="A9">
        <v>8</v>
      </c>
      <c r="B9" t="s">
        <v>59</v>
      </c>
      <c r="C9">
        <v>1</v>
      </c>
      <c r="D9">
        <v>1</v>
      </c>
    </row>
    <row r="10" spans="1:4" x14ac:dyDescent="0.3">
      <c r="A10">
        <v>9</v>
      </c>
      <c r="B10" t="s">
        <v>59</v>
      </c>
      <c r="C10">
        <v>0</v>
      </c>
      <c r="D10">
        <v>0</v>
      </c>
    </row>
    <row r="11" spans="1:4" x14ac:dyDescent="0.3">
      <c r="A11">
        <v>10</v>
      </c>
      <c r="B11" t="s">
        <v>59</v>
      </c>
      <c r="C11">
        <v>12</v>
      </c>
      <c r="D11">
        <v>13</v>
      </c>
    </row>
    <row r="12" spans="1:4" x14ac:dyDescent="0.3">
      <c r="A12">
        <v>11</v>
      </c>
      <c r="B12" t="s">
        <v>59</v>
      </c>
      <c r="C12">
        <v>8</v>
      </c>
      <c r="D12">
        <v>5</v>
      </c>
    </row>
    <row r="13" spans="1:4" x14ac:dyDescent="0.3">
      <c r="A13">
        <v>12</v>
      </c>
      <c r="B13" t="s">
        <v>99</v>
      </c>
      <c r="C13">
        <v>7</v>
      </c>
      <c r="D13">
        <v>11</v>
      </c>
    </row>
    <row r="14" spans="1:4" x14ac:dyDescent="0.3">
      <c r="A14">
        <v>13</v>
      </c>
      <c r="B14" t="s">
        <v>99</v>
      </c>
      <c r="C14">
        <v>0</v>
      </c>
      <c r="D14">
        <v>0</v>
      </c>
    </row>
    <row r="15" spans="1:4" x14ac:dyDescent="0.3">
      <c r="A15">
        <v>14</v>
      </c>
      <c r="B15" t="s">
        <v>99</v>
      </c>
      <c r="C15">
        <v>2</v>
      </c>
      <c r="D15">
        <v>0</v>
      </c>
    </row>
    <row r="16" spans="1:4" x14ac:dyDescent="0.3">
      <c r="A16">
        <v>15</v>
      </c>
      <c r="B16" t="s">
        <v>99</v>
      </c>
      <c r="C16">
        <v>6</v>
      </c>
      <c r="D16">
        <v>5</v>
      </c>
    </row>
    <row r="17" spans="1:4" x14ac:dyDescent="0.3">
      <c r="A17">
        <v>16</v>
      </c>
      <c r="B17" t="s">
        <v>99</v>
      </c>
      <c r="C17">
        <v>6</v>
      </c>
      <c r="D17">
        <v>7</v>
      </c>
    </row>
    <row r="18" spans="1:4" x14ac:dyDescent="0.3">
      <c r="A18">
        <v>17</v>
      </c>
      <c r="B18" t="s">
        <v>99</v>
      </c>
      <c r="C18">
        <v>2</v>
      </c>
      <c r="D18">
        <v>2</v>
      </c>
    </row>
    <row r="19" spans="1:4" x14ac:dyDescent="0.3">
      <c r="A19">
        <v>18</v>
      </c>
      <c r="B19" t="s">
        <v>99</v>
      </c>
      <c r="C19">
        <v>3</v>
      </c>
      <c r="D19">
        <v>0</v>
      </c>
    </row>
    <row r="20" spans="1:4" x14ac:dyDescent="0.3">
      <c r="A20">
        <v>19</v>
      </c>
      <c r="B20" t="s">
        <v>99</v>
      </c>
      <c r="C20">
        <v>3</v>
      </c>
      <c r="D20">
        <v>2</v>
      </c>
    </row>
    <row r="21" spans="1:4" x14ac:dyDescent="0.3">
      <c r="A21">
        <v>20</v>
      </c>
      <c r="B21" t="s">
        <v>98</v>
      </c>
      <c r="C21">
        <v>0</v>
      </c>
      <c r="D21">
        <v>6</v>
      </c>
    </row>
    <row r="22" spans="1:4" x14ac:dyDescent="0.3">
      <c r="A22">
        <v>21</v>
      </c>
      <c r="B22" t="s">
        <v>98</v>
      </c>
      <c r="C22">
        <v>2</v>
      </c>
      <c r="D22">
        <v>3</v>
      </c>
    </row>
    <row r="23" spans="1:4" x14ac:dyDescent="0.3">
      <c r="A23">
        <v>22</v>
      </c>
      <c r="B23" t="s">
        <v>98</v>
      </c>
      <c r="C23">
        <v>0</v>
      </c>
      <c r="D23">
        <v>0</v>
      </c>
    </row>
    <row r="24" spans="1:4" x14ac:dyDescent="0.3">
      <c r="A24">
        <v>23</v>
      </c>
      <c r="B24" t="s">
        <v>98</v>
      </c>
      <c r="C24">
        <v>2</v>
      </c>
      <c r="D24">
        <v>4</v>
      </c>
    </row>
    <row r="25" spans="1:4" x14ac:dyDescent="0.3">
      <c r="A25">
        <v>24</v>
      </c>
      <c r="B25" t="s">
        <v>98</v>
      </c>
      <c r="C25">
        <v>4</v>
      </c>
      <c r="D25">
        <v>3</v>
      </c>
    </row>
    <row r="26" spans="1:4" x14ac:dyDescent="0.3">
      <c r="A26">
        <v>25</v>
      </c>
      <c r="B26" t="s">
        <v>98</v>
      </c>
      <c r="C26">
        <v>0</v>
      </c>
      <c r="D26">
        <v>0</v>
      </c>
    </row>
    <row r="27" spans="1:4" x14ac:dyDescent="0.3">
      <c r="A27">
        <v>26</v>
      </c>
      <c r="B27" t="s">
        <v>98</v>
      </c>
      <c r="C27">
        <v>2</v>
      </c>
      <c r="D27">
        <v>1</v>
      </c>
    </row>
    <row r="28" spans="1:4" x14ac:dyDescent="0.3">
      <c r="A28">
        <v>27</v>
      </c>
      <c r="B28" t="s">
        <v>98</v>
      </c>
      <c r="C28">
        <v>7</v>
      </c>
      <c r="D28">
        <v>4</v>
      </c>
    </row>
    <row r="29" spans="1:4" x14ac:dyDescent="0.3">
      <c r="A29">
        <v>28</v>
      </c>
      <c r="B29" t="s">
        <v>98</v>
      </c>
      <c r="C29">
        <v>6</v>
      </c>
      <c r="D29">
        <v>3</v>
      </c>
    </row>
    <row r="30" spans="1:4" x14ac:dyDescent="0.3">
      <c r="A30">
        <v>29</v>
      </c>
      <c r="B30" t="s">
        <v>108</v>
      </c>
      <c r="C30">
        <v>5</v>
      </c>
      <c r="D30">
        <v>0</v>
      </c>
    </row>
    <row r="31" spans="1:4" x14ac:dyDescent="0.3">
      <c r="A31">
        <v>30</v>
      </c>
      <c r="B31" t="s">
        <v>108</v>
      </c>
      <c r="C31">
        <v>0</v>
      </c>
      <c r="D31">
        <v>0</v>
      </c>
    </row>
    <row r="32" spans="1:4" x14ac:dyDescent="0.3">
      <c r="A32">
        <v>31</v>
      </c>
      <c r="B32" t="s">
        <v>108</v>
      </c>
      <c r="C32">
        <v>0</v>
      </c>
      <c r="D32">
        <v>0</v>
      </c>
    </row>
    <row r="33" spans="1:4" x14ac:dyDescent="0.3">
      <c r="A33">
        <v>32</v>
      </c>
      <c r="B33" t="s">
        <v>108</v>
      </c>
      <c r="C33">
        <v>5</v>
      </c>
      <c r="D33">
        <v>7</v>
      </c>
    </row>
    <row r="34" spans="1:4" x14ac:dyDescent="0.3">
      <c r="A34">
        <v>33</v>
      </c>
      <c r="B34" t="s">
        <v>108</v>
      </c>
      <c r="C34">
        <v>11</v>
      </c>
      <c r="D34">
        <v>10</v>
      </c>
    </row>
    <row r="35" spans="1:4" x14ac:dyDescent="0.3">
      <c r="A35">
        <v>34</v>
      </c>
      <c r="B35" t="s">
        <v>108</v>
      </c>
      <c r="C35">
        <v>0</v>
      </c>
      <c r="D35">
        <v>0</v>
      </c>
    </row>
    <row r="36" spans="1:4" x14ac:dyDescent="0.3">
      <c r="A36">
        <v>35</v>
      </c>
      <c r="B36" t="s">
        <v>108</v>
      </c>
      <c r="C36">
        <v>16</v>
      </c>
      <c r="D36">
        <v>4</v>
      </c>
    </row>
    <row r="37" spans="1:4" x14ac:dyDescent="0.3">
      <c r="A37">
        <v>36</v>
      </c>
      <c r="B37" t="s">
        <v>108</v>
      </c>
      <c r="C37">
        <v>0</v>
      </c>
      <c r="D37">
        <v>0</v>
      </c>
    </row>
    <row r="38" spans="1:4" x14ac:dyDescent="0.3">
      <c r="A38">
        <v>37</v>
      </c>
      <c r="B38" t="s">
        <v>108</v>
      </c>
      <c r="C38">
        <v>0</v>
      </c>
      <c r="D38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E0203-02D2-4CF3-B1D0-85C7B549DD73}">
  <dimension ref="A1:D38"/>
  <sheetViews>
    <sheetView workbookViewId="0">
      <selection activeCell="E41" sqref="E1:R41"/>
    </sheetView>
  </sheetViews>
  <sheetFormatPr defaultRowHeight="14.4" x14ac:dyDescent="0.3"/>
  <sheetData>
    <row r="1" spans="1:4" x14ac:dyDescent="0.3">
      <c r="A1" t="s">
        <v>0</v>
      </c>
      <c r="B1" t="s">
        <v>97</v>
      </c>
      <c r="C1" t="s">
        <v>110</v>
      </c>
      <c r="D1" t="s">
        <v>111</v>
      </c>
    </row>
    <row r="2" spans="1:4" x14ac:dyDescent="0.3">
      <c r="A2">
        <v>1</v>
      </c>
      <c r="B2" t="s">
        <v>59</v>
      </c>
      <c r="C2">
        <v>13</v>
      </c>
      <c r="D2">
        <v>11</v>
      </c>
    </row>
    <row r="3" spans="1:4" x14ac:dyDescent="0.3">
      <c r="A3">
        <v>2</v>
      </c>
      <c r="B3" t="s">
        <v>59</v>
      </c>
      <c r="C3">
        <v>14</v>
      </c>
      <c r="D3">
        <v>12</v>
      </c>
    </row>
    <row r="4" spans="1:4" x14ac:dyDescent="0.3">
      <c r="A4">
        <v>3</v>
      </c>
      <c r="B4" t="s">
        <v>59</v>
      </c>
      <c r="C4">
        <v>11</v>
      </c>
      <c r="D4">
        <v>11</v>
      </c>
    </row>
    <row r="5" spans="1:4" x14ac:dyDescent="0.3">
      <c r="A5">
        <v>4</v>
      </c>
      <c r="B5" t="s">
        <v>59</v>
      </c>
      <c r="C5">
        <v>16</v>
      </c>
      <c r="D5">
        <v>15</v>
      </c>
    </row>
    <row r="6" spans="1:4" x14ac:dyDescent="0.3">
      <c r="A6">
        <v>5</v>
      </c>
      <c r="B6" t="s">
        <v>59</v>
      </c>
      <c r="C6">
        <v>9</v>
      </c>
      <c r="D6">
        <v>10</v>
      </c>
    </row>
    <row r="7" spans="1:4" x14ac:dyDescent="0.3">
      <c r="A7">
        <v>6</v>
      </c>
      <c r="B7" t="s">
        <v>59</v>
      </c>
      <c r="C7">
        <v>2</v>
      </c>
      <c r="D7">
        <v>3</v>
      </c>
    </row>
    <row r="8" spans="1:4" x14ac:dyDescent="0.3">
      <c r="A8">
        <v>7</v>
      </c>
      <c r="B8" t="s">
        <v>59</v>
      </c>
      <c r="C8">
        <v>16</v>
      </c>
      <c r="D8">
        <v>16</v>
      </c>
    </row>
    <row r="9" spans="1:4" x14ac:dyDescent="0.3">
      <c r="A9">
        <v>8</v>
      </c>
      <c r="B9" t="s">
        <v>59</v>
      </c>
      <c r="C9">
        <v>6</v>
      </c>
      <c r="D9">
        <v>9</v>
      </c>
    </row>
    <row r="10" spans="1:4" x14ac:dyDescent="0.3">
      <c r="A10">
        <v>9</v>
      </c>
      <c r="B10" t="s">
        <v>59</v>
      </c>
      <c r="C10">
        <v>11</v>
      </c>
      <c r="D10">
        <v>10</v>
      </c>
    </row>
    <row r="11" spans="1:4" x14ac:dyDescent="0.3">
      <c r="A11">
        <v>10</v>
      </c>
      <c r="B11" t="s">
        <v>59</v>
      </c>
      <c r="C11">
        <v>3</v>
      </c>
      <c r="D11">
        <v>6</v>
      </c>
    </row>
    <row r="12" spans="1:4" x14ac:dyDescent="0.3">
      <c r="A12">
        <v>11</v>
      </c>
      <c r="B12" t="s">
        <v>59</v>
      </c>
      <c r="C12">
        <v>2</v>
      </c>
      <c r="D12">
        <v>6</v>
      </c>
    </row>
    <row r="13" spans="1:4" x14ac:dyDescent="0.3">
      <c r="A13">
        <v>12</v>
      </c>
      <c r="B13" t="s">
        <v>99</v>
      </c>
      <c r="C13">
        <v>6</v>
      </c>
      <c r="D13">
        <v>6</v>
      </c>
    </row>
    <row r="14" spans="1:4" x14ac:dyDescent="0.3">
      <c r="A14">
        <v>13</v>
      </c>
      <c r="B14" t="s">
        <v>99</v>
      </c>
      <c r="C14">
        <v>15</v>
      </c>
      <c r="D14">
        <v>15</v>
      </c>
    </row>
    <row r="15" spans="1:4" x14ac:dyDescent="0.3">
      <c r="A15">
        <v>14</v>
      </c>
      <c r="B15" t="s">
        <v>99</v>
      </c>
      <c r="C15">
        <v>13</v>
      </c>
      <c r="D15">
        <v>12</v>
      </c>
    </row>
    <row r="16" spans="1:4" x14ac:dyDescent="0.3">
      <c r="A16">
        <v>15</v>
      </c>
      <c r="B16" t="s">
        <v>99</v>
      </c>
      <c r="C16">
        <v>6</v>
      </c>
      <c r="D16">
        <v>10</v>
      </c>
    </row>
    <row r="17" spans="1:4" x14ac:dyDescent="0.3">
      <c r="A17">
        <v>16</v>
      </c>
      <c r="B17" t="s">
        <v>99</v>
      </c>
      <c r="C17">
        <v>10</v>
      </c>
      <c r="D17">
        <v>8</v>
      </c>
    </row>
    <row r="18" spans="1:4" x14ac:dyDescent="0.3">
      <c r="A18">
        <v>17</v>
      </c>
      <c r="B18" t="s">
        <v>99</v>
      </c>
      <c r="C18">
        <v>13</v>
      </c>
      <c r="D18">
        <v>11</v>
      </c>
    </row>
    <row r="19" spans="1:4" x14ac:dyDescent="0.3">
      <c r="A19">
        <v>18</v>
      </c>
      <c r="B19" t="s">
        <v>99</v>
      </c>
      <c r="C19">
        <v>7</v>
      </c>
      <c r="D19">
        <v>8</v>
      </c>
    </row>
    <row r="20" spans="1:4" x14ac:dyDescent="0.3">
      <c r="A20">
        <v>19</v>
      </c>
      <c r="B20" t="s">
        <v>99</v>
      </c>
      <c r="C20">
        <v>8</v>
      </c>
      <c r="D20">
        <v>7</v>
      </c>
    </row>
    <row r="21" spans="1:4" x14ac:dyDescent="0.3">
      <c r="A21">
        <v>20</v>
      </c>
      <c r="B21" t="s">
        <v>98</v>
      </c>
      <c r="C21">
        <v>6</v>
      </c>
      <c r="D21">
        <v>3</v>
      </c>
    </row>
    <row r="22" spans="1:4" x14ac:dyDescent="0.3">
      <c r="A22">
        <v>21</v>
      </c>
      <c r="B22" t="s">
        <v>98</v>
      </c>
      <c r="C22">
        <v>10</v>
      </c>
      <c r="D22">
        <v>9</v>
      </c>
    </row>
    <row r="23" spans="1:4" x14ac:dyDescent="0.3">
      <c r="A23">
        <v>22</v>
      </c>
      <c r="B23" t="s">
        <v>98</v>
      </c>
      <c r="C23">
        <v>7</v>
      </c>
      <c r="D23">
        <v>7</v>
      </c>
    </row>
    <row r="24" spans="1:4" x14ac:dyDescent="0.3">
      <c r="A24">
        <v>23</v>
      </c>
      <c r="B24" t="s">
        <v>98</v>
      </c>
      <c r="C24">
        <v>12</v>
      </c>
      <c r="D24">
        <v>8</v>
      </c>
    </row>
    <row r="25" spans="1:4" x14ac:dyDescent="0.3">
      <c r="A25">
        <v>24</v>
      </c>
      <c r="B25" t="s">
        <v>98</v>
      </c>
      <c r="C25">
        <v>11</v>
      </c>
      <c r="D25">
        <v>15</v>
      </c>
    </row>
    <row r="26" spans="1:4" x14ac:dyDescent="0.3">
      <c r="A26">
        <v>25</v>
      </c>
      <c r="B26" t="s">
        <v>98</v>
      </c>
      <c r="C26">
        <v>10</v>
      </c>
      <c r="D26">
        <v>8</v>
      </c>
    </row>
    <row r="27" spans="1:4" x14ac:dyDescent="0.3">
      <c r="A27">
        <v>26</v>
      </c>
      <c r="B27" t="s">
        <v>98</v>
      </c>
      <c r="C27">
        <v>5</v>
      </c>
      <c r="D27">
        <v>3</v>
      </c>
    </row>
    <row r="28" spans="1:4" x14ac:dyDescent="0.3">
      <c r="A28">
        <v>27</v>
      </c>
      <c r="B28" t="s">
        <v>98</v>
      </c>
      <c r="C28">
        <v>8</v>
      </c>
      <c r="D28">
        <v>10</v>
      </c>
    </row>
    <row r="29" spans="1:4" x14ac:dyDescent="0.3">
      <c r="A29">
        <v>28</v>
      </c>
      <c r="B29" t="s">
        <v>98</v>
      </c>
      <c r="C29">
        <v>8</v>
      </c>
      <c r="D29">
        <v>9</v>
      </c>
    </row>
    <row r="30" spans="1:4" x14ac:dyDescent="0.3">
      <c r="A30">
        <v>29</v>
      </c>
      <c r="B30" t="s">
        <v>108</v>
      </c>
      <c r="C30">
        <v>8</v>
      </c>
      <c r="D30">
        <v>11</v>
      </c>
    </row>
    <row r="31" spans="1:4" x14ac:dyDescent="0.3">
      <c r="A31">
        <v>30</v>
      </c>
      <c r="B31" t="s">
        <v>108</v>
      </c>
      <c r="C31">
        <v>15</v>
      </c>
      <c r="D31">
        <v>15</v>
      </c>
    </row>
    <row r="32" spans="1:4" x14ac:dyDescent="0.3">
      <c r="A32">
        <v>31</v>
      </c>
      <c r="B32" t="s">
        <v>108</v>
      </c>
      <c r="C32">
        <v>12</v>
      </c>
      <c r="D32">
        <v>12</v>
      </c>
    </row>
    <row r="33" spans="1:4" x14ac:dyDescent="0.3">
      <c r="A33">
        <v>32</v>
      </c>
      <c r="B33" t="s">
        <v>108</v>
      </c>
      <c r="C33">
        <v>10</v>
      </c>
      <c r="D33">
        <v>7</v>
      </c>
    </row>
    <row r="34" spans="1:4" x14ac:dyDescent="0.3">
      <c r="A34">
        <v>33</v>
      </c>
      <c r="B34" t="s">
        <v>108</v>
      </c>
      <c r="C34">
        <v>6</v>
      </c>
      <c r="D34">
        <v>8</v>
      </c>
    </row>
    <row r="35" spans="1:4" x14ac:dyDescent="0.3">
      <c r="A35">
        <v>34</v>
      </c>
      <c r="B35" t="s">
        <v>108</v>
      </c>
      <c r="C35">
        <v>15</v>
      </c>
      <c r="D35">
        <v>16</v>
      </c>
    </row>
    <row r="36" spans="1:4" x14ac:dyDescent="0.3">
      <c r="A36">
        <v>35</v>
      </c>
      <c r="B36" t="s">
        <v>108</v>
      </c>
      <c r="C36">
        <v>3</v>
      </c>
      <c r="D36">
        <v>2</v>
      </c>
    </row>
    <row r="37" spans="1:4" x14ac:dyDescent="0.3">
      <c r="A37">
        <v>36</v>
      </c>
      <c r="B37" t="s">
        <v>108</v>
      </c>
      <c r="C37">
        <v>16</v>
      </c>
      <c r="D37">
        <v>16</v>
      </c>
    </row>
    <row r="38" spans="1:4" x14ac:dyDescent="0.3">
      <c r="A38">
        <v>37</v>
      </c>
      <c r="B38" t="s">
        <v>108</v>
      </c>
      <c r="C38">
        <v>10</v>
      </c>
      <c r="D38">
        <v>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5306C-4F27-402B-ABBC-322B67AA4F7E}">
  <dimension ref="A1:D38"/>
  <sheetViews>
    <sheetView workbookViewId="0">
      <selection activeCell="E39" sqref="E1:W39"/>
    </sheetView>
  </sheetViews>
  <sheetFormatPr defaultRowHeight="14.4" x14ac:dyDescent="0.3"/>
  <cols>
    <col min="6" max="7" width="13.6640625" customWidth="1"/>
  </cols>
  <sheetData>
    <row r="1" spans="1:4" x14ac:dyDescent="0.3">
      <c r="A1" t="s">
        <v>0</v>
      </c>
      <c r="B1" t="s">
        <v>97</v>
      </c>
      <c r="C1" t="s">
        <v>110</v>
      </c>
      <c r="D1" t="s">
        <v>111</v>
      </c>
    </row>
    <row r="2" spans="1:4" x14ac:dyDescent="0.3">
      <c r="A2">
        <v>1</v>
      </c>
      <c r="B2" t="s">
        <v>59</v>
      </c>
      <c r="C2">
        <v>15</v>
      </c>
      <c r="D2">
        <v>15</v>
      </c>
    </row>
    <row r="3" spans="1:4" x14ac:dyDescent="0.3">
      <c r="A3">
        <v>2</v>
      </c>
      <c r="B3" t="s">
        <v>59</v>
      </c>
      <c r="C3">
        <v>5</v>
      </c>
      <c r="D3">
        <v>5</v>
      </c>
    </row>
    <row r="4" spans="1:4" x14ac:dyDescent="0.3">
      <c r="A4">
        <v>3</v>
      </c>
      <c r="B4" t="s">
        <v>59</v>
      </c>
      <c r="C4">
        <v>3</v>
      </c>
      <c r="D4">
        <v>3</v>
      </c>
    </row>
    <row r="5" spans="1:4" x14ac:dyDescent="0.3">
      <c r="A5">
        <v>4</v>
      </c>
      <c r="B5" t="s">
        <v>59</v>
      </c>
      <c r="C5">
        <v>9</v>
      </c>
      <c r="D5">
        <v>13</v>
      </c>
    </row>
    <row r="6" spans="1:4" x14ac:dyDescent="0.3">
      <c r="A6">
        <v>5</v>
      </c>
      <c r="B6" t="s">
        <v>59</v>
      </c>
      <c r="C6">
        <v>7</v>
      </c>
      <c r="D6">
        <v>10</v>
      </c>
    </row>
    <row r="7" spans="1:4" x14ac:dyDescent="0.3">
      <c r="A7">
        <v>6</v>
      </c>
      <c r="B7" t="s">
        <v>59</v>
      </c>
      <c r="C7">
        <v>5</v>
      </c>
      <c r="D7">
        <v>6</v>
      </c>
    </row>
    <row r="8" spans="1:4" x14ac:dyDescent="0.3">
      <c r="A8">
        <v>7</v>
      </c>
      <c r="B8" t="s">
        <v>59</v>
      </c>
      <c r="C8">
        <v>4</v>
      </c>
      <c r="D8">
        <v>2</v>
      </c>
    </row>
    <row r="9" spans="1:4" x14ac:dyDescent="0.3">
      <c r="A9">
        <v>8</v>
      </c>
      <c r="B9" t="s">
        <v>59</v>
      </c>
      <c r="C9">
        <v>6</v>
      </c>
      <c r="D9">
        <v>12</v>
      </c>
    </row>
    <row r="10" spans="1:4" x14ac:dyDescent="0.3">
      <c r="A10">
        <v>9</v>
      </c>
      <c r="B10" t="s">
        <v>59</v>
      </c>
      <c r="C10">
        <v>2</v>
      </c>
      <c r="D10">
        <v>3</v>
      </c>
    </row>
    <row r="11" spans="1:4" x14ac:dyDescent="0.3">
      <c r="A11">
        <v>10</v>
      </c>
      <c r="B11" t="s">
        <v>59</v>
      </c>
      <c r="C11">
        <v>10</v>
      </c>
      <c r="D11">
        <v>8</v>
      </c>
    </row>
    <row r="12" spans="1:4" x14ac:dyDescent="0.3">
      <c r="A12">
        <v>11</v>
      </c>
      <c r="B12" t="s">
        <v>59</v>
      </c>
      <c r="C12">
        <v>12</v>
      </c>
      <c r="D12">
        <v>13</v>
      </c>
    </row>
    <row r="13" spans="1:4" x14ac:dyDescent="0.3">
      <c r="A13">
        <v>12</v>
      </c>
      <c r="B13" t="s">
        <v>99</v>
      </c>
      <c r="C13">
        <v>10</v>
      </c>
      <c r="D13">
        <v>11</v>
      </c>
    </row>
    <row r="14" spans="1:4" x14ac:dyDescent="0.3">
      <c r="A14">
        <v>13</v>
      </c>
      <c r="B14" t="s">
        <v>99</v>
      </c>
      <c r="C14">
        <v>4</v>
      </c>
      <c r="D14">
        <v>4</v>
      </c>
    </row>
    <row r="15" spans="1:4" x14ac:dyDescent="0.3">
      <c r="A15">
        <v>14</v>
      </c>
      <c r="B15" t="s">
        <v>99</v>
      </c>
      <c r="C15">
        <v>3</v>
      </c>
      <c r="D15">
        <v>4</v>
      </c>
    </row>
    <row r="16" spans="1:4" x14ac:dyDescent="0.3">
      <c r="A16">
        <v>15</v>
      </c>
      <c r="B16" t="s">
        <v>99</v>
      </c>
      <c r="C16">
        <v>10</v>
      </c>
      <c r="D16">
        <v>9</v>
      </c>
    </row>
    <row r="17" spans="1:4" x14ac:dyDescent="0.3">
      <c r="A17">
        <v>16</v>
      </c>
      <c r="B17" t="s">
        <v>99</v>
      </c>
      <c r="C17">
        <v>8</v>
      </c>
      <c r="D17">
        <v>6</v>
      </c>
    </row>
    <row r="18" spans="1:4" x14ac:dyDescent="0.3">
      <c r="A18">
        <v>17</v>
      </c>
      <c r="B18" t="s">
        <v>99</v>
      </c>
      <c r="C18">
        <v>3</v>
      </c>
      <c r="D18">
        <v>2</v>
      </c>
    </row>
    <row r="19" spans="1:4" x14ac:dyDescent="0.3">
      <c r="A19">
        <v>18</v>
      </c>
      <c r="B19" t="s">
        <v>99</v>
      </c>
      <c r="C19">
        <v>11</v>
      </c>
      <c r="D19">
        <v>11</v>
      </c>
    </row>
    <row r="20" spans="1:4" x14ac:dyDescent="0.3">
      <c r="A20">
        <v>19</v>
      </c>
      <c r="B20" t="s">
        <v>99</v>
      </c>
      <c r="C20">
        <v>10</v>
      </c>
      <c r="D20">
        <v>8</v>
      </c>
    </row>
    <row r="21" spans="1:4" x14ac:dyDescent="0.3">
      <c r="A21">
        <v>20</v>
      </c>
      <c r="B21" t="s">
        <v>98</v>
      </c>
      <c r="C21">
        <v>9</v>
      </c>
      <c r="D21">
        <v>5</v>
      </c>
    </row>
    <row r="22" spans="1:4" x14ac:dyDescent="0.3">
      <c r="A22">
        <v>21</v>
      </c>
      <c r="B22" t="s">
        <v>98</v>
      </c>
      <c r="C22">
        <v>0</v>
      </c>
      <c r="D22">
        <v>3</v>
      </c>
    </row>
    <row r="23" spans="1:4" x14ac:dyDescent="0.3">
      <c r="A23">
        <v>22</v>
      </c>
      <c r="B23" t="s">
        <v>98</v>
      </c>
      <c r="C23">
        <v>4</v>
      </c>
      <c r="D23">
        <v>8</v>
      </c>
    </row>
    <row r="24" spans="1:4" x14ac:dyDescent="0.3">
      <c r="A24">
        <v>23</v>
      </c>
      <c r="B24" t="s">
        <v>98</v>
      </c>
      <c r="C24">
        <v>9</v>
      </c>
      <c r="D24">
        <v>1</v>
      </c>
    </row>
    <row r="25" spans="1:4" x14ac:dyDescent="0.3">
      <c r="A25">
        <v>24</v>
      </c>
      <c r="B25" t="s">
        <v>98</v>
      </c>
      <c r="C25">
        <v>9</v>
      </c>
      <c r="D25">
        <v>4</v>
      </c>
    </row>
    <row r="26" spans="1:4" x14ac:dyDescent="0.3">
      <c r="A26">
        <v>25</v>
      </c>
      <c r="B26" t="s">
        <v>98</v>
      </c>
      <c r="C26">
        <v>10</v>
      </c>
      <c r="D26">
        <v>8</v>
      </c>
    </row>
    <row r="27" spans="1:4" x14ac:dyDescent="0.3">
      <c r="A27">
        <v>26</v>
      </c>
      <c r="B27" t="s">
        <v>98</v>
      </c>
      <c r="C27">
        <v>0</v>
      </c>
      <c r="D27">
        <v>0</v>
      </c>
    </row>
    <row r="28" spans="1:4" x14ac:dyDescent="0.3">
      <c r="A28">
        <v>27</v>
      </c>
      <c r="B28" t="s">
        <v>98</v>
      </c>
      <c r="C28">
        <v>9</v>
      </c>
      <c r="D28">
        <v>7</v>
      </c>
    </row>
    <row r="29" spans="1:4" x14ac:dyDescent="0.3">
      <c r="A29">
        <v>28</v>
      </c>
      <c r="B29" t="s">
        <v>98</v>
      </c>
      <c r="C29">
        <v>6</v>
      </c>
      <c r="D29">
        <v>7</v>
      </c>
    </row>
    <row r="30" spans="1:4" x14ac:dyDescent="0.3">
      <c r="A30">
        <v>29</v>
      </c>
      <c r="B30" t="s">
        <v>108</v>
      </c>
      <c r="C30">
        <v>11</v>
      </c>
      <c r="D30">
        <v>1</v>
      </c>
    </row>
    <row r="31" spans="1:4" x14ac:dyDescent="0.3">
      <c r="A31">
        <v>30</v>
      </c>
      <c r="B31" t="s">
        <v>108</v>
      </c>
      <c r="C31">
        <v>13</v>
      </c>
      <c r="D31">
        <v>5</v>
      </c>
    </row>
    <row r="32" spans="1:4" x14ac:dyDescent="0.3">
      <c r="A32">
        <v>31</v>
      </c>
      <c r="B32" t="s">
        <v>108</v>
      </c>
      <c r="C32">
        <v>12</v>
      </c>
      <c r="D32">
        <v>3</v>
      </c>
    </row>
    <row r="33" spans="1:4" x14ac:dyDescent="0.3">
      <c r="A33">
        <v>32</v>
      </c>
      <c r="B33" t="s">
        <v>108</v>
      </c>
      <c r="C33">
        <v>12</v>
      </c>
      <c r="D33">
        <v>6</v>
      </c>
    </row>
    <row r="34" spans="1:4" x14ac:dyDescent="0.3">
      <c r="A34">
        <v>33</v>
      </c>
      <c r="B34" t="s">
        <v>108</v>
      </c>
      <c r="C34">
        <v>14</v>
      </c>
      <c r="D34">
        <v>13</v>
      </c>
    </row>
    <row r="35" spans="1:4" x14ac:dyDescent="0.3">
      <c r="A35">
        <v>34</v>
      </c>
      <c r="B35" t="s">
        <v>108</v>
      </c>
      <c r="C35">
        <v>12</v>
      </c>
      <c r="D35">
        <v>0</v>
      </c>
    </row>
    <row r="36" spans="1:4" x14ac:dyDescent="0.3">
      <c r="A36">
        <v>35</v>
      </c>
      <c r="B36" t="s">
        <v>108</v>
      </c>
      <c r="C36">
        <v>8</v>
      </c>
      <c r="D36">
        <v>11</v>
      </c>
    </row>
    <row r="37" spans="1:4" x14ac:dyDescent="0.3">
      <c r="A37">
        <v>36</v>
      </c>
      <c r="B37" t="s">
        <v>108</v>
      </c>
      <c r="C37">
        <v>8</v>
      </c>
      <c r="D37">
        <v>0</v>
      </c>
    </row>
    <row r="38" spans="1:4" x14ac:dyDescent="0.3">
      <c r="A38">
        <v>37</v>
      </c>
      <c r="B38" t="s">
        <v>108</v>
      </c>
      <c r="C38">
        <v>7</v>
      </c>
      <c r="D38">
        <v>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2521A-9EF2-4854-9108-907832BF361F}">
  <dimension ref="A1:D38"/>
  <sheetViews>
    <sheetView workbookViewId="0">
      <selection activeCell="F50" sqref="F1:U50"/>
    </sheetView>
  </sheetViews>
  <sheetFormatPr defaultRowHeight="14.4" x14ac:dyDescent="0.3"/>
  <cols>
    <col min="6" max="7" width="13.6640625" customWidth="1"/>
  </cols>
  <sheetData>
    <row r="1" spans="1:4" x14ac:dyDescent="0.3">
      <c r="A1" t="s">
        <v>0</v>
      </c>
      <c r="B1" t="s">
        <v>97</v>
      </c>
      <c r="C1" t="s">
        <v>110</v>
      </c>
      <c r="D1" t="s">
        <v>111</v>
      </c>
    </row>
    <row r="2" spans="1:4" x14ac:dyDescent="0.3">
      <c r="A2">
        <v>1</v>
      </c>
      <c r="B2" t="s">
        <v>59</v>
      </c>
      <c r="C2">
        <v>8</v>
      </c>
      <c r="D2">
        <v>3</v>
      </c>
    </row>
    <row r="3" spans="1:4" x14ac:dyDescent="0.3">
      <c r="A3">
        <v>2</v>
      </c>
      <c r="B3" t="s">
        <v>59</v>
      </c>
      <c r="C3">
        <v>0</v>
      </c>
      <c r="D3">
        <v>1</v>
      </c>
    </row>
    <row r="4" spans="1:4" x14ac:dyDescent="0.3">
      <c r="A4">
        <v>3</v>
      </c>
      <c r="B4" t="s">
        <v>59</v>
      </c>
      <c r="C4">
        <v>6</v>
      </c>
      <c r="D4">
        <v>6</v>
      </c>
    </row>
    <row r="5" spans="1:4" x14ac:dyDescent="0.3">
      <c r="A5">
        <v>4</v>
      </c>
      <c r="B5" t="s">
        <v>59</v>
      </c>
      <c r="C5">
        <v>2</v>
      </c>
      <c r="D5">
        <v>0</v>
      </c>
    </row>
    <row r="6" spans="1:4" x14ac:dyDescent="0.3">
      <c r="A6">
        <v>5</v>
      </c>
      <c r="B6" t="s">
        <v>59</v>
      </c>
      <c r="C6">
        <v>4</v>
      </c>
      <c r="D6">
        <v>2</v>
      </c>
    </row>
    <row r="7" spans="1:4" x14ac:dyDescent="0.3">
      <c r="A7">
        <v>6</v>
      </c>
      <c r="B7" t="s">
        <v>59</v>
      </c>
      <c r="C7">
        <v>12</v>
      </c>
      <c r="D7">
        <v>9</v>
      </c>
    </row>
    <row r="8" spans="1:4" x14ac:dyDescent="0.3">
      <c r="A8">
        <v>7</v>
      </c>
      <c r="B8" t="s">
        <v>59</v>
      </c>
      <c r="C8">
        <v>0</v>
      </c>
      <c r="D8">
        <v>0</v>
      </c>
    </row>
    <row r="9" spans="1:4" x14ac:dyDescent="0.3">
      <c r="A9">
        <v>8</v>
      </c>
      <c r="B9" t="s">
        <v>59</v>
      </c>
      <c r="C9">
        <v>4</v>
      </c>
      <c r="D9">
        <v>7</v>
      </c>
    </row>
    <row r="10" spans="1:4" x14ac:dyDescent="0.3">
      <c r="A10">
        <v>9</v>
      </c>
      <c r="B10" t="s">
        <v>59</v>
      </c>
      <c r="C10">
        <v>2</v>
      </c>
      <c r="D10">
        <v>3</v>
      </c>
    </row>
    <row r="11" spans="1:4" x14ac:dyDescent="0.3">
      <c r="A11">
        <v>10</v>
      </c>
      <c r="B11" t="s">
        <v>59</v>
      </c>
      <c r="C11">
        <v>10</v>
      </c>
      <c r="D11">
        <v>7</v>
      </c>
    </row>
    <row r="12" spans="1:4" x14ac:dyDescent="0.3">
      <c r="A12">
        <v>11</v>
      </c>
      <c r="B12" t="s">
        <v>59</v>
      </c>
      <c r="C12">
        <v>8</v>
      </c>
      <c r="D12">
        <v>10</v>
      </c>
    </row>
    <row r="13" spans="1:4" x14ac:dyDescent="0.3">
      <c r="A13">
        <v>12</v>
      </c>
      <c r="B13" t="s">
        <v>99</v>
      </c>
      <c r="C13">
        <v>11</v>
      </c>
      <c r="D13">
        <v>11</v>
      </c>
    </row>
    <row r="14" spans="1:4" x14ac:dyDescent="0.3">
      <c r="A14">
        <v>13</v>
      </c>
      <c r="B14" t="s">
        <v>99</v>
      </c>
      <c r="C14">
        <v>0</v>
      </c>
      <c r="D14">
        <v>1</v>
      </c>
    </row>
    <row r="15" spans="1:4" x14ac:dyDescent="0.3">
      <c r="A15">
        <v>14</v>
      </c>
      <c r="B15" t="s">
        <v>99</v>
      </c>
      <c r="C15">
        <v>1</v>
      </c>
      <c r="D15">
        <v>2</v>
      </c>
    </row>
    <row r="16" spans="1:4" x14ac:dyDescent="0.3">
      <c r="A16">
        <v>15</v>
      </c>
      <c r="B16" t="s">
        <v>99</v>
      </c>
      <c r="C16">
        <v>12</v>
      </c>
      <c r="D16">
        <v>7</v>
      </c>
    </row>
    <row r="17" spans="1:4" x14ac:dyDescent="0.3">
      <c r="A17">
        <v>16</v>
      </c>
      <c r="B17" t="s">
        <v>99</v>
      </c>
      <c r="C17">
        <v>11</v>
      </c>
      <c r="D17">
        <v>10</v>
      </c>
    </row>
    <row r="18" spans="1:4" x14ac:dyDescent="0.3">
      <c r="A18">
        <v>17</v>
      </c>
      <c r="B18" t="s">
        <v>99</v>
      </c>
      <c r="C18">
        <v>1</v>
      </c>
      <c r="D18">
        <v>1</v>
      </c>
    </row>
    <row r="19" spans="1:4" x14ac:dyDescent="0.3">
      <c r="A19">
        <v>18</v>
      </c>
      <c r="B19" t="s">
        <v>99</v>
      </c>
      <c r="C19">
        <v>3</v>
      </c>
      <c r="D19">
        <v>0</v>
      </c>
    </row>
    <row r="20" spans="1:4" x14ac:dyDescent="0.3">
      <c r="A20">
        <v>19</v>
      </c>
      <c r="B20" t="s">
        <v>99</v>
      </c>
      <c r="C20">
        <v>2</v>
      </c>
      <c r="D20">
        <v>3</v>
      </c>
    </row>
    <row r="21" spans="1:4" x14ac:dyDescent="0.3">
      <c r="A21">
        <v>20</v>
      </c>
      <c r="B21" t="s">
        <v>98</v>
      </c>
      <c r="C21">
        <v>1</v>
      </c>
      <c r="D21">
        <v>14</v>
      </c>
    </row>
    <row r="22" spans="1:4" x14ac:dyDescent="0.3">
      <c r="A22">
        <v>21</v>
      </c>
      <c r="B22" t="s">
        <v>98</v>
      </c>
      <c r="C22">
        <v>7</v>
      </c>
      <c r="D22">
        <v>6</v>
      </c>
    </row>
    <row r="23" spans="1:4" x14ac:dyDescent="0.3">
      <c r="A23">
        <v>22</v>
      </c>
      <c r="B23" t="s">
        <v>98</v>
      </c>
      <c r="C23">
        <v>0</v>
      </c>
      <c r="D23">
        <v>0</v>
      </c>
    </row>
    <row r="24" spans="1:4" x14ac:dyDescent="0.3">
      <c r="A24">
        <v>23</v>
      </c>
      <c r="B24" t="s">
        <v>98</v>
      </c>
      <c r="C24">
        <v>4</v>
      </c>
      <c r="D24">
        <v>7</v>
      </c>
    </row>
    <row r="25" spans="1:4" x14ac:dyDescent="0.3">
      <c r="A25">
        <v>24</v>
      </c>
      <c r="B25" t="s">
        <v>98</v>
      </c>
      <c r="C25">
        <v>6</v>
      </c>
      <c r="D25">
        <v>6</v>
      </c>
    </row>
    <row r="26" spans="1:4" x14ac:dyDescent="0.3">
      <c r="A26">
        <v>25</v>
      </c>
      <c r="B26" t="s">
        <v>98</v>
      </c>
      <c r="C26">
        <v>3</v>
      </c>
      <c r="D26">
        <v>0</v>
      </c>
    </row>
    <row r="27" spans="1:4" x14ac:dyDescent="0.3">
      <c r="A27">
        <v>26</v>
      </c>
      <c r="B27" t="s">
        <v>98</v>
      </c>
      <c r="C27">
        <v>2</v>
      </c>
      <c r="D27">
        <v>2</v>
      </c>
    </row>
    <row r="28" spans="1:4" x14ac:dyDescent="0.3">
      <c r="A28">
        <v>27</v>
      </c>
      <c r="B28" t="s">
        <v>98</v>
      </c>
      <c r="C28">
        <v>10</v>
      </c>
      <c r="D28">
        <v>7</v>
      </c>
    </row>
    <row r="29" spans="1:4" x14ac:dyDescent="0.3">
      <c r="A29">
        <v>28</v>
      </c>
      <c r="B29" t="s">
        <v>98</v>
      </c>
      <c r="C29">
        <v>9</v>
      </c>
      <c r="D29">
        <v>4</v>
      </c>
    </row>
    <row r="30" spans="1:4" x14ac:dyDescent="0.3">
      <c r="A30">
        <v>29</v>
      </c>
      <c r="B30" t="s">
        <v>108</v>
      </c>
      <c r="C30">
        <v>9</v>
      </c>
      <c r="D30">
        <v>2</v>
      </c>
    </row>
    <row r="31" spans="1:4" x14ac:dyDescent="0.3">
      <c r="A31">
        <v>30</v>
      </c>
      <c r="B31" t="s">
        <v>108</v>
      </c>
      <c r="C31">
        <v>1</v>
      </c>
      <c r="D31">
        <v>1</v>
      </c>
    </row>
    <row r="32" spans="1:4" x14ac:dyDescent="0.3">
      <c r="A32">
        <v>31</v>
      </c>
      <c r="B32" t="s">
        <v>108</v>
      </c>
      <c r="C32">
        <v>2</v>
      </c>
      <c r="D32">
        <v>1</v>
      </c>
    </row>
    <row r="33" spans="1:4" x14ac:dyDescent="0.3">
      <c r="A33">
        <v>32</v>
      </c>
      <c r="B33" t="s">
        <v>108</v>
      </c>
      <c r="C33">
        <v>7</v>
      </c>
      <c r="D33">
        <v>9</v>
      </c>
    </row>
    <row r="34" spans="1:4" x14ac:dyDescent="0.3">
      <c r="A34">
        <v>33</v>
      </c>
      <c r="B34" t="s">
        <v>108</v>
      </c>
      <c r="C34">
        <v>11</v>
      </c>
      <c r="D34">
        <v>10</v>
      </c>
    </row>
    <row r="35" spans="1:4" x14ac:dyDescent="0.3">
      <c r="A35">
        <v>34</v>
      </c>
      <c r="B35" t="s">
        <v>108</v>
      </c>
      <c r="C35">
        <v>0</v>
      </c>
      <c r="D35">
        <v>0</v>
      </c>
    </row>
    <row r="36" spans="1:4" x14ac:dyDescent="0.3">
      <c r="A36">
        <v>35</v>
      </c>
      <c r="B36" t="s">
        <v>108</v>
      </c>
      <c r="C36">
        <v>9</v>
      </c>
      <c r="D36">
        <v>8</v>
      </c>
    </row>
    <row r="37" spans="1:4" x14ac:dyDescent="0.3">
      <c r="A37">
        <v>36</v>
      </c>
      <c r="B37" t="s">
        <v>108</v>
      </c>
      <c r="C37">
        <v>0</v>
      </c>
      <c r="D37">
        <v>0</v>
      </c>
    </row>
    <row r="38" spans="1:4" x14ac:dyDescent="0.3">
      <c r="A38">
        <v>37</v>
      </c>
      <c r="B38" t="s">
        <v>108</v>
      </c>
      <c r="C38">
        <v>2</v>
      </c>
      <c r="D38">
        <v>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3734D-2DDC-4C87-8FCF-211B5B05C293}">
  <dimension ref="A1:D38"/>
  <sheetViews>
    <sheetView workbookViewId="0">
      <selection activeCell="E42" sqref="E1:T42"/>
    </sheetView>
  </sheetViews>
  <sheetFormatPr defaultRowHeight="14.4" x14ac:dyDescent="0.3"/>
  <cols>
    <col min="6" max="7" width="13.6640625" customWidth="1"/>
  </cols>
  <sheetData>
    <row r="1" spans="1:4" x14ac:dyDescent="0.3">
      <c r="A1" t="s">
        <v>0</v>
      </c>
      <c r="B1" t="s">
        <v>97</v>
      </c>
      <c r="C1" t="s">
        <v>110</v>
      </c>
      <c r="D1" t="s">
        <v>111</v>
      </c>
    </row>
    <row r="2" spans="1:4" x14ac:dyDescent="0.3">
      <c r="A2">
        <v>1</v>
      </c>
      <c r="B2" t="s">
        <v>59</v>
      </c>
      <c r="C2">
        <v>14</v>
      </c>
      <c r="D2">
        <v>11</v>
      </c>
    </row>
    <row r="3" spans="1:4" x14ac:dyDescent="0.3">
      <c r="A3">
        <v>2</v>
      </c>
      <c r="B3" t="s">
        <v>59</v>
      </c>
      <c r="C3">
        <v>10</v>
      </c>
      <c r="D3">
        <v>11</v>
      </c>
    </row>
    <row r="4" spans="1:4" x14ac:dyDescent="0.3">
      <c r="A4">
        <v>3</v>
      </c>
      <c r="B4" t="s">
        <v>59</v>
      </c>
      <c r="C4">
        <v>11</v>
      </c>
      <c r="D4">
        <v>8</v>
      </c>
    </row>
    <row r="5" spans="1:4" x14ac:dyDescent="0.3">
      <c r="A5">
        <v>4</v>
      </c>
      <c r="B5" t="s">
        <v>59</v>
      </c>
      <c r="C5">
        <v>15</v>
      </c>
      <c r="D5">
        <v>12</v>
      </c>
    </row>
    <row r="6" spans="1:4" x14ac:dyDescent="0.3">
      <c r="A6">
        <v>5</v>
      </c>
      <c r="B6" t="s">
        <v>59</v>
      </c>
      <c r="C6">
        <v>11</v>
      </c>
      <c r="D6">
        <v>10</v>
      </c>
    </row>
    <row r="7" spans="1:4" x14ac:dyDescent="0.3">
      <c r="A7">
        <v>6</v>
      </c>
      <c r="B7" t="s">
        <v>59</v>
      </c>
      <c r="C7">
        <v>3</v>
      </c>
      <c r="D7">
        <v>10</v>
      </c>
    </row>
    <row r="8" spans="1:4" x14ac:dyDescent="0.3">
      <c r="A8">
        <v>7</v>
      </c>
      <c r="B8" t="s">
        <v>59</v>
      </c>
      <c r="C8">
        <v>16</v>
      </c>
      <c r="D8">
        <v>16</v>
      </c>
    </row>
    <row r="9" spans="1:4" x14ac:dyDescent="0.3">
      <c r="A9">
        <v>8</v>
      </c>
      <c r="B9" t="s">
        <v>59</v>
      </c>
      <c r="C9">
        <v>11</v>
      </c>
      <c r="D9">
        <v>10</v>
      </c>
    </row>
    <row r="10" spans="1:4" x14ac:dyDescent="0.3">
      <c r="A10">
        <v>9</v>
      </c>
      <c r="B10" t="s">
        <v>59</v>
      </c>
      <c r="C10">
        <v>10</v>
      </c>
      <c r="D10">
        <v>8</v>
      </c>
    </row>
    <row r="11" spans="1:4" x14ac:dyDescent="0.3">
      <c r="A11">
        <v>10</v>
      </c>
      <c r="B11" t="s">
        <v>59</v>
      </c>
      <c r="C11">
        <v>4</v>
      </c>
      <c r="D11">
        <v>11</v>
      </c>
    </row>
    <row r="12" spans="1:4" x14ac:dyDescent="0.3">
      <c r="A12">
        <v>11</v>
      </c>
      <c r="B12" t="s">
        <v>59</v>
      </c>
      <c r="C12">
        <v>6</v>
      </c>
      <c r="D12">
        <v>6</v>
      </c>
    </row>
    <row r="13" spans="1:4" x14ac:dyDescent="0.3">
      <c r="A13">
        <v>12</v>
      </c>
      <c r="B13" t="s">
        <v>99</v>
      </c>
      <c r="C13">
        <v>9</v>
      </c>
      <c r="D13">
        <v>7</v>
      </c>
    </row>
    <row r="14" spans="1:4" x14ac:dyDescent="0.3">
      <c r="A14">
        <v>13</v>
      </c>
      <c r="B14" t="s">
        <v>99</v>
      </c>
      <c r="C14">
        <v>14</v>
      </c>
      <c r="D14">
        <v>13</v>
      </c>
    </row>
    <row r="15" spans="1:4" x14ac:dyDescent="0.3">
      <c r="A15">
        <v>14</v>
      </c>
      <c r="B15" t="s">
        <v>99</v>
      </c>
      <c r="C15">
        <v>13</v>
      </c>
      <c r="D15">
        <v>13</v>
      </c>
    </row>
    <row r="16" spans="1:4" x14ac:dyDescent="0.3">
      <c r="A16">
        <v>15</v>
      </c>
      <c r="B16" t="s">
        <v>99</v>
      </c>
      <c r="C16">
        <v>8</v>
      </c>
      <c r="D16">
        <v>9</v>
      </c>
    </row>
    <row r="17" spans="1:4" x14ac:dyDescent="0.3">
      <c r="A17">
        <v>16</v>
      </c>
      <c r="B17" t="s">
        <v>99</v>
      </c>
      <c r="C17">
        <v>9</v>
      </c>
      <c r="D17">
        <v>8</v>
      </c>
    </row>
    <row r="18" spans="1:4" x14ac:dyDescent="0.3">
      <c r="A18">
        <v>17</v>
      </c>
      <c r="B18" t="s">
        <v>99</v>
      </c>
      <c r="C18">
        <v>11</v>
      </c>
      <c r="D18">
        <v>8</v>
      </c>
    </row>
    <row r="19" spans="1:4" x14ac:dyDescent="0.3">
      <c r="A19">
        <v>18</v>
      </c>
      <c r="B19" t="s">
        <v>99</v>
      </c>
      <c r="C19">
        <v>7</v>
      </c>
      <c r="D19">
        <v>8</v>
      </c>
    </row>
    <row r="20" spans="1:4" x14ac:dyDescent="0.3">
      <c r="A20">
        <v>19</v>
      </c>
      <c r="B20" t="s">
        <v>99</v>
      </c>
      <c r="C20">
        <v>5</v>
      </c>
      <c r="D20">
        <v>7</v>
      </c>
    </row>
    <row r="21" spans="1:4" x14ac:dyDescent="0.3">
      <c r="A21">
        <v>20</v>
      </c>
      <c r="B21" t="s">
        <v>98</v>
      </c>
      <c r="C21">
        <v>9</v>
      </c>
      <c r="D21">
        <v>4</v>
      </c>
    </row>
    <row r="22" spans="1:4" x14ac:dyDescent="0.3">
      <c r="A22">
        <v>21</v>
      </c>
      <c r="B22" t="s">
        <v>98</v>
      </c>
      <c r="C22">
        <v>8</v>
      </c>
      <c r="D22">
        <v>7</v>
      </c>
    </row>
    <row r="23" spans="1:4" x14ac:dyDescent="0.3">
      <c r="A23">
        <v>22</v>
      </c>
      <c r="B23" t="s">
        <v>98</v>
      </c>
      <c r="C23">
        <v>9</v>
      </c>
      <c r="D23">
        <v>7</v>
      </c>
    </row>
    <row r="24" spans="1:4" x14ac:dyDescent="0.3">
      <c r="A24">
        <v>23</v>
      </c>
      <c r="B24" t="s">
        <v>98</v>
      </c>
      <c r="C24">
        <v>9</v>
      </c>
      <c r="D24">
        <v>7</v>
      </c>
    </row>
    <row r="25" spans="1:4" x14ac:dyDescent="0.3">
      <c r="A25">
        <v>24</v>
      </c>
      <c r="B25" t="s">
        <v>98</v>
      </c>
      <c r="C25">
        <v>8</v>
      </c>
      <c r="D25">
        <v>13</v>
      </c>
    </row>
    <row r="26" spans="1:4" x14ac:dyDescent="0.3">
      <c r="A26">
        <v>25</v>
      </c>
      <c r="B26" t="s">
        <v>98</v>
      </c>
      <c r="C26">
        <v>8</v>
      </c>
      <c r="D26">
        <v>7</v>
      </c>
    </row>
    <row r="27" spans="1:4" x14ac:dyDescent="0.3">
      <c r="A27">
        <v>26</v>
      </c>
      <c r="B27" t="s">
        <v>98</v>
      </c>
      <c r="C27">
        <v>10</v>
      </c>
      <c r="D27">
        <v>12</v>
      </c>
    </row>
    <row r="28" spans="1:4" x14ac:dyDescent="0.3">
      <c r="A28">
        <v>27</v>
      </c>
      <c r="B28" t="s">
        <v>98</v>
      </c>
      <c r="C28">
        <v>8</v>
      </c>
      <c r="D28">
        <v>6</v>
      </c>
    </row>
    <row r="29" spans="1:4" x14ac:dyDescent="0.3">
      <c r="A29">
        <v>28</v>
      </c>
      <c r="B29" t="s">
        <v>98</v>
      </c>
      <c r="C29">
        <v>7</v>
      </c>
      <c r="D29">
        <v>10</v>
      </c>
    </row>
    <row r="30" spans="1:4" x14ac:dyDescent="0.3">
      <c r="A30">
        <v>29</v>
      </c>
      <c r="B30" t="s">
        <v>108</v>
      </c>
      <c r="C30">
        <v>5</v>
      </c>
      <c r="D30">
        <v>12</v>
      </c>
    </row>
    <row r="31" spans="1:4" x14ac:dyDescent="0.3">
      <c r="A31">
        <v>30</v>
      </c>
      <c r="B31" t="s">
        <v>108</v>
      </c>
      <c r="C31">
        <v>13</v>
      </c>
      <c r="D31">
        <v>13</v>
      </c>
    </row>
    <row r="32" spans="1:4" x14ac:dyDescent="0.3">
      <c r="A32">
        <v>31</v>
      </c>
      <c r="B32" t="s">
        <v>108</v>
      </c>
      <c r="C32">
        <v>13</v>
      </c>
      <c r="D32">
        <v>12</v>
      </c>
    </row>
    <row r="33" spans="1:4" x14ac:dyDescent="0.3">
      <c r="A33">
        <v>32</v>
      </c>
      <c r="B33" t="s">
        <v>108</v>
      </c>
      <c r="C33">
        <v>9</v>
      </c>
      <c r="D33">
        <v>10</v>
      </c>
    </row>
    <row r="34" spans="1:4" x14ac:dyDescent="0.3">
      <c r="A34">
        <v>33</v>
      </c>
      <c r="B34" t="s">
        <v>108</v>
      </c>
      <c r="C34">
        <v>7</v>
      </c>
      <c r="D34">
        <v>10</v>
      </c>
    </row>
    <row r="35" spans="1:4" x14ac:dyDescent="0.3">
      <c r="A35">
        <v>34</v>
      </c>
      <c r="B35" t="s">
        <v>108</v>
      </c>
      <c r="C35">
        <v>12</v>
      </c>
      <c r="D35">
        <v>16</v>
      </c>
    </row>
    <row r="36" spans="1:4" x14ac:dyDescent="0.3">
      <c r="A36">
        <v>35</v>
      </c>
      <c r="B36" t="s">
        <v>108</v>
      </c>
      <c r="C36">
        <v>10</v>
      </c>
      <c r="D36">
        <v>2</v>
      </c>
    </row>
    <row r="37" spans="1:4" x14ac:dyDescent="0.3">
      <c r="A37">
        <v>36</v>
      </c>
      <c r="B37" t="s">
        <v>108</v>
      </c>
      <c r="C37">
        <v>16</v>
      </c>
      <c r="D37">
        <v>16</v>
      </c>
    </row>
    <row r="38" spans="1:4" x14ac:dyDescent="0.3">
      <c r="A38">
        <v>37</v>
      </c>
      <c r="B38" t="s">
        <v>108</v>
      </c>
      <c r="C38">
        <v>10</v>
      </c>
      <c r="D38">
        <v>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7F4E9-645D-454C-9359-0C919AF54B53}">
  <dimension ref="A1:D38"/>
  <sheetViews>
    <sheetView tabSelected="1" workbookViewId="0">
      <selection activeCell="E41" sqref="E1:O41"/>
    </sheetView>
  </sheetViews>
  <sheetFormatPr defaultRowHeight="14.4" x14ac:dyDescent="0.3"/>
  <sheetData>
    <row r="1" spans="1:4" x14ac:dyDescent="0.3">
      <c r="A1" t="s">
        <v>0</v>
      </c>
      <c r="B1" t="s">
        <v>97</v>
      </c>
      <c r="C1" t="s">
        <v>110</v>
      </c>
      <c r="D1" t="s">
        <v>111</v>
      </c>
    </row>
    <row r="2" spans="1:4" x14ac:dyDescent="0.3">
      <c r="A2">
        <v>1</v>
      </c>
      <c r="B2" t="s">
        <v>59</v>
      </c>
      <c r="C2">
        <v>12</v>
      </c>
      <c r="D2">
        <v>10</v>
      </c>
    </row>
    <row r="3" spans="1:4" x14ac:dyDescent="0.3">
      <c r="A3">
        <v>2</v>
      </c>
      <c r="B3" t="s">
        <v>59</v>
      </c>
      <c r="C3">
        <v>16</v>
      </c>
      <c r="D3">
        <v>16</v>
      </c>
    </row>
    <row r="4" spans="1:4" x14ac:dyDescent="0.3">
      <c r="A4">
        <v>3</v>
      </c>
      <c r="B4" t="s">
        <v>59</v>
      </c>
      <c r="C4">
        <v>13</v>
      </c>
      <c r="D4">
        <v>10</v>
      </c>
    </row>
    <row r="5" spans="1:4" x14ac:dyDescent="0.3">
      <c r="A5">
        <v>4</v>
      </c>
      <c r="B5" t="s">
        <v>59</v>
      </c>
      <c r="C5">
        <v>13</v>
      </c>
      <c r="D5">
        <v>10</v>
      </c>
    </row>
    <row r="6" spans="1:4" x14ac:dyDescent="0.3">
      <c r="A6">
        <v>5</v>
      </c>
      <c r="B6" t="s">
        <v>59</v>
      </c>
      <c r="C6">
        <v>7</v>
      </c>
      <c r="D6">
        <v>9</v>
      </c>
    </row>
    <row r="7" spans="1:4" x14ac:dyDescent="0.3">
      <c r="A7">
        <v>6</v>
      </c>
      <c r="B7" t="s">
        <v>59</v>
      </c>
      <c r="C7">
        <v>8</v>
      </c>
      <c r="D7">
        <v>4</v>
      </c>
    </row>
    <row r="8" spans="1:4" x14ac:dyDescent="0.3">
      <c r="A8">
        <v>7</v>
      </c>
      <c r="B8" t="s">
        <v>59</v>
      </c>
      <c r="C8">
        <v>16</v>
      </c>
      <c r="D8">
        <v>16</v>
      </c>
    </row>
    <row r="9" spans="1:4" x14ac:dyDescent="0.3">
      <c r="A9">
        <v>8</v>
      </c>
      <c r="B9" t="s">
        <v>59</v>
      </c>
      <c r="C9">
        <v>10</v>
      </c>
      <c r="D9">
        <v>9</v>
      </c>
    </row>
    <row r="10" spans="1:4" x14ac:dyDescent="0.3">
      <c r="A10">
        <v>9</v>
      </c>
      <c r="B10" t="s">
        <v>59</v>
      </c>
      <c r="C10">
        <v>11</v>
      </c>
      <c r="D10">
        <v>10</v>
      </c>
    </row>
    <row r="11" spans="1:4" x14ac:dyDescent="0.3">
      <c r="A11">
        <v>10</v>
      </c>
      <c r="B11" t="s">
        <v>59</v>
      </c>
      <c r="C11">
        <v>8</v>
      </c>
      <c r="D11">
        <v>3</v>
      </c>
    </row>
    <row r="12" spans="1:4" x14ac:dyDescent="0.3">
      <c r="A12">
        <v>11</v>
      </c>
      <c r="B12" t="s">
        <v>59</v>
      </c>
      <c r="C12">
        <v>5</v>
      </c>
      <c r="D12">
        <v>6</v>
      </c>
    </row>
    <row r="13" spans="1:4" x14ac:dyDescent="0.3">
      <c r="A13">
        <v>12</v>
      </c>
      <c r="B13" t="s">
        <v>99</v>
      </c>
      <c r="C13">
        <v>9</v>
      </c>
      <c r="D13">
        <v>8</v>
      </c>
    </row>
    <row r="14" spans="1:4" x14ac:dyDescent="0.3">
      <c r="A14">
        <v>13</v>
      </c>
      <c r="B14" t="s">
        <v>99</v>
      </c>
      <c r="C14">
        <v>16</v>
      </c>
      <c r="D14">
        <v>14</v>
      </c>
    </row>
    <row r="15" spans="1:4" x14ac:dyDescent="0.3">
      <c r="A15">
        <v>14</v>
      </c>
      <c r="B15" t="s">
        <v>99</v>
      </c>
      <c r="C15">
        <v>12</v>
      </c>
      <c r="D15">
        <v>12</v>
      </c>
    </row>
    <row r="16" spans="1:4" x14ac:dyDescent="0.3">
      <c r="A16">
        <v>15</v>
      </c>
      <c r="B16" t="s">
        <v>99</v>
      </c>
      <c r="C16">
        <v>8</v>
      </c>
      <c r="D16">
        <v>9</v>
      </c>
    </row>
    <row r="17" spans="1:4" x14ac:dyDescent="0.3">
      <c r="A17">
        <v>16</v>
      </c>
      <c r="B17" t="s">
        <v>99</v>
      </c>
      <c r="C17">
        <v>5</v>
      </c>
      <c r="D17">
        <v>6</v>
      </c>
    </row>
    <row r="18" spans="1:4" x14ac:dyDescent="0.3">
      <c r="A18">
        <v>17</v>
      </c>
      <c r="B18" t="s">
        <v>99</v>
      </c>
      <c r="C18">
        <v>9</v>
      </c>
      <c r="D18">
        <v>8</v>
      </c>
    </row>
    <row r="19" spans="1:4" x14ac:dyDescent="0.3">
      <c r="A19">
        <v>18</v>
      </c>
      <c r="B19" t="s">
        <v>99</v>
      </c>
      <c r="C19">
        <v>8</v>
      </c>
      <c r="D19">
        <v>4</v>
      </c>
    </row>
    <row r="20" spans="1:4" x14ac:dyDescent="0.3">
      <c r="A20">
        <v>19</v>
      </c>
      <c r="B20" t="s">
        <v>99</v>
      </c>
      <c r="C20">
        <v>4</v>
      </c>
      <c r="D20">
        <v>4</v>
      </c>
    </row>
    <row r="21" spans="1:4" x14ac:dyDescent="0.3">
      <c r="A21">
        <v>20</v>
      </c>
      <c r="B21" t="s">
        <v>98</v>
      </c>
      <c r="C21">
        <v>8</v>
      </c>
      <c r="D21">
        <v>2</v>
      </c>
    </row>
    <row r="22" spans="1:4" x14ac:dyDescent="0.3">
      <c r="A22">
        <v>21</v>
      </c>
      <c r="B22" t="s">
        <v>98</v>
      </c>
      <c r="C22">
        <v>8</v>
      </c>
      <c r="D22">
        <v>4</v>
      </c>
    </row>
    <row r="23" spans="1:4" x14ac:dyDescent="0.3">
      <c r="A23">
        <v>22</v>
      </c>
      <c r="B23" t="s">
        <v>98</v>
      </c>
      <c r="C23">
        <v>8</v>
      </c>
      <c r="D23">
        <v>7</v>
      </c>
    </row>
    <row r="24" spans="1:4" x14ac:dyDescent="0.3">
      <c r="A24">
        <v>23</v>
      </c>
      <c r="B24" t="s">
        <v>98</v>
      </c>
      <c r="C24">
        <v>7</v>
      </c>
      <c r="D24">
        <v>6</v>
      </c>
    </row>
    <row r="25" spans="1:4" x14ac:dyDescent="0.3">
      <c r="A25">
        <v>24</v>
      </c>
      <c r="B25" t="s">
        <v>98</v>
      </c>
      <c r="C25">
        <v>10</v>
      </c>
      <c r="D25">
        <v>15</v>
      </c>
    </row>
    <row r="26" spans="1:4" x14ac:dyDescent="0.3">
      <c r="A26">
        <v>25</v>
      </c>
      <c r="B26" t="s">
        <v>98</v>
      </c>
      <c r="C26">
        <v>10</v>
      </c>
      <c r="D26">
        <v>8</v>
      </c>
    </row>
    <row r="27" spans="1:4" x14ac:dyDescent="0.3">
      <c r="A27">
        <v>26</v>
      </c>
      <c r="B27" t="s">
        <v>98</v>
      </c>
      <c r="C27">
        <v>9</v>
      </c>
      <c r="D27">
        <v>7</v>
      </c>
    </row>
    <row r="28" spans="1:4" x14ac:dyDescent="0.3">
      <c r="A28">
        <v>27</v>
      </c>
      <c r="B28" t="s">
        <v>98</v>
      </c>
      <c r="C28">
        <v>6</v>
      </c>
      <c r="D28">
        <v>7</v>
      </c>
    </row>
    <row r="29" spans="1:4" x14ac:dyDescent="0.3">
      <c r="A29">
        <v>28</v>
      </c>
      <c r="B29" t="s">
        <v>98</v>
      </c>
      <c r="C29">
        <v>5</v>
      </c>
      <c r="D29">
        <v>11</v>
      </c>
    </row>
    <row r="30" spans="1:4" x14ac:dyDescent="0.3">
      <c r="A30">
        <v>29</v>
      </c>
      <c r="B30" t="s">
        <v>108</v>
      </c>
      <c r="C30">
        <v>6</v>
      </c>
      <c r="D30">
        <v>11</v>
      </c>
    </row>
    <row r="31" spans="1:4" x14ac:dyDescent="0.3">
      <c r="A31">
        <v>30</v>
      </c>
      <c r="B31" t="s">
        <v>108</v>
      </c>
      <c r="C31">
        <v>14</v>
      </c>
      <c r="D31">
        <v>14</v>
      </c>
    </row>
    <row r="32" spans="1:4" x14ac:dyDescent="0.3">
      <c r="A32">
        <v>31</v>
      </c>
      <c r="B32" t="s">
        <v>108</v>
      </c>
      <c r="C32">
        <v>12</v>
      </c>
      <c r="D32">
        <v>13</v>
      </c>
    </row>
    <row r="33" spans="1:4" x14ac:dyDescent="0.3">
      <c r="A33">
        <v>32</v>
      </c>
      <c r="B33" t="s">
        <v>108</v>
      </c>
      <c r="C33">
        <v>9</v>
      </c>
      <c r="D33">
        <v>7</v>
      </c>
    </row>
    <row r="34" spans="1:4" x14ac:dyDescent="0.3">
      <c r="A34">
        <v>33</v>
      </c>
      <c r="B34" t="s">
        <v>108</v>
      </c>
      <c r="C34">
        <v>8</v>
      </c>
      <c r="D34">
        <v>9</v>
      </c>
    </row>
    <row r="35" spans="1:4" x14ac:dyDescent="0.3">
      <c r="A35">
        <v>34</v>
      </c>
      <c r="B35" t="s">
        <v>108</v>
      </c>
      <c r="C35">
        <v>10</v>
      </c>
      <c r="D35">
        <v>16</v>
      </c>
    </row>
    <row r="36" spans="1:4" x14ac:dyDescent="0.3">
      <c r="A36">
        <v>35</v>
      </c>
      <c r="B36" t="s">
        <v>108</v>
      </c>
      <c r="C36">
        <v>4</v>
      </c>
      <c r="D36">
        <v>4</v>
      </c>
    </row>
    <row r="37" spans="1:4" x14ac:dyDescent="0.3">
      <c r="A37">
        <v>36</v>
      </c>
      <c r="B37" t="s">
        <v>108</v>
      </c>
      <c r="C37">
        <v>16</v>
      </c>
      <c r="D37">
        <v>16</v>
      </c>
    </row>
    <row r="38" spans="1:4" x14ac:dyDescent="0.3">
      <c r="A38">
        <v>37</v>
      </c>
      <c r="B38" t="s">
        <v>108</v>
      </c>
      <c r="C38">
        <v>9</v>
      </c>
      <c r="D38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Participants</vt:lpstr>
      <vt:lpstr>Actigraphy_data</vt:lpstr>
      <vt:lpstr>Hooper_st</vt:lpstr>
      <vt:lpstr>Hooper_sl</vt:lpstr>
      <vt:lpstr>Hooper_ms</vt:lpstr>
      <vt:lpstr>Hooper_ft</vt:lpstr>
      <vt:lpstr>Hooper_hs</vt:lpstr>
      <vt:lpstr>BRUMS</vt:lpstr>
      <vt:lpstr>ANG</vt:lpstr>
      <vt:lpstr>TS</vt:lpstr>
      <vt:lpstr>DEP</vt:lpstr>
      <vt:lpstr>VIG</vt:lpstr>
      <vt:lpstr>FAT</vt:lpstr>
      <vt:lpstr>CONF</vt:lpstr>
      <vt:lpstr>HP</vt:lpstr>
      <vt:lpstr>CALM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Atef Salem</dc:creator>
  <cp:lastModifiedBy>Salem, Atef</cp:lastModifiedBy>
  <dcterms:created xsi:type="dcterms:W3CDTF">2023-02-27T00:37:10Z</dcterms:created>
  <dcterms:modified xsi:type="dcterms:W3CDTF">2024-04-18T13:20:59Z</dcterms:modified>
</cp:coreProperties>
</file>