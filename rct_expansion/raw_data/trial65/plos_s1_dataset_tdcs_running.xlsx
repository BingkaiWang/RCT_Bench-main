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ENS Géraldine\dox\Coma SG\Writing\Article tDCS aerobic performance\Manuscript\Motor tDCS protocol\Data\"/>
    </mc:Choice>
  </mc:AlternateContent>
  <xr:revisionPtr revIDLastSave="0" documentId="13_ncr:1_{10BF4898-7A05-4AC7-AE48-FFF23E93199E}" xr6:coauthVersionLast="36" xr6:coauthVersionMax="47" xr10:uidLastSave="{00000000-0000-0000-0000-000000000000}"/>
  <bookViews>
    <workbookView xWindow="22930" yWindow="-110" windowWidth="23260" windowHeight="12580" tabRatio="731" xr2:uid="{13604887-46F4-4F5E-BA38-BBE06B98D7FF}"/>
  </bookViews>
  <sheets>
    <sheet name="All n=54" sheetId="12" r:id="rId1"/>
  </sheets>
  <definedNames>
    <definedName name="_xlnm._FilterDatabase" localSheetId="0" hidden="1">'All n=54'!$A$1:$BI$55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2" l="1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2" i="12"/>
  <c r="AN54" i="12"/>
  <c r="Y54" i="12"/>
  <c r="AN53" i="12"/>
  <c r="Y53" i="12"/>
  <c r="AN52" i="12"/>
  <c r="Y52" i="12"/>
  <c r="AN51" i="12"/>
  <c r="Y51" i="12"/>
  <c r="AN50" i="12"/>
  <c r="Y50" i="12"/>
  <c r="AN49" i="12"/>
  <c r="Y49" i="12"/>
  <c r="AN48" i="12"/>
  <c r="Y48" i="12"/>
  <c r="AN47" i="12"/>
  <c r="Y47" i="12"/>
  <c r="AN45" i="12"/>
  <c r="Y45" i="12"/>
  <c r="AN44" i="12"/>
  <c r="Y44" i="12"/>
  <c r="AN43" i="12"/>
  <c r="Y43" i="12"/>
  <c r="AN42" i="12"/>
  <c r="Y42" i="12"/>
  <c r="AN40" i="12"/>
  <c r="Y40" i="12"/>
  <c r="AN39" i="12"/>
  <c r="Y39" i="12"/>
  <c r="AN38" i="12"/>
  <c r="Y38" i="12"/>
  <c r="AN35" i="12"/>
  <c r="Y35" i="12"/>
  <c r="AN34" i="12"/>
  <c r="Y34" i="12"/>
  <c r="AN33" i="12"/>
  <c r="Y33" i="12"/>
  <c r="AN31" i="12"/>
  <c r="Y31" i="12"/>
  <c r="AN30" i="12"/>
  <c r="Y30" i="12"/>
  <c r="AN29" i="12"/>
  <c r="Y29" i="12"/>
  <c r="AN28" i="12"/>
  <c r="Y28" i="12"/>
  <c r="AN27" i="12"/>
  <c r="Y27" i="12"/>
  <c r="AN26" i="12"/>
  <c r="Y26" i="12"/>
  <c r="AN25" i="12"/>
  <c r="Y25" i="12"/>
  <c r="AN24" i="12"/>
  <c r="Y24" i="12"/>
  <c r="AN23" i="12"/>
  <c r="Y23" i="12"/>
  <c r="AN22" i="12"/>
  <c r="Y22" i="12"/>
  <c r="AN21" i="12"/>
  <c r="Y21" i="12"/>
  <c r="AN20" i="12"/>
  <c r="Y20" i="12"/>
  <c r="AN19" i="12"/>
  <c r="Y19" i="12"/>
  <c r="AN18" i="12"/>
  <c r="Y18" i="12"/>
  <c r="AN17" i="12"/>
  <c r="Y17" i="12"/>
  <c r="AN16" i="12"/>
  <c r="Y16" i="12"/>
  <c r="AN14" i="12"/>
  <c r="Y14" i="12"/>
  <c r="AN13" i="12"/>
  <c r="Y13" i="12"/>
  <c r="AN12" i="12"/>
  <c r="Y12" i="12"/>
  <c r="AN11" i="12"/>
  <c r="Y11" i="12"/>
  <c r="AN10" i="12"/>
  <c r="Y10" i="12"/>
  <c r="AN9" i="12"/>
  <c r="Y9" i="12"/>
  <c r="AN8" i="12"/>
  <c r="Y8" i="12"/>
  <c r="AN7" i="12"/>
  <c r="Y7" i="12"/>
  <c r="AN6" i="12"/>
  <c r="Y6" i="12"/>
  <c r="AN5" i="12"/>
  <c r="AN4" i="12"/>
  <c r="Y4" i="12"/>
  <c r="AN3" i="12"/>
  <c r="Y3" i="12"/>
  <c r="AN2" i="12"/>
</calcChain>
</file>

<file path=xl/sharedStrings.xml><?xml version="1.0" encoding="utf-8"?>
<sst xmlns="http://schemas.openxmlformats.org/spreadsheetml/2006/main" count="588" uniqueCount="223">
  <si>
    <t>ID</t>
  </si>
  <si>
    <t>Initials</t>
  </si>
  <si>
    <t>LF2021</t>
  </si>
  <si>
    <t>RH2021</t>
  </si>
  <si>
    <t>CG2021</t>
  </si>
  <si>
    <t>BS2021</t>
  </si>
  <si>
    <t>GG2021</t>
  </si>
  <si>
    <t>FN2021</t>
  </si>
  <si>
    <t>ER2021</t>
  </si>
  <si>
    <t>HL2021</t>
  </si>
  <si>
    <t>MF2021</t>
  </si>
  <si>
    <t>LT2021</t>
  </si>
  <si>
    <t>AD2021</t>
  </si>
  <si>
    <t>TD2021</t>
  </si>
  <si>
    <t>JC2021</t>
  </si>
  <si>
    <t>SC2021</t>
  </si>
  <si>
    <t>RR2021</t>
  </si>
  <si>
    <t>MK2021</t>
  </si>
  <si>
    <t>DK2021</t>
  </si>
  <si>
    <t>CC2021</t>
  </si>
  <si>
    <t>GD2021</t>
  </si>
  <si>
    <t>LV2021</t>
  </si>
  <si>
    <t>LA2021</t>
  </si>
  <si>
    <t>SW2021</t>
  </si>
  <si>
    <t>TC2021</t>
  </si>
  <si>
    <t>PG2021</t>
  </si>
  <si>
    <t>FG2021</t>
  </si>
  <si>
    <t>TP2021</t>
  </si>
  <si>
    <t>BC2021</t>
  </si>
  <si>
    <t>TH2021</t>
  </si>
  <si>
    <t>MG2020</t>
  </si>
  <si>
    <t>AC2020</t>
  </si>
  <si>
    <t>TV2020</t>
  </si>
  <si>
    <t>RL2020</t>
  </si>
  <si>
    <t>JD2020</t>
  </si>
  <si>
    <t>LM2020</t>
  </si>
  <si>
    <t>RH2020</t>
  </si>
  <si>
    <t>HR2020</t>
  </si>
  <si>
    <t>SK2020</t>
  </si>
  <si>
    <t>DA2020</t>
  </si>
  <si>
    <t>BW2020</t>
  </si>
  <si>
    <t>YM2020</t>
  </si>
  <si>
    <t>SG2020</t>
  </si>
  <si>
    <t>JB2020</t>
  </si>
  <si>
    <t>LW2020</t>
  </si>
  <si>
    <t>QP2020</t>
  </si>
  <si>
    <t>KZ2020</t>
  </si>
  <si>
    <t>JJ2020</t>
  </si>
  <si>
    <t>LB2020</t>
  </si>
  <si>
    <t>MD2020</t>
  </si>
  <si>
    <t>BR2020</t>
  </si>
  <si>
    <t>GV2020</t>
  </si>
  <si>
    <t>TQ2020</t>
  </si>
  <si>
    <t>LS2020</t>
  </si>
  <si>
    <t>Status</t>
  </si>
  <si>
    <t>Excluded</t>
  </si>
  <si>
    <t>Included</t>
  </si>
  <si>
    <t>Age</t>
  </si>
  <si>
    <t>Weight</t>
  </si>
  <si>
    <t>Height</t>
  </si>
  <si>
    <t>Body fat</t>
  </si>
  <si>
    <t>VO2max</t>
  </si>
  <si>
    <t>MAS</t>
  </si>
  <si>
    <t>Years of training</t>
  </si>
  <si>
    <t>Weekly training</t>
  </si>
  <si>
    <t>Reason for exclusion</t>
  </si>
  <si>
    <t>VO2max below threshold</t>
  </si>
  <si>
    <t>Resumed smoking</t>
  </si>
  <si>
    <t>Knee pain following screening visit in context of chronic tendinopathy</t>
  </si>
  <si>
    <t>Acute knee pain following screening visit</t>
  </si>
  <si>
    <t>Injury (ankle sprain) after screening visit</t>
  </si>
  <si>
    <t>Exclusion category</t>
  </si>
  <si>
    <t>Not meeting inclusion criteria (VO2max)</t>
  </si>
  <si>
    <t>Injury</t>
  </si>
  <si>
    <t>Not meeting inclusion criteria (life hygiene)</t>
  </si>
  <si>
    <t>Injury (hamstrings) after screening visit</t>
  </si>
  <si>
    <t>Got the flu</t>
  </si>
  <si>
    <t>Disease</t>
  </si>
  <si>
    <t>Did not want to continue because protocol too time constraining</t>
  </si>
  <si>
    <t>Abandon</t>
  </si>
  <si>
    <t>Screening test</t>
  </si>
  <si>
    <t>Duration mm ss</t>
  </si>
  <si>
    <t>HR max</t>
  </si>
  <si>
    <t>RQ max</t>
  </si>
  <si>
    <t>Lactate threshold 1</t>
  </si>
  <si>
    <t>Lactate threshold 2</t>
  </si>
  <si>
    <t>&lt; 8km/h</t>
  </si>
  <si>
    <t>10,5 km/h</t>
  </si>
  <si>
    <t>8 km/h</t>
  </si>
  <si>
    <t>14,4 km/h</t>
  </si>
  <si>
    <t>&lt; 8 km/h</t>
  </si>
  <si>
    <t>12,2 km/h</t>
  </si>
  <si>
    <t>12,3 km/h</t>
  </si>
  <si>
    <t>13 km/h</t>
  </si>
  <si>
    <t>15,2 km/h</t>
  </si>
  <si>
    <t>11,8 km/h</t>
  </si>
  <si>
    <t>9 km/h</t>
  </si>
  <si>
    <t>14,2 km/h</t>
  </si>
  <si>
    <t>9,4 km/h</t>
  </si>
  <si>
    <t>10,2 km/h</t>
  </si>
  <si>
    <t>17,1 km/h</t>
  </si>
  <si>
    <t>12 km/h</t>
  </si>
  <si>
    <t>14,8 km/h</t>
  </si>
  <si>
    <t>8,2 km/h</t>
  </si>
  <si>
    <t>11,1 km/h</t>
  </si>
  <si>
    <t>12,5 km/h</t>
  </si>
  <si>
    <t>12,6 km/h</t>
  </si>
  <si>
    <t>8,7 km/h</t>
  </si>
  <si>
    <t>10,3 km/h</t>
  </si>
  <si>
    <t>10 km/h</t>
  </si>
  <si>
    <t>11,5 km/h</t>
  </si>
  <si>
    <t>14-16 km/h</t>
  </si>
  <si>
    <t>12-14 km/h</t>
  </si>
  <si>
    <t>14-16km/h</t>
  </si>
  <si>
    <t>&lt;8km/h</t>
  </si>
  <si>
    <t>12-14km/h</t>
  </si>
  <si>
    <t>10-12km/h</t>
  </si>
  <si>
    <t>14-16</t>
  </si>
  <si>
    <t>&lt;8Km/h</t>
  </si>
  <si>
    <t>8-10km/h</t>
  </si>
  <si>
    <t>14km/h</t>
  </si>
  <si>
    <t>16-17km/h</t>
  </si>
  <si>
    <t>&lt;8 km/h</t>
  </si>
  <si>
    <t>12km/h</t>
  </si>
  <si>
    <t>8km/h</t>
  </si>
  <si>
    <t>tDCS ACTIVE</t>
  </si>
  <si>
    <t>Duration hexa active</t>
  </si>
  <si>
    <t>VO2 final active</t>
  </si>
  <si>
    <t>HR max active</t>
  </si>
  <si>
    <t>RQ max active</t>
  </si>
  <si>
    <t>Lactate min active</t>
  </si>
  <si>
    <t>Lactate max active</t>
  </si>
  <si>
    <t>RPE min active</t>
  </si>
  <si>
    <t>RPE max active</t>
  </si>
  <si>
    <t>Allocation according to participant active</t>
  </si>
  <si>
    <t>Degree of certainty active</t>
  </si>
  <si>
    <t>Adverse event yes no active</t>
  </si>
  <si>
    <t>tDCS SHAM</t>
  </si>
  <si>
    <t>Duration mm ss sham</t>
  </si>
  <si>
    <t>Duration hexa sham</t>
  </si>
  <si>
    <t>VO2 final sham</t>
  </si>
  <si>
    <t>HR max sham</t>
  </si>
  <si>
    <t>RQ max sham</t>
  </si>
  <si>
    <t>Lactate min sham</t>
  </si>
  <si>
    <t>Lactate max sham</t>
  </si>
  <si>
    <t>RPE min sham</t>
  </si>
  <si>
    <t>RPE max sham</t>
  </si>
  <si>
    <t>Allocation according to participant sham</t>
  </si>
  <si>
    <t>Degree of certainty sham</t>
  </si>
  <si>
    <t>Adverse event yes no sham</t>
  </si>
  <si>
    <t>Type of AE sham</t>
  </si>
  <si>
    <t>CTRL</t>
  </si>
  <si>
    <t>Duration mm ss ctrl</t>
  </si>
  <si>
    <t>Duration hexa ctrl</t>
  </si>
  <si>
    <t>VO2 final ctrl</t>
  </si>
  <si>
    <t>HR max ctrl</t>
  </si>
  <si>
    <t>RQ max ctrl</t>
  </si>
  <si>
    <t>Lactate min ctrl</t>
  </si>
  <si>
    <t>Lactate max ctrl</t>
  </si>
  <si>
    <t>RPE min ctrl</t>
  </si>
  <si>
    <t>RPE max ctrl</t>
  </si>
  <si>
    <t>Duration mm ss active</t>
  </si>
  <si>
    <t>sham</t>
  </si>
  <si>
    <t xml:space="preserve">actif </t>
  </si>
  <si>
    <t>actif</t>
  </si>
  <si>
    <t>picotements (2,5) + flashs visuels, tremblements des jambes et nausées (4,2)</t>
  </si>
  <si>
    <t>picotements (2,2)</t>
  </si>
  <si>
    <t>picotements (3,5)</t>
  </si>
  <si>
    <t>picotements (2,4)</t>
  </si>
  <si>
    <t>Douleur cuir chevelu (2,2) Picotements (2,3) sensation de brulure (2,2)</t>
  </si>
  <si>
    <t>Picotements (2,4)</t>
  </si>
  <si>
    <t>douleur au cou (2,2) + picotements (2,4)</t>
  </si>
  <si>
    <t>picotements (3,4)</t>
  </si>
  <si>
    <t>picotements (2,3)</t>
  </si>
  <si>
    <t>picotements (4,5)</t>
  </si>
  <si>
    <t xml:space="preserve">active </t>
  </si>
  <si>
    <t>active</t>
  </si>
  <si>
    <t>picotements (2,5)</t>
  </si>
  <si>
    <t>no</t>
  </si>
  <si>
    <t xml:space="preserve">picotements (2,5) </t>
  </si>
  <si>
    <t xml:space="preserve">sham </t>
  </si>
  <si>
    <t>Sham</t>
  </si>
  <si>
    <t>somnolence (2)</t>
  </si>
  <si>
    <t>somnolence (2), difficulté de concentration (2)</t>
  </si>
  <si>
    <t>mal de tête (2), picotements (3), démengeaisons (3), sensation de brûlure (2)</t>
  </si>
  <si>
    <t xml:space="preserve">démangeaison (2) </t>
  </si>
  <si>
    <t xml:space="preserve">picotements (2) </t>
  </si>
  <si>
    <t xml:space="preserve">mal de tête (2), difficulté de concentration (2) </t>
  </si>
  <si>
    <t xml:space="preserve">picotements (2), difficulté de concentration (2) </t>
  </si>
  <si>
    <t xml:space="preserve">difficulté de concentration (2) </t>
  </si>
  <si>
    <t>picotements (2), difficulté de concentration (2), chgmt d'humeur important (2)</t>
  </si>
  <si>
    <t xml:space="preserve">mal de tête (2), démangeaisons (3), somnolence (2), difficulté de concentration (2), changement d'humeur (1) </t>
  </si>
  <si>
    <t xml:space="preserve">picotements (2), démangeaisons (3), sensation de brulure (3) </t>
  </si>
  <si>
    <t>picotements(2)</t>
  </si>
  <si>
    <t>mal de tête (2) et douleur au cou (2)</t>
  </si>
  <si>
    <t xml:space="preserve">picotements (2), démangeaisons (2) </t>
  </si>
  <si>
    <t>difficulté de concentration (2)</t>
  </si>
  <si>
    <t xml:space="preserve">picotements (2),somnolence (3) </t>
  </si>
  <si>
    <t>placebo</t>
  </si>
  <si>
    <t>mal de tête (2)</t>
  </si>
  <si>
    <t xml:space="preserve">placebo </t>
  </si>
  <si>
    <t>douleur cuir chevelu (3), picotements (2), démangeaisons (2), rougeur peau (2), difficulté de concentration (</t>
  </si>
  <si>
    <t>picotements (3), démangeaisons (3), sensation de brulure (2)</t>
  </si>
  <si>
    <t>douleur au cuir chevelu (2), picotements(2)</t>
  </si>
  <si>
    <t>picotements (1,4)</t>
  </si>
  <si>
    <t>mal de tête (2,5)</t>
  </si>
  <si>
    <t xml:space="preserve">sensations jambes lourdes </t>
  </si>
  <si>
    <t>picotements (2,5), démangeaisons (2,5)</t>
  </si>
  <si>
    <t>yes</t>
  </si>
  <si>
    <t>picotements (3,5) et brûlures (3,5)</t>
  </si>
  <si>
    <t xml:space="preserve">picotements (2), sensation de brûlure(2) </t>
  </si>
  <si>
    <t>picotements (2)</t>
  </si>
  <si>
    <t>picotements (3), démangeaisons (2)</t>
  </si>
  <si>
    <t xml:space="preserve">picotements (2), somnolence (3), difficulté de concentration (2) </t>
  </si>
  <si>
    <t>changement d'humeur (3)</t>
  </si>
  <si>
    <t>picotements(2),démangeaisons(2)</t>
  </si>
  <si>
    <t>picotements(2), démangeaisons(2)</t>
  </si>
  <si>
    <t>somnolence (2), difficulté de concentration (2), changement d'humeur important (2)</t>
  </si>
  <si>
    <t>Duration hh mm ss active</t>
  </si>
  <si>
    <t>Duration hh mm ss sham</t>
  </si>
  <si>
    <t>Category</t>
  </si>
  <si>
    <t>Active</t>
  </si>
  <si>
    <t>First_allocation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</si>
</sst>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1"/>
      <color theme="1"/>
      <name val="Calibri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theme="5" tint="0.79998168889431442"/>
        <bgColor rgb="FFD6DCE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2" borderId="3" xfId="0" applyFont="1" applyFill="1" applyBorder="1"/>
    <xf numFmtId="0" fontId="2" fillId="3" borderId="3" xfId="0" applyFont="1" applyFill="1" applyBorder="1"/>
    <xf numFmtId="0" fontId="2" fillId="2" borderId="5" xfId="0" applyFont="1" applyFill="1" applyBorder="1"/>
    <xf numFmtId="0" fontId="2" fillId="2" borderId="4" xfId="0" applyFont="1" applyFill="1" applyBorder="1"/>
    <xf numFmtId="0" fontId="2" fillId="2" borderId="6" xfId="0" applyFont="1" applyFill="1" applyBorder="1"/>
    <xf numFmtId="0" fontId="3" fillId="0" borderId="0" xfId="0" applyFont="1"/>
    <xf numFmtId="0" fontId="0" fillId="4" borderId="0" xfId="0" applyFill="1"/>
    <xf numFmtId="0" fontId="4" fillId="4" borderId="0" xfId="0" applyFont="1" applyFill="1"/>
    <xf numFmtId="0" fontId="4" fillId="0" borderId="0" xfId="0" applyFont="1"/>
    <xf numFmtId="0" fontId="4" fillId="0" borderId="0" xfId="0" applyNumberFormat="1" applyFont="1"/>
    <xf numFmtId="164" fontId="0" fillId="0" borderId="0" xfId="0" applyNumberFormat="1"/>
    <xf numFmtId="0" fontId="0" fillId="4" borderId="0" xfId="0" applyNumberFormat="1" applyFill="1"/>
    <xf numFmtId="0" fontId="0" fillId="0" borderId="0" xfId="0" applyNumberFormat="1"/>
    <xf numFmtId="0" fontId="3" fillId="5" borderId="0" xfId="0" applyFont="1" applyFill="1"/>
    <xf numFmtId="20" fontId="4" fillId="0" borderId="0" xfId="0" applyNumberFormat="1" applyFont="1"/>
    <xf numFmtId="20" fontId="0" fillId="0" borderId="0" xfId="0" applyNumberFormat="1"/>
    <xf numFmtId="20" fontId="4" fillId="4" borderId="0" xfId="0" applyNumberFormat="1" applyFont="1" applyFill="1"/>
    <xf numFmtId="20" fontId="0" fillId="4" borderId="0" xfId="0" applyNumberFormat="1" applyFill="1"/>
    <xf numFmtId="20" fontId="2" fillId="4" borderId="0" xfId="0" applyNumberFormat="1" applyFont="1" applyFill="1"/>
    <xf numFmtId="0" fontId="2" fillId="4" borderId="0" xfId="0" applyFont="1" applyFill="1"/>
    <xf numFmtId="20" fontId="2" fillId="0" borderId="0" xfId="0" applyNumberFormat="1" applyFont="1"/>
    <xf numFmtId="0" fontId="2" fillId="0" borderId="0" xfId="0" applyFont="1"/>
    <xf numFmtId="0" fontId="5" fillId="0" borderId="0" xfId="0" applyFont="1" applyBorder="1"/>
    <xf numFmtId="0" fontId="5" fillId="0" borderId="0" xfId="0" applyFont="1" applyFill="1" applyBorder="1"/>
    <xf numFmtId="20" fontId="4" fillId="0" borderId="0" xfId="0" applyNumberFormat="1" applyFont="1" applyAlignment="1"/>
    <xf numFmtId="0" fontId="0" fillId="4" borderId="0" xfId="0" applyFont="1" applyFill="1" applyAlignment="1"/>
    <xf numFmtId="0" fontId="4" fillId="0" borderId="0" xfId="0" applyFont="1" applyAlignment="1"/>
    <xf numFmtId="0" fontId="4" fillId="4" borderId="0" xfId="0" applyFont="1" applyFill="1" applyAlignment="1"/>
    <xf numFmtId="0" fontId="2" fillId="0" borderId="0" xfId="0" applyFont="1" applyAlignment="1"/>
    <xf numFmtId="0" fontId="2" fillId="0" borderId="0" xfId="0" applyFont="1" applyFill="1" applyBorder="1" applyAlignment="1"/>
    <xf numFmtId="20" fontId="2" fillId="0" borderId="0" xfId="0" applyNumberFormat="1" applyFont="1" applyAlignment="1"/>
    <xf numFmtId="20" fontId="2" fillId="0" borderId="0" xfId="0" applyNumberFormat="1" applyFont="1" applyFill="1" applyAlignment="1"/>
    <xf numFmtId="20" fontId="0" fillId="0" borderId="0" xfId="0" applyNumberFormat="1" applyFont="1" applyAlignment="1"/>
    <xf numFmtId="0" fontId="0" fillId="0" borderId="0" xfId="0" applyFont="1" applyAlignment="1"/>
    <xf numFmtId="0" fontId="0" fillId="0" borderId="0" xfId="0" applyFont="1" applyBorder="1" applyAlignment="1"/>
    <xf numFmtId="45" fontId="0" fillId="0" borderId="0" xfId="0" applyNumberFormat="1" applyFont="1" applyAlignment="1"/>
    <xf numFmtId="0" fontId="4" fillId="0" borderId="0" xfId="0" applyFont="1" applyFill="1" applyAlignment="1"/>
    <xf numFmtId="0" fontId="4" fillId="0" borderId="0" xfId="0" applyFont="1" applyFill="1" applyBorder="1" applyAlignment="1"/>
    <xf numFmtId="20" fontId="4" fillId="0" borderId="0" xfId="0" applyNumberFormat="1" applyFont="1" applyFill="1" applyAlignment="1"/>
    <xf numFmtId="45" fontId="0" fillId="0" borderId="0" xfId="0" applyNumberFormat="1"/>
    <xf numFmtId="0" fontId="0" fillId="4" borderId="0" xfId="0" applyFont="1" applyFill="1" applyBorder="1" applyAlignment="1"/>
    <xf numFmtId="0" fontId="2" fillId="4" borderId="0" xfId="0" applyFont="1" applyFill="1" applyAlignment="1"/>
    <xf numFmtId="0" fontId="0" fillId="0" borderId="0" xfId="0" applyFont="1" applyFill="1" applyAlignment="1"/>
    <xf numFmtId="21" fontId="4" fillId="0" borderId="0" xfId="0" applyNumberFormat="1" applyFont="1" applyAlignment="1"/>
    <xf numFmtId="21" fontId="4" fillId="4" borderId="0" xfId="0" applyNumberFormat="1" applyFont="1" applyFill="1"/>
    <xf numFmtId="21" fontId="4" fillId="0" borderId="0" xfId="0" applyNumberFormat="1" applyFont="1"/>
    <xf numFmtId="21" fontId="0" fillId="4" borderId="0" xfId="0" applyNumberFormat="1" applyFont="1" applyFill="1" applyAlignment="1"/>
    <xf numFmtId="21" fontId="4" fillId="0" borderId="0" xfId="0" applyNumberFormat="1" applyFont="1" applyFill="1" applyAlignment="1"/>
    <xf numFmtId="21" fontId="0" fillId="0" borderId="0" xfId="0" applyNumberFormat="1" applyFont="1" applyAlignment="1"/>
    <xf numFmtId="21" fontId="0" fillId="0" borderId="0" xfId="0" applyNumberFormat="1"/>
    <xf numFmtId="165" fontId="0" fillId="0" borderId="0" xfId="0" applyNumberFormat="1"/>
    <xf numFmtId="0" fontId="6" fillId="0" borderId="0" xfId="0" applyFont="1" applyBorder="1"/>
    <xf numFmtId="165" fontId="0" fillId="4" borderId="0" xfId="0" applyNumberFormat="1" applyFill="1"/>
    <xf numFmtId="21" fontId="2" fillId="0" borderId="0" xfId="0" applyNumberFormat="1" applyFont="1" applyAlignment="1"/>
    <xf numFmtId="21" fontId="2" fillId="0" borderId="0" xfId="0" applyNumberFormat="1" applyFont="1" applyFill="1" applyAlignment="1"/>
    <xf numFmtId="165" fontId="0" fillId="0" borderId="0" xfId="0" applyNumberFormat="1" applyFill="1"/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27B5-1259-4233-A016-38F727E18756}">
  <dimension ref="A1:BJ55"/>
  <sheetViews>
    <sheetView tabSelected="1" zoomScale="110" zoomScaleNormal="110" workbookViewId="0"/>
  </sheetViews>
  <sheetFormatPr baseColWidth="10" defaultRowHeight="14.5" x14ac:dyDescent="0.35"/>
  <cols>
    <col min="4" max="4" width="25.81640625" customWidth="1"/>
    <col min="5" max="5" width="24.1796875" customWidth="1"/>
    <col min="10" max="10" width="18.54296875" customWidth="1"/>
    <col min="11" max="11" width="17.54296875" customWidth="1"/>
    <col min="12" max="12" width="16.1796875" customWidth="1"/>
    <col min="16" max="16" width="10.1796875" customWidth="1"/>
    <col min="19" max="19" width="21.54296875" customWidth="1"/>
    <col min="20" max="21" width="20.90625" customWidth="1"/>
    <col min="22" max="22" width="14.81640625" customWidth="1"/>
    <col min="23" max="24" width="16.81640625" customWidth="1"/>
    <col min="25" max="25" width="15" customWidth="1"/>
    <col min="26" max="26" width="10.26953125" customWidth="1"/>
    <col min="27" max="27" width="8.6328125" customWidth="1"/>
    <col min="28" max="28" width="8.7265625" customWidth="1"/>
    <col min="29" max="29" width="12.453125" customWidth="1"/>
    <col min="30" max="30" width="13" customWidth="1"/>
    <col min="31" max="31" width="9.08984375" customWidth="1"/>
    <col min="32" max="32" width="9.36328125" customWidth="1"/>
    <col min="34" max="34" width="8.36328125" customWidth="1"/>
    <col min="35" max="35" width="14.81640625" customWidth="1"/>
    <col min="36" max="36" width="11.453125" customWidth="1"/>
    <col min="37" max="37" width="13.08984375" customWidth="1"/>
    <col min="38" max="39" width="16.54296875" customWidth="1"/>
    <col min="40" max="40" width="15.08984375" customWidth="1"/>
    <col min="41" max="41" width="10" customWidth="1"/>
    <col min="42" max="42" width="8.36328125" customWidth="1"/>
    <col min="43" max="43" width="8.7265625" customWidth="1"/>
    <col min="44" max="44" width="12.81640625" customWidth="1"/>
    <col min="45" max="45" width="13" customWidth="1"/>
    <col min="46" max="46" width="9.08984375" customWidth="1"/>
    <col min="47" max="47" width="9.36328125" customWidth="1"/>
    <col min="49" max="49" width="8.08984375" customWidth="1"/>
    <col min="50" max="50" width="15.08984375" customWidth="1"/>
    <col min="51" max="51" width="11.6328125" customWidth="1"/>
    <col min="53" max="53" width="16.7265625" customWidth="1"/>
    <col min="54" max="54" width="15.36328125" customWidth="1"/>
    <col min="55" max="55" width="10.1796875" customWidth="1"/>
    <col min="56" max="56" width="8.7265625" customWidth="1"/>
    <col min="57" max="57" width="8.54296875" customWidth="1"/>
    <col min="58" max="58" width="12.7265625" customWidth="1"/>
    <col min="59" max="59" width="13.54296875" customWidth="1"/>
    <col min="60" max="60" width="9.08984375" customWidth="1"/>
  </cols>
  <sheetData>
    <row r="1" spans="1:62" ht="18.5" x14ac:dyDescent="0.45">
      <c r="A1" s="1" t="s">
        <v>0</v>
      </c>
      <c r="B1" s="2" t="s">
        <v>1</v>
      </c>
      <c r="C1" s="8" t="s">
        <v>54</v>
      </c>
      <c r="D1" s="8" t="s">
        <v>65</v>
      </c>
      <c r="E1" s="8" t="s">
        <v>71</v>
      </c>
      <c r="F1" s="8" t="s">
        <v>57</v>
      </c>
      <c r="G1" s="8" t="s">
        <v>58</v>
      </c>
      <c r="H1" s="8" t="s">
        <v>59</v>
      </c>
      <c r="I1" s="8" t="s">
        <v>60</v>
      </c>
      <c r="J1" s="8" t="s">
        <v>63</v>
      </c>
      <c r="K1" s="8" t="s">
        <v>64</v>
      </c>
      <c r="L1" s="16" t="s">
        <v>80</v>
      </c>
      <c r="M1" s="8" t="s">
        <v>61</v>
      </c>
      <c r="N1" s="8" t="s">
        <v>220</v>
      </c>
      <c r="O1" s="8" t="s">
        <v>62</v>
      </c>
      <c r="P1" s="8" t="s">
        <v>81</v>
      </c>
      <c r="Q1" s="8" t="s">
        <v>82</v>
      </c>
      <c r="R1" s="8" t="s">
        <v>83</v>
      </c>
      <c r="S1" s="8" t="s">
        <v>84</v>
      </c>
      <c r="T1" s="8" t="s">
        <v>85</v>
      </c>
      <c r="U1" s="8" t="s">
        <v>222</v>
      </c>
      <c r="V1" s="16" t="s">
        <v>125</v>
      </c>
      <c r="W1" s="25" t="s">
        <v>161</v>
      </c>
      <c r="X1" s="54" t="s">
        <v>218</v>
      </c>
      <c r="Y1" s="26" t="s">
        <v>126</v>
      </c>
      <c r="Z1" s="26" t="s">
        <v>127</v>
      </c>
      <c r="AA1" s="26" t="s">
        <v>128</v>
      </c>
      <c r="AB1" s="26" t="s">
        <v>129</v>
      </c>
      <c r="AC1" s="26" t="s">
        <v>130</v>
      </c>
      <c r="AD1" s="26" t="s">
        <v>131</v>
      </c>
      <c r="AE1" s="26" t="s">
        <v>132</v>
      </c>
      <c r="AF1" s="26" t="s">
        <v>133</v>
      </c>
      <c r="AG1" s="26" t="s">
        <v>134</v>
      </c>
      <c r="AH1" s="26" t="s">
        <v>135</v>
      </c>
      <c r="AI1" s="26" t="s">
        <v>136</v>
      </c>
      <c r="AJ1" s="26" t="s">
        <v>150</v>
      </c>
      <c r="AK1" s="16" t="s">
        <v>137</v>
      </c>
      <c r="AL1" s="26" t="s">
        <v>138</v>
      </c>
      <c r="AM1" s="26" t="s">
        <v>219</v>
      </c>
      <c r="AN1" s="26" t="s">
        <v>139</v>
      </c>
      <c r="AO1" s="26" t="s">
        <v>140</v>
      </c>
      <c r="AP1" s="26" t="s">
        <v>141</v>
      </c>
      <c r="AQ1" s="26" t="s">
        <v>142</v>
      </c>
      <c r="AR1" s="26" t="s">
        <v>143</v>
      </c>
      <c r="AS1" s="26" t="s">
        <v>144</v>
      </c>
      <c r="AT1" s="26" t="s">
        <v>145</v>
      </c>
      <c r="AU1" s="26" t="s">
        <v>146</v>
      </c>
      <c r="AV1" s="26" t="s">
        <v>147</v>
      </c>
      <c r="AW1" s="26" t="s">
        <v>148</v>
      </c>
      <c r="AX1" s="26" t="s">
        <v>149</v>
      </c>
      <c r="AY1" s="26" t="s">
        <v>150</v>
      </c>
      <c r="AZ1" s="16" t="s">
        <v>151</v>
      </c>
      <c r="BA1" s="25" t="s">
        <v>152</v>
      </c>
      <c r="BB1" s="26" t="s">
        <v>153</v>
      </c>
      <c r="BC1" s="26" t="s">
        <v>154</v>
      </c>
      <c r="BD1" s="26" t="s">
        <v>155</v>
      </c>
      <c r="BE1" s="26" t="s">
        <v>156</v>
      </c>
      <c r="BF1" s="26" t="s">
        <v>157</v>
      </c>
      <c r="BG1" s="26" t="s">
        <v>158</v>
      </c>
      <c r="BH1" s="26" t="s">
        <v>159</v>
      </c>
      <c r="BI1" s="26" t="s">
        <v>160</v>
      </c>
    </row>
    <row r="2" spans="1:62" x14ac:dyDescent="0.35">
      <c r="A2" s="4">
        <v>1</v>
      </c>
      <c r="B2" s="4" t="s">
        <v>30</v>
      </c>
      <c r="C2" s="9" t="s">
        <v>55</v>
      </c>
      <c r="D2" s="9" t="s">
        <v>76</v>
      </c>
      <c r="E2" s="9" t="s">
        <v>77</v>
      </c>
      <c r="F2" s="10">
        <v>21</v>
      </c>
      <c r="G2" s="10">
        <v>60</v>
      </c>
      <c r="H2" s="10">
        <v>173.5</v>
      </c>
      <c r="I2" s="10">
        <v>14.9</v>
      </c>
      <c r="J2" s="10">
        <v>8</v>
      </c>
      <c r="K2" s="10">
        <v>10</v>
      </c>
      <c r="L2" s="9"/>
      <c r="M2" s="10">
        <v>50.1</v>
      </c>
      <c r="N2" s="10" t="str">
        <f>IF(M2&gt;45,"confirmed","beginner")</f>
        <v>confirmed</v>
      </c>
      <c r="O2" s="10">
        <v>14</v>
      </c>
      <c r="P2" s="21">
        <v>0.37638888888888888</v>
      </c>
      <c r="Q2" s="22">
        <v>214</v>
      </c>
      <c r="R2" s="22">
        <v>1.35</v>
      </c>
      <c r="S2" s="22" t="s">
        <v>86</v>
      </c>
      <c r="T2" s="22" t="s">
        <v>86</v>
      </c>
      <c r="U2" s="22" t="s">
        <v>181</v>
      </c>
      <c r="V2" s="9"/>
      <c r="W2" s="19"/>
      <c r="X2" s="47"/>
      <c r="Y2" s="9"/>
      <c r="Z2" s="10"/>
      <c r="AA2" s="10"/>
      <c r="AB2" s="10"/>
      <c r="AC2" s="10"/>
      <c r="AD2" s="10"/>
      <c r="AE2" s="10"/>
      <c r="AF2" s="10"/>
      <c r="AG2" s="10"/>
      <c r="AH2" s="10"/>
      <c r="AI2" s="9"/>
      <c r="AJ2" s="10"/>
      <c r="AK2" s="9"/>
      <c r="AL2" s="19">
        <v>0.14375000000000002</v>
      </c>
      <c r="AM2" s="47">
        <v>2.3958333333333336E-3</v>
      </c>
      <c r="AN2" s="55">
        <f t="shared" ref="AN2:AN14" si="0" xml:space="preserve"> AM2/("0:1:0")</f>
        <v>3.45</v>
      </c>
      <c r="AO2" s="10">
        <v>42.5</v>
      </c>
      <c r="AP2" s="10">
        <v>201</v>
      </c>
      <c r="AQ2" s="10">
        <v>1.19</v>
      </c>
      <c r="AR2" s="10"/>
      <c r="AS2" s="10"/>
      <c r="AT2" s="10"/>
      <c r="AU2" s="10"/>
      <c r="AV2" s="10" t="s">
        <v>162</v>
      </c>
      <c r="AW2" s="10">
        <v>3</v>
      </c>
      <c r="AX2" s="9" t="s">
        <v>208</v>
      </c>
      <c r="AY2" s="10" t="s">
        <v>165</v>
      </c>
      <c r="AZ2" s="9"/>
      <c r="BA2" s="9"/>
      <c r="BB2" s="28"/>
      <c r="BC2" s="9"/>
      <c r="BD2" s="28"/>
      <c r="BE2" s="28"/>
      <c r="BF2" s="28"/>
      <c r="BG2" s="28"/>
      <c r="BH2" s="28"/>
      <c r="BI2" s="28"/>
      <c r="BJ2" s="45"/>
    </row>
    <row r="3" spans="1:62" x14ac:dyDescent="0.35">
      <c r="A3" s="3">
        <v>2</v>
      </c>
      <c r="B3" s="3" t="s">
        <v>31</v>
      </c>
      <c r="C3" t="s">
        <v>56</v>
      </c>
      <c r="F3" s="11">
        <v>23</v>
      </c>
      <c r="G3" s="11">
        <v>83.5</v>
      </c>
      <c r="H3" s="11">
        <v>179</v>
      </c>
      <c r="I3" s="11">
        <v>18.37</v>
      </c>
      <c r="J3" s="11">
        <v>20</v>
      </c>
      <c r="K3" s="11">
        <v>6.5</v>
      </c>
      <c r="M3" s="11">
        <v>46.7</v>
      </c>
      <c r="N3" s="59" t="str">
        <f t="shared" ref="N3:N55" si="1">IF(M3&gt;45,"confirmed","beginner")</f>
        <v>confirmed</v>
      </c>
      <c r="O3" s="11">
        <v>14</v>
      </c>
      <c r="P3" s="23">
        <v>0.37847222222222227</v>
      </c>
      <c r="Q3" s="24">
        <v>197</v>
      </c>
      <c r="R3" s="24">
        <v>1.23</v>
      </c>
      <c r="S3" s="24" t="s">
        <v>86</v>
      </c>
      <c r="T3" s="24" t="s">
        <v>87</v>
      </c>
      <c r="U3" t="s">
        <v>181</v>
      </c>
      <c r="V3" s="11"/>
      <c r="W3" s="27">
        <v>0.62638888888888888</v>
      </c>
      <c r="X3" s="46">
        <v>1.0439814814814813E-2</v>
      </c>
      <c r="Y3" s="53">
        <f xml:space="preserve"> X3/("0:1:0")</f>
        <v>15.03333333333333</v>
      </c>
      <c r="Z3" s="29">
        <v>44.7</v>
      </c>
      <c r="AA3" s="29">
        <v>195</v>
      </c>
      <c r="AB3" s="29">
        <v>1.1299999999999999</v>
      </c>
      <c r="AC3" s="29">
        <v>2.23</v>
      </c>
      <c r="AD3" s="29">
        <v>9.8000000000000007</v>
      </c>
      <c r="AE3" s="29">
        <v>6</v>
      </c>
      <c r="AF3" s="29">
        <v>20</v>
      </c>
      <c r="AG3" s="29" t="s">
        <v>175</v>
      </c>
      <c r="AH3" s="29">
        <v>3</v>
      </c>
      <c r="AI3" t="s">
        <v>208</v>
      </c>
      <c r="AJ3" s="11" t="s">
        <v>166</v>
      </c>
      <c r="AK3" s="11"/>
      <c r="AL3" s="27">
        <v>0.4909722222222222</v>
      </c>
      <c r="AM3" s="46">
        <v>8.1828703703703699E-3</v>
      </c>
      <c r="AN3" s="58">
        <f t="shared" si="0"/>
        <v>11.783333333333331</v>
      </c>
      <c r="AO3" s="29">
        <v>46.8</v>
      </c>
      <c r="AP3" s="29">
        <v>193</v>
      </c>
      <c r="AQ3" s="29">
        <v>1.17</v>
      </c>
      <c r="AR3" s="29">
        <v>2.08</v>
      </c>
      <c r="AS3" s="29">
        <v>7.84</v>
      </c>
      <c r="AT3" s="29">
        <v>7</v>
      </c>
      <c r="AU3" s="29">
        <v>20</v>
      </c>
      <c r="AV3" s="29" t="s">
        <v>162</v>
      </c>
      <c r="AW3" s="29">
        <v>2</v>
      </c>
      <c r="AX3" t="s">
        <v>208</v>
      </c>
      <c r="AY3" s="29" t="s">
        <v>166</v>
      </c>
      <c r="BB3" s="36"/>
      <c r="BD3" s="36"/>
      <c r="BE3" s="36"/>
      <c r="BF3" s="36"/>
      <c r="BG3" s="36"/>
      <c r="BH3" s="36"/>
      <c r="BI3" s="36"/>
      <c r="BJ3" s="45"/>
    </row>
    <row r="4" spans="1:62" x14ac:dyDescent="0.35">
      <c r="A4" s="3">
        <v>3</v>
      </c>
      <c r="B4" s="3" t="s">
        <v>32</v>
      </c>
      <c r="C4" t="s">
        <v>56</v>
      </c>
      <c r="F4" s="11">
        <v>20</v>
      </c>
      <c r="G4" s="11">
        <v>76</v>
      </c>
      <c r="H4" s="11">
        <v>189</v>
      </c>
      <c r="I4" s="11">
        <v>9.07</v>
      </c>
      <c r="J4" s="11">
        <v>16</v>
      </c>
      <c r="K4" s="11">
        <v>6</v>
      </c>
      <c r="M4" s="11">
        <v>48.8</v>
      </c>
      <c r="N4" s="59" t="str">
        <f t="shared" si="1"/>
        <v>confirmed</v>
      </c>
      <c r="O4" s="11">
        <v>16.3</v>
      </c>
      <c r="P4" s="23">
        <v>0.53333333333333333</v>
      </c>
      <c r="Q4" s="24">
        <v>179</v>
      </c>
      <c r="R4" s="24">
        <v>1.18</v>
      </c>
      <c r="S4" s="24" t="s">
        <v>88</v>
      </c>
      <c r="T4" s="24" t="s">
        <v>89</v>
      </c>
      <c r="U4" s="11" t="s">
        <v>221</v>
      </c>
      <c r="V4" s="11"/>
      <c r="W4" s="17">
        <v>0.65347222222222223</v>
      </c>
      <c r="X4" s="48">
        <v>1.0891203703703703E-2</v>
      </c>
      <c r="Y4" s="53">
        <f xml:space="preserve"> X4/("0:1:0")</f>
        <v>15.683333333333332</v>
      </c>
      <c r="Z4" s="11">
        <v>47.3</v>
      </c>
      <c r="AA4" s="11">
        <v>160</v>
      </c>
      <c r="AB4" s="11">
        <v>1.2</v>
      </c>
      <c r="AC4" s="11">
        <v>1.56</v>
      </c>
      <c r="AD4" s="11">
        <v>7.33</v>
      </c>
      <c r="AE4" s="11">
        <v>6</v>
      </c>
      <c r="AF4" s="11">
        <v>19</v>
      </c>
      <c r="AG4" s="11" t="s">
        <v>162</v>
      </c>
      <c r="AH4" s="11">
        <v>4</v>
      </c>
      <c r="AI4" t="s">
        <v>208</v>
      </c>
      <c r="AJ4" s="11" t="s">
        <v>167</v>
      </c>
      <c r="AK4" s="11"/>
      <c r="AL4" s="27">
        <v>0.63124999999999998</v>
      </c>
      <c r="AM4" s="46">
        <v>1.0520833333333333E-2</v>
      </c>
      <c r="AN4" s="58">
        <f t="shared" si="0"/>
        <v>15.15</v>
      </c>
      <c r="AO4" s="29">
        <v>52.4</v>
      </c>
      <c r="AP4" s="29">
        <v>172</v>
      </c>
      <c r="AQ4" s="29">
        <v>1.19</v>
      </c>
      <c r="AR4" s="29">
        <v>3.33</v>
      </c>
      <c r="AS4" s="29">
        <v>7.19</v>
      </c>
      <c r="AT4" s="29">
        <v>6</v>
      </c>
      <c r="AU4" s="29">
        <v>18</v>
      </c>
      <c r="AV4" s="11" t="s">
        <v>176</v>
      </c>
      <c r="AW4" s="11">
        <v>3</v>
      </c>
      <c r="AX4" t="s">
        <v>208</v>
      </c>
      <c r="AY4" s="29" t="s">
        <v>177</v>
      </c>
      <c r="BB4" s="36"/>
      <c r="BD4" s="36"/>
      <c r="BE4" s="36"/>
      <c r="BF4" s="36"/>
      <c r="BG4" s="36"/>
      <c r="BH4" s="36"/>
      <c r="BI4" s="36"/>
      <c r="BJ4" s="45"/>
    </row>
    <row r="5" spans="1:62" x14ac:dyDescent="0.35">
      <c r="A5" s="4">
        <v>4</v>
      </c>
      <c r="B5" s="4" t="s">
        <v>33</v>
      </c>
      <c r="C5" s="9" t="s">
        <v>55</v>
      </c>
      <c r="D5" s="9" t="s">
        <v>78</v>
      </c>
      <c r="E5" s="9" t="s">
        <v>79</v>
      </c>
      <c r="F5" s="10">
        <v>26</v>
      </c>
      <c r="G5" s="10">
        <v>70</v>
      </c>
      <c r="H5" s="10">
        <v>180</v>
      </c>
      <c r="I5" s="10">
        <v>12.73</v>
      </c>
      <c r="J5" s="10">
        <v>15</v>
      </c>
      <c r="K5" s="10">
        <v>3</v>
      </c>
      <c r="L5" s="9"/>
      <c r="M5" s="10">
        <v>49.2</v>
      </c>
      <c r="N5" s="10" t="str">
        <f t="shared" si="1"/>
        <v>confirmed</v>
      </c>
      <c r="O5" s="10">
        <v>17.3</v>
      </c>
      <c r="P5" s="21">
        <v>0.54513888888888895</v>
      </c>
      <c r="Q5" s="22">
        <v>202</v>
      </c>
      <c r="R5" s="22">
        <v>1.34</v>
      </c>
      <c r="S5" s="22" t="s">
        <v>90</v>
      </c>
      <c r="T5" s="22" t="s">
        <v>91</v>
      </c>
      <c r="U5" s="22" t="s">
        <v>181</v>
      </c>
      <c r="V5" s="9"/>
      <c r="W5" s="19"/>
      <c r="X5" s="47"/>
      <c r="Y5" s="55"/>
      <c r="Z5" s="10"/>
      <c r="AA5" s="10"/>
      <c r="AB5" s="10"/>
      <c r="AC5" s="10"/>
      <c r="AD5" s="30"/>
      <c r="AE5" s="30"/>
      <c r="AF5" s="10"/>
      <c r="AG5" s="10"/>
      <c r="AH5" s="10"/>
      <c r="AI5" s="9"/>
      <c r="AJ5" s="10"/>
      <c r="AK5" s="9"/>
      <c r="AL5" s="19">
        <v>0.2722222222222222</v>
      </c>
      <c r="AM5" s="47">
        <v>4.5370370370370365E-3</v>
      </c>
      <c r="AN5" s="55">
        <f t="shared" si="0"/>
        <v>6.5333333333333323</v>
      </c>
      <c r="AO5" s="10">
        <v>52.7</v>
      </c>
      <c r="AP5" s="10">
        <v>191</v>
      </c>
      <c r="AQ5" s="10">
        <v>1.22</v>
      </c>
      <c r="AR5" s="10">
        <v>9.91</v>
      </c>
      <c r="AS5" s="30">
        <v>12.89</v>
      </c>
      <c r="AT5" s="30">
        <v>12</v>
      </c>
      <c r="AU5" s="10">
        <v>17</v>
      </c>
      <c r="AV5" s="10" t="s">
        <v>162</v>
      </c>
      <c r="AW5" s="10">
        <v>1</v>
      </c>
      <c r="AX5" s="9" t="s">
        <v>208</v>
      </c>
      <c r="AY5" s="10" t="s">
        <v>168</v>
      </c>
      <c r="AZ5" s="9"/>
      <c r="BA5" s="9"/>
      <c r="BB5" s="28"/>
      <c r="BC5" s="9"/>
      <c r="BD5" s="28"/>
      <c r="BE5" s="28"/>
      <c r="BF5" s="28"/>
      <c r="BG5" s="28"/>
      <c r="BH5" s="28"/>
      <c r="BI5" s="28"/>
      <c r="BJ5" s="45"/>
    </row>
    <row r="6" spans="1:62" x14ac:dyDescent="0.35">
      <c r="A6" s="3">
        <v>5</v>
      </c>
      <c r="B6" s="3" t="s">
        <v>34</v>
      </c>
      <c r="C6" t="s">
        <v>56</v>
      </c>
      <c r="F6" s="11">
        <v>21</v>
      </c>
      <c r="G6" s="11">
        <v>72.599999999999994</v>
      </c>
      <c r="H6" s="11">
        <v>175</v>
      </c>
      <c r="I6" s="11">
        <v>14.22</v>
      </c>
      <c r="J6" s="11">
        <v>15</v>
      </c>
      <c r="K6" s="11">
        <v>4.5</v>
      </c>
      <c r="M6" s="11">
        <v>49.3</v>
      </c>
      <c r="N6" s="59" t="str">
        <f t="shared" si="1"/>
        <v>confirmed</v>
      </c>
      <c r="O6" s="11">
        <v>16</v>
      </c>
      <c r="P6" s="23">
        <v>0.50555555555555554</v>
      </c>
      <c r="Q6" s="24">
        <v>192</v>
      </c>
      <c r="R6" s="24">
        <v>1.3</v>
      </c>
      <c r="S6" s="24" t="s">
        <v>90</v>
      </c>
      <c r="T6" s="24" t="s">
        <v>92</v>
      </c>
      <c r="U6" t="s">
        <v>181</v>
      </c>
      <c r="V6" s="11"/>
      <c r="W6" s="17">
        <v>0.36388888888888887</v>
      </c>
      <c r="X6" s="48">
        <v>6.0648148148148145E-3</v>
      </c>
      <c r="Y6" s="53">
        <f t="shared" ref="Y6:Y14" si="2" xml:space="preserve"> X6/("0:1:0")</f>
        <v>8.7333333333333325</v>
      </c>
      <c r="Z6" s="11">
        <v>40.799999999999997</v>
      </c>
      <c r="AA6" s="11">
        <v>185</v>
      </c>
      <c r="AB6" s="11">
        <v>1.25</v>
      </c>
      <c r="AC6" s="11">
        <v>2.19</v>
      </c>
      <c r="AD6" s="11">
        <v>7.94</v>
      </c>
      <c r="AE6" s="11">
        <v>12</v>
      </c>
      <c r="AF6" s="11">
        <v>19</v>
      </c>
      <c r="AG6" s="11" t="s">
        <v>164</v>
      </c>
      <c r="AH6" s="11">
        <v>4</v>
      </c>
      <c r="AI6" t="s">
        <v>208</v>
      </c>
      <c r="AJ6" s="11" t="s">
        <v>168</v>
      </c>
      <c r="AK6" s="11"/>
      <c r="AL6" s="17">
        <v>0.33888888888888885</v>
      </c>
      <c r="AM6" s="48">
        <v>5.6481481481481478E-3</v>
      </c>
      <c r="AN6" s="58">
        <f t="shared" si="0"/>
        <v>8.1333333333333329</v>
      </c>
      <c r="AO6" s="11">
        <v>44.1</v>
      </c>
      <c r="AP6" s="11">
        <v>184</v>
      </c>
      <c r="AQ6" s="11">
        <v>1.1499999999999999</v>
      </c>
      <c r="AR6" s="11">
        <v>6.09</v>
      </c>
      <c r="AS6" s="29">
        <v>8.65</v>
      </c>
      <c r="AT6" s="29">
        <v>13</v>
      </c>
      <c r="AU6" s="11">
        <v>18</v>
      </c>
      <c r="AV6" s="11" t="s">
        <v>162</v>
      </c>
      <c r="AW6" s="11">
        <v>2</v>
      </c>
      <c r="AX6" t="s">
        <v>208</v>
      </c>
      <c r="AY6" s="11" t="s">
        <v>168</v>
      </c>
      <c r="BB6" s="36"/>
      <c r="BD6" s="36"/>
      <c r="BE6" s="36"/>
      <c r="BF6" s="36"/>
      <c r="BG6" s="36"/>
      <c r="BH6" s="36"/>
      <c r="BI6" s="36"/>
      <c r="BJ6" s="36"/>
    </row>
    <row r="7" spans="1:62" x14ac:dyDescent="0.35">
      <c r="A7" s="3">
        <v>6</v>
      </c>
      <c r="B7" s="3" t="s">
        <v>35</v>
      </c>
      <c r="C7" t="s">
        <v>56</v>
      </c>
      <c r="F7" s="11">
        <v>19</v>
      </c>
      <c r="G7" s="11">
        <v>71</v>
      </c>
      <c r="H7" s="11">
        <v>180.6</v>
      </c>
      <c r="I7" s="11">
        <v>11.39</v>
      </c>
      <c r="J7" s="11">
        <v>5</v>
      </c>
      <c r="K7" s="11">
        <v>12</v>
      </c>
      <c r="M7" s="11">
        <v>57.9</v>
      </c>
      <c r="N7" s="59" t="str">
        <f t="shared" si="1"/>
        <v>confirmed</v>
      </c>
      <c r="O7" s="11">
        <v>17.2</v>
      </c>
      <c r="P7" s="23">
        <v>0.72499999999999998</v>
      </c>
      <c r="Q7" s="24">
        <v>194</v>
      </c>
      <c r="R7" s="24">
        <v>1.1299999999999999</v>
      </c>
      <c r="S7" s="24" t="s">
        <v>93</v>
      </c>
      <c r="T7" s="24" t="s">
        <v>94</v>
      </c>
      <c r="U7" t="s">
        <v>181</v>
      </c>
      <c r="V7" s="11"/>
      <c r="W7" s="27">
        <v>0.67638888888888893</v>
      </c>
      <c r="X7" s="46">
        <v>1.1273148148148148E-2</v>
      </c>
      <c r="Y7" s="53">
        <f t="shared" si="2"/>
        <v>16.233333333333334</v>
      </c>
      <c r="Z7" s="29">
        <v>59.9</v>
      </c>
      <c r="AA7" s="29">
        <v>188</v>
      </c>
      <c r="AB7" s="29">
        <v>1.1000000000000001</v>
      </c>
      <c r="AC7" s="29">
        <v>1.42</v>
      </c>
      <c r="AD7" s="29">
        <v>6.51</v>
      </c>
      <c r="AE7" s="29">
        <v>6</v>
      </c>
      <c r="AF7" s="29">
        <v>18</v>
      </c>
      <c r="AG7" s="29" t="s">
        <v>162</v>
      </c>
      <c r="AH7" s="29">
        <v>3</v>
      </c>
      <c r="AI7" t="s">
        <v>178</v>
      </c>
      <c r="AJ7" s="11"/>
      <c r="AK7" s="11"/>
      <c r="AL7" s="27">
        <v>0.85</v>
      </c>
      <c r="AM7" s="46">
        <v>1.4166666666666666E-2</v>
      </c>
      <c r="AN7" s="58">
        <f t="shared" si="0"/>
        <v>20.399999999999999</v>
      </c>
      <c r="AO7" s="29">
        <v>57.4</v>
      </c>
      <c r="AP7" s="29">
        <v>192</v>
      </c>
      <c r="AQ7" s="29">
        <v>0.94</v>
      </c>
      <c r="AR7" s="29">
        <v>3.12</v>
      </c>
      <c r="AS7" s="29">
        <v>9.1</v>
      </c>
      <c r="AT7" s="29">
        <v>6</v>
      </c>
      <c r="AU7" s="29">
        <v>20</v>
      </c>
      <c r="AV7" s="29" t="s">
        <v>175</v>
      </c>
      <c r="AW7" s="29">
        <v>2</v>
      </c>
      <c r="AX7" t="s">
        <v>208</v>
      </c>
      <c r="AY7" s="29" t="s">
        <v>169</v>
      </c>
      <c r="BA7" s="27">
        <v>0.90694444444444444</v>
      </c>
      <c r="BB7" s="27"/>
      <c r="BD7" s="36"/>
      <c r="BE7" s="36"/>
      <c r="BF7" s="29">
        <v>1.81</v>
      </c>
      <c r="BG7" s="29">
        <v>4.24</v>
      </c>
      <c r="BH7" s="29">
        <v>6</v>
      </c>
      <c r="BI7" s="29">
        <v>20</v>
      </c>
    </row>
    <row r="8" spans="1:62" x14ac:dyDescent="0.35">
      <c r="A8" s="3">
        <v>7</v>
      </c>
      <c r="B8" s="3" t="s">
        <v>36</v>
      </c>
      <c r="C8" t="s">
        <v>56</v>
      </c>
      <c r="F8" s="11">
        <v>20</v>
      </c>
      <c r="G8" s="11">
        <v>70.2</v>
      </c>
      <c r="H8" s="11">
        <v>183</v>
      </c>
      <c r="I8" s="11">
        <v>11.03</v>
      </c>
      <c r="J8" s="11">
        <v>16</v>
      </c>
      <c r="K8" s="11">
        <v>4.5</v>
      </c>
      <c r="M8" s="11">
        <v>39.4</v>
      </c>
      <c r="N8" s="59" t="str">
        <f t="shared" si="1"/>
        <v>beginner</v>
      </c>
      <c r="O8" s="11">
        <v>16</v>
      </c>
      <c r="P8" s="23">
        <v>0.38194444444444442</v>
      </c>
      <c r="Q8" s="24">
        <v>184</v>
      </c>
      <c r="R8" s="24">
        <v>1.19</v>
      </c>
      <c r="S8" s="24" t="s">
        <v>90</v>
      </c>
      <c r="T8" s="24" t="s">
        <v>95</v>
      </c>
      <c r="U8" t="s">
        <v>181</v>
      </c>
      <c r="V8" s="11"/>
      <c r="W8" s="27">
        <v>0.44374999999999998</v>
      </c>
      <c r="X8" s="46">
        <v>7.3958333333333341E-3</v>
      </c>
      <c r="Y8" s="53">
        <f t="shared" si="2"/>
        <v>10.65</v>
      </c>
      <c r="Z8" s="29">
        <v>36.9</v>
      </c>
      <c r="AA8" s="29">
        <v>176</v>
      </c>
      <c r="AB8" s="29">
        <v>1.1100000000000001</v>
      </c>
      <c r="AC8" s="29">
        <v>2.74</v>
      </c>
      <c r="AD8" s="29">
        <v>4.6900000000000004</v>
      </c>
      <c r="AE8" s="29">
        <v>7</v>
      </c>
      <c r="AF8" s="29">
        <v>20</v>
      </c>
      <c r="AG8" s="29" t="s">
        <v>164</v>
      </c>
      <c r="AH8" s="29">
        <v>2</v>
      </c>
      <c r="AI8" t="s">
        <v>208</v>
      </c>
      <c r="AJ8" s="11" t="s">
        <v>168</v>
      </c>
      <c r="AK8" s="11"/>
      <c r="AL8" s="27">
        <v>0.43125000000000002</v>
      </c>
      <c r="AM8" s="46">
        <v>7.1874999999999994E-3</v>
      </c>
      <c r="AN8" s="58">
        <f t="shared" si="0"/>
        <v>10.35</v>
      </c>
      <c r="AO8" s="29">
        <v>35</v>
      </c>
      <c r="AP8" s="29">
        <v>180</v>
      </c>
      <c r="AQ8" s="29">
        <v>0.99</v>
      </c>
      <c r="AR8" s="29">
        <v>2.17</v>
      </c>
      <c r="AS8" s="29">
        <v>3.81</v>
      </c>
      <c r="AT8" s="29">
        <v>8</v>
      </c>
      <c r="AU8" s="29">
        <v>17</v>
      </c>
      <c r="AV8" s="29" t="s">
        <v>162</v>
      </c>
      <c r="AW8" s="29">
        <v>3</v>
      </c>
      <c r="AX8" t="s">
        <v>208</v>
      </c>
      <c r="AY8" s="29" t="s">
        <v>170</v>
      </c>
      <c r="BA8" s="36"/>
      <c r="BB8" s="36"/>
      <c r="BD8" s="36"/>
      <c r="BE8" s="36"/>
      <c r="BF8" s="36"/>
      <c r="BG8" s="36"/>
      <c r="BH8" s="36"/>
      <c r="BI8" s="36"/>
    </row>
    <row r="9" spans="1:62" x14ac:dyDescent="0.35">
      <c r="A9" s="3">
        <v>8</v>
      </c>
      <c r="B9" s="3" t="s">
        <v>37</v>
      </c>
      <c r="C9" t="s">
        <v>56</v>
      </c>
      <c r="F9" s="11">
        <v>19</v>
      </c>
      <c r="G9" s="11">
        <v>76</v>
      </c>
      <c r="H9" s="11">
        <v>177</v>
      </c>
      <c r="I9" s="11">
        <v>13.84</v>
      </c>
      <c r="J9" s="11">
        <v>14</v>
      </c>
      <c r="K9" s="11">
        <v>20</v>
      </c>
      <c r="M9" s="11">
        <v>50.1</v>
      </c>
      <c r="N9" s="59" t="str">
        <f t="shared" si="1"/>
        <v>confirmed</v>
      </c>
      <c r="O9" s="11">
        <v>14</v>
      </c>
      <c r="P9" s="23">
        <v>0.50138888888888888</v>
      </c>
      <c r="Q9" s="24">
        <v>177</v>
      </c>
      <c r="R9" s="24">
        <v>1.26</v>
      </c>
      <c r="S9" s="24" t="s">
        <v>90</v>
      </c>
      <c r="T9" s="24" t="s">
        <v>87</v>
      </c>
      <c r="U9" s="11" t="s">
        <v>221</v>
      </c>
      <c r="V9" s="11"/>
      <c r="W9" s="27">
        <v>0.30277777777777776</v>
      </c>
      <c r="X9" s="46">
        <v>5.0462962962962961E-3</v>
      </c>
      <c r="Y9" s="53">
        <f t="shared" si="2"/>
        <v>7.2666666666666657</v>
      </c>
      <c r="Z9" s="29">
        <v>52.9</v>
      </c>
      <c r="AA9" s="29">
        <v>186</v>
      </c>
      <c r="AB9" s="29">
        <v>1.1399999999999999</v>
      </c>
      <c r="AC9" s="29">
        <v>1.86</v>
      </c>
      <c r="AD9" s="29">
        <v>5.38</v>
      </c>
      <c r="AE9" s="29">
        <v>6</v>
      </c>
      <c r="AF9" s="29">
        <v>20</v>
      </c>
      <c r="AG9" s="29" t="s">
        <v>163</v>
      </c>
      <c r="AH9" s="29">
        <v>1</v>
      </c>
      <c r="AI9" t="s">
        <v>208</v>
      </c>
      <c r="AJ9" s="11" t="s">
        <v>204</v>
      </c>
      <c r="AK9" s="11"/>
      <c r="AL9" s="27">
        <v>0.27777777777777779</v>
      </c>
      <c r="AM9" s="46">
        <v>4.6296296296296302E-3</v>
      </c>
      <c r="AN9" s="58">
        <f t="shared" si="0"/>
        <v>6.666666666666667</v>
      </c>
      <c r="AO9" s="29">
        <v>48.2</v>
      </c>
      <c r="AP9" s="29">
        <v>185</v>
      </c>
      <c r="AQ9" s="29">
        <v>1.2</v>
      </c>
      <c r="AR9" s="29">
        <v>2.5499999999999998</v>
      </c>
      <c r="AS9" s="29">
        <v>4.95</v>
      </c>
      <c r="AT9" s="29">
        <v>7</v>
      </c>
      <c r="AU9" s="29">
        <v>20</v>
      </c>
      <c r="AV9" s="29" t="s">
        <v>162</v>
      </c>
      <c r="AW9" s="29">
        <v>3</v>
      </c>
      <c r="AX9" t="s">
        <v>178</v>
      </c>
      <c r="AY9" s="29"/>
      <c r="BA9" s="36"/>
      <c r="BB9" s="36"/>
      <c r="BD9" s="36"/>
      <c r="BE9" s="36"/>
      <c r="BF9" s="36"/>
      <c r="BG9" s="36"/>
      <c r="BH9" s="36"/>
      <c r="BI9" s="36"/>
    </row>
    <row r="10" spans="1:62" x14ac:dyDescent="0.35">
      <c r="A10" s="3">
        <v>9</v>
      </c>
      <c r="B10" s="3" t="s">
        <v>38</v>
      </c>
      <c r="C10" t="s">
        <v>56</v>
      </c>
      <c r="F10" s="11">
        <v>22</v>
      </c>
      <c r="G10" s="11">
        <v>81.5</v>
      </c>
      <c r="H10" s="11">
        <v>186</v>
      </c>
      <c r="I10" s="11">
        <v>15.55</v>
      </c>
      <c r="J10" s="11">
        <v>1</v>
      </c>
      <c r="K10" s="11">
        <v>2</v>
      </c>
      <c r="M10" s="11">
        <v>48.1</v>
      </c>
      <c r="N10" s="59" t="str">
        <f t="shared" si="1"/>
        <v>confirmed</v>
      </c>
      <c r="O10" s="11">
        <v>16</v>
      </c>
      <c r="P10" s="23">
        <v>0.43541666666666667</v>
      </c>
      <c r="Q10" s="24">
        <v>193</v>
      </c>
      <c r="R10" s="24">
        <v>1.27</v>
      </c>
      <c r="S10" s="24" t="s">
        <v>90</v>
      </c>
      <c r="T10" s="24" t="s">
        <v>88</v>
      </c>
      <c r="U10" s="11" t="s">
        <v>221</v>
      </c>
      <c r="V10" s="11"/>
      <c r="W10" s="27">
        <v>0.3888888888888889</v>
      </c>
      <c r="X10" s="46">
        <v>6.4814814814814813E-3</v>
      </c>
      <c r="Y10" s="53">
        <f t="shared" si="2"/>
        <v>9.3333333333333321</v>
      </c>
      <c r="Z10" s="29">
        <v>48.3</v>
      </c>
      <c r="AA10" s="29">
        <v>191</v>
      </c>
      <c r="AB10" s="29">
        <v>1.2</v>
      </c>
      <c r="AC10" s="29">
        <v>1.94</v>
      </c>
      <c r="AD10" s="29">
        <v>14.72</v>
      </c>
      <c r="AE10" s="29">
        <v>10</v>
      </c>
      <c r="AF10" s="29">
        <v>20</v>
      </c>
      <c r="AG10" s="29" t="s">
        <v>162</v>
      </c>
      <c r="AH10" s="29">
        <v>2</v>
      </c>
      <c r="AI10" t="s">
        <v>178</v>
      </c>
      <c r="AJ10" s="11"/>
      <c r="AK10" s="11"/>
      <c r="AL10" s="27">
        <v>0.4375</v>
      </c>
      <c r="AM10" s="46">
        <v>7.2916666666666659E-3</v>
      </c>
      <c r="AN10" s="58">
        <f t="shared" si="0"/>
        <v>10.499999999999998</v>
      </c>
      <c r="AO10" s="29">
        <v>43.5</v>
      </c>
      <c r="AP10" s="29">
        <v>188</v>
      </c>
      <c r="AQ10" s="29">
        <v>1.1499999999999999</v>
      </c>
      <c r="AR10" s="29">
        <v>2.46</v>
      </c>
      <c r="AS10" s="29">
        <v>14.95</v>
      </c>
      <c r="AT10" s="29">
        <v>6</v>
      </c>
      <c r="AU10" s="29">
        <v>17</v>
      </c>
      <c r="AV10" s="29" t="s">
        <v>164</v>
      </c>
      <c r="AW10" s="29">
        <v>3</v>
      </c>
      <c r="AX10" t="s">
        <v>178</v>
      </c>
      <c r="AY10" s="29"/>
      <c r="BA10" s="36"/>
      <c r="BB10" s="36"/>
      <c r="BD10" s="36"/>
      <c r="BE10" s="36"/>
      <c r="BF10" s="36"/>
      <c r="BG10" s="36"/>
      <c r="BH10" s="36"/>
      <c r="BI10" s="36"/>
    </row>
    <row r="11" spans="1:62" x14ac:dyDescent="0.35">
      <c r="A11" s="3">
        <v>10</v>
      </c>
      <c r="B11" s="3" t="s">
        <v>39</v>
      </c>
      <c r="C11" t="s">
        <v>56</v>
      </c>
      <c r="F11" s="11">
        <v>27</v>
      </c>
      <c r="G11" s="11">
        <v>78.8</v>
      </c>
      <c r="H11" s="11">
        <v>178</v>
      </c>
      <c r="I11" s="11">
        <v>13.07</v>
      </c>
      <c r="J11" s="11">
        <v>6</v>
      </c>
      <c r="K11" s="11">
        <v>12</v>
      </c>
      <c r="M11" s="11">
        <v>56.4</v>
      </c>
      <c r="N11" s="59" t="str">
        <f t="shared" si="1"/>
        <v>confirmed</v>
      </c>
      <c r="O11" s="11">
        <v>17</v>
      </c>
      <c r="P11" s="23">
        <v>0.52916666666666667</v>
      </c>
      <c r="Q11" s="24">
        <v>181</v>
      </c>
      <c r="R11" s="24">
        <v>1.21</v>
      </c>
      <c r="S11" s="24" t="s">
        <v>96</v>
      </c>
      <c r="T11" s="24" t="s">
        <v>97</v>
      </c>
      <c r="U11" t="s">
        <v>181</v>
      </c>
      <c r="V11" s="11"/>
      <c r="W11" s="27">
        <v>0.45902777777777776</v>
      </c>
      <c r="X11" s="46">
        <v>7.6504629629629631E-3</v>
      </c>
      <c r="Y11" s="53">
        <f t="shared" si="2"/>
        <v>11.016666666666666</v>
      </c>
      <c r="Z11" s="29">
        <v>47.7</v>
      </c>
      <c r="AA11" s="29">
        <v>180</v>
      </c>
      <c r="AB11" s="29">
        <v>1.1200000000000001</v>
      </c>
      <c r="AC11" s="29">
        <v>2.44</v>
      </c>
      <c r="AD11" s="29">
        <v>7.95</v>
      </c>
      <c r="AE11" s="29">
        <v>14</v>
      </c>
      <c r="AF11" s="29">
        <v>19</v>
      </c>
      <c r="AG11" s="29" t="s">
        <v>164</v>
      </c>
      <c r="AH11" s="29">
        <v>5</v>
      </c>
      <c r="AI11" t="s">
        <v>208</v>
      </c>
      <c r="AJ11" s="11" t="s">
        <v>177</v>
      </c>
      <c r="AK11" s="11"/>
      <c r="AL11" s="27">
        <v>0.41875000000000001</v>
      </c>
      <c r="AM11" s="46">
        <v>6.9791666666666674E-3</v>
      </c>
      <c r="AN11" s="58">
        <f t="shared" si="0"/>
        <v>10.050000000000001</v>
      </c>
      <c r="AO11" s="29">
        <v>54</v>
      </c>
      <c r="AP11" s="29">
        <v>184</v>
      </c>
      <c r="AQ11" s="29">
        <v>1.01</v>
      </c>
      <c r="AR11" s="29">
        <v>1.39</v>
      </c>
      <c r="AS11" s="29">
        <v>5.25</v>
      </c>
      <c r="AT11" s="29">
        <v>6</v>
      </c>
      <c r="AU11" s="29">
        <v>20</v>
      </c>
      <c r="AV11" s="29" t="s">
        <v>162</v>
      </c>
      <c r="AW11" s="29">
        <v>4</v>
      </c>
      <c r="AX11" t="s">
        <v>208</v>
      </c>
      <c r="AY11" s="29" t="s">
        <v>171</v>
      </c>
      <c r="BA11" s="36"/>
      <c r="BB11" s="36"/>
      <c r="BD11" s="36"/>
      <c r="BE11" s="36"/>
      <c r="BF11" s="36"/>
      <c r="BG11" s="36"/>
      <c r="BH11" s="36"/>
      <c r="BI11" s="36"/>
    </row>
    <row r="12" spans="1:62" x14ac:dyDescent="0.35">
      <c r="A12" s="3">
        <v>11</v>
      </c>
      <c r="B12" s="3" t="s">
        <v>40</v>
      </c>
      <c r="C12" t="s">
        <v>56</v>
      </c>
      <c r="F12" s="11">
        <v>21</v>
      </c>
      <c r="G12" s="11">
        <v>78.5</v>
      </c>
      <c r="H12" s="11">
        <v>186.5</v>
      </c>
      <c r="I12" s="11">
        <v>8.23</v>
      </c>
      <c r="J12" s="11">
        <v>16</v>
      </c>
      <c r="K12" s="11">
        <v>6</v>
      </c>
      <c r="M12" s="11">
        <v>52.8</v>
      </c>
      <c r="N12" s="59" t="str">
        <f t="shared" si="1"/>
        <v>confirmed</v>
      </c>
      <c r="O12" s="11">
        <v>15</v>
      </c>
      <c r="P12" s="23">
        <v>0.42083333333333334</v>
      </c>
      <c r="Q12" s="24">
        <v>209</v>
      </c>
      <c r="R12" s="24">
        <v>1.1000000000000001</v>
      </c>
      <c r="S12" s="24" t="s">
        <v>90</v>
      </c>
      <c r="T12" s="24" t="s">
        <v>98</v>
      </c>
      <c r="U12" s="11" t="s">
        <v>221</v>
      </c>
      <c r="V12" s="11"/>
      <c r="W12" s="27">
        <v>0.50347222222222221</v>
      </c>
      <c r="X12" s="46">
        <v>8.3912037037037045E-3</v>
      </c>
      <c r="Y12" s="53">
        <f t="shared" si="2"/>
        <v>12.083333333333334</v>
      </c>
      <c r="Z12" s="29">
        <v>48.4</v>
      </c>
      <c r="AA12" s="29">
        <v>203</v>
      </c>
      <c r="AB12" s="29">
        <v>1.19</v>
      </c>
      <c r="AC12" s="29">
        <v>1.94</v>
      </c>
      <c r="AD12" s="29">
        <v>10.44</v>
      </c>
      <c r="AE12" s="29">
        <v>6</v>
      </c>
      <c r="AF12" s="29">
        <v>20</v>
      </c>
      <c r="AG12" s="29" t="s">
        <v>162</v>
      </c>
      <c r="AH12" s="29">
        <v>2</v>
      </c>
      <c r="AI12" t="s">
        <v>208</v>
      </c>
      <c r="AJ12" s="11" t="s">
        <v>166</v>
      </c>
      <c r="AK12" s="11"/>
      <c r="AL12" s="27">
        <v>0.59583333333333333</v>
      </c>
      <c r="AM12" s="46">
        <v>9.9305555555555553E-3</v>
      </c>
      <c r="AN12" s="58">
        <f t="shared" si="0"/>
        <v>14.299999999999999</v>
      </c>
      <c r="AO12" s="29">
        <v>38.4</v>
      </c>
      <c r="AP12" s="29">
        <v>200</v>
      </c>
      <c r="AQ12" s="29">
        <v>1.32</v>
      </c>
      <c r="AR12" s="29">
        <v>1.99</v>
      </c>
      <c r="AS12" s="29">
        <v>8.86</v>
      </c>
      <c r="AT12" s="29">
        <v>6</v>
      </c>
      <c r="AU12" s="29">
        <v>20</v>
      </c>
      <c r="AV12" s="29" t="s">
        <v>164</v>
      </c>
      <c r="AW12" s="29">
        <v>4</v>
      </c>
      <c r="AX12" t="s">
        <v>208</v>
      </c>
      <c r="AY12" s="29" t="s">
        <v>168</v>
      </c>
      <c r="BA12" s="27">
        <v>0.52708333333333335</v>
      </c>
      <c r="BB12" s="27"/>
      <c r="BD12" s="36"/>
      <c r="BE12" s="36"/>
      <c r="BF12" s="29">
        <v>3.19</v>
      </c>
      <c r="BG12" s="29">
        <v>10.3</v>
      </c>
      <c r="BH12" s="29">
        <v>6</v>
      </c>
      <c r="BI12" s="29">
        <v>20</v>
      </c>
    </row>
    <row r="13" spans="1:62" x14ac:dyDescent="0.35">
      <c r="A13" s="3">
        <v>12</v>
      </c>
      <c r="B13" s="3" t="s">
        <v>41</v>
      </c>
      <c r="C13" t="s">
        <v>56</v>
      </c>
      <c r="F13" s="11">
        <v>21</v>
      </c>
      <c r="G13" s="11">
        <v>81</v>
      </c>
      <c r="H13" s="11">
        <v>177</v>
      </c>
      <c r="I13" s="11">
        <v>18.87</v>
      </c>
      <c r="J13" s="11">
        <v>3</v>
      </c>
      <c r="K13" s="11">
        <v>2</v>
      </c>
      <c r="M13" s="11">
        <v>36.799999999999997</v>
      </c>
      <c r="N13" s="59" t="str">
        <f t="shared" si="1"/>
        <v>beginner</v>
      </c>
      <c r="O13" s="11">
        <v>14</v>
      </c>
      <c r="P13" s="23">
        <v>0.38124999999999998</v>
      </c>
      <c r="Q13" s="24">
        <v>210</v>
      </c>
      <c r="R13" s="24">
        <v>1.08</v>
      </c>
      <c r="S13" s="24" t="s">
        <v>90</v>
      </c>
      <c r="T13" s="24" t="s">
        <v>99</v>
      </c>
      <c r="U13" s="11" t="s">
        <v>221</v>
      </c>
      <c r="V13" s="11"/>
      <c r="W13" s="27">
        <v>0.44027777777777777</v>
      </c>
      <c r="X13" s="46">
        <v>7.3379629629629628E-3</v>
      </c>
      <c r="Y13" s="53">
        <f t="shared" si="2"/>
        <v>10.566666666666666</v>
      </c>
      <c r="Z13" s="29">
        <v>36.9</v>
      </c>
      <c r="AA13" s="29">
        <v>197</v>
      </c>
      <c r="AB13" s="29">
        <v>1.31</v>
      </c>
      <c r="AC13" s="29">
        <v>3.98</v>
      </c>
      <c r="AD13" s="29">
        <v>7.25</v>
      </c>
      <c r="AE13" s="29">
        <v>7</v>
      </c>
      <c r="AF13" s="29">
        <v>18</v>
      </c>
      <c r="AG13" s="29" t="s">
        <v>162</v>
      </c>
      <c r="AH13" s="29">
        <v>4</v>
      </c>
      <c r="AI13" t="s">
        <v>208</v>
      </c>
      <c r="AJ13" s="11" t="s">
        <v>172</v>
      </c>
      <c r="AK13" s="11"/>
      <c r="AL13" s="27">
        <v>0.47916666666666669</v>
      </c>
      <c r="AM13" s="46">
        <v>7.9861111111111122E-3</v>
      </c>
      <c r="AN13" s="58">
        <f t="shared" si="0"/>
        <v>11.500000000000002</v>
      </c>
      <c r="AO13" s="29">
        <v>42.6</v>
      </c>
      <c r="AP13" s="29">
        <v>196</v>
      </c>
      <c r="AQ13" s="29">
        <v>1.19</v>
      </c>
      <c r="AR13" s="29">
        <v>2.88</v>
      </c>
      <c r="AS13" s="29">
        <v>7.71</v>
      </c>
      <c r="AT13" s="29">
        <v>7</v>
      </c>
      <c r="AU13" s="29">
        <v>20</v>
      </c>
      <c r="AV13" s="29" t="s">
        <v>163</v>
      </c>
      <c r="AW13" s="29">
        <v>4</v>
      </c>
      <c r="AX13" t="s">
        <v>208</v>
      </c>
      <c r="AY13" s="29" t="s">
        <v>172</v>
      </c>
      <c r="BA13" s="27">
        <v>0.37291666666666667</v>
      </c>
      <c r="BB13" s="27"/>
      <c r="BD13" s="36"/>
      <c r="BE13" s="36"/>
      <c r="BF13" s="29">
        <v>4.09</v>
      </c>
      <c r="BG13" s="29">
        <v>8.44</v>
      </c>
      <c r="BH13" s="29">
        <v>7</v>
      </c>
      <c r="BI13" s="29">
        <v>20</v>
      </c>
    </row>
    <row r="14" spans="1:62" x14ac:dyDescent="0.35">
      <c r="A14" s="3">
        <v>13</v>
      </c>
      <c r="B14" s="3" t="s">
        <v>42</v>
      </c>
      <c r="C14" t="s">
        <v>56</v>
      </c>
      <c r="F14" s="11">
        <v>21</v>
      </c>
      <c r="G14" s="11">
        <v>64</v>
      </c>
      <c r="H14" s="11">
        <v>182.5</v>
      </c>
      <c r="I14" s="11">
        <v>5.38</v>
      </c>
      <c r="J14" s="11">
        <v>7</v>
      </c>
      <c r="K14" s="11">
        <v>11</v>
      </c>
      <c r="M14" s="11">
        <v>63.8</v>
      </c>
      <c r="N14" s="59" t="str">
        <f t="shared" si="1"/>
        <v>confirmed</v>
      </c>
      <c r="O14" s="11">
        <v>18</v>
      </c>
      <c r="P14" s="23">
        <v>0.73263888888888884</v>
      </c>
      <c r="Q14" s="24">
        <v>205</v>
      </c>
      <c r="R14" s="24">
        <v>1.35</v>
      </c>
      <c r="S14" s="24" t="s">
        <v>90</v>
      </c>
      <c r="T14" s="24" t="s">
        <v>100</v>
      </c>
      <c r="U14" t="s">
        <v>181</v>
      </c>
      <c r="V14" s="11"/>
      <c r="W14" s="27">
        <v>0.79583333333333328</v>
      </c>
      <c r="X14" s="46">
        <v>1.3263888888888889E-2</v>
      </c>
      <c r="Y14" s="53">
        <f t="shared" si="2"/>
        <v>19.100000000000001</v>
      </c>
      <c r="Z14" s="29">
        <v>67.099999999999994</v>
      </c>
      <c r="AA14" s="29">
        <v>188</v>
      </c>
      <c r="AB14" s="29">
        <v>1.05</v>
      </c>
      <c r="AC14" s="29">
        <v>1.31</v>
      </c>
      <c r="AD14" s="29">
        <v>5.3</v>
      </c>
      <c r="AE14" s="29">
        <v>6</v>
      </c>
      <c r="AF14" s="29">
        <v>20</v>
      </c>
      <c r="AG14" s="29" t="s">
        <v>164</v>
      </c>
      <c r="AH14" s="29">
        <v>4</v>
      </c>
      <c r="AI14" t="s">
        <v>208</v>
      </c>
      <c r="AJ14" s="11" t="s">
        <v>177</v>
      </c>
      <c r="AK14" s="11"/>
      <c r="AL14" s="27">
        <v>0.88888888888888884</v>
      </c>
      <c r="AM14" s="46">
        <v>1.4814814814814814E-2</v>
      </c>
      <c r="AN14" s="58">
        <f t="shared" si="0"/>
        <v>21.333333333333332</v>
      </c>
      <c r="AO14" s="29">
        <v>64.2</v>
      </c>
      <c r="AP14" s="29">
        <v>189</v>
      </c>
      <c r="AQ14" s="29">
        <v>1.1200000000000001</v>
      </c>
      <c r="AR14" s="29">
        <v>2.79</v>
      </c>
      <c r="AS14" s="29">
        <v>5.76</v>
      </c>
      <c r="AT14" s="29">
        <v>6</v>
      </c>
      <c r="AU14" s="29">
        <v>20</v>
      </c>
      <c r="AV14" s="29" t="s">
        <v>162</v>
      </c>
      <c r="AW14" s="29">
        <v>3</v>
      </c>
      <c r="AX14" t="s">
        <v>208</v>
      </c>
      <c r="AY14" s="29" t="s">
        <v>172</v>
      </c>
      <c r="BA14" s="36"/>
      <c r="BB14" s="36"/>
      <c r="BD14" s="36"/>
      <c r="BE14" s="36"/>
      <c r="BF14" s="36"/>
      <c r="BG14" s="36"/>
      <c r="BH14" s="36"/>
      <c r="BI14" s="36"/>
    </row>
    <row r="15" spans="1:62" x14ac:dyDescent="0.35">
      <c r="A15" s="4">
        <v>14</v>
      </c>
      <c r="B15" s="4" t="s">
        <v>43</v>
      </c>
      <c r="C15" s="9" t="s">
        <v>55</v>
      </c>
      <c r="D15" s="9" t="s">
        <v>66</v>
      </c>
      <c r="E15" s="9" t="s">
        <v>72</v>
      </c>
      <c r="F15" s="10">
        <v>26</v>
      </c>
      <c r="G15" s="10">
        <v>70.5</v>
      </c>
      <c r="H15" s="10">
        <v>191</v>
      </c>
      <c r="I15" s="10">
        <v>16.170000000000002</v>
      </c>
      <c r="J15" s="10">
        <v>0</v>
      </c>
      <c r="K15" s="10">
        <v>0</v>
      </c>
      <c r="L15" s="9"/>
      <c r="M15" s="10">
        <v>26.2</v>
      </c>
      <c r="N15" s="10" t="str">
        <f t="shared" si="1"/>
        <v>beginner</v>
      </c>
      <c r="O15" s="10">
        <v>12</v>
      </c>
      <c r="P15" s="21">
        <v>0.17222222222222222</v>
      </c>
      <c r="Q15" s="22">
        <v>198</v>
      </c>
      <c r="R15" s="22">
        <v>1.35</v>
      </c>
      <c r="S15" s="9"/>
      <c r="T15" s="9"/>
      <c r="U15" s="9"/>
      <c r="V15" s="9"/>
      <c r="W15" s="28"/>
      <c r="X15" s="49"/>
      <c r="Y15" s="55"/>
      <c r="Z15" s="28"/>
      <c r="AA15" s="28"/>
      <c r="AB15" s="28"/>
      <c r="AC15" s="28"/>
      <c r="AD15" s="28"/>
      <c r="AE15" s="28"/>
      <c r="AF15" s="28"/>
      <c r="AG15" s="28"/>
      <c r="AH15" s="28"/>
      <c r="AI15" s="9"/>
      <c r="AJ15" s="28"/>
      <c r="AK15" s="9"/>
      <c r="AL15" s="28"/>
      <c r="AM15" s="49"/>
      <c r="AN15" s="55"/>
      <c r="AO15" s="28"/>
      <c r="AP15" s="28"/>
      <c r="AQ15" s="28"/>
      <c r="AR15" s="28"/>
      <c r="AS15" s="28"/>
      <c r="AT15" s="28"/>
      <c r="AU15" s="28"/>
      <c r="AV15" s="28"/>
      <c r="AW15" s="28"/>
      <c r="AX15" s="9"/>
      <c r="AY15" s="28"/>
      <c r="AZ15" s="9"/>
      <c r="BA15" s="28"/>
      <c r="BB15" s="28"/>
      <c r="BC15" s="9"/>
      <c r="BD15" s="28"/>
      <c r="BE15" s="28"/>
      <c r="BF15" s="28"/>
      <c r="BG15" s="28"/>
      <c r="BH15" s="28"/>
      <c r="BI15" s="28"/>
    </row>
    <row r="16" spans="1:62" x14ac:dyDescent="0.35">
      <c r="A16" s="3">
        <v>15</v>
      </c>
      <c r="B16" s="3" t="s">
        <v>44</v>
      </c>
      <c r="C16" t="s">
        <v>56</v>
      </c>
      <c r="F16" s="11">
        <v>27</v>
      </c>
      <c r="G16" s="11">
        <v>58</v>
      </c>
      <c r="H16" s="11">
        <v>168</v>
      </c>
      <c r="I16" s="11">
        <v>11.03</v>
      </c>
      <c r="J16" s="11">
        <v>2</v>
      </c>
      <c r="K16" s="11">
        <v>2</v>
      </c>
      <c r="M16" s="11">
        <v>37</v>
      </c>
      <c r="N16" s="59" t="str">
        <f t="shared" si="1"/>
        <v>beginner</v>
      </c>
      <c r="O16" s="11">
        <v>14</v>
      </c>
      <c r="P16" s="23">
        <v>0.37361111111111112</v>
      </c>
      <c r="Q16" s="24">
        <v>179</v>
      </c>
      <c r="R16" s="24">
        <v>1.22</v>
      </c>
      <c r="S16" s="24" t="s">
        <v>90</v>
      </c>
      <c r="T16" s="24" t="s">
        <v>101</v>
      </c>
      <c r="U16" s="11" t="s">
        <v>221</v>
      </c>
      <c r="V16" s="11"/>
      <c r="W16" s="27">
        <v>0.88541666666666663</v>
      </c>
      <c r="X16" s="46">
        <v>1.4756944444444446E-2</v>
      </c>
      <c r="Y16" s="53">
        <f t="shared" ref="Y16:Y31" si="3" xml:space="preserve"> X16/("0:1:0")</f>
        <v>21.25</v>
      </c>
      <c r="Z16" s="29">
        <v>49</v>
      </c>
      <c r="AA16" s="29">
        <v>181</v>
      </c>
      <c r="AB16" s="29">
        <v>1.1000000000000001</v>
      </c>
      <c r="AC16" s="29">
        <v>2.12</v>
      </c>
      <c r="AD16" s="29">
        <v>7.47</v>
      </c>
      <c r="AE16" s="29">
        <v>6</v>
      </c>
      <c r="AF16" s="29">
        <v>20</v>
      </c>
      <c r="AG16" s="29" t="s">
        <v>162</v>
      </c>
      <c r="AH16" s="29">
        <v>3</v>
      </c>
      <c r="AI16" t="s">
        <v>208</v>
      </c>
      <c r="AJ16" s="11" t="s">
        <v>172</v>
      </c>
      <c r="AK16" s="11"/>
      <c r="AL16" s="27">
        <v>0.63055555555555554</v>
      </c>
      <c r="AM16" s="46">
        <v>1.050925925925926E-2</v>
      </c>
      <c r="AN16" s="58">
        <f t="shared" ref="AN16:AN31" si="4" xml:space="preserve"> AM16/("0:1:0")</f>
        <v>15.133333333333333</v>
      </c>
      <c r="AO16" s="29">
        <v>43.2</v>
      </c>
      <c r="AP16" s="29">
        <v>183</v>
      </c>
      <c r="AQ16" s="29">
        <v>1.1499999999999999</v>
      </c>
      <c r="AR16" s="29">
        <v>2.4700000000000002</v>
      </c>
      <c r="AS16" s="29">
        <v>7.66</v>
      </c>
      <c r="AT16" s="29">
        <v>6</v>
      </c>
      <c r="AU16" s="29">
        <v>20</v>
      </c>
      <c r="AV16" s="29" t="s">
        <v>162</v>
      </c>
      <c r="AW16" s="29">
        <v>2</v>
      </c>
      <c r="AX16" t="s">
        <v>208</v>
      </c>
      <c r="AY16" s="29" t="s">
        <v>177</v>
      </c>
      <c r="BA16" s="36"/>
      <c r="BB16" s="36"/>
      <c r="BD16" s="36"/>
      <c r="BE16" s="36"/>
      <c r="BF16" s="36"/>
      <c r="BG16" s="36"/>
      <c r="BH16" s="36"/>
      <c r="BI16" s="36"/>
    </row>
    <row r="17" spans="1:62" x14ac:dyDescent="0.35">
      <c r="A17" s="3">
        <v>16</v>
      </c>
      <c r="B17" s="3" t="s">
        <v>32</v>
      </c>
      <c r="C17" t="s">
        <v>56</v>
      </c>
      <c r="F17" s="11">
        <v>21</v>
      </c>
      <c r="G17" s="11">
        <v>94</v>
      </c>
      <c r="H17" s="11">
        <v>187.5</v>
      </c>
      <c r="I17" s="11">
        <v>17.32</v>
      </c>
      <c r="J17" s="11">
        <v>16</v>
      </c>
      <c r="K17" s="11">
        <v>3.5</v>
      </c>
      <c r="M17" s="11">
        <v>35.799999999999997</v>
      </c>
      <c r="N17" s="59" t="str">
        <f t="shared" si="1"/>
        <v>beginner</v>
      </c>
      <c r="O17" s="11">
        <v>15</v>
      </c>
      <c r="P17" s="23">
        <v>0.42569444444444443</v>
      </c>
      <c r="Q17" s="24">
        <v>203</v>
      </c>
      <c r="R17" s="24">
        <v>1.34</v>
      </c>
      <c r="S17" s="24" t="s">
        <v>96</v>
      </c>
      <c r="T17" s="24" t="s">
        <v>102</v>
      </c>
      <c r="U17" t="s">
        <v>181</v>
      </c>
      <c r="V17" s="11"/>
      <c r="W17" s="27">
        <v>0.42291666666666666</v>
      </c>
      <c r="X17" s="46">
        <v>7.0486111111111105E-3</v>
      </c>
      <c r="Y17" s="53">
        <f t="shared" si="3"/>
        <v>10.149999999999999</v>
      </c>
      <c r="Z17" s="29">
        <v>31.1</v>
      </c>
      <c r="AA17" s="29">
        <v>190</v>
      </c>
      <c r="AB17" s="29">
        <v>1.1000000000000001</v>
      </c>
      <c r="AC17" s="29">
        <v>3.59</v>
      </c>
      <c r="AD17" s="29">
        <v>7.24</v>
      </c>
      <c r="AE17" s="29">
        <v>6</v>
      </c>
      <c r="AF17" s="29">
        <v>17</v>
      </c>
      <c r="AG17" s="29" t="s">
        <v>162</v>
      </c>
      <c r="AH17" s="29">
        <v>2</v>
      </c>
      <c r="AI17" t="s">
        <v>208</v>
      </c>
      <c r="AJ17" s="11" t="s">
        <v>177</v>
      </c>
      <c r="AK17" s="11"/>
      <c r="AL17" s="27">
        <v>0.42986111111111114</v>
      </c>
      <c r="AM17" s="46">
        <v>7.1643518518518514E-3</v>
      </c>
      <c r="AN17" s="58">
        <f t="shared" si="4"/>
        <v>10.316666666666666</v>
      </c>
      <c r="AO17" s="29">
        <v>43.2</v>
      </c>
      <c r="AP17" s="29">
        <v>194</v>
      </c>
      <c r="AQ17" s="29">
        <v>1.03</v>
      </c>
      <c r="AR17" s="29">
        <v>1.28</v>
      </c>
      <c r="AS17" s="29">
        <v>4.66</v>
      </c>
      <c r="AT17" s="29">
        <v>6</v>
      </c>
      <c r="AU17" s="29">
        <v>20</v>
      </c>
      <c r="AV17" s="29" t="s">
        <v>162</v>
      </c>
      <c r="AW17" s="29">
        <v>1</v>
      </c>
      <c r="AX17" t="s">
        <v>208</v>
      </c>
      <c r="AY17" s="29" t="s">
        <v>173</v>
      </c>
      <c r="BA17" s="27">
        <v>0.2673611111111111</v>
      </c>
      <c r="BB17" s="27"/>
      <c r="BD17" s="36"/>
      <c r="BE17" s="36"/>
      <c r="BF17" s="29">
        <v>2.02</v>
      </c>
      <c r="BG17" s="29">
        <v>5.91</v>
      </c>
      <c r="BH17" s="29">
        <v>7</v>
      </c>
      <c r="BI17" s="29">
        <v>20</v>
      </c>
    </row>
    <row r="18" spans="1:62" x14ac:dyDescent="0.35">
      <c r="A18" s="3">
        <v>17</v>
      </c>
      <c r="B18" s="3" t="s">
        <v>45</v>
      </c>
      <c r="C18" t="s">
        <v>56</v>
      </c>
      <c r="F18" s="11">
        <v>21</v>
      </c>
      <c r="G18" s="11">
        <v>53</v>
      </c>
      <c r="H18" s="11">
        <v>167</v>
      </c>
      <c r="I18" s="11">
        <v>14.9</v>
      </c>
      <c r="J18" s="11">
        <v>1</v>
      </c>
      <c r="K18" s="11">
        <v>1</v>
      </c>
      <c r="M18" s="11">
        <v>43.1</v>
      </c>
      <c r="N18" s="59" t="str">
        <f t="shared" si="1"/>
        <v>beginner</v>
      </c>
      <c r="O18" s="11">
        <v>14</v>
      </c>
      <c r="P18" s="23">
        <v>0.375</v>
      </c>
      <c r="Q18" s="24">
        <v>201</v>
      </c>
      <c r="R18" s="24">
        <v>1.27</v>
      </c>
      <c r="S18" s="24" t="s">
        <v>90</v>
      </c>
      <c r="T18" s="24" t="s">
        <v>90</v>
      </c>
      <c r="U18" t="s">
        <v>181</v>
      </c>
      <c r="V18" s="11"/>
      <c r="W18" s="27">
        <v>0.19375000000000001</v>
      </c>
      <c r="X18" s="46">
        <v>3.2291666666666666E-3</v>
      </c>
      <c r="Y18" s="53">
        <f t="shared" si="3"/>
        <v>4.6499999999999995</v>
      </c>
      <c r="Z18" s="29">
        <v>45.5</v>
      </c>
      <c r="AA18" s="29">
        <v>186</v>
      </c>
      <c r="AB18" s="29">
        <v>1.29</v>
      </c>
      <c r="AC18" s="29">
        <v>6.58</v>
      </c>
      <c r="AD18" s="29">
        <v>12.4</v>
      </c>
      <c r="AE18" s="29">
        <v>9</v>
      </c>
      <c r="AF18" s="29">
        <v>20</v>
      </c>
      <c r="AG18" s="29" t="s">
        <v>162</v>
      </c>
      <c r="AH18" s="29">
        <v>3</v>
      </c>
      <c r="AI18" t="s">
        <v>208</v>
      </c>
      <c r="AJ18" s="11" t="s">
        <v>167</v>
      </c>
      <c r="AK18" s="11"/>
      <c r="AL18" s="27">
        <v>0.29097222222222224</v>
      </c>
      <c r="AM18" s="46">
        <v>4.8495370370370368E-3</v>
      </c>
      <c r="AN18" s="58">
        <f t="shared" si="4"/>
        <v>6.9833333333333325</v>
      </c>
      <c r="AO18" s="29">
        <v>44.1</v>
      </c>
      <c r="AP18" s="29">
        <v>188</v>
      </c>
      <c r="AQ18" s="29">
        <v>1.2</v>
      </c>
      <c r="AR18" s="29">
        <v>2.92</v>
      </c>
      <c r="AS18" s="29">
        <v>6.66</v>
      </c>
      <c r="AT18" s="29">
        <v>7</v>
      </c>
      <c r="AU18" s="29">
        <v>20</v>
      </c>
      <c r="AV18" s="29" t="s">
        <v>162</v>
      </c>
      <c r="AW18" s="29">
        <v>3</v>
      </c>
      <c r="AX18" t="s">
        <v>208</v>
      </c>
      <c r="AY18" s="29" t="s">
        <v>172</v>
      </c>
      <c r="BA18" s="27">
        <v>0.28749999999999998</v>
      </c>
      <c r="BB18" s="27"/>
      <c r="BD18" s="36"/>
      <c r="BE18" s="36"/>
      <c r="BF18" s="29">
        <v>6.34</v>
      </c>
      <c r="BG18" s="29">
        <v>9.48</v>
      </c>
      <c r="BH18" s="29">
        <v>8</v>
      </c>
      <c r="BI18" s="29">
        <v>20</v>
      </c>
    </row>
    <row r="19" spans="1:62" x14ac:dyDescent="0.35">
      <c r="A19" s="3">
        <v>18</v>
      </c>
      <c r="B19" s="3" t="s">
        <v>46</v>
      </c>
      <c r="C19" t="s">
        <v>56</v>
      </c>
      <c r="F19" s="11">
        <v>21</v>
      </c>
      <c r="G19" s="11">
        <v>76</v>
      </c>
      <c r="H19" s="11">
        <v>175</v>
      </c>
      <c r="I19" s="11">
        <v>14.22</v>
      </c>
      <c r="J19" s="11">
        <v>0.25</v>
      </c>
      <c r="K19" s="11">
        <v>1</v>
      </c>
      <c r="M19" s="11">
        <v>36.799999999999997</v>
      </c>
      <c r="N19" s="59" t="str">
        <f t="shared" si="1"/>
        <v>beginner</v>
      </c>
      <c r="O19" s="11">
        <v>12.5</v>
      </c>
      <c r="P19" s="23">
        <v>0.28125</v>
      </c>
      <c r="Q19" s="24">
        <v>214</v>
      </c>
      <c r="R19" s="24">
        <v>1.18</v>
      </c>
      <c r="S19" s="24" t="s">
        <v>103</v>
      </c>
      <c r="T19" s="24" t="s">
        <v>104</v>
      </c>
      <c r="U19" s="11" t="s">
        <v>221</v>
      </c>
      <c r="V19" s="11"/>
      <c r="W19" s="27">
        <v>0.48194444444444445</v>
      </c>
      <c r="X19" s="46">
        <v>8.0324074074074065E-3</v>
      </c>
      <c r="Y19" s="53">
        <f t="shared" si="3"/>
        <v>11.566666666666665</v>
      </c>
      <c r="Z19" s="29">
        <v>26.9</v>
      </c>
      <c r="AA19" s="29">
        <v>201</v>
      </c>
      <c r="AB19" s="29">
        <v>1.1399999999999999</v>
      </c>
      <c r="AC19" s="29">
        <v>2.14</v>
      </c>
      <c r="AD19" s="29">
        <v>8.0500000000000007</v>
      </c>
      <c r="AE19" s="29">
        <v>10</v>
      </c>
      <c r="AF19" s="29">
        <v>20</v>
      </c>
      <c r="AG19" s="29" t="s">
        <v>164</v>
      </c>
      <c r="AH19" s="29">
        <v>4</v>
      </c>
      <c r="AI19" t="s">
        <v>178</v>
      </c>
      <c r="AJ19" s="11"/>
      <c r="AK19" s="11"/>
      <c r="AL19" s="27">
        <v>0.36249999999999999</v>
      </c>
      <c r="AM19" s="46">
        <v>6.0416666666666665E-3</v>
      </c>
      <c r="AN19" s="58">
        <f t="shared" si="4"/>
        <v>8.6999999999999993</v>
      </c>
      <c r="AO19" s="29">
        <v>28.3</v>
      </c>
      <c r="AP19" s="29">
        <v>200</v>
      </c>
      <c r="AQ19" s="29">
        <v>1.28</v>
      </c>
      <c r="AR19" s="29">
        <v>2.5499999999999998</v>
      </c>
      <c r="AS19" s="29">
        <v>7.9</v>
      </c>
      <c r="AT19" s="29">
        <v>7</v>
      </c>
      <c r="AU19" s="29">
        <v>20</v>
      </c>
      <c r="AV19" s="29" t="s">
        <v>162</v>
      </c>
      <c r="AW19" s="29">
        <v>3</v>
      </c>
      <c r="AX19" t="s">
        <v>178</v>
      </c>
      <c r="AY19" s="29"/>
      <c r="BA19" s="36"/>
      <c r="BB19" s="36"/>
      <c r="BD19" s="36"/>
      <c r="BE19" s="36"/>
      <c r="BF19" s="36"/>
      <c r="BG19" s="36"/>
      <c r="BH19" s="36"/>
      <c r="BI19" s="36"/>
      <c r="BJ19" s="36"/>
    </row>
    <row r="20" spans="1:62" x14ac:dyDescent="0.35">
      <c r="A20" s="3">
        <v>19</v>
      </c>
      <c r="B20" s="3" t="s">
        <v>47</v>
      </c>
      <c r="C20" t="s">
        <v>56</v>
      </c>
      <c r="F20" s="11">
        <v>24</v>
      </c>
      <c r="G20" s="11">
        <v>65</v>
      </c>
      <c r="H20" s="11">
        <v>171.5</v>
      </c>
      <c r="I20" s="11">
        <v>17.32</v>
      </c>
      <c r="J20" s="11">
        <v>0.66</v>
      </c>
      <c r="K20" s="11">
        <v>4</v>
      </c>
      <c r="M20" s="11">
        <v>48.8</v>
      </c>
      <c r="N20" s="59" t="str">
        <f t="shared" si="1"/>
        <v>confirmed</v>
      </c>
      <c r="O20" s="11">
        <v>15.7</v>
      </c>
      <c r="P20" s="23">
        <v>0.47708333333333336</v>
      </c>
      <c r="Q20" s="24">
        <v>184</v>
      </c>
      <c r="R20" s="24">
        <v>1.17</v>
      </c>
      <c r="S20" s="24" t="s">
        <v>90</v>
      </c>
      <c r="T20" s="24" t="s">
        <v>105</v>
      </c>
      <c r="U20" t="s">
        <v>181</v>
      </c>
      <c r="V20" s="11"/>
      <c r="W20" s="27">
        <v>0.50624999999999998</v>
      </c>
      <c r="X20" s="46">
        <v>8.4375000000000006E-3</v>
      </c>
      <c r="Y20" s="53">
        <f t="shared" si="3"/>
        <v>12.15</v>
      </c>
      <c r="Z20" s="29">
        <v>44.7</v>
      </c>
      <c r="AA20" s="29">
        <v>178</v>
      </c>
      <c r="AB20" s="29">
        <v>1.26</v>
      </c>
      <c r="AC20" s="29">
        <v>1.77</v>
      </c>
      <c r="AD20" s="29">
        <v>10.62</v>
      </c>
      <c r="AE20" s="29">
        <v>6</v>
      </c>
      <c r="AF20" s="29">
        <v>20</v>
      </c>
      <c r="AG20" s="29" t="s">
        <v>162</v>
      </c>
      <c r="AH20" s="29">
        <v>4</v>
      </c>
      <c r="AI20" t="s">
        <v>178</v>
      </c>
      <c r="AJ20" s="11"/>
      <c r="AK20" s="11"/>
      <c r="AL20" s="27">
        <v>0.65069444444444446</v>
      </c>
      <c r="AM20" s="46">
        <v>1.0844907407407407E-2</v>
      </c>
      <c r="AN20" s="58">
        <f t="shared" si="4"/>
        <v>15.616666666666665</v>
      </c>
      <c r="AO20" s="29">
        <v>40.700000000000003</v>
      </c>
      <c r="AP20" s="29">
        <v>180</v>
      </c>
      <c r="AQ20" s="29">
        <v>1.27</v>
      </c>
      <c r="AR20" s="29">
        <v>1.66</v>
      </c>
      <c r="AS20" s="29">
        <v>7.54</v>
      </c>
      <c r="AT20" s="29">
        <v>7</v>
      </c>
      <c r="AU20" s="29">
        <v>19</v>
      </c>
      <c r="AV20" s="29" t="s">
        <v>176</v>
      </c>
      <c r="AW20" s="29">
        <v>3</v>
      </c>
      <c r="AX20" t="s">
        <v>208</v>
      </c>
      <c r="AY20" s="29" t="s">
        <v>167</v>
      </c>
      <c r="BA20" s="36"/>
      <c r="BB20" s="36"/>
      <c r="BD20" s="36"/>
      <c r="BE20" s="36"/>
      <c r="BF20" s="36"/>
      <c r="BG20" s="36"/>
      <c r="BH20" s="36"/>
      <c r="BI20" s="36"/>
      <c r="BJ20" s="36"/>
    </row>
    <row r="21" spans="1:62" x14ac:dyDescent="0.35">
      <c r="A21" s="3">
        <v>20</v>
      </c>
      <c r="B21" s="3" t="s">
        <v>48</v>
      </c>
      <c r="C21" t="s">
        <v>56</v>
      </c>
      <c r="F21" s="11">
        <v>22</v>
      </c>
      <c r="G21" s="11">
        <v>83</v>
      </c>
      <c r="H21" s="11">
        <v>174</v>
      </c>
      <c r="I21" s="11">
        <v>14.22</v>
      </c>
      <c r="J21" s="11">
        <v>7</v>
      </c>
      <c r="K21" s="11">
        <v>12</v>
      </c>
      <c r="M21" s="11">
        <v>40.4</v>
      </c>
      <c r="N21" s="59" t="str">
        <f t="shared" si="1"/>
        <v>beginner</v>
      </c>
      <c r="O21" s="11">
        <v>14.2</v>
      </c>
      <c r="P21" s="23">
        <v>0.39652777777777776</v>
      </c>
      <c r="Q21" s="24">
        <v>206</v>
      </c>
      <c r="R21" s="24">
        <v>1.1399999999999999</v>
      </c>
      <c r="S21" s="24" t="s">
        <v>90</v>
      </c>
      <c r="T21" s="24" t="s">
        <v>106</v>
      </c>
      <c r="U21" s="11" t="s">
        <v>221</v>
      </c>
      <c r="V21" s="11"/>
      <c r="W21" s="27">
        <v>0.62986111111111109</v>
      </c>
      <c r="X21" s="46">
        <v>1.0497685185185186E-2</v>
      </c>
      <c r="Y21" s="53">
        <f t="shared" si="3"/>
        <v>15.116666666666667</v>
      </c>
      <c r="Z21" s="29">
        <v>41.3</v>
      </c>
      <c r="AA21" s="29">
        <v>199</v>
      </c>
      <c r="AB21" s="29">
        <v>1.1499999999999999</v>
      </c>
      <c r="AC21" s="29">
        <v>3.62</v>
      </c>
      <c r="AD21" s="29">
        <v>7.17</v>
      </c>
      <c r="AE21" s="29">
        <v>6</v>
      </c>
      <c r="AF21" s="29">
        <v>18</v>
      </c>
      <c r="AG21" s="29" t="s">
        <v>164</v>
      </c>
      <c r="AH21" s="29">
        <v>4</v>
      </c>
      <c r="AI21" t="s">
        <v>178</v>
      </c>
      <c r="AJ21" s="11"/>
      <c r="AK21" s="11"/>
      <c r="AL21" s="27">
        <v>0.46111111111111114</v>
      </c>
      <c r="AM21" s="46">
        <v>7.6851851851851847E-3</v>
      </c>
      <c r="AN21" s="58">
        <f t="shared" si="4"/>
        <v>11.066666666666665</v>
      </c>
      <c r="AO21" s="29">
        <v>47.1</v>
      </c>
      <c r="AP21" s="29">
        <v>200</v>
      </c>
      <c r="AQ21" s="29">
        <v>1.08</v>
      </c>
      <c r="AR21" s="29">
        <v>2.04</v>
      </c>
      <c r="AS21" s="29">
        <v>8.41</v>
      </c>
      <c r="AT21" s="29">
        <v>8</v>
      </c>
      <c r="AU21" s="29">
        <v>20</v>
      </c>
      <c r="AV21" s="29" t="s">
        <v>162</v>
      </c>
      <c r="AW21" s="29">
        <v>4</v>
      </c>
      <c r="AX21" t="s">
        <v>208</v>
      </c>
      <c r="AY21" s="29" t="s">
        <v>177</v>
      </c>
      <c r="BA21" s="27">
        <v>0.52083333333333337</v>
      </c>
      <c r="BB21" s="27"/>
      <c r="BC21" s="29">
        <v>44.5</v>
      </c>
      <c r="BD21" s="29">
        <v>190</v>
      </c>
      <c r="BE21" s="29">
        <v>1.1599999999999999</v>
      </c>
      <c r="BF21" s="29">
        <v>1.84</v>
      </c>
      <c r="BG21" s="29">
        <v>7.54</v>
      </c>
      <c r="BH21" s="29">
        <v>6</v>
      </c>
      <c r="BI21" s="29">
        <v>20</v>
      </c>
    </row>
    <row r="22" spans="1:62" x14ac:dyDescent="0.35">
      <c r="A22" s="3">
        <v>21</v>
      </c>
      <c r="B22" s="3" t="s">
        <v>49</v>
      </c>
      <c r="C22" t="s">
        <v>56</v>
      </c>
      <c r="F22" s="11">
        <v>27</v>
      </c>
      <c r="G22" s="11">
        <v>63</v>
      </c>
      <c r="H22" s="11">
        <v>172</v>
      </c>
      <c r="I22" s="11">
        <v>15.55</v>
      </c>
      <c r="J22" s="11">
        <v>10</v>
      </c>
      <c r="K22" s="11">
        <v>2</v>
      </c>
      <c r="M22" s="11">
        <v>39.200000000000003</v>
      </c>
      <c r="N22" s="59" t="str">
        <f t="shared" si="1"/>
        <v>beginner</v>
      </c>
      <c r="O22" s="11">
        <v>12.6</v>
      </c>
      <c r="P22" s="23">
        <v>0.29166666666666669</v>
      </c>
      <c r="Q22" s="24">
        <v>201</v>
      </c>
      <c r="R22" s="24">
        <v>1.19</v>
      </c>
      <c r="S22" s="24" t="s">
        <v>90</v>
      </c>
      <c r="T22" s="24" t="s">
        <v>107</v>
      </c>
      <c r="U22" t="s">
        <v>181</v>
      </c>
      <c r="V22" s="11"/>
      <c r="W22" s="27">
        <v>0.66874999999999996</v>
      </c>
      <c r="X22" s="46">
        <v>1.1145833333333334E-2</v>
      </c>
      <c r="Y22" s="53">
        <f t="shared" si="3"/>
        <v>16.05</v>
      </c>
      <c r="Z22" s="29">
        <v>39.799999999999997</v>
      </c>
      <c r="AA22" s="29">
        <v>193</v>
      </c>
      <c r="AB22" s="29">
        <v>1.18</v>
      </c>
      <c r="AC22" s="29">
        <v>2.84</v>
      </c>
      <c r="AD22" s="29">
        <v>6.6</v>
      </c>
      <c r="AE22" s="29">
        <v>8</v>
      </c>
      <c r="AF22" s="29">
        <v>20</v>
      </c>
      <c r="AG22" s="29" t="s">
        <v>162</v>
      </c>
      <c r="AH22" s="29">
        <v>5</v>
      </c>
      <c r="AI22" t="s">
        <v>178</v>
      </c>
      <c r="AJ22" s="11"/>
      <c r="AK22" s="11"/>
      <c r="AL22" s="27">
        <v>0.62777777777777777</v>
      </c>
      <c r="AM22" s="46">
        <v>1.0462962962962964E-2</v>
      </c>
      <c r="AN22" s="58">
        <f t="shared" si="4"/>
        <v>15.066666666666668</v>
      </c>
      <c r="AO22" s="29">
        <v>35.200000000000003</v>
      </c>
      <c r="AP22" s="29">
        <v>196</v>
      </c>
      <c r="AQ22" s="29">
        <v>1.18</v>
      </c>
      <c r="AR22" s="29">
        <v>2.13</v>
      </c>
      <c r="AS22" s="29">
        <v>7.08</v>
      </c>
      <c r="AT22" s="29">
        <v>8</v>
      </c>
      <c r="AU22" s="29">
        <v>20</v>
      </c>
      <c r="AV22" s="29" t="s">
        <v>162</v>
      </c>
      <c r="AW22" s="29">
        <v>4</v>
      </c>
      <c r="AX22" t="s">
        <v>208</v>
      </c>
      <c r="AY22" s="29" t="s">
        <v>174</v>
      </c>
      <c r="BA22" s="27">
        <v>0.64583333333333337</v>
      </c>
      <c r="BB22" s="27"/>
      <c r="BC22" s="29">
        <v>45.5</v>
      </c>
      <c r="BD22" s="29">
        <v>188</v>
      </c>
      <c r="BE22" s="29">
        <v>1.08</v>
      </c>
      <c r="BF22" s="29">
        <v>3.2</v>
      </c>
      <c r="BG22" s="29">
        <v>6.22</v>
      </c>
      <c r="BH22" s="29">
        <v>6</v>
      </c>
      <c r="BI22" s="29">
        <v>20</v>
      </c>
    </row>
    <row r="23" spans="1:62" x14ac:dyDescent="0.35">
      <c r="A23" s="3">
        <v>22</v>
      </c>
      <c r="B23" s="3" t="s">
        <v>50</v>
      </c>
      <c r="C23" t="s">
        <v>56</v>
      </c>
      <c r="F23" s="11">
        <v>21</v>
      </c>
      <c r="G23" s="11">
        <v>80</v>
      </c>
      <c r="H23" s="11">
        <v>193.5</v>
      </c>
      <c r="I23" s="11">
        <v>12.73</v>
      </c>
      <c r="J23" s="11">
        <v>0.25</v>
      </c>
      <c r="K23" s="11">
        <v>2</v>
      </c>
      <c r="M23" s="11">
        <v>38.799999999999997</v>
      </c>
      <c r="N23" s="59" t="str">
        <f t="shared" si="1"/>
        <v>beginner</v>
      </c>
      <c r="O23" s="11">
        <v>14</v>
      </c>
      <c r="P23" s="23">
        <v>0.38333333333333336</v>
      </c>
      <c r="Q23" s="24">
        <v>205</v>
      </c>
      <c r="R23" s="24">
        <v>1.44</v>
      </c>
      <c r="S23" s="24" t="s">
        <v>90</v>
      </c>
      <c r="T23" s="24" t="s">
        <v>90</v>
      </c>
      <c r="U23" t="s">
        <v>181</v>
      </c>
      <c r="V23" s="11"/>
      <c r="W23" s="27">
        <v>0.30902777777777779</v>
      </c>
      <c r="X23" s="46">
        <v>5.1504629629629635E-3</v>
      </c>
      <c r="Y23" s="53">
        <f t="shared" si="3"/>
        <v>7.416666666666667</v>
      </c>
      <c r="Z23" s="29">
        <v>23.3</v>
      </c>
      <c r="AA23" s="29">
        <v>191</v>
      </c>
      <c r="AB23" s="29">
        <v>1.35</v>
      </c>
      <c r="AC23" s="29">
        <v>4.97</v>
      </c>
      <c r="AD23" s="29">
        <v>8.48</v>
      </c>
      <c r="AE23" s="29">
        <v>8</v>
      </c>
      <c r="AF23" s="29">
        <v>20</v>
      </c>
      <c r="AG23" s="29" t="s">
        <v>163</v>
      </c>
      <c r="AH23" s="29">
        <v>1</v>
      </c>
      <c r="AI23" t="s">
        <v>178</v>
      </c>
      <c r="AJ23" s="11"/>
      <c r="AK23" s="11"/>
      <c r="AL23" s="27">
        <v>0.3840277777777778</v>
      </c>
      <c r="AM23" s="46">
        <v>6.4004629629629628E-3</v>
      </c>
      <c r="AN23" s="58">
        <f t="shared" si="4"/>
        <v>9.2166666666666668</v>
      </c>
      <c r="AO23" s="29">
        <v>26.9</v>
      </c>
      <c r="AP23" s="29">
        <v>192</v>
      </c>
      <c r="AQ23" s="29">
        <v>1.28</v>
      </c>
      <c r="AR23" s="29">
        <v>4.53</v>
      </c>
      <c r="AS23" s="29">
        <v>9.85</v>
      </c>
      <c r="AT23" s="29">
        <v>10</v>
      </c>
      <c r="AU23" s="29">
        <v>20</v>
      </c>
      <c r="AV23" s="29" t="s">
        <v>162</v>
      </c>
      <c r="AW23" s="29">
        <v>5</v>
      </c>
      <c r="AX23" t="s">
        <v>178</v>
      </c>
      <c r="AY23" s="29"/>
      <c r="BA23" s="36"/>
      <c r="BB23" s="36"/>
      <c r="BC23" s="36"/>
      <c r="BD23" s="36"/>
      <c r="BE23" s="36"/>
      <c r="BF23" s="36"/>
      <c r="BG23" s="36"/>
      <c r="BH23" s="36"/>
      <c r="BI23" s="36"/>
    </row>
    <row r="24" spans="1:62" x14ac:dyDescent="0.35">
      <c r="A24" s="3">
        <v>23</v>
      </c>
      <c r="B24" s="3" t="s">
        <v>51</v>
      </c>
      <c r="C24" t="s">
        <v>56</v>
      </c>
      <c r="F24" s="11">
        <v>21</v>
      </c>
      <c r="G24" s="11">
        <v>78</v>
      </c>
      <c r="H24" s="11">
        <v>192</v>
      </c>
      <c r="I24" s="11">
        <v>17.86</v>
      </c>
      <c r="J24" s="11">
        <v>1</v>
      </c>
      <c r="K24" s="11">
        <v>1</v>
      </c>
      <c r="M24" s="11">
        <v>33.299999999999997</v>
      </c>
      <c r="N24" s="59" t="str">
        <f t="shared" si="1"/>
        <v>beginner</v>
      </c>
      <c r="O24" s="11">
        <v>11</v>
      </c>
      <c r="P24" s="23">
        <v>0.1701388888888889</v>
      </c>
      <c r="Q24" s="24">
        <v>195</v>
      </c>
      <c r="R24" s="24">
        <v>1.32</v>
      </c>
      <c r="S24" s="24" t="s">
        <v>90</v>
      </c>
      <c r="T24" s="24" t="s">
        <v>90</v>
      </c>
      <c r="U24" s="11" t="s">
        <v>221</v>
      </c>
      <c r="V24" s="11"/>
      <c r="W24" s="27">
        <v>0.34166666666666667</v>
      </c>
      <c r="X24" s="46">
        <v>5.6944444444444438E-3</v>
      </c>
      <c r="Y24" s="53">
        <f t="shared" si="3"/>
        <v>8.1999999999999993</v>
      </c>
      <c r="Z24" s="29">
        <v>31.8</v>
      </c>
      <c r="AA24" s="29">
        <v>201</v>
      </c>
      <c r="AB24" s="29">
        <v>1.2</v>
      </c>
      <c r="AC24" s="29">
        <v>5.01</v>
      </c>
      <c r="AD24" s="29">
        <v>9.84</v>
      </c>
      <c r="AE24" s="29">
        <v>10</v>
      </c>
      <c r="AF24" s="29">
        <v>20</v>
      </c>
      <c r="AG24" s="29" t="s">
        <v>164</v>
      </c>
      <c r="AH24" s="29">
        <v>2</v>
      </c>
      <c r="AI24" t="s">
        <v>208</v>
      </c>
      <c r="AJ24" s="11" t="s">
        <v>205</v>
      </c>
      <c r="AK24" s="11"/>
      <c r="AL24" s="27">
        <v>0.42430555555555555</v>
      </c>
      <c r="AM24" s="46">
        <v>7.0717592592592594E-3</v>
      </c>
      <c r="AN24" s="58">
        <f t="shared" si="4"/>
        <v>10.183333333333334</v>
      </c>
      <c r="AO24" s="29">
        <v>33.1</v>
      </c>
      <c r="AP24" s="29">
        <v>200</v>
      </c>
      <c r="AQ24" s="29">
        <v>1.27</v>
      </c>
      <c r="AR24" s="29">
        <v>2.36</v>
      </c>
      <c r="AS24" s="29">
        <v>8.14</v>
      </c>
      <c r="AT24" s="29">
        <v>9</v>
      </c>
      <c r="AU24" s="29">
        <v>20</v>
      </c>
      <c r="AV24" s="29" t="s">
        <v>162</v>
      </c>
      <c r="AW24" s="29">
        <v>1</v>
      </c>
      <c r="AX24" t="s">
        <v>178</v>
      </c>
      <c r="AY24" s="29"/>
      <c r="BA24" s="36"/>
      <c r="BB24" s="36"/>
      <c r="BC24" s="36"/>
      <c r="BD24" s="36"/>
      <c r="BE24" s="36"/>
      <c r="BF24" s="36"/>
      <c r="BG24" s="36"/>
      <c r="BH24" s="36"/>
      <c r="BI24" s="36"/>
    </row>
    <row r="25" spans="1:62" x14ac:dyDescent="0.35">
      <c r="A25" s="3">
        <v>24</v>
      </c>
      <c r="B25" s="3" t="s">
        <v>52</v>
      </c>
      <c r="C25" t="s">
        <v>56</v>
      </c>
      <c r="F25" s="11">
        <v>19</v>
      </c>
      <c r="G25" s="11">
        <v>77</v>
      </c>
      <c r="H25" s="11">
        <v>184.5</v>
      </c>
      <c r="I25" s="11">
        <v>18.2</v>
      </c>
      <c r="J25" s="11">
        <v>5</v>
      </c>
      <c r="K25" s="11">
        <v>2</v>
      </c>
      <c r="M25" s="11">
        <v>35.5</v>
      </c>
      <c r="N25" s="59" t="str">
        <f t="shared" si="1"/>
        <v>beginner</v>
      </c>
      <c r="O25" s="11">
        <v>13</v>
      </c>
      <c r="P25" s="23">
        <v>0.31388888888888888</v>
      </c>
      <c r="Q25" s="24">
        <v>197</v>
      </c>
      <c r="R25" s="24">
        <v>1.05</v>
      </c>
      <c r="S25" s="24" t="s">
        <v>90</v>
      </c>
      <c r="T25" s="24" t="s">
        <v>108</v>
      </c>
      <c r="U25" s="11" t="s">
        <v>221</v>
      </c>
      <c r="V25" s="11"/>
      <c r="W25" s="27">
        <v>0.4513888888888889</v>
      </c>
      <c r="X25" s="46">
        <v>7.5231481481481477E-3</v>
      </c>
      <c r="Y25" s="53">
        <f t="shared" si="3"/>
        <v>10.833333333333332</v>
      </c>
      <c r="Z25" s="29">
        <v>31.3</v>
      </c>
      <c r="AA25" s="29">
        <v>179</v>
      </c>
      <c r="AB25" s="29">
        <v>1.18</v>
      </c>
      <c r="AC25" s="29">
        <v>3.17</v>
      </c>
      <c r="AD25" s="29">
        <v>5.46</v>
      </c>
      <c r="AE25" s="29">
        <v>8</v>
      </c>
      <c r="AF25" s="29">
        <v>18</v>
      </c>
      <c r="AG25" s="29" t="s">
        <v>164</v>
      </c>
      <c r="AH25" s="29">
        <v>3</v>
      </c>
      <c r="AI25" t="s">
        <v>208</v>
      </c>
      <c r="AJ25" s="11" t="s">
        <v>209</v>
      </c>
      <c r="AK25" s="11"/>
      <c r="AL25" s="27">
        <v>0.40416666666666667</v>
      </c>
      <c r="AM25" s="46">
        <v>6.7361111111111103E-3</v>
      </c>
      <c r="AN25" s="58">
        <f t="shared" si="4"/>
        <v>9.6999999999999975</v>
      </c>
      <c r="AO25" s="29">
        <v>33.700000000000003</v>
      </c>
      <c r="AP25" s="29">
        <v>185</v>
      </c>
      <c r="AQ25" s="29">
        <v>1.18</v>
      </c>
      <c r="AR25" s="29">
        <v>5.79</v>
      </c>
      <c r="AS25" s="29">
        <v>6.74</v>
      </c>
      <c r="AT25" s="29">
        <v>10</v>
      </c>
      <c r="AU25" s="29">
        <v>20</v>
      </c>
      <c r="AV25" s="29" t="s">
        <v>163</v>
      </c>
      <c r="AW25" s="29">
        <v>2</v>
      </c>
      <c r="AX25" t="s">
        <v>208</v>
      </c>
      <c r="AY25" s="29" t="s">
        <v>179</v>
      </c>
      <c r="BA25" s="27">
        <v>0.42569444444444443</v>
      </c>
      <c r="BB25" s="27"/>
      <c r="BC25" s="29">
        <v>39.6</v>
      </c>
      <c r="BD25" s="29">
        <v>179</v>
      </c>
      <c r="BE25" s="29">
        <v>1.19</v>
      </c>
      <c r="BF25" s="29">
        <v>3.78</v>
      </c>
      <c r="BG25" s="29">
        <v>7.99</v>
      </c>
      <c r="BH25" s="29">
        <v>8</v>
      </c>
      <c r="BI25" s="29">
        <v>20</v>
      </c>
    </row>
    <row r="26" spans="1:62" x14ac:dyDescent="0.35">
      <c r="A26" s="3">
        <v>25</v>
      </c>
      <c r="B26" s="3" t="s">
        <v>39</v>
      </c>
      <c r="C26" t="s">
        <v>56</v>
      </c>
      <c r="F26" s="11">
        <v>21</v>
      </c>
      <c r="G26" s="11">
        <v>80</v>
      </c>
      <c r="H26" s="11">
        <v>186</v>
      </c>
      <c r="I26" s="11">
        <v>11.03</v>
      </c>
      <c r="J26" s="11">
        <v>3</v>
      </c>
      <c r="K26" s="11">
        <v>7.5</v>
      </c>
      <c r="M26" s="11">
        <v>41.2</v>
      </c>
      <c r="N26" s="59" t="str">
        <f t="shared" si="1"/>
        <v>beginner</v>
      </c>
      <c r="O26" s="11">
        <v>14.4</v>
      </c>
      <c r="P26" s="23">
        <v>0.40138888888888891</v>
      </c>
      <c r="Q26" s="24">
        <v>184</v>
      </c>
      <c r="R26" s="24">
        <v>1.31</v>
      </c>
      <c r="S26" s="24" t="s">
        <v>90</v>
      </c>
      <c r="T26" s="24" t="s">
        <v>109</v>
      </c>
      <c r="U26" s="11" t="s">
        <v>221</v>
      </c>
      <c r="V26" s="11"/>
      <c r="W26" s="27">
        <v>0.3840277777777778</v>
      </c>
      <c r="X26" s="46">
        <v>6.4004629629629628E-3</v>
      </c>
      <c r="Y26" s="53">
        <f t="shared" si="3"/>
        <v>9.2166666666666668</v>
      </c>
      <c r="Z26" s="29"/>
      <c r="AA26" s="29">
        <v>179</v>
      </c>
      <c r="AB26" s="29">
        <v>1.25</v>
      </c>
      <c r="AC26" s="29">
        <v>2.35</v>
      </c>
      <c r="AD26" s="29">
        <v>10.25</v>
      </c>
      <c r="AE26" s="29">
        <v>8</v>
      </c>
      <c r="AF26" s="29">
        <v>20</v>
      </c>
      <c r="AG26" s="29" t="s">
        <v>163</v>
      </c>
      <c r="AH26" s="29">
        <v>2</v>
      </c>
      <c r="AI26" t="s">
        <v>208</v>
      </c>
      <c r="AJ26" s="11" t="s">
        <v>206</v>
      </c>
      <c r="AK26" s="11"/>
      <c r="AL26" s="27">
        <v>0.22222222222222221</v>
      </c>
      <c r="AM26" s="46">
        <v>3.7037037037037034E-3</v>
      </c>
      <c r="AN26" s="58">
        <f t="shared" si="4"/>
        <v>5.333333333333333</v>
      </c>
      <c r="AO26" s="29">
        <v>37</v>
      </c>
      <c r="AP26" s="29">
        <v>172</v>
      </c>
      <c r="AQ26" s="29">
        <v>1.31</v>
      </c>
      <c r="AR26" s="29">
        <v>2.25</v>
      </c>
      <c r="AS26" s="29">
        <v>5.81</v>
      </c>
      <c r="AT26" s="29">
        <v>12</v>
      </c>
      <c r="AU26" s="29">
        <v>20</v>
      </c>
      <c r="AV26" s="29" t="s">
        <v>164</v>
      </c>
      <c r="AW26" s="29">
        <v>3</v>
      </c>
      <c r="AX26" t="s">
        <v>208</v>
      </c>
      <c r="AY26" s="29" t="s">
        <v>167</v>
      </c>
      <c r="BB26" s="36"/>
      <c r="BD26" s="36"/>
      <c r="BE26" s="36"/>
      <c r="BF26" s="36"/>
      <c r="BG26" s="36"/>
      <c r="BH26" s="36"/>
      <c r="BI26" s="36"/>
      <c r="BJ26" s="36"/>
    </row>
    <row r="27" spans="1:62" x14ac:dyDescent="0.35">
      <c r="A27" s="3">
        <v>26</v>
      </c>
      <c r="B27" s="3" t="s">
        <v>53</v>
      </c>
      <c r="C27" t="s">
        <v>56</v>
      </c>
      <c r="F27" s="11">
        <v>26</v>
      </c>
      <c r="G27" s="11">
        <v>78</v>
      </c>
      <c r="H27" s="11">
        <v>182</v>
      </c>
      <c r="I27" s="11">
        <v>13.49</v>
      </c>
      <c r="J27" s="11">
        <v>9</v>
      </c>
      <c r="K27" s="11">
        <v>9</v>
      </c>
      <c r="M27" s="11">
        <v>57</v>
      </c>
      <c r="N27" s="59" t="str">
        <f t="shared" si="1"/>
        <v>confirmed</v>
      </c>
      <c r="O27" s="11">
        <v>17.399999999999999</v>
      </c>
      <c r="P27" s="23">
        <v>0.67361111111111116</v>
      </c>
      <c r="Q27" s="24">
        <v>194</v>
      </c>
      <c r="R27" s="24">
        <v>1.3</v>
      </c>
      <c r="S27" s="24" t="s">
        <v>110</v>
      </c>
      <c r="T27" s="24" t="s">
        <v>102</v>
      </c>
      <c r="U27" s="11" t="s">
        <v>221</v>
      </c>
      <c r="V27" s="11"/>
      <c r="W27" s="27">
        <v>0.47499999999999998</v>
      </c>
      <c r="X27" s="46">
        <v>7.9166666666666673E-3</v>
      </c>
      <c r="Y27" s="53">
        <f t="shared" si="3"/>
        <v>11.4</v>
      </c>
      <c r="Z27" s="29">
        <v>49.5</v>
      </c>
      <c r="AA27" s="29">
        <v>179</v>
      </c>
      <c r="AB27" s="29">
        <v>1.1200000000000001</v>
      </c>
      <c r="AC27" s="29">
        <v>1.65</v>
      </c>
      <c r="AD27" s="29">
        <v>2.78</v>
      </c>
      <c r="AE27" s="29">
        <v>7</v>
      </c>
      <c r="AF27" s="29">
        <v>18</v>
      </c>
      <c r="AG27" s="29" t="s">
        <v>162</v>
      </c>
      <c r="AH27" s="29">
        <v>3</v>
      </c>
      <c r="AI27" t="s">
        <v>208</v>
      </c>
      <c r="AJ27" s="11" t="s">
        <v>207</v>
      </c>
      <c r="AK27" s="11"/>
      <c r="AL27" s="27">
        <v>0.46180555555555558</v>
      </c>
      <c r="AM27" s="46">
        <v>7.69675925925926E-3</v>
      </c>
      <c r="AN27" s="58">
        <f t="shared" si="4"/>
        <v>11.083333333333334</v>
      </c>
      <c r="AO27" s="29">
        <v>51.5</v>
      </c>
      <c r="AP27" s="29">
        <v>194</v>
      </c>
      <c r="AQ27" s="29">
        <v>1.1599999999999999</v>
      </c>
      <c r="AR27" s="29">
        <v>2.31</v>
      </c>
      <c r="AS27" s="29">
        <v>5.61</v>
      </c>
      <c r="AT27" s="29">
        <v>7</v>
      </c>
      <c r="AU27" s="29">
        <v>20</v>
      </c>
      <c r="AV27" s="29" t="s">
        <v>164</v>
      </c>
      <c r="AW27" s="29">
        <v>1</v>
      </c>
      <c r="AY27" s="29"/>
      <c r="BB27" s="36"/>
      <c r="BD27" s="36"/>
      <c r="BE27" s="36"/>
      <c r="BF27" s="36"/>
      <c r="BG27" s="36"/>
      <c r="BH27" s="36"/>
      <c r="BI27" s="36"/>
      <c r="BJ27" s="36"/>
    </row>
    <row r="28" spans="1:62" x14ac:dyDescent="0.35">
      <c r="A28" s="3">
        <v>27</v>
      </c>
      <c r="B28" s="3" t="s">
        <v>2</v>
      </c>
      <c r="C28" t="s">
        <v>56</v>
      </c>
      <c r="F28" s="11">
        <v>28</v>
      </c>
      <c r="G28" s="11">
        <v>63.9</v>
      </c>
      <c r="H28" s="11">
        <v>173</v>
      </c>
      <c r="I28" s="11">
        <v>13.49</v>
      </c>
      <c r="J28" s="12">
        <v>7.5</v>
      </c>
      <c r="K28" s="11">
        <v>3</v>
      </c>
      <c r="M28" s="11">
        <v>48.2</v>
      </c>
      <c r="N28" s="59" t="str">
        <f t="shared" si="1"/>
        <v>confirmed</v>
      </c>
      <c r="O28" s="11">
        <v>17</v>
      </c>
      <c r="P28" s="17">
        <v>0.64583333333333337</v>
      </c>
      <c r="Q28" s="11">
        <v>196</v>
      </c>
      <c r="R28" s="11">
        <v>1.17</v>
      </c>
      <c r="S28" s="11" t="s">
        <v>109</v>
      </c>
      <c r="T28" s="11" t="s">
        <v>111</v>
      </c>
      <c r="U28" t="s">
        <v>181</v>
      </c>
      <c r="V28" s="24"/>
      <c r="W28" s="27">
        <v>0.54791666666666672</v>
      </c>
      <c r="X28" s="46">
        <v>9.1319444444444443E-3</v>
      </c>
      <c r="Y28" s="53">
        <f t="shared" si="3"/>
        <v>13.149999999999999</v>
      </c>
      <c r="Z28" s="29">
        <v>51.5</v>
      </c>
      <c r="AA28" s="29">
        <v>186</v>
      </c>
      <c r="AB28" s="29">
        <v>1.2</v>
      </c>
      <c r="AC28" s="29">
        <v>1.18</v>
      </c>
      <c r="AD28" s="29">
        <v>9.15</v>
      </c>
      <c r="AE28" s="29">
        <v>7</v>
      </c>
      <c r="AF28" s="29">
        <v>19</v>
      </c>
      <c r="AG28" s="29" t="s">
        <v>163</v>
      </c>
      <c r="AH28" s="29">
        <v>2</v>
      </c>
      <c r="AI28" s="24" t="s">
        <v>178</v>
      </c>
      <c r="AJ28" s="24"/>
      <c r="AK28" s="24"/>
      <c r="AL28" s="33">
        <v>0.69513888888888886</v>
      </c>
      <c r="AM28" s="56">
        <v>1.1585648148148149E-2</v>
      </c>
      <c r="AN28" s="58">
        <f t="shared" si="4"/>
        <v>16.683333333333334</v>
      </c>
      <c r="AO28" s="29">
        <v>52.1</v>
      </c>
      <c r="AP28" s="29">
        <v>193</v>
      </c>
      <c r="AQ28" s="29">
        <v>1.05</v>
      </c>
      <c r="AR28" s="29">
        <v>2.12</v>
      </c>
      <c r="AS28" s="29">
        <v>5.53</v>
      </c>
      <c r="AT28" s="29">
        <v>7</v>
      </c>
      <c r="AU28" s="29">
        <v>19.5</v>
      </c>
      <c r="AV28" s="29" t="s">
        <v>162</v>
      </c>
      <c r="AW28" s="29">
        <v>4</v>
      </c>
      <c r="AX28" s="24" t="s">
        <v>208</v>
      </c>
      <c r="AY28" s="11" t="s">
        <v>182</v>
      </c>
      <c r="BA28" s="33">
        <v>0.67291666666666661</v>
      </c>
      <c r="BC28" s="31">
        <v>48.9</v>
      </c>
      <c r="BD28" s="31">
        <v>189</v>
      </c>
      <c r="BE28" s="31">
        <v>1.1499999999999999</v>
      </c>
      <c r="BF28" s="31">
        <v>3.1</v>
      </c>
      <c r="BG28" s="31">
        <v>8.93</v>
      </c>
      <c r="BH28" s="31">
        <v>7</v>
      </c>
      <c r="BI28" s="31">
        <v>20</v>
      </c>
    </row>
    <row r="29" spans="1:62" x14ac:dyDescent="0.35">
      <c r="A29" s="3">
        <v>28</v>
      </c>
      <c r="B29" s="3" t="s">
        <v>3</v>
      </c>
      <c r="C29" t="s">
        <v>56</v>
      </c>
      <c r="F29" s="11">
        <v>23</v>
      </c>
      <c r="G29" s="11">
        <v>65.8</v>
      </c>
      <c r="H29" s="11">
        <v>181.5</v>
      </c>
      <c r="I29" s="11">
        <v>11.91</v>
      </c>
      <c r="J29" s="11">
        <v>10</v>
      </c>
      <c r="K29" s="11">
        <v>3</v>
      </c>
      <c r="M29" s="11">
        <v>44.3</v>
      </c>
      <c r="N29" s="59" t="str">
        <f t="shared" si="1"/>
        <v>beginner</v>
      </c>
      <c r="O29" s="11">
        <v>16</v>
      </c>
      <c r="P29" s="17">
        <v>0.5229166666666667</v>
      </c>
      <c r="Q29" s="11">
        <v>195</v>
      </c>
      <c r="R29" s="11">
        <v>1.1499999999999999</v>
      </c>
      <c r="S29" s="24" t="s">
        <v>109</v>
      </c>
      <c r="T29" s="24" t="s">
        <v>112</v>
      </c>
      <c r="U29" t="s">
        <v>181</v>
      </c>
      <c r="V29" s="24"/>
      <c r="W29" s="41">
        <v>0.43541666666666662</v>
      </c>
      <c r="X29" s="50">
        <v>7.2569444444444443E-3</v>
      </c>
      <c r="Y29" s="53">
        <f t="shared" si="3"/>
        <v>10.45</v>
      </c>
      <c r="Z29" s="39">
        <v>44.4</v>
      </c>
      <c r="AA29" s="39">
        <v>192</v>
      </c>
      <c r="AB29" s="39">
        <v>1.1200000000000001</v>
      </c>
      <c r="AC29" s="39">
        <v>2.86</v>
      </c>
      <c r="AD29" s="39">
        <v>10.09</v>
      </c>
      <c r="AE29" s="39">
        <v>8</v>
      </c>
      <c r="AF29" s="39">
        <v>20</v>
      </c>
      <c r="AG29" s="39" t="s">
        <v>164</v>
      </c>
      <c r="AH29" s="39">
        <v>3</v>
      </c>
      <c r="AI29" s="24" t="s">
        <v>208</v>
      </c>
      <c r="AJ29" s="24" t="s">
        <v>217</v>
      </c>
      <c r="AK29" s="24"/>
      <c r="AL29" s="34">
        <v>0.42638888888888887</v>
      </c>
      <c r="AM29" s="57">
        <v>7.106481481481481E-3</v>
      </c>
      <c r="AN29" s="58">
        <f t="shared" si="4"/>
        <v>10.233333333333333</v>
      </c>
      <c r="AO29" s="39">
        <v>43.4</v>
      </c>
      <c r="AP29" s="39">
        <v>195</v>
      </c>
      <c r="AQ29" s="39">
        <v>1.0900000000000001</v>
      </c>
      <c r="AR29" s="39">
        <v>2.89</v>
      </c>
      <c r="AS29" s="39">
        <v>10.18</v>
      </c>
      <c r="AT29" s="39">
        <v>8</v>
      </c>
      <c r="AU29" s="39">
        <v>20</v>
      </c>
      <c r="AV29" s="39" t="s">
        <v>162</v>
      </c>
      <c r="AW29" s="39">
        <v>4</v>
      </c>
      <c r="AX29" s="24" t="s">
        <v>208</v>
      </c>
      <c r="AY29" s="24" t="s">
        <v>183</v>
      </c>
      <c r="BA29" s="35">
        <v>0.25416666666666665</v>
      </c>
      <c r="BC29" s="36">
        <v>42.9</v>
      </c>
      <c r="BD29" s="36">
        <v>195</v>
      </c>
      <c r="BE29" s="36">
        <v>1.1100000000000001</v>
      </c>
      <c r="BF29" s="36">
        <v>2.33</v>
      </c>
      <c r="BG29" s="36">
        <v>7.72</v>
      </c>
      <c r="BH29" s="36">
        <v>8</v>
      </c>
      <c r="BI29" s="36">
        <v>18</v>
      </c>
    </row>
    <row r="30" spans="1:62" x14ac:dyDescent="0.35">
      <c r="A30" s="3">
        <v>29</v>
      </c>
      <c r="B30" s="3" t="s">
        <v>4</v>
      </c>
      <c r="C30" t="s">
        <v>56</v>
      </c>
      <c r="F30" s="11">
        <v>18</v>
      </c>
      <c r="G30" s="11">
        <v>77.400000000000006</v>
      </c>
      <c r="H30" s="11">
        <v>182</v>
      </c>
      <c r="I30" s="11">
        <v>14.56</v>
      </c>
      <c r="J30" s="11">
        <v>12</v>
      </c>
      <c r="K30" s="11">
        <v>2</v>
      </c>
      <c r="M30" s="11">
        <v>53.9</v>
      </c>
      <c r="N30" s="59" t="str">
        <f t="shared" si="1"/>
        <v>confirmed</v>
      </c>
      <c r="O30" s="11">
        <v>16.5</v>
      </c>
      <c r="P30" s="17">
        <v>0.58888888888888891</v>
      </c>
      <c r="Q30" s="11">
        <v>191</v>
      </c>
      <c r="R30" s="11">
        <v>1.25</v>
      </c>
      <c r="S30" s="24" t="s">
        <v>109</v>
      </c>
      <c r="T30" s="24" t="s">
        <v>113</v>
      </c>
      <c r="U30" t="s">
        <v>181</v>
      </c>
      <c r="V30" s="24"/>
      <c r="W30" s="27">
        <v>0.63472222222222219</v>
      </c>
      <c r="X30" s="46">
        <v>1.0578703703703703E-2</v>
      </c>
      <c r="Y30" s="53">
        <f t="shared" si="3"/>
        <v>15.233333333333333</v>
      </c>
      <c r="Z30" s="29">
        <v>46.6</v>
      </c>
      <c r="AA30" s="29">
        <v>187</v>
      </c>
      <c r="AB30" s="29">
        <v>1.17</v>
      </c>
      <c r="AC30" s="29">
        <v>4</v>
      </c>
      <c r="AD30" s="29">
        <v>8.66</v>
      </c>
      <c r="AE30" s="29">
        <v>6</v>
      </c>
      <c r="AF30" s="29">
        <v>19</v>
      </c>
      <c r="AG30" s="29" t="s">
        <v>162</v>
      </c>
      <c r="AH30" s="29">
        <v>4</v>
      </c>
      <c r="AI30" s="24" t="s">
        <v>208</v>
      </c>
      <c r="AJ30" s="24" t="s">
        <v>193</v>
      </c>
      <c r="AK30" s="24"/>
      <c r="AL30" s="33">
        <v>0.62777777777777777</v>
      </c>
      <c r="AM30" s="56">
        <v>1.0462962962962964E-2</v>
      </c>
      <c r="AN30" s="58">
        <f t="shared" si="4"/>
        <v>15.066666666666668</v>
      </c>
      <c r="AO30" s="29">
        <v>48.9</v>
      </c>
      <c r="AP30" s="29">
        <v>186</v>
      </c>
      <c r="AQ30" s="29">
        <v>1.1399999999999999</v>
      </c>
      <c r="AR30" s="29">
        <v>3.13</v>
      </c>
      <c r="AS30" s="29">
        <v>9.59</v>
      </c>
      <c r="AT30" s="29">
        <v>6</v>
      </c>
      <c r="AU30" s="29">
        <v>19</v>
      </c>
      <c r="AV30" s="29" t="s">
        <v>164</v>
      </c>
      <c r="AW30" s="39">
        <v>5</v>
      </c>
      <c r="AX30" s="24" t="s">
        <v>208</v>
      </c>
      <c r="AY30" s="24" t="s">
        <v>184</v>
      </c>
      <c r="BA30" s="35">
        <v>0.54791666666666672</v>
      </c>
      <c r="BC30" s="36">
        <v>47.8</v>
      </c>
      <c r="BD30" s="36">
        <v>187</v>
      </c>
      <c r="BE30" s="36">
        <v>1.08</v>
      </c>
      <c r="BF30" s="36">
        <v>2.6</v>
      </c>
      <c r="BG30" s="36">
        <v>11.18</v>
      </c>
      <c r="BH30" s="36">
        <v>6</v>
      </c>
      <c r="BI30" s="36">
        <v>19</v>
      </c>
    </row>
    <row r="31" spans="1:62" x14ac:dyDescent="0.35">
      <c r="A31" s="3">
        <v>30</v>
      </c>
      <c r="B31" s="3" t="s">
        <v>5</v>
      </c>
      <c r="C31" t="s">
        <v>56</v>
      </c>
      <c r="F31" s="11">
        <v>32</v>
      </c>
      <c r="G31" s="11">
        <v>58.3</v>
      </c>
      <c r="H31" s="11">
        <v>160</v>
      </c>
      <c r="I31" s="11">
        <v>19.690000000000001</v>
      </c>
      <c r="J31">
        <v>2</v>
      </c>
      <c r="K31" s="11">
        <v>2</v>
      </c>
      <c r="M31" s="11">
        <v>41.8</v>
      </c>
      <c r="N31" s="59" t="str">
        <f t="shared" si="1"/>
        <v>beginner</v>
      </c>
      <c r="O31" s="11">
        <v>16</v>
      </c>
      <c r="P31" s="18">
        <v>0.50486111111111109</v>
      </c>
      <c r="Q31" s="11">
        <v>181</v>
      </c>
      <c r="R31" s="11">
        <v>1.23</v>
      </c>
      <c r="S31" s="24" t="s">
        <v>114</v>
      </c>
      <c r="T31" s="24" t="s">
        <v>115</v>
      </c>
      <c r="U31" s="11" t="s">
        <v>221</v>
      </c>
      <c r="V31" s="24"/>
      <c r="W31" s="35">
        <v>0.5541666666666667</v>
      </c>
      <c r="X31" s="51">
        <v>9.2361111111111116E-3</v>
      </c>
      <c r="Y31" s="53">
        <f t="shared" si="3"/>
        <v>13.3</v>
      </c>
      <c r="Z31" s="31">
        <v>43.4</v>
      </c>
      <c r="AA31" s="31">
        <v>177</v>
      </c>
      <c r="AB31" s="31">
        <v>1.1200000000000001</v>
      </c>
      <c r="AC31" s="31">
        <v>2.23</v>
      </c>
      <c r="AD31" s="31">
        <v>8.56</v>
      </c>
      <c r="AE31" s="31">
        <v>6</v>
      </c>
      <c r="AF31" s="31">
        <v>20</v>
      </c>
      <c r="AG31" s="32" t="s">
        <v>163</v>
      </c>
      <c r="AH31" s="32">
        <v>1</v>
      </c>
      <c r="AI31" s="24"/>
      <c r="AJ31" s="32"/>
      <c r="AK31" s="24"/>
      <c r="AL31" s="35">
        <v>0.57291666666666663</v>
      </c>
      <c r="AM31" s="51">
        <v>9.5486111111111101E-3</v>
      </c>
      <c r="AN31" s="58">
        <f t="shared" si="4"/>
        <v>13.749999999999998</v>
      </c>
      <c r="AO31" s="40">
        <v>46.4</v>
      </c>
      <c r="AP31" s="40">
        <v>177</v>
      </c>
      <c r="AQ31" s="40">
        <v>1.1200000000000001</v>
      </c>
      <c r="AR31" s="40">
        <v>3.31</v>
      </c>
      <c r="AS31" s="40">
        <v>12.77</v>
      </c>
      <c r="AT31" s="40">
        <v>6</v>
      </c>
      <c r="AU31" s="40">
        <v>20</v>
      </c>
      <c r="AV31" s="40" t="s">
        <v>162</v>
      </c>
      <c r="AW31" s="40">
        <v>3</v>
      </c>
      <c r="AX31" s="24" t="s">
        <v>178</v>
      </c>
      <c r="AY31" s="24"/>
      <c r="BA31" s="32"/>
      <c r="BC31" s="32"/>
      <c r="BD31" s="32"/>
      <c r="BE31" s="32"/>
      <c r="BF31" s="32"/>
      <c r="BG31" s="32"/>
      <c r="BH31" s="32"/>
      <c r="BI31" s="32"/>
    </row>
    <row r="32" spans="1:62" x14ac:dyDescent="0.35">
      <c r="A32" s="4">
        <v>31</v>
      </c>
      <c r="B32" s="4" t="s">
        <v>6</v>
      </c>
      <c r="C32" s="9" t="s">
        <v>55</v>
      </c>
      <c r="D32" s="9" t="s">
        <v>68</v>
      </c>
      <c r="E32" s="9" t="s">
        <v>73</v>
      </c>
      <c r="F32" s="10">
        <v>21</v>
      </c>
      <c r="G32" s="10">
        <v>80.400000000000006</v>
      </c>
      <c r="H32" s="10">
        <v>183</v>
      </c>
      <c r="I32" s="10">
        <v>11.91</v>
      </c>
      <c r="J32" s="9">
        <v>9</v>
      </c>
      <c r="K32" s="9">
        <v>13.5</v>
      </c>
      <c r="L32" s="9"/>
      <c r="M32" s="10">
        <v>48.4</v>
      </c>
      <c r="N32" s="10" t="str">
        <f t="shared" si="1"/>
        <v>confirmed</v>
      </c>
      <c r="O32" s="10">
        <v>14.2</v>
      </c>
      <c r="P32" s="19">
        <v>0.41666666666666669</v>
      </c>
      <c r="Q32" s="10">
        <v>196</v>
      </c>
      <c r="R32" s="10">
        <v>1.1499999999999999</v>
      </c>
      <c r="S32" s="22" t="s">
        <v>114</v>
      </c>
      <c r="T32" s="22" t="s">
        <v>116</v>
      </c>
      <c r="U32" s="22" t="s">
        <v>221</v>
      </c>
      <c r="V32" s="9"/>
      <c r="W32" s="28"/>
      <c r="X32" s="49"/>
      <c r="Y32" s="55"/>
      <c r="Z32" s="28"/>
      <c r="AA32" s="28"/>
      <c r="AB32" s="28"/>
      <c r="AC32" s="28"/>
      <c r="AD32" s="28"/>
      <c r="AE32" s="28"/>
      <c r="AF32" s="28"/>
      <c r="AG32" s="43"/>
      <c r="AH32" s="43"/>
      <c r="AI32" s="9"/>
      <c r="AJ32" s="43"/>
      <c r="AK32" s="9"/>
      <c r="AL32" s="28"/>
      <c r="AM32" s="49"/>
      <c r="AN32" s="55"/>
      <c r="AO32" s="28"/>
      <c r="AP32" s="28"/>
      <c r="AQ32" s="28"/>
      <c r="AR32" s="28"/>
      <c r="AS32" s="28"/>
      <c r="AT32" s="28"/>
      <c r="AU32" s="28"/>
      <c r="AV32" s="43"/>
      <c r="AW32" s="43"/>
      <c r="AX32" s="9"/>
      <c r="AY32" s="43"/>
      <c r="AZ32" s="9"/>
      <c r="BA32" s="28"/>
      <c r="BB32" s="9"/>
      <c r="BC32" s="28"/>
      <c r="BD32" s="28"/>
      <c r="BE32" s="28"/>
      <c r="BF32" s="28"/>
      <c r="BG32" s="28"/>
      <c r="BH32" s="28"/>
      <c r="BI32" s="28"/>
    </row>
    <row r="33" spans="1:61" x14ac:dyDescent="0.35">
      <c r="A33" s="3">
        <v>32</v>
      </c>
      <c r="B33" s="3" t="s">
        <v>7</v>
      </c>
      <c r="C33" t="s">
        <v>56</v>
      </c>
      <c r="F33" s="11">
        <v>22</v>
      </c>
      <c r="G33" s="11">
        <v>73.900000000000006</v>
      </c>
      <c r="H33" s="11">
        <v>176</v>
      </c>
      <c r="I33" s="11">
        <v>10.09</v>
      </c>
      <c r="J33">
        <v>9</v>
      </c>
      <c r="K33" s="11">
        <v>3</v>
      </c>
      <c r="M33" s="11">
        <v>37.700000000000003</v>
      </c>
      <c r="N33" s="59" t="str">
        <f t="shared" si="1"/>
        <v>beginner</v>
      </c>
      <c r="O33" s="11">
        <v>14.5</v>
      </c>
      <c r="P33" s="18">
        <v>0.43263888888888885</v>
      </c>
      <c r="Q33" s="11">
        <v>191</v>
      </c>
      <c r="R33" s="11">
        <v>1.04</v>
      </c>
      <c r="S33" s="24" t="s">
        <v>114</v>
      </c>
      <c r="T33" s="24" t="s">
        <v>117</v>
      </c>
      <c r="U33" t="s">
        <v>181</v>
      </c>
      <c r="V33" s="24"/>
      <c r="W33" s="38">
        <v>1.8680555555555554E-2</v>
      </c>
      <c r="X33" s="51">
        <v>1.8680555555555554E-2</v>
      </c>
      <c r="Y33" s="53">
        <f xml:space="preserve"> X33/("0:1:0")</f>
        <v>26.9</v>
      </c>
      <c r="Z33" s="40">
        <v>40.4</v>
      </c>
      <c r="AA33" s="40">
        <v>188</v>
      </c>
      <c r="AB33" s="40">
        <v>1.1299999999999999</v>
      </c>
      <c r="AC33" s="40">
        <v>2.88</v>
      </c>
      <c r="AD33" s="40">
        <v>4.97</v>
      </c>
      <c r="AE33" s="40">
        <v>6</v>
      </c>
      <c r="AF33" s="40">
        <v>20</v>
      </c>
      <c r="AG33" s="40" t="s">
        <v>164</v>
      </c>
      <c r="AH33" s="40">
        <v>2</v>
      </c>
      <c r="AI33" s="24" t="s">
        <v>208</v>
      </c>
      <c r="AJ33" s="24" t="s">
        <v>193</v>
      </c>
      <c r="AK33" s="24"/>
      <c r="AL33" s="35">
        <v>0.95138888888888884</v>
      </c>
      <c r="AM33" s="51">
        <v>1.5856481481481482E-2</v>
      </c>
      <c r="AN33" s="58">
        <f xml:space="preserve"> AM33/("0:1:0")</f>
        <v>22.833333333333332</v>
      </c>
      <c r="AO33" s="29">
        <v>40.700000000000003</v>
      </c>
      <c r="AP33" s="29">
        <v>188</v>
      </c>
      <c r="AQ33" s="29">
        <v>1.1299999999999999</v>
      </c>
      <c r="AR33" s="29">
        <v>2.79</v>
      </c>
      <c r="AS33" s="39">
        <v>6.1</v>
      </c>
      <c r="AT33" s="29">
        <v>7</v>
      </c>
      <c r="AU33" s="29">
        <v>20</v>
      </c>
      <c r="AV33" s="40" t="s">
        <v>162</v>
      </c>
      <c r="AW33" s="40">
        <v>1</v>
      </c>
      <c r="AX33" s="24" t="s">
        <v>208</v>
      </c>
      <c r="AY33" s="40" t="s">
        <v>185</v>
      </c>
      <c r="BA33" s="36"/>
      <c r="BC33" s="36"/>
      <c r="BD33" s="36"/>
      <c r="BE33" s="36"/>
      <c r="BF33" s="36"/>
      <c r="BG33" s="36"/>
      <c r="BH33" s="36"/>
      <c r="BI33" s="36"/>
    </row>
    <row r="34" spans="1:61" x14ac:dyDescent="0.35">
      <c r="A34" s="3">
        <v>33</v>
      </c>
      <c r="B34" s="3" t="s">
        <v>8</v>
      </c>
      <c r="C34" t="s">
        <v>56</v>
      </c>
      <c r="F34" s="11">
        <v>20</v>
      </c>
      <c r="G34" s="11">
        <v>60.5</v>
      </c>
      <c r="H34" s="11">
        <v>167</v>
      </c>
      <c r="I34" s="11">
        <v>11.91</v>
      </c>
      <c r="J34">
        <v>12</v>
      </c>
      <c r="K34" s="11">
        <v>2</v>
      </c>
      <c r="M34" s="11">
        <v>41.9</v>
      </c>
      <c r="N34" s="59" t="str">
        <f t="shared" si="1"/>
        <v>beginner</v>
      </c>
      <c r="O34" s="11">
        <v>13.5</v>
      </c>
      <c r="P34" s="18">
        <v>0.34027777777777773</v>
      </c>
      <c r="Q34" s="11">
        <v>201</v>
      </c>
      <c r="R34" s="11">
        <v>2.0099999999999998</v>
      </c>
      <c r="S34" s="24" t="s">
        <v>118</v>
      </c>
      <c r="T34" s="24" t="s">
        <v>119</v>
      </c>
      <c r="U34" s="11" t="s">
        <v>221</v>
      </c>
      <c r="V34" s="24"/>
      <c r="W34" s="35">
        <v>0.56319444444444444</v>
      </c>
      <c r="X34" s="51">
        <v>9.386574074074075E-3</v>
      </c>
      <c r="Y34" s="53">
        <f xml:space="preserve"> X34/("0:1:0")</f>
        <v>13.516666666666667</v>
      </c>
      <c r="Z34" s="31">
        <v>41.5</v>
      </c>
      <c r="AA34" s="31">
        <v>202</v>
      </c>
      <c r="AB34" s="31">
        <v>1.21</v>
      </c>
      <c r="AC34" s="31">
        <v>4.84</v>
      </c>
      <c r="AD34" s="31">
        <v>18.07</v>
      </c>
      <c r="AE34" s="31">
        <v>7</v>
      </c>
      <c r="AF34" s="31">
        <v>16</v>
      </c>
      <c r="AG34" s="32" t="s">
        <v>180</v>
      </c>
      <c r="AH34" s="32">
        <v>3</v>
      </c>
      <c r="AI34" s="24"/>
      <c r="AJ34" s="32"/>
      <c r="AK34" s="24"/>
      <c r="AL34" s="35">
        <v>0.58472222222222225</v>
      </c>
      <c r="AM34" s="51">
        <v>9.7453703703703713E-3</v>
      </c>
      <c r="AN34" s="58">
        <f xml:space="preserve"> AM34/("0:1:0")</f>
        <v>14.033333333333333</v>
      </c>
      <c r="AO34" s="40">
        <v>42</v>
      </c>
      <c r="AP34" s="40">
        <v>202</v>
      </c>
      <c r="AQ34" s="40">
        <v>1.23</v>
      </c>
      <c r="AR34" s="40">
        <v>2.78</v>
      </c>
      <c r="AS34" s="40">
        <v>13.15</v>
      </c>
      <c r="AT34" s="40">
        <v>7</v>
      </c>
      <c r="AU34" s="40">
        <v>17</v>
      </c>
      <c r="AV34" s="40" t="s">
        <v>180</v>
      </c>
      <c r="AW34" s="40">
        <v>2</v>
      </c>
      <c r="AX34" s="24" t="s">
        <v>208</v>
      </c>
      <c r="AY34" s="40" t="s">
        <v>194</v>
      </c>
      <c r="BA34" s="35">
        <v>0.5131944444444444</v>
      </c>
      <c r="BC34" s="36">
        <v>41.1</v>
      </c>
      <c r="BD34" s="36">
        <v>199</v>
      </c>
      <c r="BE34" s="36">
        <v>1.1299999999999999</v>
      </c>
      <c r="BF34" s="36">
        <v>3.69</v>
      </c>
      <c r="BG34" s="36">
        <v>12.81</v>
      </c>
      <c r="BH34" s="36">
        <v>8</v>
      </c>
      <c r="BI34" s="36">
        <v>17</v>
      </c>
    </row>
    <row r="35" spans="1:61" x14ac:dyDescent="0.35">
      <c r="A35" s="3">
        <v>34</v>
      </c>
      <c r="B35" s="3" t="s">
        <v>9</v>
      </c>
      <c r="C35" t="s">
        <v>56</v>
      </c>
      <c r="F35" s="11">
        <v>21</v>
      </c>
      <c r="G35" s="11">
        <v>76</v>
      </c>
      <c r="H35" s="11">
        <v>173</v>
      </c>
      <c r="I35" s="11">
        <v>14.22</v>
      </c>
      <c r="J35">
        <v>6</v>
      </c>
      <c r="K35">
        <v>3.5</v>
      </c>
      <c r="M35" s="11">
        <v>46.3</v>
      </c>
      <c r="N35" s="59" t="str">
        <f t="shared" si="1"/>
        <v>confirmed</v>
      </c>
      <c r="O35" s="11">
        <v>16.5</v>
      </c>
      <c r="P35" s="18">
        <v>0.57638888888888895</v>
      </c>
      <c r="Q35" s="11">
        <v>188</v>
      </c>
      <c r="R35" s="11">
        <v>2.4300000000000002</v>
      </c>
      <c r="S35" s="24" t="s">
        <v>115</v>
      </c>
      <c r="T35" s="24" t="s">
        <v>113</v>
      </c>
      <c r="U35" t="s">
        <v>181</v>
      </c>
      <c r="V35" s="24"/>
      <c r="W35" s="35">
        <v>0.50486111111111109</v>
      </c>
      <c r="X35" s="51">
        <v>8.4143518518518517E-3</v>
      </c>
      <c r="Y35" s="53">
        <f xml:space="preserve"> X35/("0:1:0")</f>
        <v>12.116666666666665</v>
      </c>
      <c r="Z35" s="40">
        <v>49.7</v>
      </c>
      <c r="AA35" s="40">
        <v>183</v>
      </c>
      <c r="AB35" s="40">
        <v>1.0900000000000001</v>
      </c>
      <c r="AC35" s="40">
        <v>1.48</v>
      </c>
      <c r="AD35" s="40">
        <v>8.6999999999999993</v>
      </c>
      <c r="AE35" s="40">
        <v>9</v>
      </c>
      <c r="AF35" s="40">
        <v>19</v>
      </c>
      <c r="AG35" s="40" t="s">
        <v>180</v>
      </c>
      <c r="AH35" s="40">
        <v>2</v>
      </c>
      <c r="AI35" s="24" t="s">
        <v>208</v>
      </c>
      <c r="AJ35" s="24" t="s">
        <v>195</v>
      </c>
      <c r="AK35" s="24"/>
      <c r="AL35" s="35">
        <v>0.53333333333333333</v>
      </c>
      <c r="AM35" s="51">
        <v>8.8888888888888889E-3</v>
      </c>
      <c r="AN35" s="58">
        <f xml:space="preserve"> AM35/("0:1:0")</f>
        <v>12.799999999999999</v>
      </c>
      <c r="AO35" s="29">
        <v>50.7</v>
      </c>
      <c r="AP35" s="29">
        <v>185</v>
      </c>
      <c r="AQ35" s="29">
        <v>1.05</v>
      </c>
      <c r="AR35" s="29">
        <v>2.39</v>
      </c>
      <c r="AS35" s="29">
        <v>9.91</v>
      </c>
      <c r="AT35" s="29">
        <v>6</v>
      </c>
      <c r="AU35" s="29">
        <v>19</v>
      </c>
      <c r="AV35" s="40" t="s">
        <v>180</v>
      </c>
      <c r="AW35" s="40">
        <v>3</v>
      </c>
      <c r="AX35" s="24" t="s">
        <v>208</v>
      </c>
      <c r="AY35" s="40" t="s">
        <v>186</v>
      </c>
      <c r="BA35" s="35">
        <v>0.36041666666666666</v>
      </c>
      <c r="BC35" s="36">
        <v>48.9</v>
      </c>
      <c r="BD35" s="36">
        <v>175</v>
      </c>
      <c r="BE35" s="36">
        <v>1.04</v>
      </c>
      <c r="BF35" s="36">
        <v>2.74</v>
      </c>
      <c r="BG35" s="36">
        <v>10</v>
      </c>
      <c r="BH35" s="36">
        <v>9</v>
      </c>
      <c r="BI35" s="36">
        <v>19</v>
      </c>
    </row>
    <row r="36" spans="1:61" x14ac:dyDescent="0.35">
      <c r="A36" s="4">
        <v>35</v>
      </c>
      <c r="B36" s="4" t="s">
        <v>10</v>
      </c>
      <c r="C36" s="9" t="s">
        <v>55</v>
      </c>
      <c r="D36" s="9" t="s">
        <v>66</v>
      </c>
      <c r="E36" s="9" t="s">
        <v>72</v>
      </c>
      <c r="F36" s="10">
        <v>21</v>
      </c>
      <c r="G36" s="10">
        <v>81.900000000000006</v>
      </c>
      <c r="H36" s="10">
        <v>176.5</v>
      </c>
      <c r="I36" s="10">
        <v>16.170000000000002</v>
      </c>
      <c r="J36" s="9">
        <v>1.5</v>
      </c>
      <c r="K36" s="14">
        <v>3</v>
      </c>
      <c r="L36" s="9"/>
      <c r="M36" s="10">
        <v>31.7</v>
      </c>
      <c r="N36" s="10" t="str">
        <f t="shared" si="1"/>
        <v>beginner</v>
      </c>
      <c r="O36" s="10">
        <v>14.5</v>
      </c>
      <c r="P36" s="20">
        <v>0.42291666666666666</v>
      </c>
      <c r="Q36" s="10">
        <v>195</v>
      </c>
      <c r="R36" s="10">
        <v>2.2200000000000002</v>
      </c>
      <c r="S36" s="22" t="s">
        <v>114</v>
      </c>
      <c r="T36" s="22" t="s">
        <v>115</v>
      </c>
      <c r="U36" s="22"/>
      <c r="V36" s="9"/>
      <c r="W36" s="28"/>
      <c r="X36" s="49"/>
      <c r="Y36" s="55"/>
      <c r="Z36" s="28"/>
      <c r="AA36" s="28"/>
      <c r="AB36" s="28"/>
      <c r="AC36" s="28"/>
      <c r="AD36" s="28"/>
      <c r="AE36" s="28"/>
      <c r="AF36" s="28"/>
      <c r="AG36" s="43"/>
      <c r="AH36" s="43"/>
      <c r="AI36" s="9"/>
      <c r="AJ36" s="43"/>
      <c r="AK36" s="9"/>
      <c r="AL36" s="28"/>
      <c r="AM36" s="49"/>
      <c r="AN36" s="55"/>
      <c r="AO36" s="28"/>
      <c r="AP36" s="28"/>
      <c r="AQ36" s="28"/>
      <c r="AR36" s="28"/>
      <c r="AS36" s="28"/>
      <c r="AT36" s="28"/>
      <c r="AU36" s="28"/>
      <c r="AV36" s="43"/>
      <c r="AW36" s="43"/>
      <c r="AX36" s="9"/>
      <c r="AY36" s="43"/>
      <c r="AZ36" s="9"/>
      <c r="BA36" s="28"/>
      <c r="BB36" s="9"/>
      <c r="BC36" s="28"/>
      <c r="BD36" s="28"/>
      <c r="BE36" s="28"/>
      <c r="BF36" s="28"/>
      <c r="BG36" s="28"/>
      <c r="BH36" s="28"/>
      <c r="BI36" s="28"/>
    </row>
    <row r="37" spans="1:61" x14ac:dyDescent="0.35">
      <c r="A37" s="4">
        <v>36</v>
      </c>
      <c r="B37" s="4" t="s">
        <v>11</v>
      </c>
      <c r="C37" s="9" t="s">
        <v>55</v>
      </c>
      <c r="D37" s="9" t="s">
        <v>69</v>
      </c>
      <c r="E37" s="9" t="s">
        <v>73</v>
      </c>
      <c r="F37" s="10">
        <v>21</v>
      </c>
      <c r="G37" s="10">
        <v>77</v>
      </c>
      <c r="H37" s="10">
        <v>187.5</v>
      </c>
      <c r="I37" s="10">
        <v>10.09</v>
      </c>
      <c r="J37" s="9">
        <v>15</v>
      </c>
      <c r="K37" s="14">
        <v>6.5</v>
      </c>
      <c r="L37" s="9"/>
      <c r="M37" s="10">
        <v>50.1</v>
      </c>
      <c r="N37" s="10" t="str">
        <f t="shared" si="1"/>
        <v>confirmed</v>
      </c>
      <c r="O37" s="10">
        <v>16</v>
      </c>
      <c r="P37" s="20">
        <v>0.50902777777777775</v>
      </c>
      <c r="Q37" s="10">
        <v>189</v>
      </c>
      <c r="R37" s="10">
        <v>1.22</v>
      </c>
      <c r="S37" s="22" t="s">
        <v>114</v>
      </c>
      <c r="T37" s="22" t="s">
        <v>109</v>
      </c>
      <c r="U37" s="22" t="s">
        <v>221</v>
      </c>
      <c r="V37" s="9"/>
      <c r="W37" s="28"/>
      <c r="X37" s="49"/>
      <c r="Y37" s="55"/>
      <c r="Z37" s="28"/>
      <c r="AA37" s="28"/>
      <c r="AB37" s="28"/>
      <c r="AC37" s="44"/>
      <c r="AD37" s="28"/>
      <c r="AE37" s="28"/>
      <c r="AF37" s="28"/>
      <c r="AG37" s="43"/>
      <c r="AH37" s="43"/>
      <c r="AI37" s="9"/>
      <c r="AJ37" s="43"/>
      <c r="AK37" s="9"/>
      <c r="AL37" s="28"/>
      <c r="AM37" s="49"/>
      <c r="AN37" s="55"/>
      <c r="AO37" s="28"/>
      <c r="AP37" s="28"/>
      <c r="AQ37" s="28"/>
      <c r="AR37" s="30"/>
      <c r="AS37" s="28"/>
      <c r="AT37" s="28"/>
      <c r="AU37" s="28"/>
      <c r="AV37" s="43"/>
      <c r="AW37" s="43"/>
      <c r="AX37" s="9"/>
      <c r="AY37" s="43"/>
      <c r="AZ37" s="9"/>
      <c r="BA37" s="28"/>
      <c r="BB37" s="9"/>
      <c r="BC37" s="28"/>
      <c r="BD37" s="28"/>
      <c r="BE37" s="28"/>
      <c r="BF37" s="28"/>
      <c r="BG37" s="28"/>
      <c r="BH37" s="28"/>
      <c r="BI37" s="28"/>
    </row>
    <row r="38" spans="1:61" x14ac:dyDescent="0.35">
      <c r="A38" s="3">
        <v>37</v>
      </c>
      <c r="B38" s="3" t="s">
        <v>12</v>
      </c>
      <c r="C38" t="s">
        <v>56</v>
      </c>
      <c r="F38" s="11">
        <v>21</v>
      </c>
      <c r="G38" s="11">
        <v>58.6</v>
      </c>
      <c r="H38" s="11">
        <v>173</v>
      </c>
      <c r="I38" s="11">
        <v>11.91</v>
      </c>
      <c r="J38">
        <v>1</v>
      </c>
      <c r="K38">
        <v>1.5</v>
      </c>
      <c r="M38" s="11">
        <v>49.4</v>
      </c>
      <c r="N38" s="59" t="str">
        <f t="shared" si="1"/>
        <v>confirmed</v>
      </c>
      <c r="O38" s="11">
        <v>16.5</v>
      </c>
      <c r="P38" s="18">
        <v>0.56111111111111112</v>
      </c>
      <c r="Q38" s="11">
        <v>203</v>
      </c>
      <c r="R38" s="11">
        <v>1.19</v>
      </c>
      <c r="S38" s="24" t="s">
        <v>114</v>
      </c>
      <c r="T38" s="24" t="s">
        <v>119</v>
      </c>
      <c r="U38" t="s">
        <v>181</v>
      </c>
      <c r="V38" s="24"/>
      <c r="W38" s="35">
        <v>0.88055555555555554</v>
      </c>
      <c r="X38" s="51">
        <v>1.4675925925925926E-2</v>
      </c>
      <c r="Y38" s="53">
        <f xml:space="preserve"> X38/("0:1:0")</f>
        <v>21.133333333333333</v>
      </c>
      <c r="Z38" s="40">
        <v>54.2</v>
      </c>
      <c r="AA38" s="40">
        <v>199</v>
      </c>
      <c r="AB38" s="40">
        <v>1.1000000000000001</v>
      </c>
      <c r="AC38" s="40">
        <v>3.89</v>
      </c>
      <c r="AD38" s="40">
        <v>15.57</v>
      </c>
      <c r="AE38" s="40">
        <v>9</v>
      </c>
      <c r="AF38" s="40">
        <v>20</v>
      </c>
      <c r="AG38" s="40" t="s">
        <v>176</v>
      </c>
      <c r="AH38" s="40">
        <v>4</v>
      </c>
      <c r="AI38" s="24" t="s">
        <v>178</v>
      </c>
      <c r="AJ38" s="24"/>
      <c r="AK38" s="24"/>
      <c r="AL38" s="35">
        <v>0.5541666666666667</v>
      </c>
      <c r="AM38" s="51">
        <v>9.2361111111111116E-3</v>
      </c>
      <c r="AN38" s="58">
        <f xml:space="preserve"> AM38/("0:1:0")</f>
        <v>13.3</v>
      </c>
      <c r="AO38" s="29">
        <v>49.4</v>
      </c>
      <c r="AP38" s="29">
        <v>201</v>
      </c>
      <c r="AQ38" s="29">
        <v>1.1299999999999999</v>
      </c>
      <c r="AR38" s="29">
        <v>2.74</v>
      </c>
      <c r="AS38" s="29">
        <v>13.86</v>
      </c>
      <c r="AT38" s="29">
        <v>9</v>
      </c>
      <c r="AU38" s="29">
        <v>19</v>
      </c>
      <c r="AV38" s="40" t="s">
        <v>162</v>
      </c>
      <c r="AW38" s="40">
        <v>4</v>
      </c>
      <c r="AX38" s="24" t="s">
        <v>178</v>
      </c>
      <c r="AY38" s="40"/>
      <c r="BA38" s="35">
        <v>0.62847222222222221</v>
      </c>
      <c r="BC38" s="36">
        <v>49.5</v>
      </c>
      <c r="BD38" s="36">
        <v>197</v>
      </c>
      <c r="BE38" s="36">
        <v>1.18</v>
      </c>
      <c r="BF38" s="36">
        <v>2.92</v>
      </c>
      <c r="BG38" s="36">
        <v>18.39</v>
      </c>
      <c r="BH38" s="36">
        <v>8</v>
      </c>
      <c r="BI38" s="36">
        <v>20</v>
      </c>
    </row>
    <row r="39" spans="1:61" x14ac:dyDescent="0.35">
      <c r="A39" s="3">
        <v>38</v>
      </c>
      <c r="B39" s="3" t="s">
        <v>13</v>
      </c>
      <c r="C39" t="s">
        <v>56</v>
      </c>
      <c r="F39" s="11">
        <v>22</v>
      </c>
      <c r="G39" s="11">
        <v>64.8</v>
      </c>
      <c r="H39" s="11">
        <v>178.5</v>
      </c>
      <c r="I39" s="11">
        <v>9.07</v>
      </c>
      <c r="J39">
        <v>8</v>
      </c>
      <c r="K39">
        <v>2.5</v>
      </c>
      <c r="M39" s="11">
        <v>52.3</v>
      </c>
      <c r="N39" s="59" t="str">
        <f t="shared" si="1"/>
        <v>confirmed</v>
      </c>
      <c r="O39" s="11">
        <v>17</v>
      </c>
      <c r="P39" s="18">
        <v>0.62916666666666665</v>
      </c>
      <c r="Q39" s="11">
        <v>200</v>
      </c>
      <c r="R39" s="11">
        <v>1.2</v>
      </c>
      <c r="S39" s="24" t="s">
        <v>114</v>
      </c>
      <c r="T39" s="24" t="s">
        <v>116</v>
      </c>
      <c r="U39" s="11" t="s">
        <v>221</v>
      </c>
      <c r="V39" s="24"/>
      <c r="W39" s="35">
        <v>0.4375</v>
      </c>
      <c r="X39" s="51">
        <v>7.2916666666666659E-3</v>
      </c>
      <c r="Y39" s="53">
        <f xml:space="preserve"> X39/("0:1:0")</f>
        <v>10.499999999999998</v>
      </c>
      <c r="Z39" s="31">
        <v>52.6</v>
      </c>
      <c r="AA39" s="31">
        <v>190</v>
      </c>
      <c r="AB39" s="31">
        <v>1.17</v>
      </c>
      <c r="AC39" s="31">
        <v>2.69</v>
      </c>
      <c r="AD39" s="31">
        <v>10.11</v>
      </c>
      <c r="AE39" s="31">
        <v>6</v>
      </c>
      <c r="AF39" s="31">
        <v>20</v>
      </c>
      <c r="AG39" s="32" t="s">
        <v>176</v>
      </c>
      <c r="AH39" s="32">
        <v>3</v>
      </c>
      <c r="AI39" s="24" t="s">
        <v>208</v>
      </c>
      <c r="AJ39" s="24" t="s">
        <v>210</v>
      </c>
      <c r="AK39" s="24"/>
      <c r="AL39" s="35">
        <v>0.52083333333333337</v>
      </c>
      <c r="AM39" s="51">
        <v>8.6805555555555559E-3</v>
      </c>
      <c r="AN39" s="58">
        <f xml:space="preserve"> AM39/("0:1:0")</f>
        <v>12.5</v>
      </c>
      <c r="AO39" s="29">
        <v>54</v>
      </c>
      <c r="AP39" s="29">
        <v>194</v>
      </c>
      <c r="AQ39" s="29">
        <v>1.1000000000000001</v>
      </c>
      <c r="AR39" s="29">
        <v>1.94</v>
      </c>
      <c r="AS39" s="29">
        <v>10.98</v>
      </c>
      <c r="AT39" s="29">
        <v>6</v>
      </c>
      <c r="AU39" s="29">
        <v>20</v>
      </c>
      <c r="AV39" s="40" t="s">
        <v>181</v>
      </c>
      <c r="AW39" s="40">
        <v>5</v>
      </c>
      <c r="AX39" s="24" t="s">
        <v>178</v>
      </c>
      <c r="AY39" s="24"/>
      <c r="BA39" s="35">
        <v>0.5493055555555556</v>
      </c>
      <c r="BC39" s="36">
        <v>53.2</v>
      </c>
      <c r="BD39" s="36">
        <v>192</v>
      </c>
      <c r="BE39" s="36">
        <v>1.1000000000000001</v>
      </c>
      <c r="BF39" s="36">
        <v>7.31</v>
      </c>
      <c r="BG39" s="36">
        <v>13.28</v>
      </c>
      <c r="BH39" s="36">
        <v>7</v>
      </c>
      <c r="BI39" s="36">
        <v>20</v>
      </c>
    </row>
    <row r="40" spans="1:61" x14ac:dyDescent="0.35">
      <c r="A40" s="3">
        <v>39</v>
      </c>
      <c r="B40" s="3" t="s">
        <v>14</v>
      </c>
      <c r="C40" t="s">
        <v>56</v>
      </c>
      <c r="F40" s="11">
        <v>30</v>
      </c>
      <c r="G40" s="11">
        <v>62.5</v>
      </c>
      <c r="H40" s="11">
        <v>171</v>
      </c>
      <c r="I40" s="11">
        <v>20.65</v>
      </c>
      <c r="J40">
        <v>10</v>
      </c>
      <c r="K40" s="15">
        <v>8.5</v>
      </c>
      <c r="M40" s="11">
        <v>55.6</v>
      </c>
      <c r="N40" s="59" t="str">
        <f t="shared" si="1"/>
        <v>confirmed</v>
      </c>
      <c r="O40" s="11">
        <v>18</v>
      </c>
      <c r="P40" s="18">
        <v>0.77083333333333337</v>
      </c>
      <c r="Q40" s="11">
        <v>196</v>
      </c>
      <c r="R40" s="11">
        <v>1.18</v>
      </c>
      <c r="S40" s="24" t="s">
        <v>120</v>
      </c>
      <c r="T40" s="24" t="s">
        <v>113</v>
      </c>
      <c r="U40" s="11" t="s">
        <v>221</v>
      </c>
      <c r="W40" s="38">
        <v>3.142361111111111E-2</v>
      </c>
      <c r="X40" s="51">
        <v>3.142361111111111E-2</v>
      </c>
      <c r="Y40" s="53">
        <f xml:space="preserve"> X40/("0:1:0")</f>
        <v>45.25</v>
      </c>
      <c r="Z40" s="31">
        <v>54.4</v>
      </c>
      <c r="AA40" s="31">
        <v>195</v>
      </c>
      <c r="AB40" s="31">
        <v>1.1200000000000001</v>
      </c>
      <c r="AC40" s="31">
        <v>2.2599999999999998</v>
      </c>
      <c r="AD40" s="31">
        <v>14.12</v>
      </c>
      <c r="AE40" s="31">
        <v>8</v>
      </c>
      <c r="AF40" s="31">
        <v>20</v>
      </c>
      <c r="AG40" s="32" t="s">
        <v>176</v>
      </c>
      <c r="AH40" s="32">
        <v>3</v>
      </c>
      <c r="AI40" s="24" t="s">
        <v>208</v>
      </c>
      <c r="AJ40" s="24" t="s">
        <v>211</v>
      </c>
      <c r="AL40" s="42">
        <v>3.8310185185185183E-2</v>
      </c>
      <c r="AM40" s="52">
        <v>3.8310185185185183E-2</v>
      </c>
      <c r="AN40" s="58">
        <f xml:space="preserve"> AM40/("0:1:0")</f>
        <v>55.166666666666664</v>
      </c>
      <c r="AO40" s="29">
        <v>51.2</v>
      </c>
      <c r="AP40" s="29">
        <v>192</v>
      </c>
      <c r="AQ40" s="29">
        <v>1.0900000000000001</v>
      </c>
      <c r="AR40" s="29">
        <v>2.3199999999999998</v>
      </c>
      <c r="AS40" s="29">
        <v>14.72</v>
      </c>
      <c r="AT40" s="29">
        <v>6</v>
      </c>
      <c r="AU40" s="29">
        <v>20</v>
      </c>
      <c r="AV40" s="40" t="s">
        <v>181</v>
      </c>
      <c r="AW40" s="40">
        <v>2</v>
      </c>
      <c r="AX40" s="24" t="s">
        <v>178</v>
      </c>
      <c r="AY40" s="24"/>
      <c r="BA40" s="36"/>
      <c r="BC40" s="36"/>
      <c r="BD40" s="36"/>
      <c r="BE40" s="36"/>
      <c r="BF40" s="36"/>
      <c r="BG40" s="36"/>
      <c r="BH40" s="36"/>
      <c r="BI40" s="36"/>
    </row>
    <row r="41" spans="1:61" x14ac:dyDescent="0.35">
      <c r="A41" s="4">
        <v>40</v>
      </c>
      <c r="B41" s="4" t="s">
        <v>15</v>
      </c>
      <c r="C41" s="9" t="s">
        <v>55</v>
      </c>
      <c r="D41" s="9" t="s">
        <v>67</v>
      </c>
      <c r="E41" s="9" t="s">
        <v>74</v>
      </c>
      <c r="F41" s="10">
        <v>24</v>
      </c>
      <c r="G41" s="10">
        <v>76.3</v>
      </c>
      <c r="H41" s="10">
        <v>185</v>
      </c>
      <c r="I41" s="10">
        <v>10.199999999999999</v>
      </c>
      <c r="J41" s="9"/>
      <c r="K41" s="9"/>
      <c r="L41" s="9"/>
      <c r="M41" s="9"/>
      <c r="N41" s="10"/>
      <c r="O41" s="9"/>
      <c r="P41" s="9"/>
      <c r="Q41" s="9"/>
      <c r="R41" s="9"/>
      <c r="S41" s="9"/>
      <c r="T41" s="9"/>
      <c r="U41" s="9"/>
      <c r="V41" s="9"/>
      <c r="W41" s="28"/>
      <c r="X41" s="49"/>
      <c r="Y41" s="55"/>
      <c r="Z41" s="28"/>
      <c r="AA41" s="28"/>
      <c r="AB41" s="28"/>
      <c r="AC41" s="28"/>
      <c r="AD41" s="28"/>
      <c r="AE41" s="28"/>
      <c r="AF41" s="28"/>
      <c r="AG41" s="43"/>
      <c r="AH41" s="43"/>
      <c r="AI41" s="9"/>
      <c r="AJ41" s="9"/>
      <c r="AK41" s="9"/>
      <c r="AL41" s="28"/>
      <c r="AM41" s="49"/>
      <c r="AN41" s="55"/>
      <c r="AO41" s="28"/>
      <c r="AP41" s="28"/>
      <c r="AQ41" s="28"/>
      <c r="AR41" s="28"/>
      <c r="AS41" s="28"/>
      <c r="AT41" s="28"/>
      <c r="AU41" s="28"/>
      <c r="AV41" s="43"/>
      <c r="AW41" s="43"/>
      <c r="AX41" s="9"/>
      <c r="AY41" s="43"/>
      <c r="AZ41" s="9"/>
      <c r="BA41" s="28"/>
      <c r="BB41" s="9"/>
      <c r="BC41" s="28"/>
      <c r="BD41" s="28"/>
      <c r="BE41" s="28"/>
      <c r="BF41" s="28"/>
      <c r="BG41" s="28"/>
      <c r="BH41" s="28"/>
      <c r="BI41" s="28"/>
    </row>
    <row r="42" spans="1:61" x14ac:dyDescent="0.35">
      <c r="A42" s="3">
        <v>41</v>
      </c>
      <c r="B42" s="3" t="s">
        <v>16</v>
      </c>
      <c r="C42" t="s">
        <v>56</v>
      </c>
      <c r="F42" s="11">
        <v>21</v>
      </c>
      <c r="G42" s="11">
        <v>84.5</v>
      </c>
      <c r="H42" s="11">
        <v>184</v>
      </c>
      <c r="I42" s="11">
        <v>14.4</v>
      </c>
      <c r="J42">
        <v>15</v>
      </c>
      <c r="K42">
        <v>7</v>
      </c>
      <c r="M42">
        <v>50</v>
      </c>
      <c r="N42" s="59" t="str">
        <f t="shared" si="1"/>
        <v>confirmed</v>
      </c>
      <c r="O42">
        <v>16.5</v>
      </c>
      <c r="P42" s="18">
        <v>0.60416666666666663</v>
      </c>
      <c r="Q42">
        <v>192</v>
      </c>
      <c r="R42">
        <v>1.26</v>
      </c>
      <c r="S42" t="s">
        <v>114</v>
      </c>
      <c r="T42" t="s">
        <v>121</v>
      </c>
      <c r="U42" s="11" t="s">
        <v>221</v>
      </c>
      <c r="W42" s="35">
        <v>0.6875</v>
      </c>
      <c r="X42" s="51">
        <v>1.1458333333333334E-2</v>
      </c>
      <c r="Y42" s="53">
        <f xml:space="preserve"> X42/("0:1:0")</f>
        <v>16.5</v>
      </c>
      <c r="Z42" s="36">
        <v>51.9</v>
      </c>
      <c r="AA42" s="36">
        <v>185</v>
      </c>
      <c r="AB42" s="36">
        <v>1.04</v>
      </c>
      <c r="AC42" s="36">
        <v>2.62</v>
      </c>
      <c r="AD42" s="36">
        <v>14.36</v>
      </c>
      <c r="AE42" s="36">
        <v>6</v>
      </c>
      <c r="AF42" s="36">
        <v>20</v>
      </c>
      <c r="AG42" s="37" t="s">
        <v>162</v>
      </c>
      <c r="AH42" s="37">
        <v>2</v>
      </c>
      <c r="AI42" s="24" t="s">
        <v>208</v>
      </c>
      <c r="AJ42" t="s">
        <v>212</v>
      </c>
      <c r="AL42" s="35">
        <v>0.62916666666666665</v>
      </c>
      <c r="AM42" s="51">
        <v>1.0486111111111111E-2</v>
      </c>
      <c r="AN42" s="58">
        <f xml:space="preserve"> AM42/("0:1:0")</f>
        <v>15.1</v>
      </c>
      <c r="AO42" s="36">
        <v>49.6</v>
      </c>
      <c r="AP42" s="36">
        <v>181</v>
      </c>
      <c r="AQ42" s="36">
        <v>1.0900000000000001</v>
      </c>
      <c r="AR42" s="36">
        <v>1.79</v>
      </c>
      <c r="AS42" s="36">
        <v>13.36</v>
      </c>
      <c r="AT42" s="36">
        <v>6</v>
      </c>
      <c r="AU42" s="36">
        <v>20</v>
      </c>
      <c r="AV42" s="36" t="s">
        <v>180</v>
      </c>
      <c r="AW42" s="36">
        <v>5</v>
      </c>
      <c r="AX42" s="24" t="s">
        <v>178</v>
      </c>
      <c r="BA42" s="35">
        <v>0.62916666666666665</v>
      </c>
      <c r="BC42" s="36">
        <v>50.9</v>
      </c>
      <c r="BD42" s="36">
        <v>187</v>
      </c>
      <c r="BE42" s="36">
        <v>1.1100000000000001</v>
      </c>
      <c r="BF42" s="36">
        <v>2.85</v>
      </c>
      <c r="BG42" s="36">
        <v>12.04</v>
      </c>
      <c r="BH42" s="36">
        <v>6</v>
      </c>
      <c r="BI42" s="36">
        <v>20</v>
      </c>
    </row>
    <row r="43" spans="1:61" x14ac:dyDescent="0.35">
      <c r="A43" s="3">
        <v>42</v>
      </c>
      <c r="B43" s="3" t="s">
        <v>17</v>
      </c>
      <c r="C43" t="s">
        <v>56</v>
      </c>
      <c r="F43" s="11">
        <v>21</v>
      </c>
      <c r="G43" s="11">
        <v>75.3</v>
      </c>
      <c r="H43" s="11">
        <v>188.5</v>
      </c>
      <c r="I43" s="11">
        <v>14.22</v>
      </c>
      <c r="J43" s="13">
        <v>3.5</v>
      </c>
      <c r="K43">
        <v>3</v>
      </c>
      <c r="M43">
        <v>43.7</v>
      </c>
      <c r="N43" s="59" t="str">
        <f t="shared" si="1"/>
        <v>beginner</v>
      </c>
      <c r="O43">
        <v>16.5</v>
      </c>
      <c r="P43" s="18">
        <v>0.58750000000000002</v>
      </c>
      <c r="Q43">
        <v>196</v>
      </c>
      <c r="R43">
        <v>1.1599999999999999</v>
      </c>
      <c r="S43" t="s">
        <v>114</v>
      </c>
      <c r="T43" t="s">
        <v>121</v>
      </c>
      <c r="U43" t="s">
        <v>181</v>
      </c>
      <c r="W43" s="35">
        <v>0.6118055555555556</v>
      </c>
      <c r="X43" s="51">
        <v>1.019675925925926E-2</v>
      </c>
      <c r="Y43" s="53">
        <f xml:space="preserve"> X43/("0:1:0")</f>
        <v>14.683333333333334</v>
      </c>
      <c r="Z43" s="29">
        <v>51.2</v>
      </c>
      <c r="AA43" s="29">
        <v>194</v>
      </c>
      <c r="AB43" s="29">
        <v>1.04</v>
      </c>
      <c r="AC43" s="29">
        <v>2.85</v>
      </c>
      <c r="AD43" s="29">
        <v>12.04</v>
      </c>
      <c r="AE43" s="29">
        <v>6</v>
      </c>
      <c r="AF43" s="29">
        <v>19</v>
      </c>
      <c r="AG43" s="40" t="s">
        <v>176</v>
      </c>
      <c r="AH43" s="40">
        <v>4</v>
      </c>
      <c r="AI43" s="24" t="s">
        <v>208</v>
      </c>
      <c r="AJ43" s="24" t="s">
        <v>196</v>
      </c>
      <c r="AL43" s="35">
        <v>0.42499999999999999</v>
      </c>
      <c r="AM43" s="51">
        <v>7.083333333333333E-3</v>
      </c>
      <c r="AN43" s="58">
        <f xml:space="preserve"> AM43/("0:1:0")</f>
        <v>10.199999999999999</v>
      </c>
      <c r="AO43" s="29">
        <v>49.4</v>
      </c>
      <c r="AP43" s="29">
        <v>193</v>
      </c>
      <c r="AQ43" s="29">
        <v>1.07</v>
      </c>
      <c r="AR43" s="29">
        <v>2.5299999999999998</v>
      </c>
      <c r="AS43" s="29">
        <v>11.26</v>
      </c>
      <c r="AT43" s="29">
        <v>6</v>
      </c>
      <c r="AU43" s="29">
        <v>20</v>
      </c>
      <c r="AV43" s="40" t="s">
        <v>180</v>
      </c>
      <c r="AW43" s="40">
        <v>3</v>
      </c>
      <c r="AX43" s="24" t="s">
        <v>208</v>
      </c>
      <c r="AY43" s="40" t="s">
        <v>187</v>
      </c>
      <c r="BA43" s="35">
        <v>0.69097222222222221</v>
      </c>
      <c r="BC43" s="36">
        <v>52.2</v>
      </c>
      <c r="BD43" s="36">
        <v>193</v>
      </c>
      <c r="BE43" s="36">
        <v>1.1200000000000001</v>
      </c>
      <c r="BF43" s="36">
        <v>2.1</v>
      </c>
      <c r="BG43" s="36">
        <v>12.63</v>
      </c>
      <c r="BH43" s="36">
        <v>6</v>
      </c>
      <c r="BI43" s="36">
        <v>20</v>
      </c>
    </row>
    <row r="44" spans="1:61" x14ac:dyDescent="0.35">
      <c r="A44" s="3">
        <v>43</v>
      </c>
      <c r="B44" s="3" t="s">
        <v>18</v>
      </c>
      <c r="C44" t="s">
        <v>56</v>
      </c>
      <c r="F44" s="11">
        <v>22</v>
      </c>
      <c r="G44" s="11">
        <v>77.3</v>
      </c>
      <c r="H44" s="11">
        <v>173</v>
      </c>
      <c r="I44" s="11">
        <v>12.73</v>
      </c>
      <c r="J44">
        <v>10</v>
      </c>
      <c r="K44">
        <v>1</v>
      </c>
      <c r="M44">
        <v>41.8</v>
      </c>
      <c r="N44" s="59" t="str">
        <f t="shared" si="1"/>
        <v>beginner</v>
      </c>
      <c r="O44">
        <v>14</v>
      </c>
      <c r="P44" s="18">
        <v>0.38125000000000003</v>
      </c>
      <c r="Q44">
        <v>200</v>
      </c>
      <c r="R44">
        <v>1.21</v>
      </c>
      <c r="S44" t="s">
        <v>122</v>
      </c>
      <c r="T44" t="s">
        <v>119</v>
      </c>
      <c r="U44" s="11" t="s">
        <v>221</v>
      </c>
      <c r="W44" s="35">
        <v>0.4465277777777778</v>
      </c>
      <c r="X44" s="51">
        <v>7.4421296296296293E-3</v>
      </c>
      <c r="Y44" s="53">
        <f xml:space="preserve"> X44/("0:1:0")</f>
        <v>10.716666666666665</v>
      </c>
      <c r="Z44" s="31">
        <v>45.2</v>
      </c>
      <c r="AA44" s="31">
        <v>195</v>
      </c>
      <c r="AB44" s="31">
        <v>1.1599999999999999</v>
      </c>
      <c r="AC44" s="31">
        <v>3.75</v>
      </c>
      <c r="AD44" s="31">
        <v>20.350000000000001</v>
      </c>
      <c r="AE44" s="31">
        <v>8</v>
      </c>
      <c r="AF44" s="31">
        <v>19</v>
      </c>
      <c r="AG44" s="32" t="s">
        <v>176</v>
      </c>
      <c r="AH44" s="32">
        <v>3</v>
      </c>
      <c r="AI44" s="24" t="s">
        <v>208</v>
      </c>
      <c r="AJ44" s="24" t="s">
        <v>213</v>
      </c>
      <c r="AL44" s="35">
        <v>0.52083333333333337</v>
      </c>
      <c r="AM44" s="51">
        <v>8.6805555555555559E-3</v>
      </c>
      <c r="AN44" s="58">
        <f xml:space="preserve"> AM44/("0:1:0")</f>
        <v>12.5</v>
      </c>
      <c r="AO44" s="29">
        <v>44.7</v>
      </c>
      <c r="AP44" s="29">
        <v>197</v>
      </c>
      <c r="AQ44" s="29">
        <v>1.18</v>
      </c>
      <c r="AR44" s="29">
        <v>3.09</v>
      </c>
      <c r="AS44" s="29">
        <v>7.44</v>
      </c>
      <c r="AT44" s="29">
        <v>7</v>
      </c>
      <c r="AU44" s="29">
        <v>17</v>
      </c>
      <c r="AV44" s="40" t="s">
        <v>176</v>
      </c>
      <c r="AW44" s="40">
        <v>3</v>
      </c>
      <c r="AX44" s="24" t="s">
        <v>208</v>
      </c>
      <c r="AY44" s="40" t="s">
        <v>197</v>
      </c>
      <c r="BA44" s="35">
        <v>0.39583333333333331</v>
      </c>
      <c r="BC44" s="36">
        <v>45.2</v>
      </c>
      <c r="BD44" s="36">
        <v>193</v>
      </c>
      <c r="BE44" s="36">
        <v>1.17</v>
      </c>
      <c r="BF44" s="36">
        <v>3.03</v>
      </c>
      <c r="BG44" s="36">
        <v>14.3</v>
      </c>
      <c r="BH44" s="36">
        <v>7</v>
      </c>
      <c r="BI44" s="36">
        <v>19</v>
      </c>
    </row>
    <row r="45" spans="1:61" x14ac:dyDescent="0.35">
      <c r="A45" s="3">
        <v>44</v>
      </c>
      <c r="B45" s="3" t="s">
        <v>19</v>
      </c>
      <c r="C45" t="s">
        <v>56</v>
      </c>
      <c r="F45" s="11">
        <v>20</v>
      </c>
      <c r="G45" s="11">
        <v>79.3</v>
      </c>
      <c r="H45" s="11">
        <v>188.5</v>
      </c>
      <c r="I45" s="11">
        <v>14.9</v>
      </c>
      <c r="J45">
        <v>10</v>
      </c>
      <c r="K45">
        <v>4</v>
      </c>
      <c r="M45">
        <v>49.7</v>
      </c>
      <c r="N45" s="59" t="str">
        <f t="shared" si="1"/>
        <v>confirmed</v>
      </c>
      <c r="O45">
        <v>16</v>
      </c>
      <c r="P45" s="18">
        <v>0.53125</v>
      </c>
      <c r="Q45">
        <v>188</v>
      </c>
      <c r="R45">
        <v>1.21</v>
      </c>
      <c r="S45" t="s">
        <v>119</v>
      </c>
      <c r="T45" t="s">
        <v>113</v>
      </c>
      <c r="U45" t="s">
        <v>181</v>
      </c>
      <c r="W45" s="35">
        <v>0.48680555555555555</v>
      </c>
      <c r="X45" s="51">
        <v>8.113425925925925E-3</v>
      </c>
      <c r="Y45" s="53">
        <f xml:space="preserve"> X45/("0:1:0")</f>
        <v>11.683333333333332</v>
      </c>
      <c r="Z45" s="36">
        <v>52.5</v>
      </c>
      <c r="AA45" s="36">
        <v>188</v>
      </c>
      <c r="AB45" s="36">
        <v>1.08</v>
      </c>
      <c r="AC45" s="36">
        <v>3.04</v>
      </c>
      <c r="AD45" s="36">
        <v>11.48</v>
      </c>
      <c r="AE45" s="36">
        <v>6</v>
      </c>
      <c r="AF45" s="36">
        <v>19</v>
      </c>
      <c r="AG45" s="36" t="s">
        <v>176</v>
      </c>
      <c r="AH45" s="36">
        <v>2</v>
      </c>
      <c r="AI45" s="24" t="s">
        <v>208</v>
      </c>
      <c r="AJ45" t="s">
        <v>189</v>
      </c>
      <c r="AL45" s="35">
        <v>0.52083333333333337</v>
      </c>
      <c r="AM45" s="51">
        <v>8.6805555555555559E-3</v>
      </c>
      <c r="AN45" s="58">
        <f xml:space="preserve"> AM45/("0:1:0")</f>
        <v>12.5</v>
      </c>
      <c r="AO45" s="29">
        <v>49.8</v>
      </c>
      <c r="AP45" s="29">
        <v>195</v>
      </c>
      <c r="AQ45" s="29">
        <v>1.1000000000000001</v>
      </c>
      <c r="AR45" s="29">
        <v>1.96</v>
      </c>
      <c r="AS45" s="29">
        <v>9.4600000000000009</v>
      </c>
      <c r="AT45" s="29">
        <v>6</v>
      </c>
      <c r="AU45" s="29">
        <v>19</v>
      </c>
      <c r="AV45" s="40" t="s">
        <v>180</v>
      </c>
      <c r="AW45" s="40">
        <v>3</v>
      </c>
      <c r="AX45" s="24" t="s">
        <v>208</v>
      </c>
      <c r="AY45" s="40" t="s">
        <v>188</v>
      </c>
      <c r="BA45" s="35">
        <v>0.54791666666666672</v>
      </c>
      <c r="BC45" s="36">
        <v>52</v>
      </c>
      <c r="BD45" s="36">
        <v>192</v>
      </c>
      <c r="BE45" s="36">
        <v>1.06</v>
      </c>
      <c r="BF45" s="36">
        <v>2.36</v>
      </c>
      <c r="BG45" s="36">
        <v>11.09</v>
      </c>
      <c r="BH45" s="36">
        <v>6</v>
      </c>
      <c r="BI45" s="36">
        <v>20</v>
      </c>
    </row>
    <row r="46" spans="1:61" x14ac:dyDescent="0.35">
      <c r="A46" s="4">
        <v>45</v>
      </c>
      <c r="B46" s="4" t="s">
        <v>20</v>
      </c>
      <c r="C46" s="9" t="s">
        <v>55</v>
      </c>
      <c r="D46" s="9" t="s">
        <v>70</v>
      </c>
      <c r="E46" s="9" t="s">
        <v>73</v>
      </c>
      <c r="F46" s="10">
        <v>20</v>
      </c>
      <c r="G46" s="10">
        <v>79.5</v>
      </c>
      <c r="H46" s="10">
        <v>185</v>
      </c>
      <c r="I46" s="10">
        <v>15.55</v>
      </c>
      <c r="J46" s="9">
        <v>1</v>
      </c>
      <c r="K46" s="9">
        <v>4</v>
      </c>
      <c r="L46" s="9"/>
      <c r="M46" s="9">
        <v>56.8</v>
      </c>
      <c r="N46" s="10" t="str">
        <f t="shared" si="1"/>
        <v>confirmed</v>
      </c>
      <c r="O46" s="9">
        <v>16.5</v>
      </c>
      <c r="P46" s="20">
        <v>0.54861111111111105</v>
      </c>
      <c r="Q46" s="9">
        <v>199</v>
      </c>
      <c r="R46" s="9">
        <v>1.3</v>
      </c>
      <c r="S46" s="9" t="s">
        <v>114</v>
      </c>
      <c r="T46" s="9" t="s">
        <v>114</v>
      </c>
      <c r="U46" s="9" t="s">
        <v>221</v>
      </c>
      <c r="V46" s="9"/>
      <c r="W46" s="28"/>
      <c r="X46" s="49"/>
      <c r="Y46" s="55"/>
      <c r="Z46" s="28"/>
      <c r="AA46" s="28"/>
      <c r="AB46" s="28"/>
      <c r="AC46" s="28"/>
      <c r="AD46" s="28"/>
      <c r="AE46" s="28"/>
      <c r="AF46" s="28"/>
      <c r="AG46" s="43"/>
      <c r="AH46" s="43"/>
      <c r="AI46" s="9"/>
      <c r="AJ46" s="9"/>
      <c r="AK46" s="9"/>
      <c r="AL46" s="28"/>
      <c r="AM46" s="49"/>
      <c r="AN46" s="55"/>
      <c r="AO46" s="28"/>
      <c r="AP46" s="28"/>
      <c r="AQ46" s="28"/>
      <c r="AR46" s="28"/>
      <c r="AS46" s="28"/>
      <c r="AT46" s="28"/>
      <c r="AU46" s="28"/>
      <c r="AV46" s="43"/>
      <c r="AW46" s="43"/>
      <c r="AX46" s="9"/>
      <c r="AY46" s="43"/>
      <c r="AZ46" s="9"/>
      <c r="BA46" s="28"/>
      <c r="BB46" s="9"/>
      <c r="BC46" s="28"/>
      <c r="BD46" s="28"/>
      <c r="BE46" s="28"/>
      <c r="BF46" s="28"/>
      <c r="BG46" s="28"/>
      <c r="BH46" s="28"/>
      <c r="BI46" s="28"/>
    </row>
    <row r="47" spans="1:61" x14ac:dyDescent="0.35">
      <c r="A47" s="3">
        <v>46</v>
      </c>
      <c r="B47" s="3" t="s">
        <v>21</v>
      </c>
      <c r="C47" t="s">
        <v>56</v>
      </c>
      <c r="F47" s="11">
        <v>21</v>
      </c>
      <c r="G47" s="11">
        <v>63.8</v>
      </c>
      <c r="H47" s="11">
        <v>177</v>
      </c>
      <c r="I47" s="11">
        <v>9.07</v>
      </c>
      <c r="J47">
        <v>3</v>
      </c>
      <c r="K47">
        <v>2</v>
      </c>
      <c r="M47">
        <v>58.8</v>
      </c>
      <c r="N47" s="59" t="str">
        <f t="shared" si="1"/>
        <v>confirmed</v>
      </c>
      <c r="O47">
        <v>17</v>
      </c>
      <c r="P47" s="18">
        <v>0.63124999999999998</v>
      </c>
      <c r="Q47">
        <v>190</v>
      </c>
      <c r="R47">
        <v>1.22</v>
      </c>
      <c r="S47" t="s">
        <v>114</v>
      </c>
      <c r="T47" t="s">
        <v>114</v>
      </c>
      <c r="U47" t="s">
        <v>181</v>
      </c>
      <c r="W47" s="35">
        <v>0.69305555555555554</v>
      </c>
      <c r="X47" s="51">
        <v>1.1550925925925925E-2</v>
      </c>
      <c r="Y47" s="53">
        <f t="shared" ref="Y47:Y54" si="5" xml:space="preserve"> X47/("0:1:0")</f>
        <v>16.633333333333329</v>
      </c>
      <c r="Z47" s="36">
        <v>56</v>
      </c>
      <c r="AA47" s="36">
        <v>187</v>
      </c>
      <c r="AB47" s="36">
        <v>1.1399999999999999</v>
      </c>
      <c r="AC47" s="36">
        <v>2.38</v>
      </c>
      <c r="AD47" s="36">
        <v>12.65</v>
      </c>
      <c r="AE47" s="36">
        <v>7</v>
      </c>
      <c r="AF47" s="36">
        <v>19</v>
      </c>
      <c r="AG47" s="36" t="s">
        <v>198</v>
      </c>
      <c r="AH47" s="36">
        <v>3</v>
      </c>
      <c r="AI47" s="24" t="s">
        <v>208</v>
      </c>
      <c r="AJ47" t="s">
        <v>199</v>
      </c>
      <c r="AL47" s="35">
        <v>0.75416666666666676</v>
      </c>
      <c r="AM47" s="51">
        <v>1.2569444444444446E-2</v>
      </c>
      <c r="AN47" s="58">
        <f t="shared" ref="AN47:AN54" si="6" xml:space="preserve"> AM47/("0:1:0")</f>
        <v>18.100000000000001</v>
      </c>
      <c r="AO47" s="29">
        <v>55.8</v>
      </c>
      <c r="AP47" s="29">
        <v>190</v>
      </c>
      <c r="AQ47" s="29">
        <v>1.0900000000000001</v>
      </c>
      <c r="AR47" s="29">
        <v>2.82</v>
      </c>
      <c r="AS47" s="29">
        <v>10.77</v>
      </c>
      <c r="AT47" s="29">
        <v>7</v>
      </c>
      <c r="AU47" s="29">
        <v>19</v>
      </c>
      <c r="AV47" s="40" t="s">
        <v>162</v>
      </c>
      <c r="AW47" s="40">
        <v>3</v>
      </c>
      <c r="AX47" s="24" t="s">
        <v>208</v>
      </c>
      <c r="AY47" s="40" t="s">
        <v>189</v>
      </c>
      <c r="BA47" s="35">
        <v>0.75902777777777775</v>
      </c>
      <c r="BC47" s="36">
        <v>57</v>
      </c>
      <c r="BD47" s="36">
        <v>188</v>
      </c>
      <c r="BE47" s="36">
        <v>1.1299999999999999</v>
      </c>
      <c r="BF47" s="36">
        <v>2</v>
      </c>
      <c r="BG47" s="36">
        <v>12.42</v>
      </c>
      <c r="BH47" s="36">
        <v>7</v>
      </c>
      <c r="BI47" s="36">
        <v>19</v>
      </c>
    </row>
    <row r="48" spans="1:61" x14ac:dyDescent="0.35">
      <c r="A48" s="3">
        <v>47</v>
      </c>
      <c r="B48" s="3" t="s">
        <v>22</v>
      </c>
      <c r="C48" t="s">
        <v>56</v>
      </c>
      <c r="F48" s="11">
        <v>22</v>
      </c>
      <c r="G48" s="11">
        <v>78.400000000000006</v>
      </c>
      <c r="H48" s="11">
        <v>184</v>
      </c>
      <c r="I48" s="11">
        <v>14.22</v>
      </c>
      <c r="J48">
        <v>15</v>
      </c>
      <c r="K48">
        <v>4</v>
      </c>
      <c r="M48">
        <v>55.8</v>
      </c>
      <c r="N48" s="59" t="str">
        <f t="shared" si="1"/>
        <v>confirmed</v>
      </c>
      <c r="O48">
        <v>16</v>
      </c>
      <c r="P48" s="18">
        <v>0.49722222222222223</v>
      </c>
      <c r="Q48">
        <v>180</v>
      </c>
      <c r="R48">
        <v>1.1399999999999999</v>
      </c>
      <c r="S48" t="s">
        <v>119</v>
      </c>
      <c r="T48" t="s">
        <v>116</v>
      </c>
      <c r="U48" s="11" t="s">
        <v>221</v>
      </c>
      <c r="W48" s="35">
        <v>0.75208333333333333</v>
      </c>
      <c r="X48" s="51">
        <v>1.2534722222222223E-2</v>
      </c>
      <c r="Y48" s="53">
        <f t="shared" si="5"/>
        <v>18.05</v>
      </c>
      <c r="Z48" s="31">
        <v>54</v>
      </c>
      <c r="AA48" s="31">
        <v>174</v>
      </c>
      <c r="AB48" s="31">
        <v>1.0900000000000001</v>
      </c>
      <c r="AC48" s="31">
        <v>3.66</v>
      </c>
      <c r="AD48" s="31">
        <v>15.92</v>
      </c>
      <c r="AE48" s="31">
        <v>7</v>
      </c>
      <c r="AF48" s="31">
        <v>18</v>
      </c>
      <c r="AG48" s="32" t="s">
        <v>162</v>
      </c>
      <c r="AH48" s="32">
        <v>5</v>
      </c>
      <c r="AI48" s="24" t="s">
        <v>208</v>
      </c>
      <c r="AJ48" s="24" t="s">
        <v>214</v>
      </c>
      <c r="AL48" s="35">
        <v>0.65347222222222223</v>
      </c>
      <c r="AM48" s="51">
        <v>1.0891203703703703E-2</v>
      </c>
      <c r="AN48" s="58">
        <f t="shared" si="6"/>
        <v>15.683333333333332</v>
      </c>
      <c r="AO48" s="36">
        <v>51.7</v>
      </c>
      <c r="AP48" s="36">
        <v>171</v>
      </c>
      <c r="AQ48" s="36">
        <v>1.1599999999999999</v>
      </c>
      <c r="AR48" s="36">
        <v>2.2599999999999998</v>
      </c>
      <c r="AS48" s="36">
        <v>11.81</v>
      </c>
      <c r="AT48" s="36">
        <v>9</v>
      </c>
      <c r="AU48" s="36">
        <v>19</v>
      </c>
      <c r="AV48" s="36" t="s">
        <v>176</v>
      </c>
      <c r="AW48" s="36">
        <v>3</v>
      </c>
      <c r="AX48" s="24" t="s">
        <v>178</v>
      </c>
      <c r="BA48" s="36"/>
      <c r="BC48" s="36"/>
      <c r="BD48" s="36"/>
      <c r="BE48" s="36"/>
      <c r="BF48" s="36"/>
      <c r="BG48" s="36"/>
      <c r="BH48" s="36"/>
      <c r="BI48" s="36"/>
    </row>
    <row r="49" spans="1:61" x14ac:dyDescent="0.35">
      <c r="A49" s="3">
        <v>48</v>
      </c>
      <c r="B49" s="3" t="s">
        <v>23</v>
      </c>
      <c r="C49" t="s">
        <v>56</v>
      </c>
      <c r="F49" s="11">
        <v>22</v>
      </c>
      <c r="G49" s="11">
        <v>70.7</v>
      </c>
      <c r="H49" s="11">
        <v>180.5</v>
      </c>
      <c r="I49" s="11">
        <v>9.07</v>
      </c>
      <c r="J49">
        <v>10</v>
      </c>
      <c r="K49">
        <v>2</v>
      </c>
      <c r="M49">
        <v>56.4</v>
      </c>
      <c r="N49" s="59" t="str">
        <f t="shared" si="1"/>
        <v>confirmed</v>
      </c>
      <c r="O49">
        <v>17</v>
      </c>
      <c r="P49" s="18">
        <v>0.63124999999999998</v>
      </c>
      <c r="Q49">
        <v>184</v>
      </c>
      <c r="R49">
        <v>1.1499999999999999</v>
      </c>
      <c r="S49" t="s">
        <v>114</v>
      </c>
      <c r="T49" t="s">
        <v>113</v>
      </c>
      <c r="U49" t="s">
        <v>181</v>
      </c>
      <c r="W49" s="35">
        <v>0.69513888888888886</v>
      </c>
      <c r="X49" s="51">
        <v>1.1585648148148149E-2</v>
      </c>
      <c r="Y49" s="53">
        <f t="shared" si="5"/>
        <v>16.683333333333334</v>
      </c>
      <c r="Z49" s="36">
        <v>53</v>
      </c>
      <c r="AA49" s="36">
        <v>180</v>
      </c>
      <c r="AB49" s="36">
        <v>1.17</v>
      </c>
      <c r="AC49" s="36">
        <v>2.46</v>
      </c>
      <c r="AD49" s="36">
        <v>10.07</v>
      </c>
      <c r="AE49" s="36">
        <v>7</v>
      </c>
      <c r="AF49" s="36">
        <v>19</v>
      </c>
      <c r="AG49" s="36" t="s">
        <v>176</v>
      </c>
      <c r="AH49" s="36">
        <v>3</v>
      </c>
      <c r="AI49" s="24" t="s">
        <v>178</v>
      </c>
      <c r="AL49" s="35">
        <v>0.62638888888888888</v>
      </c>
      <c r="AM49" s="51">
        <v>1.0439814814814813E-2</v>
      </c>
      <c r="AN49" s="58">
        <f t="shared" si="6"/>
        <v>15.03333333333333</v>
      </c>
      <c r="AO49" s="29">
        <v>54.5</v>
      </c>
      <c r="AP49" s="29">
        <v>183</v>
      </c>
      <c r="AQ49" s="29">
        <v>1.1499999999999999</v>
      </c>
      <c r="AR49" s="29">
        <v>2.0499999999999998</v>
      </c>
      <c r="AS49" s="29">
        <v>10.4</v>
      </c>
      <c r="AT49" s="29">
        <v>7</v>
      </c>
      <c r="AU49" s="29">
        <v>19</v>
      </c>
      <c r="AV49" s="40" t="s">
        <v>162</v>
      </c>
      <c r="AW49" s="40">
        <v>3</v>
      </c>
      <c r="AX49" s="24" t="s">
        <v>208</v>
      </c>
      <c r="AY49" s="40" t="s">
        <v>190</v>
      </c>
      <c r="BA49" s="36"/>
      <c r="BC49" s="36"/>
      <c r="BD49" s="36"/>
      <c r="BE49" s="36"/>
      <c r="BF49" s="36"/>
      <c r="BG49" s="36"/>
      <c r="BH49" s="36"/>
      <c r="BI49" s="36"/>
    </row>
    <row r="50" spans="1:61" x14ac:dyDescent="0.35">
      <c r="A50" s="3">
        <v>49</v>
      </c>
      <c r="B50" s="5" t="s">
        <v>24</v>
      </c>
      <c r="C50" t="s">
        <v>56</v>
      </c>
      <c r="F50" s="11">
        <v>21</v>
      </c>
      <c r="G50" s="11">
        <v>81.7</v>
      </c>
      <c r="H50" s="11">
        <v>182</v>
      </c>
      <c r="I50" s="11">
        <v>19.809999999999999</v>
      </c>
      <c r="J50">
        <v>6.5</v>
      </c>
      <c r="K50">
        <v>1</v>
      </c>
      <c r="M50">
        <v>45.6</v>
      </c>
      <c r="N50" s="59" t="str">
        <f t="shared" si="1"/>
        <v>confirmed</v>
      </c>
      <c r="O50">
        <v>14</v>
      </c>
      <c r="P50" s="18">
        <v>0.3979166666666667</v>
      </c>
      <c r="Q50">
        <v>208</v>
      </c>
      <c r="R50">
        <v>1.21</v>
      </c>
      <c r="S50" t="s">
        <v>114</v>
      </c>
      <c r="T50" t="s">
        <v>123</v>
      </c>
      <c r="U50" t="s">
        <v>181</v>
      </c>
      <c r="W50" s="35">
        <v>0.70138888888888884</v>
      </c>
      <c r="X50" s="51">
        <v>1.1689814814814814E-2</v>
      </c>
      <c r="Y50" s="53">
        <f t="shared" si="5"/>
        <v>16.833333333333332</v>
      </c>
      <c r="Z50" s="36">
        <v>45.5</v>
      </c>
      <c r="AA50" s="36">
        <v>195</v>
      </c>
      <c r="AB50" s="36">
        <v>1.05</v>
      </c>
      <c r="AC50" s="36">
        <v>1.98</v>
      </c>
      <c r="AD50" s="36">
        <v>8.1</v>
      </c>
      <c r="AE50" s="36">
        <v>7</v>
      </c>
      <c r="AF50" s="36">
        <v>20</v>
      </c>
      <c r="AG50" s="36" t="s">
        <v>176</v>
      </c>
      <c r="AH50" s="36">
        <v>3</v>
      </c>
      <c r="AI50" s="24" t="s">
        <v>208</v>
      </c>
      <c r="AJ50" t="s">
        <v>201</v>
      </c>
      <c r="AL50" s="35">
        <v>0.52152777777777781</v>
      </c>
      <c r="AM50" s="51">
        <v>8.6921296296296312E-3</v>
      </c>
      <c r="AN50" s="58">
        <f t="shared" si="6"/>
        <v>12.516666666666669</v>
      </c>
      <c r="AO50" s="29">
        <v>43.6</v>
      </c>
      <c r="AP50" s="29">
        <v>197</v>
      </c>
      <c r="AQ50" s="29">
        <v>1.07</v>
      </c>
      <c r="AR50" s="29">
        <v>2.25</v>
      </c>
      <c r="AS50" s="29">
        <v>7.41</v>
      </c>
      <c r="AT50" s="29">
        <v>7</v>
      </c>
      <c r="AU50" s="29">
        <v>19</v>
      </c>
      <c r="AV50" s="40" t="s">
        <v>181</v>
      </c>
      <c r="AW50" s="40">
        <v>4</v>
      </c>
      <c r="AX50" s="24" t="s">
        <v>208</v>
      </c>
      <c r="AY50" s="40" t="s">
        <v>191</v>
      </c>
      <c r="BA50" s="35">
        <v>0.53680555555555554</v>
      </c>
      <c r="BC50" s="36">
        <v>43.3</v>
      </c>
      <c r="BD50" s="36">
        <v>199</v>
      </c>
      <c r="BE50" s="36">
        <v>1.0900000000000001</v>
      </c>
      <c r="BF50" s="36">
        <v>2.87</v>
      </c>
      <c r="BG50" s="36">
        <v>9.1999999999999993</v>
      </c>
      <c r="BH50" s="36">
        <v>7</v>
      </c>
      <c r="BI50" s="36">
        <v>19</v>
      </c>
    </row>
    <row r="51" spans="1:61" x14ac:dyDescent="0.35">
      <c r="A51" s="3">
        <v>50</v>
      </c>
      <c r="B51" s="6" t="s">
        <v>25</v>
      </c>
      <c r="C51" t="s">
        <v>56</v>
      </c>
      <c r="F51" s="11">
        <v>19</v>
      </c>
      <c r="G51" s="11">
        <v>86.6</v>
      </c>
      <c r="H51" s="11">
        <v>170</v>
      </c>
      <c r="I51" s="11">
        <v>18.2</v>
      </c>
      <c r="J51">
        <v>9</v>
      </c>
      <c r="K51">
        <v>1.5</v>
      </c>
      <c r="M51">
        <v>44.2</v>
      </c>
      <c r="N51" s="59" t="str">
        <f t="shared" si="1"/>
        <v>beginner</v>
      </c>
      <c r="O51">
        <v>14</v>
      </c>
      <c r="P51" s="18">
        <v>0.37708333333333338</v>
      </c>
      <c r="Q51">
        <v>205</v>
      </c>
      <c r="R51">
        <v>1.1499999999999999</v>
      </c>
      <c r="S51" t="s">
        <v>114</v>
      </c>
      <c r="T51" t="s">
        <v>124</v>
      </c>
      <c r="U51" t="s">
        <v>181</v>
      </c>
      <c r="W51" s="35">
        <v>0.1277777777777778</v>
      </c>
      <c r="X51" s="51">
        <v>2.1296296296296298E-3</v>
      </c>
      <c r="Y51" s="53">
        <f t="shared" si="5"/>
        <v>3.0666666666666669</v>
      </c>
      <c r="Z51" s="36">
        <v>40.6</v>
      </c>
      <c r="AA51" s="36"/>
      <c r="AB51" s="36">
        <v>1.1299999999999999</v>
      </c>
      <c r="AC51" s="36">
        <v>3.44</v>
      </c>
      <c r="AD51" s="36">
        <v>7.42</v>
      </c>
      <c r="AE51" s="36">
        <v>6</v>
      </c>
      <c r="AF51" s="36">
        <v>18</v>
      </c>
      <c r="AG51" s="36" t="s">
        <v>176</v>
      </c>
      <c r="AH51" s="36">
        <v>4</v>
      </c>
      <c r="AI51" s="24" t="s">
        <v>178</v>
      </c>
      <c r="AJ51" s="24"/>
      <c r="AL51" s="35">
        <v>0.27083333333333331</v>
      </c>
      <c r="AM51" s="51">
        <v>4.5138888888888893E-3</v>
      </c>
      <c r="AN51" s="58">
        <f t="shared" si="6"/>
        <v>6.5</v>
      </c>
      <c r="AO51" s="29">
        <v>44</v>
      </c>
      <c r="AP51" s="29">
        <v>197</v>
      </c>
      <c r="AQ51" s="29">
        <v>1.07</v>
      </c>
      <c r="AR51" s="29">
        <v>4.17</v>
      </c>
      <c r="AS51" s="29">
        <v>9.73</v>
      </c>
      <c r="AT51" s="29">
        <v>6</v>
      </c>
      <c r="AU51" s="29">
        <v>20</v>
      </c>
      <c r="AV51" s="40" t="s">
        <v>180</v>
      </c>
      <c r="AW51" s="40">
        <v>2</v>
      </c>
      <c r="AX51" s="24" t="s">
        <v>178</v>
      </c>
      <c r="AY51" s="40"/>
    </row>
    <row r="52" spans="1:61" x14ac:dyDescent="0.35">
      <c r="A52" s="3">
        <v>51</v>
      </c>
      <c r="B52" s="6" t="s">
        <v>26</v>
      </c>
      <c r="C52" t="s">
        <v>56</v>
      </c>
      <c r="F52" s="11">
        <v>21</v>
      </c>
      <c r="G52">
        <v>73.2</v>
      </c>
      <c r="H52">
        <v>184</v>
      </c>
      <c r="I52">
        <v>14.9</v>
      </c>
      <c r="J52">
        <v>0.25</v>
      </c>
      <c r="K52">
        <v>2</v>
      </c>
      <c r="M52">
        <v>38.9</v>
      </c>
      <c r="N52" s="59" t="str">
        <f t="shared" si="1"/>
        <v>beginner</v>
      </c>
      <c r="O52">
        <v>14</v>
      </c>
      <c r="P52" s="18">
        <v>0.38263888888888892</v>
      </c>
      <c r="Q52">
        <v>206</v>
      </c>
      <c r="R52">
        <v>1.2</v>
      </c>
      <c r="S52" t="s">
        <v>114</v>
      </c>
      <c r="T52" t="s">
        <v>119</v>
      </c>
      <c r="U52" s="11" t="s">
        <v>221</v>
      </c>
      <c r="W52" s="35">
        <v>0.39652777777777781</v>
      </c>
      <c r="X52" s="51">
        <v>6.6087962962962966E-3</v>
      </c>
      <c r="Y52" s="53">
        <f t="shared" si="5"/>
        <v>9.5166666666666675</v>
      </c>
      <c r="Z52" s="31">
        <v>43</v>
      </c>
      <c r="AA52" s="31">
        <v>198</v>
      </c>
      <c r="AB52" s="31">
        <v>1.1200000000000001</v>
      </c>
      <c r="AC52" s="31">
        <v>4</v>
      </c>
      <c r="AD52" s="31">
        <v>12.45</v>
      </c>
      <c r="AE52" s="31">
        <v>7</v>
      </c>
      <c r="AF52" s="31">
        <v>20</v>
      </c>
      <c r="AG52" s="32" t="s">
        <v>176</v>
      </c>
      <c r="AH52" s="32">
        <v>1</v>
      </c>
      <c r="AI52" s="24" t="s">
        <v>208</v>
      </c>
      <c r="AJ52" s="24" t="s">
        <v>215</v>
      </c>
      <c r="AL52" s="35">
        <v>0.4284722222222222</v>
      </c>
      <c r="AM52" s="51">
        <v>7.1412037037037043E-3</v>
      </c>
      <c r="AN52" s="58">
        <f t="shared" si="6"/>
        <v>10.283333333333333</v>
      </c>
      <c r="AO52" s="36">
        <v>43.5</v>
      </c>
      <c r="AP52" s="36">
        <v>195</v>
      </c>
      <c r="AQ52" s="36">
        <v>1.1000000000000001</v>
      </c>
      <c r="AR52" s="36">
        <v>3.91</v>
      </c>
      <c r="AS52" s="36">
        <v>11.98</v>
      </c>
      <c r="AT52" s="36">
        <v>7</v>
      </c>
      <c r="AU52" s="36">
        <v>19</v>
      </c>
      <c r="AV52" s="36" t="s">
        <v>198</v>
      </c>
      <c r="AW52" s="36">
        <v>3</v>
      </c>
      <c r="AX52" s="24" t="s">
        <v>178</v>
      </c>
    </row>
    <row r="53" spans="1:61" x14ac:dyDescent="0.35">
      <c r="A53" s="3">
        <v>52</v>
      </c>
      <c r="B53" s="7" t="s">
        <v>27</v>
      </c>
      <c r="C53" t="s">
        <v>56</v>
      </c>
      <c r="F53" s="11">
        <v>19</v>
      </c>
      <c r="G53" s="11">
        <v>74.8</v>
      </c>
      <c r="H53" s="11">
        <v>181</v>
      </c>
      <c r="I53" s="11">
        <v>10.43</v>
      </c>
      <c r="J53">
        <v>1</v>
      </c>
      <c r="K53">
        <v>2</v>
      </c>
      <c r="M53">
        <v>52.8</v>
      </c>
      <c r="N53" s="59" t="str">
        <f t="shared" si="1"/>
        <v>confirmed</v>
      </c>
      <c r="O53">
        <v>17.5</v>
      </c>
      <c r="P53" s="18">
        <v>0.69791666666666663</v>
      </c>
      <c r="Q53">
        <v>199</v>
      </c>
      <c r="R53">
        <v>1.1599999999999999</v>
      </c>
      <c r="S53" t="s">
        <v>101</v>
      </c>
      <c r="T53" t="s">
        <v>121</v>
      </c>
      <c r="U53" s="11" t="s">
        <v>221</v>
      </c>
      <c r="W53" s="35">
        <v>0.83958333333333324</v>
      </c>
      <c r="X53" s="51">
        <v>1.3993055555555555E-2</v>
      </c>
      <c r="Y53" s="53">
        <f t="shared" si="5"/>
        <v>20.149999999999999</v>
      </c>
      <c r="Z53" s="31">
        <v>51.9</v>
      </c>
      <c r="AA53" s="31">
        <v>195</v>
      </c>
      <c r="AB53" s="31">
        <v>1.1000000000000001</v>
      </c>
      <c r="AC53" s="31">
        <v>2.6</v>
      </c>
      <c r="AD53" s="31">
        <v>10.33</v>
      </c>
      <c r="AE53" s="31">
        <v>6</v>
      </c>
      <c r="AF53" s="31">
        <v>19</v>
      </c>
      <c r="AG53" s="32" t="s">
        <v>162</v>
      </c>
      <c r="AH53" s="32">
        <v>3</v>
      </c>
      <c r="AI53" s="24" t="s">
        <v>208</v>
      </c>
      <c r="AJ53" s="24" t="s">
        <v>216</v>
      </c>
      <c r="AL53" s="35">
        <v>0.92083333333333339</v>
      </c>
      <c r="AM53" s="51">
        <v>1.5347222222222222E-2</v>
      </c>
      <c r="AN53" s="58">
        <f t="shared" si="6"/>
        <v>22.099999999999998</v>
      </c>
      <c r="AO53" s="36">
        <v>56.7</v>
      </c>
      <c r="AP53" s="36">
        <v>148</v>
      </c>
      <c r="AQ53" s="36">
        <v>0.95</v>
      </c>
      <c r="AR53" s="36">
        <v>2.83</v>
      </c>
      <c r="AS53" s="36">
        <v>12.29</v>
      </c>
      <c r="AT53" s="36">
        <v>7</v>
      </c>
      <c r="AU53" s="36">
        <v>19</v>
      </c>
      <c r="AV53" s="36" t="s">
        <v>176</v>
      </c>
      <c r="AW53" s="36">
        <v>3</v>
      </c>
      <c r="AX53" s="24" t="s">
        <v>208</v>
      </c>
      <c r="AY53" s="36" t="s">
        <v>203</v>
      </c>
    </row>
    <row r="54" spans="1:61" x14ac:dyDescent="0.35">
      <c r="A54" s="3">
        <v>53</v>
      </c>
      <c r="B54" s="3" t="s">
        <v>28</v>
      </c>
      <c r="C54" t="s">
        <v>56</v>
      </c>
      <c r="F54" s="11">
        <v>18</v>
      </c>
      <c r="G54" s="11">
        <v>64.900000000000006</v>
      </c>
      <c r="H54" s="11">
        <v>180</v>
      </c>
      <c r="I54" s="11">
        <v>11.39</v>
      </c>
      <c r="J54">
        <v>6</v>
      </c>
      <c r="K54">
        <v>1</v>
      </c>
      <c r="M54">
        <v>52.3</v>
      </c>
      <c r="N54" s="59" t="str">
        <f t="shared" si="1"/>
        <v>confirmed</v>
      </c>
      <c r="O54">
        <v>14.5</v>
      </c>
      <c r="P54" s="18">
        <v>0.45208333333333334</v>
      </c>
      <c r="Q54">
        <v>194</v>
      </c>
      <c r="R54">
        <v>1.18</v>
      </c>
      <c r="S54" t="s">
        <v>114</v>
      </c>
      <c r="T54" t="s">
        <v>116</v>
      </c>
      <c r="U54" t="s">
        <v>181</v>
      </c>
      <c r="W54" s="35">
        <v>0.65</v>
      </c>
      <c r="X54" s="51">
        <v>1.0833333333333334E-2</v>
      </c>
      <c r="Y54" s="53">
        <f t="shared" si="5"/>
        <v>15.6</v>
      </c>
      <c r="Z54" s="36">
        <v>52.3</v>
      </c>
      <c r="AA54" s="36">
        <v>192</v>
      </c>
      <c r="AB54" s="36">
        <v>1.1399999999999999</v>
      </c>
      <c r="AC54" s="36">
        <v>2.4900000000000002</v>
      </c>
      <c r="AD54" s="36">
        <v>12.94</v>
      </c>
      <c r="AE54" s="36">
        <v>7</v>
      </c>
      <c r="AF54" s="36">
        <v>20</v>
      </c>
      <c r="AG54" s="36" t="s">
        <v>200</v>
      </c>
      <c r="AH54" s="36">
        <v>2</v>
      </c>
      <c r="AI54" s="24" t="s">
        <v>208</v>
      </c>
      <c r="AJ54" s="36" t="s">
        <v>202</v>
      </c>
      <c r="AL54" s="35">
        <v>0.63124999999999998</v>
      </c>
      <c r="AM54" s="51">
        <v>1.0520833333333333E-2</v>
      </c>
      <c r="AN54" s="58">
        <f t="shared" si="6"/>
        <v>15.15</v>
      </c>
      <c r="AO54" s="29">
        <v>46.7</v>
      </c>
      <c r="AP54" s="29">
        <v>190</v>
      </c>
      <c r="AQ54" s="29">
        <v>1.1399999999999999</v>
      </c>
      <c r="AR54" s="29">
        <v>3.74</v>
      </c>
      <c r="AS54" s="29">
        <v>8.58</v>
      </c>
      <c r="AT54" s="29">
        <v>7</v>
      </c>
      <c r="AU54" s="29">
        <v>18</v>
      </c>
      <c r="AV54" s="40" t="s">
        <v>176</v>
      </c>
      <c r="AW54" s="40">
        <v>2</v>
      </c>
      <c r="AX54" s="24" t="s">
        <v>208</v>
      </c>
      <c r="AY54" s="40" t="s">
        <v>192</v>
      </c>
    </row>
    <row r="55" spans="1:61" x14ac:dyDescent="0.35">
      <c r="A55" s="4">
        <v>54</v>
      </c>
      <c r="B55" s="4" t="s">
        <v>29</v>
      </c>
      <c r="C55" s="9" t="s">
        <v>55</v>
      </c>
      <c r="D55" s="9" t="s">
        <v>75</v>
      </c>
      <c r="E55" s="9" t="s">
        <v>73</v>
      </c>
      <c r="F55" s="10">
        <v>32</v>
      </c>
      <c r="G55" s="10">
        <v>86.3</v>
      </c>
      <c r="H55" s="10">
        <v>174</v>
      </c>
      <c r="I55" s="14">
        <v>16.170000000000002</v>
      </c>
      <c r="J55" s="9">
        <v>10</v>
      </c>
      <c r="K55" s="9">
        <v>3</v>
      </c>
      <c r="L55" s="9"/>
      <c r="M55" s="9">
        <v>50.9</v>
      </c>
      <c r="N55" s="10" t="str">
        <f t="shared" si="1"/>
        <v>confirmed</v>
      </c>
      <c r="O55" s="9">
        <v>16.5</v>
      </c>
      <c r="P55" s="20">
        <v>0.59375</v>
      </c>
      <c r="Q55" s="9">
        <v>193</v>
      </c>
      <c r="R55" s="9">
        <v>1.18</v>
      </c>
      <c r="S55" s="9" t="s">
        <v>114</v>
      </c>
      <c r="T55" s="9" t="s">
        <v>113</v>
      </c>
      <c r="U55" s="9" t="s">
        <v>181</v>
      </c>
      <c r="V55" s="9"/>
      <c r="W55" s="28"/>
      <c r="X55" s="49"/>
      <c r="Y55" s="9"/>
      <c r="Z55" s="28"/>
      <c r="AA55" s="28"/>
      <c r="AB55" s="28"/>
      <c r="AC55" s="28"/>
      <c r="AD55" s="28"/>
      <c r="AE55" s="28"/>
      <c r="AF55" s="28"/>
      <c r="AG55" s="28"/>
      <c r="AH55" s="28"/>
      <c r="AI55" s="9"/>
      <c r="AJ55" s="28"/>
      <c r="AK55" s="9"/>
      <c r="AL55" s="28"/>
      <c r="AM55" s="28"/>
      <c r="AN55" s="9"/>
      <c r="AO55" s="28"/>
      <c r="AP55" s="28"/>
      <c r="AQ55" s="28"/>
      <c r="AR55" s="28"/>
      <c r="AS55" s="28"/>
      <c r="AT55" s="28"/>
      <c r="AU55" s="28"/>
      <c r="AV55" s="28"/>
      <c r="AW55" s="28"/>
      <c r="AX55" s="9"/>
      <c r="AY55" s="28"/>
      <c r="AZ55" s="9"/>
      <c r="BA55" s="9"/>
      <c r="BB55" s="9"/>
      <c r="BC55" s="9"/>
      <c r="BD55" s="9"/>
      <c r="BE55" s="9"/>
      <c r="BF55" s="9"/>
      <c r="BG55" s="9"/>
      <c r="BH55" s="9"/>
      <c r="BI5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 n=54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Géraldine Martens</dc:creator>
  <cp:lastModifiedBy>Géraldine Martens</cp:lastModifiedBy>
  <dcterms:created xsi:type="dcterms:W3CDTF">2023-08-09T18:07:04Z</dcterms:created>
  <dcterms:modified xsi:type="dcterms:W3CDTF">2024-08-13T14:45:07Z</dcterms:modified>
</cp:coreProperties>
</file>