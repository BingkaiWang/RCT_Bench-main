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e2098/Cognitive and Affective Neuroscience Laboratory Dropbox/Marta Ceko/2019_SBIR_Cognifisense/SBIR  - Phase I - MC, AS, HS, MS, LW, TB/HEAL Data Sharing/data_share/behavior/"/>
    </mc:Choice>
  </mc:AlternateContent>
  <xr:revisionPtr revIDLastSave="0" documentId="13_ncr:1_{31F16AEE-3FFB-9345-A4C7-A1ECA91C9309}" xr6:coauthVersionLast="47" xr6:coauthVersionMax="47" xr10:uidLastSave="{00000000-0000-0000-0000-000000000000}"/>
  <bookViews>
    <workbookView xWindow="20" yWindow="1080" windowWidth="28800" windowHeight="15800" activeTab="2" xr2:uid="{00000000-000D-0000-FFFF-FFFF00000000}"/>
  </bookViews>
  <sheets>
    <sheet name="Variables_and_Coding_Scheme" sheetId="13" r:id="rId1"/>
    <sheet name="FINAL_SubjectLevel" sheetId="15" r:id="rId2"/>
    <sheet name="FINAL_Pain" sheetId="39" r:id="rId3"/>
    <sheet name="FINAL_PCS" sheetId="16" r:id="rId4"/>
    <sheet name="FINAL_TSK" sheetId="17" r:id="rId5"/>
    <sheet name="FINAL_OLBP_SF12" sheetId="21" r:id="rId6"/>
    <sheet name="FINAL_PROMIS" sheetId="23" r:id="rId7"/>
  </sheets>
  <definedNames>
    <definedName name="_xlnm._FilterDatabase" localSheetId="2" hidden="1">FINAL_Pain!$A$1:$BJ$62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9" l="1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4" i="15"/>
  <c r="Q3" i="15"/>
  <c r="Q2" i="15"/>
  <c r="S2" i="39"/>
  <c r="H2" i="39"/>
  <c r="AQ62" i="39"/>
  <c r="AQ61" i="39"/>
  <c r="AQ60" i="39"/>
  <c r="AQ59" i="39"/>
  <c r="AQ58" i="39"/>
  <c r="AQ57" i="39"/>
  <c r="AQ56" i="39"/>
  <c r="AQ55" i="39"/>
  <c r="AQ54" i="39"/>
  <c r="AQ53" i="39"/>
  <c r="AQ52" i="39"/>
  <c r="AQ51" i="39"/>
  <c r="AQ50" i="39"/>
  <c r="AQ49" i="39"/>
  <c r="AQ48" i="39"/>
  <c r="AQ47" i="39"/>
  <c r="AQ46" i="39"/>
  <c r="AQ45" i="39"/>
  <c r="AQ44" i="39"/>
  <c r="AQ43" i="39"/>
  <c r="AQ42" i="39"/>
  <c r="AQ41" i="39"/>
  <c r="AQ40" i="39"/>
  <c r="AQ39" i="39"/>
  <c r="AQ38" i="39"/>
  <c r="AQ37" i="39"/>
  <c r="AQ36" i="39"/>
  <c r="AQ35" i="39"/>
  <c r="AQ33" i="39"/>
  <c r="AQ32" i="39"/>
  <c r="AQ31" i="39"/>
  <c r="AQ30" i="39"/>
  <c r="AQ29" i="39"/>
  <c r="AQ28" i="39"/>
  <c r="AQ27" i="39"/>
  <c r="AQ26" i="39"/>
  <c r="AQ25" i="39"/>
  <c r="AQ24" i="39"/>
  <c r="AQ23" i="39"/>
  <c r="AQ22" i="39"/>
  <c r="AQ21" i="39"/>
  <c r="AQ20" i="39"/>
  <c r="AQ19" i="39"/>
  <c r="AQ18" i="39"/>
  <c r="AQ17" i="39"/>
  <c r="AQ16" i="39"/>
  <c r="AQ15" i="39"/>
  <c r="AQ14" i="39"/>
  <c r="AQ13" i="39"/>
  <c r="AQ12" i="39"/>
  <c r="AQ11" i="39"/>
  <c r="AQ10" i="39"/>
  <c r="AQ9" i="39"/>
  <c r="AQ8" i="39"/>
  <c r="AQ7" i="39"/>
  <c r="AQ6" i="39"/>
  <c r="AQ5" i="39"/>
  <c r="AQ4" i="39"/>
  <c r="AQ3" i="39"/>
  <c r="AQ2" i="39"/>
  <c r="S62" i="39"/>
  <c r="S61" i="39"/>
  <c r="S60" i="39"/>
  <c r="S59" i="39"/>
  <c r="S58" i="39"/>
  <c r="S57" i="39"/>
  <c r="S56" i="39"/>
  <c r="S55" i="39"/>
  <c r="S54" i="39"/>
  <c r="S53" i="39"/>
  <c r="S52" i="39"/>
  <c r="S51" i="39"/>
  <c r="S50" i="39"/>
  <c r="S49" i="39"/>
  <c r="S48" i="39"/>
  <c r="S47" i="39"/>
  <c r="S46" i="39"/>
  <c r="S45" i="39"/>
  <c r="S44" i="39"/>
  <c r="S43" i="39"/>
  <c r="S42" i="39"/>
  <c r="S41" i="39"/>
  <c r="S40" i="39"/>
  <c r="S39" i="39"/>
  <c r="S38" i="39"/>
  <c r="S37" i="39"/>
  <c r="S36" i="39"/>
  <c r="S35" i="39"/>
  <c r="S34" i="39"/>
  <c r="S33" i="39"/>
  <c r="S32" i="39"/>
  <c r="S31" i="39"/>
  <c r="S30" i="39"/>
  <c r="S29" i="39"/>
  <c r="S28" i="39"/>
  <c r="S27" i="39"/>
  <c r="S26" i="39"/>
  <c r="S25" i="39"/>
  <c r="S24" i="39"/>
  <c r="S23" i="39"/>
  <c r="S22" i="39"/>
  <c r="S21" i="39"/>
  <c r="S20" i="39"/>
  <c r="S19" i="39"/>
  <c r="S18" i="39"/>
  <c r="S17" i="39"/>
  <c r="S16" i="39"/>
  <c r="S15" i="39"/>
  <c r="S14" i="39"/>
  <c r="S13" i="39"/>
  <c r="S12" i="39"/>
  <c r="S11" i="39"/>
  <c r="S10" i="39"/>
  <c r="S9" i="39"/>
  <c r="S8" i="39"/>
  <c r="S7" i="39"/>
  <c r="S6" i="39"/>
  <c r="S5" i="39"/>
  <c r="S4" i="39"/>
  <c r="S3" i="39"/>
  <c r="AE4" i="39"/>
  <c r="H24" i="39"/>
  <c r="AE2" i="39"/>
  <c r="BC2" i="39"/>
  <c r="H3" i="39"/>
  <c r="N3" i="39"/>
  <c r="AE3" i="39"/>
  <c r="BC3" i="39"/>
  <c r="H4" i="39"/>
  <c r="N4" i="39"/>
  <c r="H5" i="39"/>
  <c r="N5" i="39"/>
  <c r="AE5" i="39"/>
  <c r="BC5" i="39"/>
  <c r="H6" i="39"/>
  <c r="N6" i="39"/>
  <c r="AE6" i="39"/>
  <c r="BC6" i="39"/>
  <c r="H7" i="39"/>
  <c r="N7" i="39"/>
  <c r="AE7" i="39"/>
  <c r="BC7" i="39"/>
  <c r="H8" i="39"/>
  <c r="N8" i="39"/>
  <c r="AE8" i="39"/>
  <c r="BC8" i="39"/>
  <c r="H9" i="39"/>
  <c r="N9" i="39"/>
  <c r="AE9" i="39"/>
  <c r="BC9" i="39"/>
  <c r="H10" i="39"/>
  <c r="N10" i="39"/>
  <c r="AE10" i="39"/>
  <c r="BC10" i="39"/>
  <c r="H11" i="39"/>
  <c r="N11" i="39"/>
  <c r="AE11" i="39"/>
  <c r="BC11" i="39"/>
  <c r="H12" i="39"/>
  <c r="N12" i="39"/>
  <c r="AE12" i="39"/>
  <c r="BC12" i="39"/>
  <c r="H13" i="39"/>
  <c r="N13" i="39"/>
  <c r="AE13" i="39"/>
  <c r="BC13" i="39"/>
  <c r="H14" i="39"/>
  <c r="N14" i="39"/>
  <c r="AE14" i="39"/>
  <c r="BC14" i="39"/>
  <c r="H15" i="39"/>
  <c r="N15" i="39"/>
  <c r="AE15" i="39"/>
  <c r="BC15" i="39"/>
  <c r="H16" i="39"/>
  <c r="N16" i="39"/>
  <c r="AE16" i="39"/>
  <c r="BC16" i="39"/>
  <c r="H17" i="39"/>
  <c r="N17" i="39"/>
  <c r="AE17" i="39"/>
  <c r="BC17" i="39"/>
  <c r="N18" i="39"/>
  <c r="AE18" i="39"/>
  <c r="BC18" i="39"/>
  <c r="N19" i="39"/>
  <c r="AE19" i="39"/>
  <c r="BC19" i="39"/>
  <c r="N20" i="39"/>
  <c r="AE20" i="39"/>
  <c r="BC20" i="39"/>
  <c r="H21" i="39"/>
  <c r="N21" i="39"/>
  <c r="AE21" i="39"/>
  <c r="BC21" i="39"/>
  <c r="H22" i="39"/>
  <c r="N22" i="39"/>
  <c r="AE22" i="39"/>
  <c r="BC22" i="39"/>
  <c r="N23" i="39"/>
  <c r="AE23" i="39"/>
  <c r="BC23" i="39"/>
  <c r="N24" i="39"/>
  <c r="AE24" i="39"/>
  <c r="BC24" i="39"/>
  <c r="N25" i="39"/>
  <c r="AE25" i="39"/>
  <c r="BC25" i="39"/>
  <c r="H26" i="39"/>
  <c r="N26" i="39"/>
  <c r="AE26" i="39"/>
  <c r="BC26" i="39"/>
  <c r="H27" i="39"/>
  <c r="N27" i="39"/>
  <c r="AE27" i="39"/>
  <c r="BC27" i="39"/>
  <c r="H28" i="39"/>
  <c r="N28" i="39"/>
  <c r="AE28" i="39"/>
  <c r="BC28" i="39"/>
  <c r="H29" i="39"/>
  <c r="N29" i="39"/>
  <c r="AE29" i="39"/>
  <c r="BC29" i="39"/>
  <c r="N30" i="39"/>
  <c r="AE30" i="39"/>
  <c r="BC30" i="39"/>
  <c r="H31" i="39"/>
  <c r="N31" i="39"/>
  <c r="AE31" i="39"/>
  <c r="BC31" i="39"/>
  <c r="H32" i="39"/>
  <c r="N32" i="39"/>
  <c r="AE32" i="39"/>
  <c r="BC32" i="39"/>
  <c r="H33" i="39"/>
  <c r="N33" i="39"/>
  <c r="AE33" i="39"/>
  <c r="BC33" i="39"/>
  <c r="H34" i="39"/>
  <c r="N34" i="39"/>
  <c r="AE34" i="39"/>
  <c r="H35" i="39"/>
  <c r="N35" i="39"/>
  <c r="AE35" i="39"/>
  <c r="BC35" i="39"/>
  <c r="H36" i="39"/>
  <c r="N36" i="39"/>
  <c r="AE36" i="39"/>
  <c r="BC36" i="39"/>
  <c r="N37" i="39"/>
  <c r="AE37" i="39"/>
  <c r="BC37" i="39"/>
  <c r="H38" i="39"/>
  <c r="N38" i="39"/>
  <c r="AE38" i="39"/>
  <c r="BC38" i="39"/>
  <c r="H39" i="39"/>
  <c r="N39" i="39"/>
  <c r="AE39" i="39"/>
  <c r="BC39" i="39"/>
  <c r="H40" i="39"/>
  <c r="N40" i="39"/>
  <c r="AE40" i="39"/>
  <c r="BC40" i="39"/>
  <c r="H41" i="39"/>
  <c r="N41" i="39"/>
  <c r="AE41" i="39"/>
  <c r="BC41" i="39"/>
  <c r="H42" i="39"/>
  <c r="N42" i="39"/>
  <c r="AE42" i="39"/>
  <c r="BC42" i="39"/>
  <c r="H43" i="39"/>
  <c r="N43" i="39"/>
  <c r="AE43" i="39"/>
  <c r="BC43" i="39"/>
  <c r="H44" i="39"/>
  <c r="N44" i="39"/>
  <c r="AE44" i="39"/>
  <c r="BC44" i="39"/>
  <c r="N45" i="39"/>
  <c r="AE45" i="39"/>
  <c r="BC45" i="39"/>
  <c r="H46" i="39"/>
  <c r="N46" i="39"/>
  <c r="AE46" i="39"/>
  <c r="BC46" i="39"/>
  <c r="H47" i="39"/>
  <c r="N47" i="39"/>
  <c r="AE47" i="39"/>
  <c r="BC47" i="39"/>
  <c r="H48" i="39"/>
  <c r="N48" i="39"/>
  <c r="AE48" i="39"/>
  <c r="BC48" i="39"/>
  <c r="H49" i="39"/>
  <c r="N49" i="39"/>
  <c r="AE49" i="39"/>
  <c r="BC49" i="39"/>
  <c r="H50" i="39"/>
  <c r="N50" i="39"/>
  <c r="AE50" i="39"/>
  <c r="BC50" i="39"/>
  <c r="H51" i="39"/>
  <c r="N51" i="39"/>
  <c r="AE51" i="39"/>
  <c r="BC51" i="39"/>
  <c r="H52" i="39"/>
  <c r="N52" i="39"/>
  <c r="AE52" i="39"/>
  <c r="BC52" i="39"/>
  <c r="H53" i="39"/>
  <c r="N53" i="39"/>
  <c r="AE53" i="39"/>
  <c r="BC53" i="39"/>
  <c r="H54" i="39"/>
  <c r="N54" i="39"/>
  <c r="AE54" i="39"/>
  <c r="BC54" i="39"/>
  <c r="H55" i="39"/>
  <c r="N55" i="39"/>
  <c r="AE55" i="39"/>
  <c r="BC55" i="39"/>
  <c r="H56" i="39"/>
  <c r="N56" i="39"/>
  <c r="AE56" i="39"/>
  <c r="BC56" i="39"/>
  <c r="H57" i="39"/>
  <c r="N57" i="39"/>
  <c r="AE57" i="39"/>
  <c r="BC57" i="39"/>
  <c r="H58" i="39"/>
  <c r="N58" i="39"/>
  <c r="AE58" i="39"/>
  <c r="BC58" i="39"/>
  <c r="H59" i="39"/>
  <c r="N59" i="39"/>
  <c r="AE59" i="39"/>
  <c r="BC59" i="39"/>
  <c r="N60" i="39"/>
  <c r="AE60" i="39"/>
  <c r="BC60" i="39"/>
  <c r="H61" i="39"/>
  <c r="N61" i="39"/>
  <c r="AE61" i="39"/>
  <c r="BC61" i="39"/>
  <c r="H62" i="39"/>
  <c r="N62" i="39"/>
  <c r="AE62" i="39"/>
  <c r="BC62" i="39"/>
</calcChain>
</file>

<file path=xl/sharedStrings.xml><?xml version="1.0" encoding="utf-8"?>
<sst xmlns="http://schemas.openxmlformats.org/spreadsheetml/2006/main" count="2526" uniqueCount="375">
  <si>
    <t>M</t>
  </si>
  <si>
    <t>PROMIS-8 Anxiety</t>
  </si>
  <si>
    <t>PROMIS-8 Depression</t>
  </si>
  <si>
    <t>PROMIS-8 Fatigue</t>
  </si>
  <si>
    <t>PROMIS-8 Sleep</t>
  </si>
  <si>
    <t>PROMIS-5 Anger</t>
  </si>
  <si>
    <t>Subject ID</t>
  </si>
  <si>
    <t>Age</t>
  </si>
  <si>
    <t>Questionnaire</t>
  </si>
  <si>
    <t>Please rate your back pain by choosing the number that best describes your pain. - At its WORST in the LAST WEEK:</t>
  </si>
  <si>
    <t>Please rate your back pain by choosing the number that best describes your pain. - At its LEAST in the LAST WEEK:</t>
  </si>
  <si>
    <t>Please rate your back pain by choosing the number that best describes your pain. - On average:</t>
  </si>
  <si>
    <t>Please rate your back pain by choosing the number that best describes your pain. - Right now:</t>
  </si>
  <si>
    <t>Please rate how much your back pain has bothered you on average in the last week. - Degree bothered by pain</t>
  </si>
  <si>
    <t>In the last 24 hours, how much relief have pain treatments or medications provided? Please choose the percentage that most shows how much relief you have received. - Percent relief</t>
  </si>
  <si>
    <t>Please choose the number that describes how, DURING THE PAST WEEK, pain has interfered with your: - General Activity</t>
  </si>
  <si>
    <t>Please choose the number that describes how, DURING THE PAST WEEK, pain has interfered with your: - Mood</t>
  </si>
  <si>
    <t>Please choose the number that describes how, DURING THE PAST WEEK, pain has interfered with your: - Walking ability</t>
  </si>
  <si>
    <t>Please choose the number that describes how, DURING THE PAST WEEK, pain has interfered with your: - Normal Work</t>
  </si>
  <si>
    <t>Please choose the number that describes how, DURING THE PAST WEEK, pain has interfered with your: - Relations with other people</t>
  </si>
  <si>
    <t>Please choose the number that describes how, DURING THE PAST WEEK, pain has interfered with your: - Sleep</t>
  </si>
  <si>
    <t>Please choose the number that describes how, DURING THE PAST WEEK, pain has interfered with your: - Enjoyment of life</t>
  </si>
  <si>
    <t>In general, would you say your health is:</t>
  </si>
  <si>
    <t>Does your health now limit you in MODERATE ACTIVITIES, such as moving a table or pushing a vacuum cleaner:</t>
  </si>
  <si>
    <t>Does your health now limit you in climbing SEVERAL flights of stairs:</t>
  </si>
  <si>
    <t>ACCOMPLISHED LESS than you would like:</t>
  </si>
  <si>
    <t>Were limited in the KIND of work or other activities:</t>
  </si>
  <si>
    <t>Didnâ€™t do work or other activities as CAREFULLY as usual:</t>
  </si>
  <si>
    <t>Have you felt calm and peaceful?</t>
  </si>
  <si>
    <t>Did you have a lot of energy?</t>
  </si>
  <si>
    <t>Have you felt downhearted and blue?</t>
  </si>
  <si>
    <t>During the PAST 4 WEEKS, how much of the time have your PHYSICAL HEALTH OR EMOTIONAL PROBLEMS interfered with your social activities (ON-LINE contact with friends, relatives, etc.)?</t>
  </si>
  <si>
    <t>Pain intensity</t>
  </si>
  <si>
    <t>Personal care (washing, dressing etc)</t>
  </si>
  <si>
    <t>Lifting</t>
  </si>
  <si>
    <t>Walking</t>
  </si>
  <si>
    <t>Sitting</t>
  </si>
  <si>
    <t>Standing</t>
  </si>
  <si>
    <t>Sleeping</t>
  </si>
  <si>
    <t>Sex life (if applicable)</t>
  </si>
  <si>
    <t>Social life (please try to answer as if there was no COVID-19 pandemic):</t>
  </si>
  <si>
    <t>Traveling  (please try to answer as if there was no COVID-19 pandemic):</t>
  </si>
  <si>
    <t>When I'm in pain... - I worry all the time about whether the pain will end.</t>
  </si>
  <si>
    <t>When I'm in pain... - I feel I canâ€™t go on.</t>
  </si>
  <si>
    <t>When I'm in pain... - Itâ€™s terrible and I think itâ€™s never going to get any better.</t>
  </si>
  <si>
    <t>When I'm in pain... - Itâ€™s awful and I feel that it overwhelms me.</t>
  </si>
  <si>
    <t>When I'm in pain... - I feel I canâ€™t stand it anymore.</t>
  </si>
  <si>
    <t>When I'm in pain... - I become afraid that the pain will get worse.</t>
  </si>
  <si>
    <t>When I'm in pain... - I keep thinking of other painful events.</t>
  </si>
  <si>
    <t>When I'm in pain... - I anxiously want the pain to go away.</t>
  </si>
  <si>
    <t>When I'm in pain... - I canâ€™t seem to keep it out of my mind.</t>
  </si>
  <si>
    <t>When I'm in pain... - I keep thinking about how much it hurts.</t>
  </si>
  <si>
    <t>When I'm in pain... - I keep thinking about how badly I want the pain to stop.</t>
  </si>
  <si>
    <t>When I'm in pain... - Thereâ€™s nothing I can do to reduce the intensity of the pain.</t>
  </si>
  <si>
    <t>When I'm in pain... - I wonder whether something serious may happen.</t>
  </si>
  <si>
    <t>. - I'm afraid that I might injure myself if I exercise</t>
  </si>
  <si>
    <t>. - If I were to try to overcome it, my pain would increase</t>
  </si>
  <si>
    <t>. - My body is telling me I have something dangerously wrong</t>
  </si>
  <si>
    <t>. - People arenâ€™t taking my medical condition seriously enough</t>
  </si>
  <si>
    <t>. - My accident/injury/problem has put my body at risk for the rest of my life</t>
  </si>
  <si>
    <t>. - Pain always means I have injured my body</t>
  </si>
  <si>
    <t>. - Simply being careful that I do not make any unnecessary movements is the safest thing I can do to prevent my pain from worsening</t>
  </si>
  <si>
    <t>. - I wouldnâ€™t have this much pain if there werenâ€™t something potentially dangerous going on in my body</t>
  </si>
  <si>
    <t>. - Pain lets me know when to stop exercising so that I donâ€™t injure myself</t>
  </si>
  <si>
    <t>. - I canâ€™t do all the things normal people do because itâ€™s too easy for me to get injured</t>
  </si>
  <si>
    <t>. - No one should have to exercise when he/she is in pain</t>
  </si>
  <si>
    <t>. - I felt fearful</t>
  </si>
  <si>
    <t>. - I found it hard to focus on anything other than my anxiety</t>
  </si>
  <si>
    <t>. - My worries overwhelmed me</t>
  </si>
  <si>
    <t>. - I felt uneasy</t>
  </si>
  <si>
    <t>. - I felt nervous</t>
  </si>
  <si>
    <t>. - I felt like I needed help for my anxiety</t>
  </si>
  <si>
    <t>. - I felt anxious</t>
  </si>
  <si>
    <t>. - I felt tense</t>
  </si>
  <si>
    <t>. - I felt worthless</t>
  </si>
  <si>
    <t>. - I felt helpless</t>
  </si>
  <si>
    <t>. - I felt depressed</t>
  </si>
  <si>
    <t>. - I felt hopeless</t>
  </si>
  <si>
    <t>. - I felt like a failure</t>
  </si>
  <si>
    <t>. - I felt unhappy</t>
  </si>
  <si>
    <t>. - I felt that I had nothing to look forward to</t>
  </si>
  <si>
    <t>. - I felt that nothing could cheer me up</t>
  </si>
  <si>
    <t>. - I felt fatigued</t>
  </si>
  <si>
    <t>. - I had trouble starting things because I am tired</t>
  </si>
  <si>
    <t>. - How run-down did you feel on average?</t>
  </si>
  <si>
    <t>. - How fatigued were you on average?</t>
  </si>
  <si>
    <t>. - How much were you bothered by fatigue on average?</t>
  </si>
  <si>
    <t>. - To what degree did your fatigue interfere with your physical functioning?</t>
  </si>
  <si>
    <t>. - How often did you have to push yourself to get things done because of your fatigue?</t>
  </si>
  <si>
    <t>. - How often did you have trouble finishing things because of your fatigue?</t>
  </si>
  <si>
    <t>. - My sleep quality was</t>
  </si>
  <si>
    <t>. - My sleep was refreshing</t>
  </si>
  <si>
    <t>. - I had a problem with my sleep</t>
  </si>
  <si>
    <t>. - I had difficulty falling asleep</t>
  </si>
  <si>
    <t>. - My sleep was restless</t>
  </si>
  <si>
    <t>. - I tried hard to get to sleep</t>
  </si>
  <si>
    <t>. - I worried about not being able to fall asleep</t>
  </si>
  <si>
    <t>. - I was satisfied with my sleep</t>
  </si>
  <si>
    <t>. - I was irritated more than people knew</t>
  </si>
  <si>
    <t>. - I felt angry</t>
  </si>
  <si>
    <t>. - I felt like I was ready to explode</t>
  </si>
  <si>
    <t>. - I was grouchy</t>
  </si>
  <si>
    <t>. - I was annoyed</t>
  </si>
  <si>
    <t>WL</t>
  </si>
  <si>
    <t>Tx</t>
  </si>
  <si>
    <r>
      <t xml:space="preserve">BPI-SF  </t>
    </r>
    <r>
      <rPr>
        <sz val="12"/>
        <color rgb="FF000000"/>
        <rFont val="Arial"/>
        <family val="2"/>
      </rPr>
      <t>- Brief Pain Inventory</t>
    </r>
  </si>
  <si>
    <r>
      <t>SF12</t>
    </r>
    <r>
      <rPr>
        <sz val="12"/>
        <color rgb="FF000000"/>
        <rFont val="Arial"/>
        <family val="2"/>
      </rPr>
      <t xml:space="preserve"> - Quality of Life </t>
    </r>
  </si>
  <si>
    <r>
      <t>OLBPQ</t>
    </r>
    <r>
      <rPr>
        <sz val="12"/>
        <color rgb="FF000000"/>
        <rFont val="Arial"/>
        <family val="2"/>
      </rPr>
      <t xml:space="preserve"> - Oswestry Low Back Pain Disability </t>
    </r>
  </si>
  <si>
    <r>
      <t>PCS</t>
    </r>
    <r>
      <rPr>
        <sz val="12"/>
        <color rgb="FF000000"/>
        <rFont val="Arial"/>
        <family val="2"/>
      </rPr>
      <t xml:space="preserve"> - Pain Catastrophizing Scale</t>
    </r>
  </si>
  <si>
    <r>
      <t>TSK11</t>
    </r>
    <r>
      <rPr>
        <sz val="12"/>
        <color rgb="FF000000"/>
        <rFont val="Arial"/>
        <family val="2"/>
      </rPr>
      <t xml:space="preserve"> - Tampa Scale for Kinesiophobia</t>
    </r>
  </si>
  <si>
    <t>Since beginning treatment, how would you describe the change (if any) in ACTIVITY LIMITATIONS, SYMPTOMS, EMOTIONS, and OVERALL QUALITY OF LIFE, related to your painful condition (Pick ONE box)</t>
  </si>
  <si>
    <t>In a similar way, please check the number below, that matches your degree of change since beginning treatment. - Degree of change since beginning treatment</t>
  </si>
  <si>
    <t>BPI2_pmax</t>
  </si>
  <si>
    <t>BPI1_pmax</t>
  </si>
  <si>
    <t>BPI1_pmin</t>
  </si>
  <si>
    <t>BPI1_pavg</t>
  </si>
  <si>
    <t>PCS1_tot</t>
  </si>
  <si>
    <t>BPI2_pmin</t>
  </si>
  <si>
    <t>BPI2_pavg</t>
  </si>
  <si>
    <t>Weight</t>
  </si>
  <si>
    <t xml:space="preserve">BMI </t>
  </si>
  <si>
    <t>Occupation</t>
  </si>
  <si>
    <t>Explanation</t>
  </si>
  <si>
    <t>BPI3_pmax</t>
  </si>
  <si>
    <t>BPI3_pmin</t>
  </si>
  <si>
    <t>BPI4_pavg</t>
  </si>
  <si>
    <t>BPI3_pavg</t>
  </si>
  <si>
    <t>BPI4_pmax</t>
  </si>
  <si>
    <t>BPI4_pmin</t>
  </si>
  <si>
    <t>BPI5_pmax</t>
  </si>
  <si>
    <t>BPI5_pmin</t>
  </si>
  <si>
    <t>Raw score</t>
  </si>
  <si>
    <t>BPI1_now</t>
  </si>
  <si>
    <t>BPI1_int_aff</t>
  </si>
  <si>
    <t>BPI1_int_act</t>
  </si>
  <si>
    <t>BPI2_now</t>
  </si>
  <si>
    <t>BPI2_int_aff</t>
  </si>
  <si>
    <t>BPI2_int_act</t>
  </si>
  <si>
    <t>BPI3_now</t>
  </si>
  <si>
    <t>BPI3_int_aff</t>
  </si>
  <si>
    <t>BPI3_int_act</t>
  </si>
  <si>
    <t>BPI4_now</t>
  </si>
  <si>
    <t>BPI4_int_aff</t>
  </si>
  <si>
    <t>BPI4_int_act</t>
  </si>
  <si>
    <t>BPI5_pavg</t>
  </si>
  <si>
    <t>BPI5_now</t>
  </si>
  <si>
    <t>BPI5_int_aff</t>
  </si>
  <si>
    <t>BPI5_int_act</t>
  </si>
  <si>
    <t xml:space="preserve">Sum of items: Total TSK-11 scores range from 11–44 points with higher scores indicating greater fear of pain, movement, and injury. </t>
  </si>
  <si>
    <t>Subject_ID</t>
  </si>
  <si>
    <t>R</t>
  </si>
  <si>
    <t>white</t>
  </si>
  <si>
    <t>F</t>
  </si>
  <si>
    <t>L</t>
  </si>
  <si>
    <t>Black</t>
  </si>
  <si>
    <t>NaN</t>
  </si>
  <si>
    <t>D2_avg_bother</t>
  </si>
  <si>
    <t>D3_avg_bother</t>
  </si>
  <si>
    <t>D4_avg_bother</t>
  </si>
  <si>
    <t>D5_avg_bother</t>
  </si>
  <si>
    <t>D2_avg_bother_count</t>
  </si>
  <si>
    <t>D3_avg_bother_count</t>
  </si>
  <si>
    <t>D5_avg_bother_count</t>
  </si>
  <si>
    <t>TSK1_total</t>
  </si>
  <si>
    <t>TSK2_total</t>
  </si>
  <si>
    <t>TSK4_total</t>
  </si>
  <si>
    <t>TSK7_total</t>
  </si>
  <si>
    <t>TSK8_total</t>
  </si>
  <si>
    <t>OLBP1_total</t>
  </si>
  <si>
    <t>OLBP2_total</t>
  </si>
  <si>
    <t>OLBP3_total</t>
  </si>
  <si>
    <t>OLBP4_total</t>
  </si>
  <si>
    <t>OLBP5_total</t>
  </si>
  <si>
    <t>SF1_Phys</t>
  </si>
  <si>
    <t>SF1_Ment</t>
  </si>
  <si>
    <t>SF2_Phys</t>
  </si>
  <si>
    <t>SF2_Ment</t>
  </si>
  <si>
    <t>SF3_Phys</t>
  </si>
  <si>
    <t>SF3_Ment</t>
  </si>
  <si>
    <t>SF4_Phys</t>
  </si>
  <si>
    <t>SF4_Ment</t>
  </si>
  <si>
    <t>SF5_Phys</t>
  </si>
  <si>
    <t>SF5_Ment</t>
  </si>
  <si>
    <t>PCS2_tot</t>
  </si>
  <si>
    <t>PCS3_tot</t>
  </si>
  <si>
    <t>PCS4_tot</t>
  </si>
  <si>
    <t>PCS5_tot</t>
  </si>
  <si>
    <t>1TX_-1WL</t>
  </si>
  <si>
    <t>Tx_WL</t>
  </si>
  <si>
    <t>D4_avg_bother_count</t>
  </si>
  <si>
    <t>full_MRI_set</t>
  </si>
  <si>
    <t>PGIC_change</t>
  </si>
  <si>
    <t>PGIC_degree</t>
  </si>
  <si>
    <t>P1_Anxiety</t>
  </si>
  <si>
    <t>P1_Dep</t>
  </si>
  <si>
    <t>P1_Fatigue</t>
  </si>
  <si>
    <t>P1_Sleep</t>
  </si>
  <si>
    <t>P1_Anger</t>
  </si>
  <si>
    <t>P2_Anxiety</t>
  </si>
  <si>
    <t>P2_Dep</t>
  </si>
  <si>
    <t>P2_Fatigue</t>
  </si>
  <si>
    <t>P2_Sleep</t>
  </si>
  <si>
    <t>P2_Anger</t>
  </si>
  <si>
    <t>P4_Anxiety</t>
  </si>
  <si>
    <t>P4_Dep</t>
  </si>
  <si>
    <t>P4_Fatigue</t>
  </si>
  <si>
    <t>P4_Sleep</t>
  </si>
  <si>
    <t>P4_Anger</t>
  </si>
  <si>
    <t>P5_Anxiety</t>
  </si>
  <si>
    <t>P5_Dep</t>
  </si>
  <si>
    <t>P5_Fatigue</t>
  </si>
  <si>
    <t>P5_Sleep</t>
  </si>
  <si>
    <t>P5_Anger</t>
  </si>
  <si>
    <t>TX_WL</t>
  </si>
  <si>
    <t>Completed_tx_wl</t>
  </si>
  <si>
    <t>M_F</t>
  </si>
  <si>
    <t>Hand_1R</t>
  </si>
  <si>
    <t>Sex_1M</t>
  </si>
  <si>
    <t>Hand_RL</t>
  </si>
  <si>
    <t>Education_level_1_to_8</t>
  </si>
  <si>
    <t>PROMIS-8</t>
  </si>
  <si>
    <t>Quit my old job, started a new job</t>
  </si>
  <si>
    <t>Went from part time to full time</t>
  </si>
  <si>
    <t xml:space="preserve">Was furloughed at the start and now back to work full time. </t>
  </si>
  <si>
    <t xml:space="preserve">Changed company's </t>
  </si>
  <si>
    <t>Changed jobs because the last one was morally bankrupt</t>
  </si>
  <si>
    <t xml:space="preserve">I have had a slight increase in small contracting projects </t>
  </si>
  <si>
    <t xml:space="preserve">Started current job </t>
  </si>
  <si>
    <t>Fired from job</t>
  </si>
  <si>
    <t>started current job 3 weeks ago</t>
  </si>
  <si>
    <t>PGIC_Survey</t>
  </si>
  <si>
    <t>TSK5_total</t>
  </si>
  <si>
    <t>BPI1and2_pavg</t>
  </si>
  <si>
    <t>Employed_Status</t>
  </si>
  <si>
    <t>Status_changed_1yes</t>
  </si>
  <si>
    <t>Paindur</t>
  </si>
  <si>
    <t>BPI1_ptot</t>
  </si>
  <si>
    <t>BPI2_ptot</t>
  </si>
  <si>
    <t>BPI3_ptot</t>
  </si>
  <si>
    <t>BPI4_ptot</t>
  </si>
  <si>
    <t>BPI5_ptot</t>
  </si>
  <si>
    <t>is_patient</t>
  </si>
  <si>
    <t>Height - Ft</t>
  </si>
  <si>
    <t>Height - In</t>
  </si>
  <si>
    <t>6</t>
  </si>
  <si>
    <t>3</t>
  </si>
  <si>
    <t>180</t>
  </si>
  <si>
    <t>5</t>
  </si>
  <si>
    <t>0</t>
  </si>
  <si>
    <t>140</t>
  </si>
  <si>
    <t>214</t>
  </si>
  <si>
    <t>195</t>
  </si>
  <si>
    <t>235</t>
  </si>
  <si>
    <t>8</t>
  </si>
  <si>
    <t>185</t>
  </si>
  <si>
    <t>175</t>
  </si>
  <si>
    <t>9</t>
  </si>
  <si>
    <t>156</t>
  </si>
  <si>
    <t>210</t>
  </si>
  <si>
    <t>201</t>
  </si>
  <si>
    <t>225</t>
  </si>
  <si>
    <t>4</t>
  </si>
  <si>
    <t>150</t>
  </si>
  <si>
    <t>11</t>
  </si>
  <si>
    <t>240</t>
  </si>
  <si>
    <t>7</t>
  </si>
  <si>
    <t>160</t>
  </si>
  <si>
    <t>215</t>
  </si>
  <si>
    <t>125</t>
  </si>
  <si>
    <t>1</t>
  </si>
  <si>
    <t>250</t>
  </si>
  <si>
    <t>200</t>
  </si>
  <si>
    <t>188</t>
  </si>
  <si>
    <t>2</t>
  </si>
  <si>
    <t>249</t>
  </si>
  <si>
    <t>90</t>
  </si>
  <si>
    <t>160.4</t>
  </si>
  <si>
    <t>196</t>
  </si>
  <si>
    <t>10</t>
  </si>
  <si>
    <t>170</t>
  </si>
  <si>
    <t>165</t>
  </si>
  <si>
    <t>155</t>
  </si>
  <si>
    <t>130</t>
  </si>
  <si>
    <t>230</t>
  </si>
  <si>
    <t>212</t>
  </si>
  <si>
    <t>117</t>
  </si>
  <si>
    <t>208</t>
  </si>
  <si>
    <t>145</t>
  </si>
  <si>
    <t>147</t>
  </si>
  <si>
    <t>135</t>
  </si>
  <si>
    <t>144</t>
  </si>
  <si>
    <t>152</t>
  </si>
  <si>
    <t>4-year College Degree</t>
  </si>
  <si>
    <t>Masters Degree</t>
  </si>
  <si>
    <t>Some College</t>
  </si>
  <si>
    <t>High School / GED</t>
  </si>
  <si>
    <t>Professional Degree (JD, MD)</t>
  </si>
  <si>
    <t>Doctoral Degree</t>
  </si>
  <si>
    <t>White1_Hispanic2_Black3_Asian4_ Other</t>
  </si>
  <si>
    <t>ANTI-ANXIETY</t>
  </si>
  <si>
    <t>ANTI-DEP</t>
  </si>
  <si>
    <t>ANTI-CONV</t>
  </si>
  <si>
    <t>OTC</t>
  </si>
  <si>
    <t>CANNABINOIDS</t>
  </si>
  <si>
    <t>EXERCISE</t>
  </si>
  <si>
    <t>HANDS-ON</t>
  </si>
  <si>
    <t>MODALITY</t>
  </si>
  <si>
    <t/>
  </si>
  <si>
    <t>never</t>
  </si>
  <si>
    <t>daily or almost daily</t>
  </si>
  <si>
    <t>weekly</t>
  </si>
  <si>
    <t>2-4 days/week</t>
  </si>
  <si>
    <t>&lt;1 day/week</t>
  </si>
  <si>
    <t>BEH / MENTAL</t>
  </si>
  <si>
    <t>OTC_word</t>
  </si>
  <si>
    <t>CANN</t>
  </si>
  <si>
    <t>ANTI_ANX</t>
  </si>
  <si>
    <t>ANTI_D</t>
  </si>
  <si>
    <t>ANTI_CONV</t>
  </si>
  <si>
    <t>EXER</t>
  </si>
  <si>
    <t>HO</t>
  </si>
  <si>
    <t>MOD</t>
  </si>
  <si>
    <t>BEH</t>
  </si>
  <si>
    <t>Income</t>
  </si>
  <si>
    <t>Income_no0</t>
  </si>
  <si>
    <t>Sleep</t>
  </si>
  <si>
    <t>Ethnicity_NotH1_Hispanic2</t>
  </si>
  <si>
    <t>Not Hispanic or Latino</t>
  </si>
  <si>
    <t>Hispanic or Latino</t>
  </si>
  <si>
    <t>No answer</t>
  </si>
  <si>
    <t>American Indian or Alaska Nativean</t>
  </si>
  <si>
    <t>Black or African American,White</t>
  </si>
  <si>
    <t>American Indian or Alaska Native,White</t>
  </si>
  <si>
    <t>Native Hawaiian or Pacific Islanderiian</t>
  </si>
  <si>
    <t>BPI1_q_act</t>
  </si>
  <si>
    <t>BPI1_q_mood</t>
  </si>
  <si>
    <t>BPI1_q_sleep</t>
  </si>
  <si>
    <t>BPI2_q_act</t>
  </si>
  <si>
    <t>BPI2_q_mood</t>
  </si>
  <si>
    <t>BPI2_q_sleep</t>
  </si>
  <si>
    <t>BPI4_q_act</t>
  </si>
  <si>
    <t>BPI4_q_mood</t>
  </si>
  <si>
    <t>BPI4_q_sleep</t>
  </si>
  <si>
    <t>BPI3_q_act</t>
  </si>
  <si>
    <t>BPI3_q_mood</t>
  </si>
  <si>
    <t>BPI3_q_sleep</t>
  </si>
  <si>
    <t>BPI5_q_act</t>
  </si>
  <si>
    <t>BPI5_q_mood</t>
  </si>
  <si>
    <t>BPI5_q_sleep</t>
  </si>
  <si>
    <t>Variable</t>
  </si>
  <si>
    <t>Question 1</t>
  </si>
  <si>
    <t>Pain interference</t>
  </si>
  <si>
    <t>Disability</t>
  </si>
  <si>
    <t>Anxiety</t>
  </si>
  <si>
    <t>Depression</t>
  </si>
  <si>
    <t>Fatigue</t>
  </si>
  <si>
    <t>Anger</t>
  </si>
  <si>
    <t>Quality of life</t>
  </si>
  <si>
    <t>Kinesophobia</t>
  </si>
  <si>
    <t>Pain catastrophizing</t>
  </si>
  <si>
    <t>Coding Scheme</t>
  </si>
  <si>
    <t>Sum of items</t>
  </si>
  <si>
    <t>Average of items</t>
  </si>
  <si>
    <t>Sum of items: For each question, there is a possible
5 points; 0 for the first answer, 1 for
the second answer, etc.; Add up the total for the 10 questions --- Total score will range from 0 to 50</t>
  </si>
  <si>
    <t xml:space="preserve">n/a </t>
  </si>
  <si>
    <t>Missing Items Handling Rule</t>
  </si>
  <si>
    <t xml:space="preserve">no missing items </t>
  </si>
  <si>
    <t>Sum of items: The PCS total score is computed by summing responses to all 13 items. PCS total scores range from 0 – 52; subscales Rumination, Helplessness, Magnification not scored.</t>
  </si>
  <si>
    <t>replace missing item with average score of scale</t>
  </si>
  <si>
    <t xml:space="preserve">replace missing item with average score of subscale </t>
  </si>
  <si>
    <t>Patient global impressionf of change</t>
  </si>
  <si>
    <r>
      <rPr>
        <b/>
        <sz val="11"/>
        <color theme="1"/>
        <rFont val="Arial"/>
        <family val="2"/>
      </rPr>
      <t>PGIC</t>
    </r>
    <r>
      <rPr>
        <sz val="11"/>
        <color theme="1"/>
        <rFont val="Arial"/>
        <family val="2"/>
      </rPr>
      <t xml:space="preserve"> - Patient Global Impressionf of Change</t>
    </r>
  </si>
  <si>
    <t>Bothersomeness</t>
  </si>
  <si>
    <t xml:space="preserve">Cherkin et al. </t>
  </si>
  <si>
    <t>Please rate how much your back pain has bothered you on average in the last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</si>
</sst>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9900"/>
      <name val="Arial"/>
      <family val="2"/>
    </font>
    <font>
      <b/>
      <sz val="10"/>
      <color rgb="FF0000FF"/>
      <name val="Arial"/>
      <family val="2"/>
    </font>
    <font>
      <b/>
      <sz val="10"/>
      <color rgb="FF0BAD54"/>
      <name val="Arial"/>
      <family val="2"/>
    </font>
    <font>
      <sz val="10"/>
      <color rgb="FF434343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9900"/>
      <name val="Arial"/>
      <family val="2"/>
    </font>
    <font>
      <b/>
      <sz val="11"/>
      <color rgb="FF0000FF"/>
      <name val="Arial"/>
      <family val="2"/>
    </font>
    <font>
      <b/>
      <sz val="11"/>
      <color rgb="FF0BAD54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rebuchet MS"/>
      <family val="2"/>
    </font>
    <font>
      <b/>
      <sz val="9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rgb="FF32363A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EF9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5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EFFBB"/>
        <bgColor indexed="64"/>
      </patternFill>
    </fill>
    <fill>
      <patternFill patternType="solid">
        <f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78FF8C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/>
      <top/>
      <bottom style="medium">
        <color auto="1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4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</cellStyleXfs>
  <cellXfs count="20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6" fillId="7" borderId="6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2" xfId="0" applyFont="1" applyBorder="1"/>
    <xf numFmtId="0" fontId="6" fillId="0" borderId="3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6" fillId="8" borderId="0" xfId="0" applyFont="1" applyFill="1"/>
    <xf numFmtId="0" fontId="6" fillId="8" borderId="8" xfId="0" applyFont="1" applyFill="1" applyBorder="1"/>
    <xf numFmtId="0" fontId="0" fillId="8" borderId="0" xfId="0" applyFill="1"/>
    <xf numFmtId="0" fontId="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8" borderId="9" xfId="0" applyFont="1" applyFill="1" applyBorder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9" borderId="10" xfId="0" applyFont="1" applyFill="1" applyBorder="1"/>
    <xf numFmtId="0" fontId="6" fillId="9" borderId="8" xfId="0" applyFont="1" applyFill="1" applyBorder="1"/>
    <xf numFmtId="0" fontId="6" fillId="3" borderId="10" xfId="0" applyFont="1" applyFill="1" applyBorder="1"/>
    <xf numFmtId="0" fontId="6" fillId="3" borderId="8" xfId="0" applyFont="1" applyFill="1" applyBorder="1"/>
    <xf numFmtId="0" fontId="20" fillId="3" borderId="8" xfId="0" applyFont="1" applyFill="1" applyBorder="1"/>
    <xf numFmtId="0" fontId="5" fillId="13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5" xfId="0" applyFont="1" applyBorder="1" applyAlignment="1">
      <alignment horizontal="center"/>
    </xf>
    <xf numFmtId="0" fontId="6" fillId="0" borderId="22" xfId="0" applyFont="1" applyBorder="1"/>
    <xf numFmtId="0" fontId="6" fillId="0" borderId="1" xfId="0" applyFont="1" applyBorder="1"/>
    <xf numFmtId="0" fontId="6" fillId="0" borderId="7" xfId="0" applyFont="1" applyBorder="1"/>
    <xf numFmtId="0" fontId="0" fillId="0" borderId="6" xfId="0" applyBorder="1"/>
    <xf numFmtId="0" fontId="6" fillId="0" borderId="24" xfId="0" applyFont="1" applyBorder="1"/>
    <xf numFmtId="0" fontId="5" fillId="0" borderId="2" xfId="0" applyFont="1" applyBorder="1"/>
    <xf numFmtId="0" fontId="6" fillId="14" borderId="11" xfId="0" applyFont="1" applyFill="1" applyBorder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6" fillId="15" borderId="0" xfId="0" applyFont="1" applyFill="1"/>
    <xf numFmtId="0" fontId="32" fillId="0" borderId="0" xfId="4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16" borderId="0" xfId="0" applyFill="1"/>
    <xf numFmtId="0" fontId="6" fillId="1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0" fillId="16" borderId="0" xfId="0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6" fillId="16" borderId="19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15" borderId="0" xfId="0" applyFont="1" applyFill="1"/>
    <xf numFmtId="0" fontId="6" fillId="15" borderId="8" xfId="0" applyFont="1" applyFill="1" applyBorder="1"/>
    <xf numFmtId="0" fontId="6" fillId="15" borderId="9" xfId="0" applyFont="1" applyFill="1" applyBorder="1"/>
    <xf numFmtId="0" fontId="0" fillId="15" borderId="0" xfId="0" applyFill="1"/>
    <xf numFmtId="0" fontId="5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/>
    </xf>
    <xf numFmtId="0" fontId="5" fillId="15" borderId="15" xfId="0" applyFont="1" applyFill="1" applyBorder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15" borderId="18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center" vertical="center"/>
    </xf>
    <xf numFmtId="2" fontId="5" fillId="15" borderId="0" xfId="0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32" fillId="15" borderId="0" xfId="4" applyFont="1" applyFill="1" applyAlignment="1">
      <alignment horizontal="center" vertical="center"/>
    </xf>
    <xf numFmtId="0" fontId="6" fillId="15" borderId="1" xfId="0" applyFont="1" applyFill="1" applyBorder="1"/>
    <xf numFmtId="0" fontId="6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7" fillId="17" borderId="6" xfId="0" applyFont="1" applyFill="1" applyBorder="1" applyAlignment="1">
      <alignment horizontal="left"/>
    </xf>
    <xf numFmtId="0" fontId="27" fillId="17" borderId="7" xfId="0" applyFont="1" applyFill="1" applyBorder="1" applyAlignment="1">
      <alignment horizontal="left"/>
    </xf>
    <xf numFmtId="49" fontId="27" fillId="0" borderId="8" xfId="0" applyNumberFormat="1" applyFont="1" applyBorder="1" applyAlignment="1">
      <alignment horizontal="left"/>
    </xf>
    <xf numFmtId="49" fontId="27" fillId="0" borderId="0" xfId="0" applyNumberFormat="1" applyFont="1" applyAlignment="1">
      <alignment horizontal="left"/>
    </xf>
    <xf numFmtId="49" fontId="27" fillId="0" borderId="9" xfId="0" applyNumberFormat="1" applyFont="1" applyBorder="1" applyAlignment="1">
      <alignment horizontal="left"/>
    </xf>
    <xf numFmtId="49" fontId="27" fillId="0" borderId="21" xfId="0" applyNumberFormat="1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9" xfId="0" applyFont="1" applyBorder="1" applyAlignment="1">
      <alignment horizontal="left"/>
    </xf>
    <xf numFmtId="49" fontId="28" fillId="0" borderId="0" xfId="0" applyNumberFormat="1" applyFont="1" applyAlignment="1">
      <alignment horizontal="left"/>
    </xf>
    <xf numFmtId="0" fontId="27" fillId="8" borderId="5" xfId="0" applyFont="1" applyFill="1" applyBorder="1" applyAlignment="1">
      <alignment horizontal="left"/>
    </xf>
    <xf numFmtId="49" fontId="27" fillId="8" borderId="5" xfId="0" applyNumberFormat="1" applyFont="1" applyFill="1" applyBorder="1" applyAlignment="1">
      <alignment horizontal="left"/>
    </xf>
    <xf numFmtId="0" fontId="5" fillId="0" borderId="11" xfId="0" applyFont="1" applyBorder="1"/>
    <xf numFmtId="0" fontId="5" fillId="0" borderId="13" xfId="0" applyFont="1" applyBorder="1"/>
    <xf numFmtId="0" fontId="20" fillId="0" borderId="13" xfId="0" applyFont="1" applyBorder="1"/>
    <xf numFmtId="0" fontId="20" fillId="0" borderId="11" xfId="0" applyFont="1" applyBorder="1"/>
    <xf numFmtId="0" fontId="20" fillId="0" borderId="14" xfId="0" applyFont="1" applyBorder="1"/>
    <xf numFmtId="0" fontId="6" fillId="7" borderId="23" xfId="0" applyFont="1" applyFill="1" applyBorder="1"/>
    <xf numFmtId="0" fontId="12" fillId="0" borderId="0" xfId="0" applyFont="1"/>
    <xf numFmtId="0" fontId="8" fillId="0" borderId="2" xfId="0" applyFont="1" applyBorder="1"/>
    <xf numFmtId="0" fontId="7" fillId="0" borderId="0" xfId="0" applyFont="1"/>
    <xf numFmtId="0" fontId="13" fillId="0" borderId="0" xfId="0" applyFont="1"/>
    <xf numFmtId="0" fontId="7" fillId="16" borderId="0" xfId="0" applyFont="1" applyFill="1"/>
    <xf numFmtId="0" fontId="9" fillId="0" borderId="2" xfId="0" applyFont="1" applyBorder="1"/>
    <xf numFmtId="0" fontId="30" fillId="0" borderId="0" xfId="0" applyFont="1"/>
    <xf numFmtId="0" fontId="8" fillId="12" borderId="0" xfId="0" applyFont="1" applyFill="1"/>
    <xf numFmtId="0" fontId="10" fillId="12" borderId="0" xfId="0" applyFont="1" applyFill="1"/>
    <xf numFmtId="0" fontId="10" fillId="0" borderId="2" xfId="0" applyFont="1" applyBorder="1"/>
    <xf numFmtId="0" fontId="13" fillId="15" borderId="0" xfId="0" applyFont="1" applyFill="1"/>
    <xf numFmtId="0" fontId="12" fillId="15" borderId="0" xfId="0" applyFont="1" applyFill="1"/>
    <xf numFmtId="0" fontId="7" fillId="15" borderId="0" xfId="0" applyFont="1" applyFill="1"/>
    <xf numFmtId="0" fontId="6" fillId="15" borderId="2" xfId="0" applyFont="1" applyFill="1" applyBorder="1"/>
    <xf numFmtId="0" fontId="6" fillId="15" borderId="3" xfId="0" applyFont="1" applyFill="1" applyBorder="1"/>
    <xf numFmtId="0" fontId="6" fillId="15" borderId="24" xfId="0" applyFont="1" applyFill="1" applyBorder="1"/>
    <xf numFmtId="0" fontId="14" fillId="0" borderId="0" xfId="0" applyFont="1"/>
    <xf numFmtId="0" fontId="11" fillId="0" borderId="2" xfId="0" applyFont="1" applyBorder="1"/>
    <xf numFmtId="0" fontId="13" fillId="8" borderId="0" xfId="0" applyFont="1" applyFill="1"/>
    <xf numFmtId="0" fontId="17" fillId="0" borderId="0" xfId="0" applyFont="1"/>
    <xf numFmtId="0" fontId="15" fillId="0" borderId="0" xfId="0" applyFont="1"/>
    <xf numFmtId="0" fontId="16" fillId="0" borderId="0" xfId="0" applyFont="1"/>
    <xf numFmtId="0" fontId="8" fillId="11" borderId="2" xfId="0" applyFont="1" applyFill="1" applyBorder="1"/>
    <xf numFmtId="0" fontId="13" fillId="11" borderId="0" xfId="0" applyFont="1" applyFill="1"/>
    <xf numFmtId="0" fontId="7" fillId="11" borderId="0" xfId="0" applyFont="1" applyFill="1"/>
    <xf numFmtId="0" fontId="8" fillId="6" borderId="2" xfId="0" applyFont="1" applyFill="1" applyBorder="1"/>
    <xf numFmtId="0" fontId="7" fillId="6" borderId="0" xfId="0" applyFont="1" applyFill="1"/>
    <xf numFmtId="0" fontId="13" fillId="6" borderId="0" xfId="0" applyFont="1" applyFill="1"/>
    <xf numFmtId="0" fontId="10" fillId="6" borderId="2" xfId="0" applyFont="1" applyFill="1" applyBorder="1"/>
    <xf numFmtId="0" fontId="15" fillId="11" borderId="0" xfId="0" applyFont="1" applyFill="1"/>
    <xf numFmtId="0" fontId="16" fillId="11" borderId="0" xfId="0" applyFont="1" applyFill="1"/>
    <xf numFmtId="0" fontId="8" fillId="18" borderId="2" xfId="0" applyFont="1" applyFill="1" applyBorder="1"/>
    <xf numFmtId="0" fontId="13" fillId="18" borderId="0" xfId="0" applyFont="1" applyFill="1"/>
    <xf numFmtId="0" fontId="14" fillId="16" borderId="0" xfId="0" applyFont="1" applyFill="1"/>
    <xf numFmtId="0" fontId="7" fillId="8" borderId="0" xfId="0" applyFont="1" applyFill="1"/>
    <xf numFmtId="49" fontId="27" fillId="0" borderId="0" xfId="0" applyNumberFormat="1" applyFont="1" applyAlignment="1">
      <alignment wrapText="1"/>
    </xf>
    <xf numFmtId="164" fontId="5" fillId="0" borderId="2" xfId="0" applyNumberFormat="1" applyFont="1" applyBorder="1"/>
    <xf numFmtId="164" fontId="8" fillId="0" borderId="2" xfId="0" applyNumberFormat="1" applyFont="1" applyBorder="1"/>
    <xf numFmtId="164" fontId="7" fillId="0" borderId="2" xfId="0" applyNumberFormat="1" applyFont="1" applyBorder="1"/>
    <xf numFmtId="164" fontId="19" fillId="12" borderId="2" xfId="0" applyNumberFormat="1" applyFont="1" applyFill="1" applyBorder="1"/>
    <xf numFmtId="164" fontId="8" fillId="15" borderId="2" xfId="0" applyNumberFormat="1" applyFont="1" applyFill="1" applyBorder="1"/>
    <xf numFmtId="164" fontId="21" fillId="0" borderId="0" xfId="0" applyNumberFormat="1" applyFont="1"/>
    <xf numFmtId="164" fontId="31" fillId="0" borderId="2" xfId="0" applyNumberFormat="1" applyFont="1" applyBorder="1"/>
    <xf numFmtId="164" fontId="6" fillId="0" borderId="0" xfId="0" applyNumberFormat="1" applyFont="1"/>
    <xf numFmtId="164" fontId="6" fillId="0" borderId="2" xfId="0" applyNumberFormat="1" applyFont="1" applyBorder="1"/>
    <xf numFmtId="0" fontId="6" fillId="19" borderId="26" xfId="0" applyFont="1" applyFill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3" borderId="25" xfId="0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3" fillId="3" borderId="25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" fillId="7" borderId="21" xfId="0" applyFont="1" applyFill="1" applyBorder="1" applyAlignment="1">
      <alignment vertical="top"/>
    </xf>
    <xf numFmtId="0" fontId="1" fillId="7" borderId="15" xfId="0" applyFont="1" applyFill="1" applyBorder="1" applyAlignment="1">
      <alignment vertical="top"/>
    </xf>
    <xf numFmtId="0" fontId="1" fillId="7" borderId="15" xfId="0" applyFont="1" applyFill="1" applyBorder="1"/>
    <xf numFmtId="0" fontId="17" fillId="0" borderId="25" xfId="0" applyFont="1" applyBorder="1" applyAlignment="1">
      <alignment vertical="top" wrapText="1"/>
    </xf>
    <xf numFmtId="0" fontId="17" fillId="0" borderId="25" xfId="0" applyFont="1" applyBorder="1" applyAlignment="1">
      <alignment vertical="top"/>
    </xf>
    <xf numFmtId="0" fontId="6" fillId="0" borderId="25" xfId="0" applyFont="1" applyBorder="1" applyAlignment="1">
      <alignment vertical="center"/>
    </xf>
    <xf numFmtId="0" fontId="6" fillId="0" borderId="25" xfId="0" applyFont="1" applyBorder="1"/>
    <xf numFmtId="0" fontId="2" fillId="0" borderId="0" xfId="0" applyFont="1" applyAlignment="1">
      <alignment horizontal="justify" vertical="top"/>
    </xf>
    <xf numFmtId="0" fontId="2" fillId="0" borderId="25" xfId="0" applyFont="1" applyBorder="1" applyAlignment="1">
      <alignment horizontal="justify" vertical="top"/>
    </xf>
    <xf numFmtId="0" fontId="17" fillId="3" borderId="21" xfId="0" applyFont="1" applyFill="1" applyBorder="1" applyAlignment="1">
      <alignment vertical="top"/>
    </xf>
    <xf numFmtId="0" fontId="6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vertical="top"/>
    </xf>
    <xf numFmtId="0" fontId="17" fillId="0" borderId="15" xfId="0" applyFont="1" applyBorder="1" applyAlignment="1">
      <alignment horizontal="justify" vertical="top"/>
    </xf>
    <xf numFmtId="0" fontId="17" fillId="0" borderId="21" xfId="0" applyFont="1" applyBorder="1" applyAlignment="1">
      <alignment horizontal="justify" vertical="top"/>
    </xf>
    <xf numFmtId="0" fontId="6" fillId="0" borderId="27" xfId="0" applyFont="1" applyBorder="1" applyAlignment="1">
      <alignment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1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0" fontId="6" fillId="0" borderId="25" xfId="0" applyFont="1" applyBorder="1" applyAlignment="1">
      <alignment wrapText="1"/>
    </xf>
    <xf numFmtId="0" fontId="6" fillId="7" borderId="21" xfId="0" applyFont="1" applyFill="1" applyBorder="1"/>
    <xf numFmtId="0" fontId="28" fillId="0" borderId="25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34" fillId="0" borderId="0" xfId="0" applyFont="1" applyAlignment="1">
      <alignment vertical="top" wrapText="1"/>
    </xf>
  </cellXfs>
  <cellStyles count="8">
    <cellStyle name="Normal" xfId="0" builtinId="0"/>
    <cellStyle name="Normal 11" xfId="6" xr:uid="{3159FCAC-5B6A-9448-BA9D-458D8A06A2FA}"/>
    <cellStyle name="Normal 2" xfId="1" xr:uid="{00000000-0005-0000-0000-000001000000}"/>
    <cellStyle name="Normal 2 2" xfId="2" xr:uid="{F9AC6C33-68FD-8B4C-A4F9-615C26979091}"/>
    <cellStyle name="Normal 2 2 2" xfId="5" xr:uid="{A70D952D-80DC-6B4A-90BA-75B8CDB43186}"/>
    <cellStyle name="Normal 2 3" xfId="4" xr:uid="{203227CB-D491-6249-8B11-C26287DFF19E}"/>
    <cellStyle name="Normal 3" xfId="3" xr:uid="{01CD4B8E-A384-F343-96D4-8A4E5F137B44}"/>
    <cellStyle name="Normal 6" xfId="7" xr:uid="{1DCA43CA-9F1A-E646-93AF-8961BAB52C4A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3C4FF"/>
      <color rgb="FF78FF8C"/>
      <color rgb="FFCEF9FD"/>
      <color rgb="FFE3F5FF"/>
      <color rgb="FFF79FB2"/>
      <color rgb="FFFEFFBB"/>
      <color rgb="FFFF40FF"/>
      <color rgb="FFCDFFD4"/>
      <color rgb="FFECB59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4"/>
  <sheetViews>
    <sheetView topLeftCell="C1" workbookViewId="0">
      <selection activeCell="E4" sqref="E4"/>
    </sheetView>
  </sheetViews>
  <sheetFormatPr baseColWidth="10" defaultColWidth="11" defaultRowHeight="16" x14ac:dyDescent="0.2"/>
  <cols>
    <col min="1" max="1" width="19.6640625" style="180" customWidth="1"/>
    <col min="2" max="2" width="44.5" style="1" customWidth="1"/>
    <col min="3" max="3" width="50.33203125" style="189" customWidth="1"/>
    <col min="4" max="4" width="27.1640625" style="189" customWidth="1"/>
    <col min="5" max="6" width="23.83203125" style="173" customWidth="1"/>
    <col min="7" max="7" width="22.1640625" style="173" customWidth="1"/>
    <col min="8" max="8" width="21.83203125" style="173" customWidth="1"/>
    <col min="9" max="9" width="21.5" style="173" customWidth="1"/>
    <col min="10" max="10" width="22" style="173" customWidth="1"/>
    <col min="11" max="12" width="22.33203125" style="173" customWidth="1"/>
    <col min="13" max="13" width="22" style="173" customWidth="1"/>
    <col min="14" max="15" width="22.33203125" style="173" customWidth="1"/>
    <col min="16" max="16" width="21.83203125" style="173" customWidth="1"/>
    <col min="17" max="17" width="22.33203125" style="173" customWidth="1"/>
    <col min="18" max="29" width="11" style="173"/>
    <col min="30" max="16384" width="11" style="3"/>
  </cols>
  <sheetData>
    <row r="1" spans="1:40" s="172" customFormat="1" ht="30" customHeight="1" thickBot="1" x14ac:dyDescent="0.25">
      <c r="A1" s="178" t="s">
        <v>349</v>
      </c>
      <c r="B1" s="174" t="s">
        <v>8</v>
      </c>
      <c r="C1" s="187" t="s">
        <v>360</v>
      </c>
      <c r="D1" s="187" t="s">
        <v>365</v>
      </c>
      <c r="E1" s="175" t="s">
        <v>350</v>
      </c>
      <c r="F1" s="175">
        <v>2</v>
      </c>
      <c r="G1" s="175">
        <v>3</v>
      </c>
      <c r="H1" s="175">
        <v>4</v>
      </c>
      <c r="I1" s="175">
        <v>5</v>
      </c>
      <c r="J1" s="175">
        <v>6</v>
      </c>
      <c r="K1" s="175">
        <v>7</v>
      </c>
      <c r="L1" s="175">
        <v>8</v>
      </c>
      <c r="M1" s="175">
        <v>9</v>
      </c>
      <c r="N1" s="175">
        <v>10</v>
      </c>
      <c r="O1" s="175">
        <v>11</v>
      </c>
      <c r="P1" s="175">
        <v>12</v>
      </c>
      <c r="Q1" s="175">
        <v>13</v>
      </c>
      <c r="R1" s="175">
        <v>14</v>
      </c>
      <c r="S1" s="175">
        <v>15</v>
      </c>
      <c r="T1" s="175">
        <v>16</v>
      </c>
      <c r="U1" s="175">
        <v>17</v>
      </c>
      <c r="V1" s="175">
        <v>18</v>
      </c>
      <c r="W1" s="175">
        <v>19</v>
      </c>
      <c r="X1" s="175">
        <v>20</v>
      </c>
      <c r="Y1" s="175">
        <v>21</v>
      </c>
      <c r="Z1" s="175">
        <v>22</v>
      </c>
      <c r="AA1" s="175">
        <v>23</v>
      </c>
      <c r="AB1" s="175">
        <v>24</v>
      </c>
      <c r="AC1" s="175">
        <v>25</v>
      </c>
      <c r="AD1" s="174">
        <v>26</v>
      </c>
      <c r="AE1" s="174">
        <v>27</v>
      </c>
      <c r="AF1" s="174">
        <v>28</v>
      </c>
      <c r="AG1" s="174">
        <v>29</v>
      </c>
      <c r="AH1" s="174">
        <v>30</v>
      </c>
      <c r="AI1" s="174">
        <v>31</v>
      </c>
      <c r="AJ1" s="174">
        <v>32</v>
      </c>
    </row>
    <row r="2" spans="1:40" ht="125" customHeight="1" thickBot="1" x14ac:dyDescent="0.2">
      <c r="A2" s="179" t="s">
        <v>32</v>
      </c>
      <c r="B2" s="185" t="s">
        <v>105</v>
      </c>
      <c r="C2" s="190" t="s">
        <v>131</v>
      </c>
      <c r="D2" s="190" t="s">
        <v>364</v>
      </c>
      <c r="E2" s="176" t="s">
        <v>9</v>
      </c>
      <c r="F2" s="176" t="s">
        <v>10</v>
      </c>
      <c r="G2" s="176" t="s">
        <v>11</v>
      </c>
      <c r="H2" s="176" t="s">
        <v>12</v>
      </c>
      <c r="I2" s="176" t="s">
        <v>13</v>
      </c>
      <c r="J2" s="176" t="s">
        <v>14</v>
      </c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7"/>
      <c r="AE2" s="177"/>
      <c r="AF2" s="177"/>
      <c r="AG2" s="177"/>
      <c r="AH2" s="177"/>
      <c r="AI2" s="177"/>
      <c r="AJ2" s="177"/>
      <c r="AK2" s="171"/>
      <c r="AL2" s="171"/>
      <c r="AM2" s="171"/>
      <c r="AN2" s="171"/>
    </row>
    <row r="3" spans="1:40" s="184" customFormat="1" ht="98" customHeight="1" thickBot="1" x14ac:dyDescent="0.2">
      <c r="A3" s="178" t="s">
        <v>351</v>
      </c>
      <c r="B3" s="186" t="s">
        <v>105</v>
      </c>
      <c r="C3" s="191" t="s">
        <v>362</v>
      </c>
      <c r="D3" s="191" t="s">
        <v>364</v>
      </c>
      <c r="E3" s="181" t="s">
        <v>15</v>
      </c>
      <c r="F3" s="181" t="s">
        <v>16</v>
      </c>
      <c r="G3" s="181" t="s">
        <v>17</v>
      </c>
      <c r="H3" s="181" t="s">
        <v>18</v>
      </c>
      <c r="I3" s="181" t="s">
        <v>19</v>
      </c>
      <c r="J3" s="181" t="s">
        <v>20</v>
      </c>
      <c r="K3" s="181" t="s">
        <v>21</v>
      </c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2"/>
      <c r="Y3" s="182"/>
      <c r="Z3" s="182"/>
      <c r="AA3" s="182"/>
      <c r="AB3" s="182"/>
      <c r="AC3" s="182"/>
      <c r="AD3" s="182"/>
      <c r="AE3" s="183"/>
      <c r="AF3" s="183"/>
      <c r="AG3" s="183"/>
      <c r="AH3" s="183"/>
    </row>
    <row r="4" spans="1:40" ht="98" customHeight="1" thickBot="1" x14ac:dyDescent="0.2">
      <c r="A4" s="179" t="s">
        <v>372</v>
      </c>
      <c r="B4" s="185" t="s">
        <v>373</v>
      </c>
      <c r="C4" s="190" t="s">
        <v>131</v>
      </c>
      <c r="D4" s="190" t="s">
        <v>364</v>
      </c>
      <c r="E4" s="201" t="s">
        <v>374</v>
      </c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7"/>
      <c r="AE4" s="177"/>
      <c r="AF4" s="177"/>
      <c r="AG4" s="177"/>
      <c r="AH4" s="177"/>
      <c r="AI4" s="177"/>
      <c r="AJ4" s="177"/>
      <c r="AK4" s="171"/>
      <c r="AL4" s="171"/>
      <c r="AM4" s="171"/>
      <c r="AN4" s="171"/>
    </row>
    <row r="5" spans="1:40" s="184" customFormat="1" ht="72" customHeight="1" thickBot="1" x14ac:dyDescent="0.2">
      <c r="A5" s="178" t="s">
        <v>352</v>
      </c>
      <c r="B5" s="186" t="s">
        <v>107</v>
      </c>
      <c r="C5" s="193" t="s">
        <v>363</v>
      </c>
      <c r="D5" s="193" t="s">
        <v>366</v>
      </c>
      <c r="E5" s="181" t="s">
        <v>32</v>
      </c>
      <c r="F5" s="181" t="s">
        <v>33</v>
      </c>
      <c r="G5" s="181" t="s">
        <v>34</v>
      </c>
      <c r="H5" s="181" t="s">
        <v>35</v>
      </c>
      <c r="I5" s="181" t="s">
        <v>36</v>
      </c>
      <c r="J5" s="181" t="s">
        <v>37</v>
      </c>
      <c r="K5" s="181" t="s">
        <v>38</v>
      </c>
      <c r="L5" s="181" t="s">
        <v>39</v>
      </c>
      <c r="M5" s="181" t="s">
        <v>40</v>
      </c>
      <c r="N5" s="181" t="s">
        <v>41</v>
      </c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2"/>
      <c r="AE5" s="182"/>
      <c r="AF5" s="182"/>
      <c r="AG5" s="182"/>
      <c r="AH5" s="182"/>
      <c r="AI5" s="182"/>
      <c r="AJ5" s="182"/>
      <c r="AK5" s="183"/>
      <c r="AL5" s="183"/>
      <c r="AM5" s="183"/>
      <c r="AN5" s="183"/>
    </row>
    <row r="6" spans="1:40" s="184" customFormat="1" ht="46" thickBot="1" x14ac:dyDescent="0.2">
      <c r="A6" s="178" t="s">
        <v>353</v>
      </c>
      <c r="B6" s="186" t="s">
        <v>1</v>
      </c>
      <c r="C6" s="191" t="s">
        <v>361</v>
      </c>
      <c r="D6" s="193" t="s">
        <v>366</v>
      </c>
      <c r="E6" s="181" t="s">
        <v>66</v>
      </c>
      <c r="F6" s="181" t="s">
        <v>67</v>
      </c>
      <c r="G6" s="181" t="s">
        <v>68</v>
      </c>
      <c r="H6" s="181" t="s">
        <v>69</v>
      </c>
      <c r="I6" s="181" t="s">
        <v>70</v>
      </c>
      <c r="J6" s="181" t="s">
        <v>71</v>
      </c>
      <c r="K6" s="181" t="s">
        <v>72</v>
      </c>
      <c r="L6" s="181" t="s">
        <v>73</v>
      </c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2"/>
      <c r="AE6" s="182"/>
      <c r="AF6" s="182"/>
      <c r="AG6" s="182"/>
      <c r="AH6" s="182"/>
      <c r="AI6" s="182"/>
      <c r="AJ6" s="182"/>
      <c r="AK6" s="183"/>
      <c r="AL6" s="183"/>
      <c r="AM6" s="183"/>
      <c r="AN6" s="183"/>
    </row>
    <row r="7" spans="1:40" s="184" customFormat="1" ht="31" thickBot="1" x14ac:dyDescent="0.2">
      <c r="A7" s="178" t="s">
        <v>354</v>
      </c>
      <c r="B7" s="186" t="s">
        <v>2</v>
      </c>
      <c r="C7" s="191" t="s">
        <v>361</v>
      </c>
      <c r="D7" s="188" t="s">
        <v>366</v>
      </c>
      <c r="E7" s="181" t="s">
        <v>74</v>
      </c>
      <c r="F7" s="181" t="s">
        <v>75</v>
      </c>
      <c r="G7" s="181" t="s">
        <v>76</v>
      </c>
      <c r="H7" s="181" t="s">
        <v>77</v>
      </c>
      <c r="I7" s="181" t="s">
        <v>78</v>
      </c>
      <c r="J7" s="181" t="s">
        <v>79</v>
      </c>
      <c r="K7" s="181" t="s">
        <v>80</v>
      </c>
      <c r="L7" s="181" t="s">
        <v>81</v>
      </c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2"/>
      <c r="AE7" s="182"/>
      <c r="AF7" s="182"/>
      <c r="AG7" s="182"/>
      <c r="AH7" s="182"/>
      <c r="AI7" s="182"/>
      <c r="AJ7" s="182"/>
      <c r="AK7" s="183"/>
      <c r="AL7" s="183"/>
      <c r="AM7" s="183"/>
      <c r="AN7" s="183"/>
    </row>
    <row r="8" spans="1:40" ht="69" customHeight="1" thickBot="1" x14ac:dyDescent="0.2">
      <c r="A8" s="179" t="s">
        <v>355</v>
      </c>
      <c r="B8" s="185" t="s">
        <v>3</v>
      </c>
      <c r="C8" s="190" t="s">
        <v>361</v>
      </c>
      <c r="D8" s="193" t="s">
        <v>366</v>
      </c>
      <c r="E8" s="176" t="s">
        <v>82</v>
      </c>
      <c r="F8" s="176" t="s">
        <v>83</v>
      </c>
      <c r="G8" s="176" t="s">
        <v>84</v>
      </c>
      <c r="H8" s="176" t="s">
        <v>85</v>
      </c>
      <c r="I8" s="176" t="s">
        <v>86</v>
      </c>
      <c r="J8" s="176" t="s">
        <v>87</v>
      </c>
      <c r="K8" s="176" t="s">
        <v>88</v>
      </c>
      <c r="L8" s="176" t="s">
        <v>89</v>
      </c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7"/>
      <c r="AE8" s="177"/>
      <c r="AF8" s="177"/>
      <c r="AG8" s="177"/>
      <c r="AH8" s="177"/>
      <c r="AI8" s="177"/>
      <c r="AJ8" s="177"/>
      <c r="AK8" s="171"/>
      <c r="AL8" s="171"/>
      <c r="AM8" s="171"/>
      <c r="AN8" s="171"/>
    </row>
    <row r="9" spans="1:40" s="184" customFormat="1" ht="31" thickBot="1" x14ac:dyDescent="0.2">
      <c r="A9" s="178" t="s">
        <v>325</v>
      </c>
      <c r="B9" s="186" t="s">
        <v>4</v>
      </c>
      <c r="C9" s="191" t="s">
        <v>361</v>
      </c>
      <c r="D9" s="188" t="s">
        <v>366</v>
      </c>
      <c r="E9" s="181" t="s">
        <v>90</v>
      </c>
      <c r="F9" s="181" t="s">
        <v>91</v>
      </c>
      <c r="G9" s="181" t="s">
        <v>92</v>
      </c>
      <c r="H9" s="181" t="s">
        <v>93</v>
      </c>
      <c r="I9" s="181" t="s">
        <v>94</v>
      </c>
      <c r="J9" s="181" t="s">
        <v>95</v>
      </c>
      <c r="K9" s="181" t="s">
        <v>96</v>
      </c>
      <c r="L9" s="181" t="s">
        <v>97</v>
      </c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2"/>
      <c r="AE9" s="182"/>
      <c r="AF9" s="182"/>
      <c r="AG9" s="182"/>
      <c r="AH9" s="182"/>
      <c r="AI9" s="182"/>
      <c r="AJ9" s="182"/>
      <c r="AK9" s="183"/>
      <c r="AL9" s="183"/>
      <c r="AM9" s="183"/>
      <c r="AN9" s="183"/>
    </row>
    <row r="10" spans="1:40" ht="31" thickBot="1" x14ac:dyDescent="0.2">
      <c r="A10" s="179" t="s">
        <v>356</v>
      </c>
      <c r="B10" s="185" t="s">
        <v>5</v>
      </c>
      <c r="C10" s="190" t="s">
        <v>361</v>
      </c>
      <c r="D10" s="193" t="s">
        <v>366</v>
      </c>
      <c r="E10" s="176" t="s">
        <v>98</v>
      </c>
      <c r="F10" s="176" t="s">
        <v>99</v>
      </c>
      <c r="G10" s="176" t="s">
        <v>100</v>
      </c>
      <c r="H10" s="176" t="s">
        <v>101</v>
      </c>
      <c r="I10" s="176" t="s">
        <v>102</v>
      </c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7"/>
      <c r="AE10" s="177"/>
      <c r="AF10" s="177"/>
      <c r="AG10" s="177"/>
      <c r="AH10" s="177"/>
      <c r="AI10" s="177"/>
      <c r="AJ10" s="177"/>
      <c r="AK10" s="171"/>
      <c r="AL10" s="171"/>
      <c r="AM10" s="171"/>
      <c r="AN10" s="171"/>
    </row>
    <row r="11" spans="1:40" s="184" customFormat="1" ht="82" customHeight="1" thickBot="1" x14ac:dyDescent="0.2">
      <c r="A11" s="178" t="s">
        <v>357</v>
      </c>
      <c r="B11" s="186" t="s">
        <v>106</v>
      </c>
      <c r="C11" s="191" t="s">
        <v>361</v>
      </c>
      <c r="D11" s="188" t="s">
        <v>366</v>
      </c>
      <c r="E11" s="181" t="s">
        <v>22</v>
      </c>
      <c r="F11" s="181" t="s">
        <v>23</v>
      </c>
      <c r="G11" s="181" t="s">
        <v>24</v>
      </c>
      <c r="H11" s="181" t="s">
        <v>25</v>
      </c>
      <c r="I11" s="181" t="s">
        <v>26</v>
      </c>
      <c r="J11" s="181" t="s">
        <v>25</v>
      </c>
      <c r="K11" s="181" t="s">
        <v>27</v>
      </c>
      <c r="L11" s="181" t="s">
        <v>28</v>
      </c>
      <c r="M11" s="181" t="s">
        <v>29</v>
      </c>
      <c r="N11" s="181" t="s">
        <v>30</v>
      </c>
      <c r="O11" s="181" t="s">
        <v>31</v>
      </c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2"/>
      <c r="AE11" s="182"/>
      <c r="AF11" s="182"/>
      <c r="AG11" s="182"/>
      <c r="AH11" s="182"/>
      <c r="AI11" s="182"/>
      <c r="AJ11" s="182"/>
      <c r="AK11" s="183"/>
      <c r="AL11" s="183"/>
      <c r="AM11" s="183"/>
      <c r="AN11" s="183"/>
    </row>
    <row r="12" spans="1:40" ht="76" customHeight="1" thickBot="1" x14ac:dyDescent="0.2">
      <c r="A12" s="179" t="s">
        <v>359</v>
      </c>
      <c r="B12" s="185" t="s">
        <v>108</v>
      </c>
      <c r="C12" s="192" t="s">
        <v>367</v>
      </c>
      <c r="D12" s="194" t="s">
        <v>369</v>
      </c>
      <c r="E12" s="176" t="s">
        <v>42</v>
      </c>
      <c r="F12" s="176" t="s">
        <v>43</v>
      </c>
      <c r="G12" s="176" t="s">
        <v>44</v>
      </c>
      <c r="H12" s="176" t="s">
        <v>45</v>
      </c>
      <c r="I12" s="176" t="s">
        <v>46</v>
      </c>
      <c r="J12" s="176" t="s">
        <v>47</v>
      </c>
      <c r="K12" s="176" t="s">
        <v>48</v>
      </c>
      <c r="L12" s="176" t="s">
        <v>49</v>
      </c>
      <c r="M12" s="176" t="s">
        <v>50</v>
      </c>
      <c r="N12" s="176" t="s">
        <v>51</v>
      </c>
      <c r="O12" s="176" t="s">
        <v>52</v>
      </c>
      <c r="P12" s="176" t="s">
        <v>53</v>
      </c>
      <c r="Q12" s="176" t="s">
        <v>54</v>
      </c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7"/>
      <c r="AE12" s="177"/>
      <c r="AF12" s="177"/>
      <c r="AG12" s="177"/>
      <c r="AH12" s="177"/>
      <c r="AI12" s="177"/>
      <c r="AJ12" s="177"/>
      <c r="AK12" s="171"/>
      <c r="AL12" s="171"/>
      <c r="AM12" s="171"/>
      <c r="AN12" s="171"/>
    </row>
    <row r="13" spans="1:40" s="184" customFormat="1" ht="96" customHeight="1" thickBot="1" x14ac:dyDescent="0.2">
      <c r="A13" s="178" t="s">
        <v>358</v>
      </c>
      <c r="B13" s="186" t="s">
        <v>109</v>
      </c>
      <c r="C13" s="194" t="s">
        <v>148</v>
      </c>
      <c r="D13" s="194" t="s">
        <v>368</v>
      </c>
      <c r="E13" s="181" t="s">
        <v>55</v>
      </c>
      <c r="F13" s="181" t="s">
        <v>56</v>
      </c>
      <c r="G13" s="181" t="s">
        <v>57</v>
      </c>
      <c r="H13" s="181" t="s">
        <v>58</v>
      </c>
      <c r="I13" s="181" t="s">
        <v>59</v>
      </c>
      <c r="J13" s="181" t="s">
        <v>60</v>
      </c>
      <c r="K13" s="181" t="s">
        <v>61</v>
      </c>
      <c r="L13" s="181" t="s">
        <v>62</v>
      </c>
      <c r="M13" s="181" t="s">
        <v>63</v>
      </c>
      <c r="N13" s="181" t="s">
        <v>64</v>
      </c>
      <c r="O13" s="181" t="s">
        <v>65</v>
      </c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2"/>
      <c r="AE13" s="182"/>
      <c r="AF13" s="182"/>
      <c r="AG13" s="182"/>
      <c r="AH13" s="182"/>
      <c r="AI13" s="182"/>
      <c r="AJ13" s="182"/>
      <c r="AK13" s="183"/>
      <c r="AL13" s="183"/>
      <c r="AM13" s="183"/>
      <c r="AN13" s="183"/>
    </row>
    <row r="14" spans="1:40" s="184" customFormat="1" thickBot="1" x14ac:dyDescent="0.2">
      <c r="A14" s="197" t="s">
        <v>370</v>
      </c>
      <c r="B14" s="184" t="s">
        <v>371</v>
      </c>
      <c r="C14" s="195" t="s">
        <v>131</v>
      </c>
      <c r="D14" s="195" t="s">
        <v>366</v>
      </c>
      <c r="E14" s="183" t="s">
        <v>110</v>
      </c>
      <c r="F14" s="183" t="s">
        <v>111</v>
      </c>
      <c r="G14" s="199"/>
      <c r="H14" s="199"/>
      <c r="I14" s="199"/>
      <c r="J14" s="199"/>
      <c r="K14" s="200"/>
      <c r="L14" s="198"/>
      <c r="M14" s="198"/>
      <c r="N14" s="198"/>
      <c r="O14" s="198"/>
      <c r="P14" s="198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1704-0BF4-154A-A4DC-F23AD3375C16}">
  <sheetPr>
    <tabColor theme="4"/>
  </sheetPr>
  <dimension ref="A1:AS181"/>
  <sheetViews>
    <sheetView zoomScale="118" zoomScaleNormal="100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M24" sqref="M24"/>
    </sheetView>
  </sheetViews>
  <sheetFormatPr baseColWidth="10" defaultColWidth="11" defaultRowHeight="15" x14ac:dyDescent="0.2"/>
  <cols>
    <col min="1" max="1" width="11" style="2"/>
    <col min="2" max="2" width="10.5" style="2" customWidth="1"/>
    <col min="3" max="3" width="10" style="2" customWidth="1"/>
    <col min="4" max="4" width="5.83203125" style="3" customWidth="1"/>
    <col min="5" max="5" width="15" style="2" customWidth="1"/>
    <col min="6" max="6" width="10.5" style="3" customWidth="1"/>
    <col min="7" max="7" width="9.1640625" style="165" customWidth="1"/>
    <col min="8" max="8" width="6" style="70" customWidth="1"/>
    <col min="9" max="10" width="8.83203125" style="3" customWidth="1"/>
    <col min="11" max="11" width="9.1640625" style="3" customWidth="1"/>
    <col min="12" max="12" width="33.6640625" style="3" customWidth="1"/>
    <col min="13" max="13" width="11" style="3"/>
    <col min="14" max="14" width="7" style="11" customWidth="1"/>
    <col min="15" max="15" width="7" style="3" customWidth="1"/>
    <col min="16" max="16" width="7.6640625" style="3" customWidth="1"/>
    <col min="17" max="17" width="12.1640625" style="12" customWidth="1"/>
    <col min="18" max="18" width="25.33203125" style="3" bestFit="1" customWidth="1"/>
    <col min="19" max="20" width="11.5" style="3" customWidth="1"/>
    <col min="21" max="21" width="10.6640625" style="11" customWidth="1"/>
    <col min="22" max="23" width="11" style="3"/>
    <col min="24" max="24" width="11" style="12"/>
    <col min="25" max="25" width="13.83203125" style="3" customWidth="1"/>
    <col min="26" max="26" width="11" style="3" customWidth="1"/>
    <col min="27" max="27" width="11" style="69" customWidth="1"/>
    <col min="28" max="28" width="6.33203125" style="110" customWidth="1"/>
    <col min="29" max="29" width="7.1640625" style="110" customWidth="1"/>
    <col min="30" max="30" width="7.83203125" style="110" customWidth="1"/>
    <col min="31" max="31" width="7" style="113" customWidth="1"/>
    <col min="32" max="32" width="6.33203125" style="110" customWidth="1"/>
    <col min="33" max="33" width="7" style="110" customWidth="1"/>
    <col min="34" max="34" width="5.6640625" style="110" customWidth="1"/>
    <col min="35" max="35" width="5" style="110" customWidth="1"/>
    <col min="36" max="36" width="4.6640625" style="110" customWidth="1"/>
    <col min="37" max="37" width="12.33203125" style="110" customWidth="1"/>
    <col min="38" max="38" width="9.1640625" style="110" customWidth="1"/>
    <col min="39" max="39" width="11.83203125" style="110" customWidth="1"/>
    <col min="40" max="40" width="8.1640625" style="113" customWidth="1"/>
    <col min="41" max="41" width="17" style="110" customWidth="1"/>
    <col min="42" max="42" width="10.33203125" style="110" customWidth="1"/>
    <col min="43" max="43" width="10.1640625" style="110" customWidth="1"/>
    <col min="44" max="44" width="13.33203125" style="110" customWidth="1"/>
    <col min="45" max="45" width="12.1640625" style="111" customWidth="1"/>
    <col min="46" max="16384" width="11" style="3"/>
  </cols>
  <sheetData>
    <row r="1" spans="1:45" s="4" customFormat="1" ht="16" customHeight="1" thickBot="1" x14ac:dyDescent="0.25">
      <c r="A1" s="7" t="s">
        <v>6</v>
      </c>
      <c r="B1" s="115" t="s">
        <v>187</v>
      </c>
      <c r="C1" s="115" t="s">
        <v>188</v>
      </c>
      <c r="D1" s="8" t="s">
        <v>215</v>
      </c>
      <c r="E1" s="115" t="s">
        <v>190</v>
      </c>
      <c r="F1" s="8" t="s">
        <v>241</v>
      </c>
      <c r="G1" s="157" t="s">
        <v>235</v>
      </c>
      <c r="H1" s="116" t="s">
        <v>217</v>
      </c>
      <c r="I1" s="8" t="s">
        <v>7</v>
      </c>
      <c r="J1" s="8" t="s">
        <v>216</v>
      </c>
      <c r="K1" s="8" t="s">
        <v>218</v>
      </c>
      <c r="L1" s="8" t="s">
        <v>298</v>
      </c>
      <c r="M1" s="8" t="s">
        <v>326</v>
      </c>
      <c r="N1" s="101" t="s">
        <v>242</v>
      </c>
      <c r="O1" s="101" t="s">
        <v>243</v>
      </c>
      <c r="P1" s="102" t="s">
        <v>119</v>
      </c>
      <c r="Q1" s="103" t="s">
        <v>120</v>
      </c>
      <c r="R1" s="8" t="s">
        <v>219</v>
      </c>
      <c r="S1" s="8" t="s">
        <v>324</v>
      </c>
      <c r="T1" s="8" t="s">
        <v>323</v>
      </c>
      <c r="U1" s="117" t="s">
        <v>233</v>
      </c>
      <c r="V1" s="118" t="s">
        <v>121</v>
      </c>
      <c r="W1" s="118" t="s">
        <v>234</v>
      </c>
      <c r="X1" s="119" t="s">
        <v>122</v>
      </c>
      <c r="Y1" s="8" t="s">
        <v>191</v>
      </c>
      <c r="Z1" s="8" t="s">
        <v>192</v>
      </c>
      <c r="AA1" s="120" t="s">
        <v>230</v>
      </c>
      <c r="AB1" s="104" t="s">
        <v>316</v>
      </c>
      <c r="AC1" s="104" t="s">
        <v>317</v>
      </c>
      <c r="AD1" s="104" t="s">
        <v>318</v>
      </c>
      <c r="AE1" s="113" t="s">
        <v>302</v>
      </c>
      <c r="AF1" s="104" t="s">
        <v>315</v>
      </c>
      <c r="AG1" s="104" t="s">
        <v>319</v>
      </c>
      <c r="AH1" s="104" t="s">
        <v>320</v>
      </c>
      <c r="AI1" s="104" t="s">
        <v>321</v>
      </c>
      <c r="AJ1" s="104" t="s">
        <v>322</v>
      </c>
      <c r="AK1" s="104" t="s">
        <v>299</v>
      </c>
      <c r="AL1" s="104" t="s">
        <v>300</v>
      </c>
      <c r="AM1" s="104" t="s">
        <v>301</v>
      </c>
      <c r="AN1" s="113" t="s">
        <v>314</v>
      </c>
      <c r="AO1" s="104" t="s">
        <v>303</v>
      </c>
      <c r="AP1" s="104" t="s">
        <v>304</v>
      </c>
      <c r="AQ1" s="104" t="s">
        <v>305</v>
      </c>
      <c r="AR1" s="104" t="s">
        <v>306</v>
      </c>
      <c r="AS1" s="105" t="s">
        <v>313</v>
      </c>
    </row>
    <row r="2" spans="1:45" s="8" customFormat="1" ht="17" thickBot="1" x14ac:dyDescent="0.25">
      <c r="A2" s="13">
        <v>101</v>
      </c>
      <c r="B2" s="13">
        <v>1</v>
      </c>
      <c r="C2" s="13" t="s">
        <v>104</v>
      </c>
      <c r="D2" s="121" t="s">
        <v>0</v>
      </c>
      <c r="E2" s="13">
        <v>1</v>
      </c>
      <c r="F2" s="121">
        <v>1</v>
      </c>
      <c r="G2" s="158">
        <v>10</v>
      </c>
      <c r="H2" s="122">
        <v>1</v>
      </c>
      <c r="I2" s="121">
        <v>27</v>
      </c>
      <c r="J2" s="121">
        <v>1</v>
      </c>
      <c r="K2" s="121" t="s">
        <v>150</v>
      </c>
      <c r="L2" s="123" t="s">
        <v>151</v>
      </c>
      <c r="M2" s="123" t="s">
        <v>327</v>
      </c>
      <c r="N2" s="17" t="s">
        <v>244</v>
      </c>
      <c r="O2" s="17" t="s">
        <v>245</v>
      </c>
      <c r="P2" s="17" t="s">
        <v>246</v>
      </c>
      <c r="Q2" s="17">
        <f>IF(N2="NaN","NaN",(P2/((N2*12)+O2)^2)*703)</f>
        <v>22.496000000000002</v>
      </c>
      <c r="R2" s="17" t="s">
        <v>292</v>
      </c>
      <c r="S2" s="17">
        <v>110</v>
      </c>
      <c r="T2" s="17">
        <v>110</v>
      </c>
      <c r="U2" s="11">
        <v>1</v>
      </c>
      <c r="V2" s="3" t="s">
        <v>155</v>
      </c>
      <c r="W2" s="3">
        <v>1</v>
      </c>
      <c r="X2" s="12" t="s">
        <v>221</v>
      </c>
      <c r="Y2" s="3">
        <v>3</v>
      </c>
      <c r="Z2" s="3">
        <v>5</v>
      </c>
      <c r="AA2" s="69">
        <v>4</v>
      </c>
      <c r="AB2" s="107"/>
      <c r="AC2" s="107"/>
      <c r="AD2" s="107"/>
      <c r="AE2" s="114"/>
      <c r="AF2" s="107"/>
      <c r="AG2" s="107"/>
      <c r="AH2" s="107"/>
      <c r="AI2" s="107"/>
      <c r="AJ2" s="107"/>
      <c r="AK2" s="107" t="s">
        <v>307</v>
      </c>
      <c r="AL2" s="107" t="s">
        <v>307</v>
      </c>
      <c r="AM2" s="107" t="s">
        <v>307</v>
      </c>
      <c r="AN2" s="114"/>
      <c r="AO2" s="107" t="s">
        <v>307</v>
      </c>
      <c r="AP2" s="107" t="s">
        <v>307</v>
      </c>
      <c r="AQ2" s="107" t="s">
        <v>307</v>
      </c>
      <c r="AR2" s="107" t="s">
        <v>307</v>
      </c>
      <c r="AS2" s="108" t="s">
        <v>307</v>
      </c>
    </row>
    <row r="3" spans="1:45" ht="16" x14ac:dyDescent="0.2">
      <c r="A3" s="13">
        <v>102</v>
      </c>
      <c r="B3" s="13">
        <v>-1</v>
      </c>
      <c r="C3" s="13" t="s">
        <v>103</v>
      </c>
      <c r="D3" s="124" t="s">
        <v>152</v>
      </c>
      <c r="E3" s="13">
        <v>1</v>
      </c>
      <c r="F3" s="124">
        <v>1</v>
      </c>
      <c r="G3" s="158">
        <v>20</v>
      </c>
      <c r="H3" s="152">
        <v>2</v>
      </c>
      <c r="I3" s="153">
        <v>55</v>
      </c>
      <c r="J3" s="124"/>
      <c r="K3" s="124" t="s">
        <v>153</v>
      </c>
      <c r="L3" s="125" t="s">
        <v>151</v>
      </c>
      <c r="M3" s="123" t="s">
        <v>327</v>
      </c>
      <c r="N3" s="17" t="s">
        <v>247</v>
      </c>
      <c r="O3" s="17" t="s">
        <v>248</v>
      </c>
      <c r="P3" s="17" t="s">
        <v>249</v>
      </c>
      <c r="Q3" s="17">
        <f t="shared" ref="Q3:Q62" si="0">IF(N3="NaN","NaN",(P3/((N3*12)+O3)^2)*703)</f>
        <v>27.338888888888889</v>
      </c>
      <c r="R3" s="17" t="s">
        <v>293</v>
      </c>
      <c r="S3" s="17">
        <v>95</v>
      </c>
      <c r="T3" s="17">
        <v>95</v>
      </c>
      <c r="U3" s="11">
        <v>1</v>
      </c>
      <c r="V3" s="3" t="s">
        <v>155</v>
      </c>
      <c r="W3" s="3">
        <v>-1</v>
      </c>
      <c r="X3" s="12" t="s">
        <v>155</v>
      </c>
      <c r="Y3">
        <v>7</v>
      </c>
      <c r="Z3">
        <v>0</v>
      </c>
      <c r="AA3" s="69">
        <v>7</v>
      </c>
      <c r="AB3" s="107"/>
      <c r="AC3" s="107"/>
      <c r="AD3" s="107"/>
      <c r="AE3" s="114"/>
      <c r="AF3" s="107"/>
      <c r="AG3" s="107"/>
      <c r="AH3" s="107"/>
      <c r="AI3" s="107"/>
      <c r="AJ3" s="107"/>
      <c r="AK3" s="107" t="s">
        <v>307</v>
      </c>
      <c r="AL3" s="107" t="s">
        <v>307</v>
      </c>
      <c r="AM3" s="107" t="s">
        <v>307</v>
      </c>
      <c r="AN3" s="114" t="s">
        <v>307</v>
      </c>
      <c r="AO3" s="107" t="s">
        <v>307</v>
      </c>
      <c r="AP3" s="107" t="s">
        <v>307</v>
      </c>
      <c r="AQ3" s="107" t="s">
        <v>307</v>
      </c>
      <c r="AR3" s="107" t="s">
        <v>307</v>
      </c>
      <c r="AS3" s="108" t="s">
        <v>307</v>
      </c>
    </row>
    <row r="4" spans="1:45" ht="16" x14ac:dyDescent="0.2">
      <c r="A4" s="14">
        <v>103</v>
      </c>
      <c r="B4" s="14">
        <v>-1</v>
      </c>
      <c r="C4" s="14" t="s">
        <v>103</v>
      </c>
      <c r="D4" s="124" t="s">
        <v>152</v>
      </c>
      <c r="E4" s="14">
        <v>0</v>
      </c>
      <c r="F4" s="124">
        <v>1</v>
      </c>
      <c r="G4" s="158">
        <v>10</v>
      </c>
      <c r="H4" s="126">
        <v>2</v>
      </c>
      <c r="I4" s="124">
        <v>35</v>
      </c>
      <c r="J4" s="124"/>
      <c r="K4" s="123"/>
      <c r="L4" s="127" t="s">
        <v>154</v>
      </c>
      <c r="M4" s="123" t="s">
        <v>327</v>
      </c>
      <c r="N4" s="17" t="s">
        <v>247</v>
      </c>
      <c r="O4" s="17" t="s">
        <v>247</v>
      </c>
      <c r="P4" s="17" t="s">
        <v>250</v>
      </c>
      <c r="Q4" s="17">
        <f t="shared" si="0"/>
        <v>35.607573964497043</v>
      </c>
      <c r="R4" s="17" t="s">
        <v>293</v>
      </c>
      <c r="S4" s="17">
        <v>60</v>
      </c>
      <c r="T4" s="17">
        <v>60</v>
      </c>
      <c r="U4" s="11" t="s">
        <v>155</v>
      </c>
      <c r="V4" s="3" t="s">
        <v>155</v>
      </c>
      <c r="W4" s="3" t="s">
        <v>155</v>
      </c>
      <c r="X4" s="12" t="s">
        <v>155</v>
      </c>
      <c r="Y4" t="s">
        <v>155</v>
      </c>
      <c r="Z4" t="s">
        <v>155</v>
      </c>
      <c r="AA4" s="69">
        <v>7</v>
      </c>
      <c r="AB4" s="107"/>
      <c r="AC4" s="107"/>
      <c r="AD4" s="107"/>
      <c r="AE4" s="114"/>
      <c r="AF4" s="107"/>
      <c r="AG4" s="107"/>
      <c r="AH4" s="107"/>
      <c r="AI4" s="107"/>
      <c r="AJ4" s="107"/>
      <c r="AK4" s="107" t="s">
        <v>307</v>
      </c>
      <c r="AL4" s="107" t="s">
        <v>307</v>
      </c>
      <c r="AM4" s="107" t="s">
        <v>307</v>
      </c>
      <c r="AN4" s="114" t="s">
        <v>307</v>
      </c>
      <c r="AO4" s="107" t="s">
        <v>307</v>
      </c>
      <c r="AP4" s="107" t="s">
        <v>307</v>
      </c>
      <c r="AQ4" s="107" t="s">
        <v>307</v>
      </c>
      <c r="AR4" s="107" t="s">
        <v>307</v>
      </c>
      <c r="AS4" s="108" t="s">
        <v>307</v>
      </c>
    </row>
    <row r="5" spans="1:45" ht="16" x14ac:dyDescent="0.2">
      <c r="A5" s="13">
        <v>104</v>
      </c>
      <c r="B5" s="13">
        <v>-1</v>
      </c>
      <c r="C5" s="13" t="s">
        <v>103</v>
      </c>
      <c r="D5" s="123" t="s">
        <v>0</v>
      </c>
      <c r="E5" s="13">
        <v>1</v>
      </c>
      <c r="F5" s="123">
        <v>1</v>
      </c>
      <c r="G5" s="158">
        <v>1</v>
      </c>
      <c r="H5" s="143">
        <v>1</v>
      </c>
      <c r="I5" s="145">
        <v>34</v>
      </c>
      <c r="J5" s="123">
        <v>1</v>
      </c>
      <c r="K5" s="123" t="s">
        <v>150</v>
      </c>
      <c r="L5" s="123" t="s">
        <v>151</v>
      </c>
      <c r="M5" s="155" t="s">
        <v>329</v>
      </c>
      <c r="N5" s="17" t="s">
        <v>155</v>
      </c>
      <c r="O5" s="17" t="s">
        <v>155</v>
      </c>
      <c r="P5" s="17" t="s">
        <v>155</v>
      </c>
      <c r="Q5" s="17" t="str">
        <f t="shared" si="0"/>
        <v>NaN</v>
      </c>
      <c r="R5" s="17" t="s">
        <v>155</v>
      </c>
      <c r="S5" s="17" t="s">
        <v>155</v>
      </c>
      <c r="T5" s="17" t="s">
        <v>155</v>
      </c>
      <c r="U5" s="11">
        <v>1</v>
      </c>
      <c r="V5" s="3" t="s">
        <v>155</v>
      </c>
      <c r="W5" s="3">
        <v>-1</v>
      </c>
      <c r="X5" s="12" t="s">
        <v>155</v>
      </c>
      <c r="Y5">
        <v>7</v>
      </c>
      <c r="Z5">
        <v>0</v>
      </c>
      <c r="AA5" s="69">
        <v>7</v>
      </c>
      <c r="AB5" s="107"/>
      <c r="AC5" s="107"/>
      <c r="AD5" s="107"/>
      <c r="AE5" s="114"/>
      <c r="AF5" s="107"/>
      <c r="AG5" s="107"/>
      <c r="AH5" s="107"/>
      <c r="AI5" s="107"/>
      <c r="AJ5" s="107"/>
      <c r="AK5" s="107" t="s">
        <v>307</v>
      </c>
      <c r="AL5" s="107" t="s">
        <v>307</v>
      </c>
      <c r="AM5" s="107" t="s">
        <v>307</v>
      </c>
      <c r="AN5" s="114" t="s">
        <v>307</v>
      </c>
      <c r="AO5" s="107" t="s">
        <v>307</v>
      </c>
      <c r="AP5" s="107" t="s">
        <v>307</v>
      </c>
      <c r="AQ5" s="107" t="s">
        <v>307</v>
      </c>
      <c r="AR5" s="107" t="s">
        <v>307</v>
      </c>
      <c r="AS5" s="108" t="s">
        <v>307</v>
      </c>
    </row>
    <row r="6" spans="1:45" ht="16" x14ac:dyDescent="0.2">
      <c r="A6" s="13">
        <v>105</v>
      </c>
      <c r="B6" s="13">
        <v>-1</v>
      </c>
      <c r="C6" s="13" t="s">
        <v>103</v>
      </c>
      <c r="D6" s="124" t="s">
        <v>152</v>
      </c>
      <c r="E6" s="13">
        <v>1</v>
      </c>
      <c r="F6" s="121">
        <v>1</v>
      </c>
      <c r="G6" s="158">
        <v>10</v>
      </c>
      <c r="H6" s="143">
        <v>2</v>
      </c>
      <c r="I6" s="144">
        <v>24</v>
      </c>
      <c r="J6" s="124"/>
      <c r="K6" s="124" t="s">
        <v>153</v>
      </c>
      <c r="L6" s="123" t="s">
        <v>151</v>
      </c>
      <c r="M6" s="123" t="s">
        <v>327</v>
      </c>
      <c r="N6" s="17" t="s">
        <v>247</v>
      </c>
      <c r="O6" s="17" t="s">
        <v>244</v>
      </c>
      <c r="P6" s="17" t="s">
        <v>249</v>
      </c>
      <c r="Q6" s="17">
        <f t="shared" si="0"/>
        <v>22.594123048668507</v>
      </c>
      <c r="R6" s="17" t="s">
        <v>292</v>
      </c>
      <c r="S6" s="17">
        <v>55</v>
      </c>
      <c r="T6" s="17">
        <v>55</v>
      </c>
      <c r="U6" s="11">
        <v>1</v>
      </c>
      <c r="V6" s="3" t="s">
        <v>155</v>
      </c>
      <c r="W6" s="3">
        <v>-1</v>
      </c>
      <c r="X6" s="12" t="s">
        <v>155</v>
      </c>
      <c r="Y6">
        <v>7</v>
      </c>
      <c r="Z6">
        <v>1</v>
      </c>
      <c r="AA6" s="69">
        <v>7</v>
      </c>
      <c r="AB6" s="107"/>
      <c r="AC6" s="107"/>
      <c r="AD6" s="107"/>
      <c r="AE6" s="114"/>
      <c r="AF6" s="107"/>
      <c r="AG6" s="107"/>
      <c r="AH6" s="107"/>
      <c r="AI6" s="107"/>
      <c r="AJ6" s="107"/>
      <c r="AK6" s="107" t="s">
        <v>307</v>
      </c>
      <c r="AL6" s="107" t="s">
        <v>307</v>
      </c>
      <c r="AM6" s="107" t="s">
        <v>307</v>
      </c>
      <c r="AN6" s="114" t="s">
        <v>307</v>
      </c>
      <c r="AO6" s="107" t="s">
        <v>307</v>
      </c>
      <c r="AP6" s="107" t="s">
        <v>307</v>
      </c>
      <c r="AQ6" s="107" t="s">
        <v>307</v>
      </c>
      <c r="AR6" s="107" t="s">
        <v>307</v>
      </c>
      <c r="AS6" s="108" t="s">
        <v>307</v>
      </c>
    </row>
    <row r="7" spans="1:45" ht="16" x14ac:dyDescent="0.2">
      <c r="A7" s="13">
        <v>106</v>
      </c>
      <c r="B7" s="13">
        <v>1</v>
      </c>
      <c r="C7" s="13" t="s">
        <v>104</v>
      </c>
      <c r="D7" s="123" t="s">
        <v>152</v>
      </c>
      <c r="E7" s="13">
        <v>1</v>
      </c>
      <c r="F7" s="124">
        <v>1</v>
      </c>
      <c r="G7" s="158">
        <v>10</v>
      </c>
      <c r="H7" s="122">
        <v>2</v>
      </c>
      <c r="I7" s="123">
        <v>51</v>
      </c>
      <c r="J7" s="123">
        <v>1</v>
      </c>
      <c r="K7" s="123" t="s">
        <v>150</v>
      </c>
      <c r="L7" s="123" t="s">
        <v>151</v>
      </c>
      <c r="M7" s="123" t="s">
        <v>327</v>
      </c>
      <c r="N7" s="17" t="s">
        <v>247</v>
      </c>
      <c r="O7" s="17" t="s">
        <v>245</v>
      </c>
      <c r="P7" s="17" t="s">
        <v>251</v>
      </c>
      <c r="Q7" s="17">
        <f t="shared" si="0"/>
        <v>34.538926681783821</v>
      </c>
      <c r="R7" s="17" t="s">
        <v>292</v>
      </c>
      <c r="S7" s="17">
        <v>77</v>
      </c>
      <c r="T7" s="17">
        <v>77</v>
      </c>
      <c r="U7" s="11">
        <v>4</v>
      </c>
      <c r="V7" s="3" t="s">
        <v>155</v>
      </c>
      <c r="W7" s="3">
        <v>-1</v>
      </c>
      <c r="X7" s="12" t="s">
        <v>155</v>
      </c>
      <c r="Y7" s="3">
        <v>7</v>
      </c>
      <c r="Z7" s="3">
        <v>7</v>
      </c>
      <c r="AA7" s="69">
        <v>4</v>
      </c>
      <c r="AB7" s="107"/>
      <c r="AC7" s="107"/>
      <c r="AD7" s="107"/>
      <c r="AE7" s="114"/>
      <c r="AF7" s="107"/>
      <c r="AG7" s="107"/>
      <c r="AH7" s="107"/>
      <c r="AI7" s="107"/>
      <c r="AJ7" s="107"/>
      <c r="AK7" s="107" t="s">
        <v>307</v>
      </c>
      <c r="AL7" s="107" t="s">
        <v>307</v>
      </c>
      <c r="AM7" s="107" t="s">
        <v>307</v>
      </c>
      <c r="AN7" s="114" t="s">
        <v>307</v>
      </c>
      <c r="AO7" s="107" t="s">
        <v>307</v>
      </c>
      <c r="AP7" s="107" t="s">
        <v>307</v>
      </c>
      <c r="AQ7" s="107" t="s">
        <v>307</v>
      </c>
      <c r="AR7" s="107" t="s">
        <v>307</v>
      </c>
      <c r="AS7" s="108" t="s">
        <v>307</v>
      </c>
    </row>
    <row r="8" spans="1:45" ht="16" x14ac:dyDescent="0.2">
      <c r="A8" s="13">
        <v>107</v>
      </c>
      <c r="B8" s="13">
        <v>1</v>
      </c>
      <c r="C8" s="13" t="s">
        <v>104</v>
      </c>
      <c r="D8" s="123" t="s">
        <v>0</v>
      </c>
      <c r="E8" s="13">
        <v>1</v>
      </c>
      <c r="F8" s="124">
        <v>1</v>
      </c>
      <c r="G8" s="158">
        <v>22</v>
      </c>
      <c r="H8" s="122">
        <v>1</v>
      </c>
      <c r="I8" s="123">
        <v>32</v>
      </c>
      <c r="J8" s="123">
        <v>1</v>
      </c>
      <c r="K8" s="123" t="s">
        <v>150</v>
      </c>
      <c r="L8" s="123" t="s">
        <v>151</v>
      </c>
      <c r="M8" s="123" t="s">
        <v>327</v>
      </c>
      <c r="N8" s="17" t="s">
        <v>244</v>
      </c>
      <c r="O8" s="17" t="s">
        <v>245</v>
      </c>
      <c r="P8" s="17" t="s">
        <v>252</v>
      </c>
      <c r="Q8" s="17">
        <f t="shared" si="0"/>
        <v>29.369777777777777</v>
      </c>
      <c r="R8" s="17" t="s">
        <v>292</v>
      </c>
      <c r="S8" s="17">
        <v>99</v>
      </c>
      <c r="T8" s="17">
        <v>99</v>
      </c>
      <c r="U8" s="11">
        <v>1</v>
      </c>
      <c r="V8" s="3" t="s">
        <v>155</v>
      </c>
      <c r="W8" s="3">
        <v>-1</v>
      </c>
      <c r="X8" s="12" t="s">
        <v>155</v>
      </c>
      <c r="Y8" s="3">
        <v>6</v>
      </c>
      <c r="Z8" s="3">
        <v>1</v>
      </c>
      <c r="AA8" s="69">
        <v>4</v>
      </c>
      <c r="AB8" s="107"/>
      <c r="AC8" s="107"/>
      <c r="AD8" s="107"/>
      <c r="AE8" s="114"/>
      <c r="AF8" s="107"/>
      <c r="AG8" s="107"/>
      <c r="AH8" s="107"/>
      <c r="AI8" s="107"/>
      <c r="AJ8" s="107"/>
      <c r="AK8" s="107" t="s">
        <v>307</v>
      </c>
      <c r="AL8" s="107" t="s">
        <v>307</v>
      </c>
      <c r="AM8" s="107" t="s">
        <v>307</v>
      </c>
      <c r="AN8" s="114" t="s">
        <v>307</v>
      </c>
      <c r="AO8" s="107" t="s">
        <v>307</v>
      </c>
      <c r="AP8" s="107" t="s">
        <v>307</v>
      </c>
      <c r="AQ8" s="107" t="s">
        <v>307</v>
      </c>
      <c r="AR8" s="107" t="s">
        <v>307</v>
      </c>
      <c r="AS8" s="108" t="s">
        <v>307</v>
      </c>
    </row>
    <row r="9" spans="1:45" ht="17" thickBot="1" x14ac:dyDescent="0.25">
      <c r="A9" s="13">
        <v>108</v>
      </c>
      <c r="B9" s="13">
        <v>-1</v>
      </c>
      <c r="C9" s="13" t="s">
        <v>103</v>
      </c>
      <c r="D9" s="124" t="s">
        <v>0</v>
      </c>
      <c r="E9" s="13">
        <v>1</v>
      </c>
      <c r="F9" s="123">
        <v>1</v>
      </c>
      <c r="G9" s="158">
        <v>5</v>
      </c>
      <c r="H9" s="143">
        <v>1</v>
      </c>
      <c r="I9" s="144">
        <v>31</v>
      </c>
      <c r="J9" s="124">
        <v>1</v>
      </c>
      <c r="K9" s="123" t="s">
        <v>150</v>
      </c>
      <c r="L9" s="123" t="s">
        <v>151</v>
      </c>
      <c r="M9" s="123" t="s">
        <v>327</v>
      </c>
      <c r="N9" s="17" t="s">
        <v>247</v>
      </c>
      <c r="O9" s="17" t="s">
        <v>253</v>
      </c>
      <c r="P9" s="17" t="s">
        <v>254</v>
      </c>
      <c r="Q9" s="17">
        <f t="shared" si="0"/>
        <v>28.126081314878896</v>
      </c>
      <c r="R9" s="17" t="s">
        <v>294</v>
      </c>
      <c r="S9" s="17">
        <v>50</v>
      </c>
      <c r="T9" s="17">
        <v>50</v>
      </c>
      <c r="U9" s="11" t="s">
        <v>155</v>
      </c>
      <c r="V9" s="3" t="s">
        <v>155</v>
      </c>
      <c r="W9" s="3">
        <v>-1</v>
      </c>
      <c r="X9" s="12" t="s">
        <v>155</v>
      </c>
      <c r="Y9" t="s">
        <v>155</v>
      </c>
      <c r="Z9" t="s">
        <v>155</v>
      </c>
      <c r="AA9" s="69">
        <v>7</v>
      </c>
      <c r="AB9" s="107"/>
      <c r="AC9" s="107"/>
      <c r="AD9" s="107"/>
      <c r="AE9" s="114"/>
      <c r="AF9" s="107"/>
      <c r="AG9" s="107"/>
      <c r="AH9" s="107"/>
      <c r="AJ9" s="107"/>
      <c r="AK9" s="107" t="s">
        <v>307</v>
      </c>
      <c r="AL9" s="107" t="s">
        <v>307</v>
      </c>
      <c r="AM9" s="107" t="s">
        <v>307</v>
      </c>
      <c r="AN9" s="114" t="s">
        <v>307</v>
      </c>
      <c r="AO9" s="107" t="s">
        <v>307</v>
      </c>
      <c r="AP9" s="107" t="s">
        <v>307</v>
      </c>
      <c r="AQ9" s="107" t="s">
        <v>307</v>
      </c>
      <c r="AR9" s="107" t="s">
        <v>307</v>
      </c>
      <c r="AS9" s="108" t="s">
        <v>307</v>
      </c>
    </row>
    <row r="10" spans="1:45" ht="17" thickBot="1" x14ac:dyDescent="0.25">
      <c r="A10" s="13">
        <v>109</v>
      </c>
      <c r="B10" s="13">
        <v>-1</v>
      </c>
      <c r="C10" s="13" t="s">
        <v>103</v>
      </c>
      <c r="D10" s="124" t="s">
        <v>152</v>
      </c>
      <c r="E10" s="13">
        <v>1</v>
      </c>
      <c r="F10" s="121">
        <v>1</v>
      </c>
      <c r="G10" s="159">
        <v>15</v>
      </c>
      <c r="H10" s="122">
        <v>2</v>
      </c>
      <c r="I10" s="124">
        <v>34</v>
      </c>
      <c r="J10" s="124">
        <v>1</v>
      </c>
      <c r="K10" s="123" t="s">
        <v>150</v>
      </c>
      <c r="L10" s="123" t="s">
        <v>151</v>
      </c>
      <c r="M10" s="123" t="s">
        <v>327</v>
      </c>
      <c r="N10" s="17" t="s">
        <v>247</v>
      </c>
      <c r="O10" s="17" t="s">
        <v>253</v>
      </c>
      <c r="P10" s="17" t="s">
        <v>255</v>
      </c>
      <c r="Q10" s="17">
        <f t="shared" si="0"/>
        <v>26.605752595155707</v>
      </c>
      <c r="R10" s="17" t="s">
        <v>293</v>
      </c>
      <c r="S10" s="17">
        <v>60</v>
      </c>
      <c r="T10" s="17">
        <v>60</v>
      </c>
      <c r="U10" s="11">
        <v>1</v>
      </c>
      <c r="V10" s="3" t="s">
        <v>155</v>
      </c>
      <c r="W10" s="3">
        <v>1</v>
      </c>
      <c r="X10" s="12" t="s">
        <v>222</v>
      </c>
      <c r="Y10" t="s">
        <v>155</v>
      </c>
      <c r="Z10" t="s">
        <v>155</v>
      </c>
      <c r="AA10" s="69">
        <v>7</v>
      </c>
      <c r="AB10" s="106"/>
      <c r="AC10" s="107"/>
      <c r="AD10" s="107"/>
      <c r="AE10" s="114"/>
      <c r="AF10" s="107"/>
      <c r="AG10" s="107"/>
      <c r="AH10" s="107"/>
      <c r="AI10" s="107"/>
      <c r="AJ10" s="107"/>
      <c r="AK10" s="109"/>
      <c r="AL10" s="107"/>
      <c r="AM10" s="107"/>
      <c r="AN10" s="114"/>
      <c r="AO10" s="107"/>
      <c r="AP10" s="107"/>
      <c r="AQ10" s="107"/>
      <c r="AR10" s="107"/>
      <c r="AS10" s="108"/>
    </row>
    <row r="11" spans="1:45" ht="16" x14ac:dyDescent="0.2">
      <c r="A11" s="13">
        <v>110</v>
      </c>
      <c r="B11" s="13">
        <v>-1</v>
      </c>
      <c r="C11" s="13" t="s">
        <v>103</v>
      </c>
      <c r="D11" s="124" t="s">
        <v>0</v>
      </c>
      <c r="E11" s="13">
        <v>1</v>
      </c>
      <c r="F11" s="124">
        <v>1</v>
      </c>
      <c r="G11" s="158">
        <v>0.75</v>
      </c>
      <c r="H11" s="143">
        <v>1</v>
      </c>
      <c r="I11" s="144">
        <v>30</v>
      </c>
      <c r="J11" s="124">
        <v>1</v>
      </c>
      <c r="K11" s="123" t="s">
        <v>150</v>
      </c>
      <c r="L11" s="123" t="s">
        <v>151</v>
      </c>
      <c r="M11" s="123" t="s">
        <v>327</v>
      </c>
      <c r="N11" s="17" t="s">
        <v>247</v>
      </c>
      <c r="O11" s="17" t="s">
        <v>256</v>
      </c>
      <c r="P11" s="17" t="s">
        <v>257</v>
      </c>
      <c r="Q11" s="17">
        <f t="shared" si="0"/>
        <v>23.034656584751101</v>
      </c>
      <c r="R11" s="17" t="s">
        <v>292</v>
      </c>
      <c r="S11" s="17">
        <v>59</v>
      </c>
      <c r="T11" s="17">
        <v>59</v>
      </c>
      <c r="U11" s="11">
        <v>1</v>
      </c>
      <c r="V11" s="3" t="s">
        <v>155</v>
      </c>
      <c r="W11" s="3">
        <v>-1</v>
      </c>
      <c r="X11" s="12" t="s">
        <v>155</v>
      </c>
      <c r="Y11">
        <v>5</v>
      </c>
      <c r="Z11">
        <v>4</v>
      </c>
      <c r="AA11" s="69">
        <v>7</v>
      </c>
      <c r="AB11" s="107"/>
      <c r="AC11" s="107"/>
      <c r="AD11" s="107"/>
      <c r="AE11" s="114"/>
      <c r="AF11" s="107"/>
      <c r="AG11" s="107"/>
      <c r="AH11" s="107"/>
      <c r="AI11" s="107"/>
      <c r="AJ11" s="107"/>
      <c r="AK11" s="107" t="s">
        <v>307</v>
      </c>
      <c r="AL11" s="107" t="s">
        <v>307</v>
      </c>
      <c r="AM11" s="107" t="s">
        <v>307</v>
      </c>
      <c r="AN11" s="114" t="s">
        <v>307</v>
      </c>
      <c r="AO11" s="107" t="s">
        <v>307</v>
      </c>
      <c r="AP11" s="107" t="s">
        <v>307</v>
      </c>
      <c r="AQ11" s="107" t="s">
        <v>307</v>
      </c>
      <c r="AR11" s="107" t="s">
        <v>307</v>
      </c>
      <c r="AS11" s="108" t="s">
        <v>307</v>
      </c>
    </row>
    <row r="12" spans="1:45" ht="16" x14ac:dyDescent="0.2">
      <c r="A12" s="128">
        <v>115</v>
      </c>
      <c r="B12" s="13">
        <v>1</v>
      </c>
      <c r="C12" s="13" t="s">
        <v>104</v>
      </c>
      <c r="D12" s="124" t="s">
        <v>152</v>
      </c>
      <c r="E12" s="13">
        <v>1</v>
      </c>
      <c r="F12" s="124">
        <v>1</v>
      </c>
      <c r="G12" s="160">
        <v>6.5</v>
      </c>
      <c r="H12" s="122">
        <v>2</v>
      </c>
      <c r="I12" s="124">
        <v>31</v>
      </c>
      <c r="J12" s="124">
        <v>1</v>
      </c>
      <c r="K12" s="123" t="s">
        <v>150</v>
      </c>
      <c r="L12" s="123" t="s">
        <v>330</v>
      </c>
      <c r="M12" s="137" t="s">
        <v>328</v>
      </c>
      <c r="N12" s="17" t="s">
        <v>247</v>
      </c>
      <c r="O12" s="17" t="s">
        <v>256</v>
      </c>
      <c r="P12" s="17" t="s">
        <v>258</v>
      </c>
      <c r="Q12" s="17">
        <f t="shared" si="0"/>
        <v>31.008191556395715</v>
      </c>
      <c r="R12" s="17" t="s">
        <v>295</v>
      </c>
      <c r="S12" s="17">
        <v>52</v>
      </c>
      <c r="T12" s="17">
        <v>52</v>
      </c>
      <c r="U12" s="11">
        <v>1</v>
      </c>
      <c r="V12" s="3" t="s">
        <v>155</v>
      </c>
      <c r="W12" s="3">
        <v>-1</v>
      </c>
      <c r="X12" s="12" t="s">
        <v>155</v>
      </c>
      <c r="Y12" s="3">
        <v>5</v>
      </c>
      <c r="Z12" s="3">
        <v>2</v>
      </c>
      <c r="AA12" s="69">
        <v>4</v>
      </c>
      <c r="AC12" s="107"/>
      <c r="AD12" s="107"/>
      <c r="AE12" s="114"/>
      <c r="AF12" s="107"/>
      <c r="AG12" s="107"/>
      <c r="AH12" s="107"/>
      <c r="AI12" s="107"/>
      <c r="AJ12" s="107"/>
      <c r="AK12" s="107" t="s">
        <v>307</v>
      </c>
      <c r="AL12" s="107" t="s">
        <v>307</v>
      </c>
      <c r="AM12" s="107" t="s">
        <v>307</v>
      </c>
      <c r="AN12" s="114" t="s">
        <v>307</v>
      </c>
      <c r="AO12" s="107" t="s">
        <v>307</v>
      </c>
      <c r="AP12" s="107" t="s">
        <v>307</v>
      </c>
      <c r="AQ12" s="107" t="s">
        <v>307</v>
      </c>
      <c r="AR12" s="107" t="s">
        <v>307</v>
      </c>
      <c r="AS12" s="108" t="s">
        <v>307</v>
      </c>
    </row>
    <row r="13" spans="1:45" ht="16" x14ac:dyDescent="0.2">
      <c r="A13" s="13">
        <v>116</v>
      </c>
      <c r="B13" s="13">
        <v>-1</v>
      </c>
      <c r="C13" s="13" t="s">
        <v>103</v>
      </c>
      <c r="D13" s="124" t="s">
        <v>0</v>
      </c>
      <c r="E13" s="13">
        <v>1</v>
      </c>
      <c r="F13" s="123">
        <v>1</v>
      </c>
      <c r="G13" s="158">
        <v>0.9</v>
      </c>
      <c r="H13" s="143">
        <v>1</v>
      </c>
      <c r="I13" s="144">
        <v>25</v>
      </c>
      <c r="J13" s="124"/>
      <c r="K13" s="123"/>
      <c r="L13" s="123" t="s">
        <v>151</v>
      </c>
      <c r="M13" s="123" t="s">
        <v>327</v>
      </c>
      <c r="N13" s="17" t="s">
        <v>244</v>
      </c>
      <c r="O13" s="17" t="s">
        <v>245</v>
      </c>
      <c r="P13" s="17" t="s">
        <v>259</v>
      </c>
      <c r="Q13" s="17">
        <f t="shared" si="0"/>
        <v>25.120533333333334</v>
      </c>
      <c r="R13" s="17" t="s">
        <v>292</v>
      </c>
      <c r="S13" s="17">
        <v>35</v>
      </c>
      <c r="T13" s="17">
        <v>35</v>
      </c>
      <c r="U13" s="11">
        <v>1</v>
      </c>
      <c r="V13" s="3" t="s">
        <v>155</v>
      </c>
      <c r="W13" s="3">
        <v>-1</v>
      </c>
      <c r="X13" s="12" t="s">
        <v>155</v>
      </c>
      <c r="Y13" t="s">
        <v>155</v>
      </c>
      <c r="Z13" t="s">
        <v>155</v>
      </c>
      <c r="AA13" s="69">
        <v>7</v>
      </c>
      <c r="AB13" s="107"/>
      <c r="AC13" s="107"/>
      <c r="AD13" s="107"/>
      <c r="AE13" s="114"/>
      <c r="AF13" s="107"/>
      <c r="AG13" s="107"/>
      <c r="AH13" s="107"/>
      <c r="AI13" s="107"/>
      <c r="AJ13" s="107"/>
      <c r="AK13" s="107" t="s">
        <v>307</v>
      </c>
      <c r="AL13" s="107" t="s">
        <v>307</v>
      </c>
      <c r="AM13" s="107" t="s">
        <v>307</v>
      </c>
      <c r="AN13" s="114" t="s">
        <v>307</v>
      </c>
      <c r="AO13" s="107" t="s">
        <v>307</v>
      </c>
      <c r="AP13" s="107" t="s">
        <v>307</v>
      </c>
      <c r="AQ13" s="107" t="s">
        <v>307</v>
      </c>
      <c r="AR13" s="107" t="s">
        <v>307</v>
      </c>
      <c r="AS13" s="108" t="s">
        <v>307</v>
      </c>
    </row>
    <row r="14" spans="1:45" ht="16" x14ac:dyDescent="0.2">
      <c r="A14" s="13">
        <v>118</v>
      </c>
      <c r="B14" s="13">
        <v>1</v>
      </c>
      <c r="C14" s="13" t="s">
        <v>104</v>
      </c>
      <c r="D14" s="124" t="s">
        <v>0</v>
      </c>
      <c r="E14" s="13">
        <v>1</v>
      </c>
      <c r="F14" s="121">
        <v>1</v>
      </c>
      <c r="G14" s="158">
        <v>19</v>
      </c>
      <c r="H14" s="122">
        <v>1</v>
      </c>
      <c r="I14" s="124">
        <v>45</v>
      </c>
      <c r="J14" s="124"/>
      <c r="K14" s="123"/>
      <c r="L14" s="123" t="s">
        <v>151</v>
      </c>
      <c r="M14" s="123" t="s">
        <v>327</v>
      </c>
      <c r="N14" s="17" t="s">
        <v>244</v>
      </c>
      <c r="O14" s="17" t="s">
        <v>248</v>
      </c>
      <c r="P14" s="17" t="s">
        <v>260</v>
      </c>
      <c r="Q14" s="17">
        <f t="shared" si="0"/>
        <v>30.512152777777775</v>
      </c>
      <c r="R14" s="17" t="s">
        <v>292</v>
      </c>
      <c r="S14" s="17">
        <v>65</v>
      </c>
      <c r="T14" s="17">
        <v>65</v>
      </c>
      <c r="U14" s="11">
        <v>5</v>
      </c>
      <c r="V14" s="3" t="s">
        <v>155</v>
      </c>
      <c r="W14" s="3">
        <v>-1</v>
      </c>
      <c r="X14" s="12" t="s">
        <v>155</v>
      </c>
      <c r="Y14" s="3">
        <v>5</v>
      </c>
      <c r="Z14" s="3">
        <v>4</v>
      </c>
      <c r="AA14" s="69">
        <v>4</v>
      </c>
      <c r="AB14" s="107"/>
      <c r="AC14" s="107"/>
      <c r="AD14" s="107"/>
      <c r="AE14" s="114"/>
      <c r="AF14" s="107"/>
      <c r="AG14" s="107"/>
      <c r="AH14" s="107"/>
      <c r="AI14" s="107"/>
      <c r="AJ14" s="107"/>
      <c r="AK14" s="107" t="s">
        <v>307</v>
      </c>
      <c r="AL14" s="107" t="s">
        <v>307</v>
      </c>
      <c r="AM14" s="107" t="s">
        <v>307</v>
      </c>
      <c r="AN14" s="114" t="s">
        <v>307</v>
      </c>
      <c r="AO14" s="107" t="s">
        <v>307</v>
      </c>
      <c r="AP14" s="107" t="s">
        <v>307</v>
      </c>
      <c r="AQ14" s="107" t="s">
        <v>307</v>
      </c>
      <c r="AR14" s="107" t="s">
        <v>307</v>
      </c>
      <c r="AS14" s="108" t="s">
        <v>307</v>
      </c>
    </row>
    <row r="15" spans="1:45" ht="16" x14ac:dyDescent="0.2">
      <c r="A15" s="128">
        <v>120</v>
      </c>
      <c r="B15" s="13">
        <v>1</v>
      </c>
      <c r="C15" s="13" t="s">
        <v>104</v>
      </c>
      <c r="D15" s="124" t="s">
        <v>152</v>
      </c>
      <c r="E15" s="13">
        <v>1</v>
      </c>
      <c r="F15" s="124">
        <v>1</v>
      </c>
      <c r="G15" s="160">
        <v>2.75</v>
      </c>
      <c r="H15" s="122">
        <v>2</v>
      </c>
      <c r="I15" s="124">
        <v>25</v>
      </c>
      <c r="J15" s="124"/>
      <c r="K15" s="123" t="s">
        <v>153</v>
      </c>
      <c r="L15" s="156" t="s">
        <v>331</v>
      </c>
      <c r="M15" s="123" t="s">
        <v>327</v>
      </c>
      <c r="N15" s="17" t="s">
        <v>247</v>
      </c>
      <c r="O15" s="17" t="s">
        <v>261</v>
      </c>
      <c r="P15" s="17" t="s">
        <v>262</v>
      </c>
      <c r="Q15" s="17">
        <f t="shared" si="0"/>
        <v>25.74462890625</v>
      </c>
      <c r="R15" s="17" t="s">
        <v>294</v>
      </c>
      <c r="S15" s="17">
        <v>149</v>
      </c>
      <c r="T15" s="17">
        <v>149</v>
      </c>
      <c r="U15" s="11" t="s">
        <v>155</v>
      </c>
      <c r="V15" s="3" t="s">
        <v>155</v>
      </c>
      <c r="W15" s="3" t="s">
        <v>155</v>
      </c>
      <c r="X15" s="12" t="s">
        <v>155</v>
      </c>
      <c r="Y15" s="3">
        <v>1</v>
      </c>
      <c r="Z15" s="3">
        <v>5</v>
      </c>
      <c r="AA15" s="69">
        <v>4</v>
      </c>
      <c r="AB15" s="107" t="s">
        <v>248</v>
      </c>
      <c r="AC15" s="107" t="s">
        <v>248</v>
      </c>
      <c r="AD15" s="112" t="s">
        <v>248</v>
      </c>
      <c r="AE15" s="114" t="s">
        <v>269</v>
      </c>
      <c r="AF15" s="107" t="s">
        <v>269</v>
      </c>
      <c r="AG15" s="107" t="s">
        <v>269</v>
      </c>
      <c r="AH15" s="107" t="s">
        <v>248</v>
      </c>
      <c r="AI15" s="107" t="s">
        <v>269</v>
      </c>
      <c r="AJ15" s="107" t="s">
        <v>248</v>
      </c>
      <c r="AK15" s="107" t="s">
        <v>308</v>
      </c>
      <c r="AL15" s="107" t="s">
        <v>308</v>
      </c>
      <c r="AM15" s="107" t="s">
        <v>308</v>
      </c>
      <c r="AN15" s="114" t="s">
        <v>309</v>
      </c>
      <c r="AO15" s="107" t="s">
        <v>309</v>
      </c>
      <c r="AP15" s="107" t="s">
        <v>310</v>
      </c>
      <c r="AQ15" s="107" t="s">
        <v>308</v>
      </c>
      <c r="AR15" s="107" t="s">
        <v>311</v>
      </c>
      <c r="AS15" s="108" t="s">
        <v>308</v>
      </c>
    </row>
    <row r="16" spans="1:45" ht="16" x14ac:dyDescent="0.2">
      <c r="A16" s="129">
        <v>121</v>
      </c>
      <c r="B16" s="15">
        <v>1</v>
      </c>
      <c r="C16" s="15" t="s">
        <v>104</v>
      </c>
      <c r="D16" s="124" t="s">
        <v>152</v>
      </c>
      <c r="E16" s="15">
        <v>0</v>
      </c>
      <c r="F16" s="121">
        <v>1</v>
      </c>
      <c r="G16" s="160">
        <v>5</v>
      </c>
      <c r="H16" s="130">
        <v>2</v>
      </c>
      <c r="I16" s="124">
        <v>47</v>
      </c>
      <c r="J16" s="124">
        <v>1</v>
      </c>
      <c r="K16" s="123" t="s">
        <v>150</v>
      </c>
      <c r="L16" s="123" t="s">
        <v>151</v>
      </c>
      <c r="M16" s="155" t="s">
        <v>329</v>
      </c>
      <c r="N16" s="17" t="s">
        <v>155</v>
      </c>
      <c r="O16" s="17" t="s">
        <v>155</v>
      </c>
      <c r="P16" s="17" t="s">
        <v>155</v>
      </c>
      <c r="Q16" s="17" t="str">
        <f t="shared" si="0"/>
        <v>NaN</v>
      </c>
      <c r="R16" s="17" t="s">
        <v>155</v>
      </c>
      <c r="S16" s="17" t="s">
        <v>155</v>
      </c>
      <c r="T16" s="17" t="s">
        <v>155</v>
      </c>
      <c r="U16" s="11">
        <v>3</v>
      </c>
      <c r="V16" s="3" t="s">
        <v>155</v>
      </c>
      <c r="W16" s="3">
        <v>-1</v>
      </c>
      <c r="X16" s="12" t="s">
        <v>155</v>
      </c>
      <c r="Y16" s="3">
        <v>6</v>
      </c>
      <c r="Z16" s="3">
        <v>3</v>
      </c>
      <c r="AA16" s="69">
        <v>4</v>
      </c>
      <c r="AB16" s="107" t="s">
        <v>269</v>
      </c>
      <c r="AC16" s="107" t="s">
        <v>248</v>
      </c>
      <c r="AD16" s="112" t="s">
        <v>269</v>
      </c>
      <c r="AE16" s="114" t="s">
        <v>269</v>
      </c>
      <c r="AF16" s="107" t="s">
        <v>269</v>
      </c>
      <c r="AG16" s="107" t="s">
        <v>269</v>
      </c>
      <c r="AH16" s="107" t="s">
        <v>248</v>
      </c>
      <c r="AI16" s="107" t="s">
        <v>248</v>
      </c>
      <c r="AJ16" s="107" t="s">
        <v>248</v>
      </c>
      <c r="AK16" s="107" t="s">
        <v>312</v>
      </c>
      <c r="AL16" s="107" t="s">
        <v>308</v>
      </c>
      <c r="AM16" s="107" t="s">
        <v>312</v>
      </c>
      <c r="AN16" s="114" t="s">
        <v>311</v>
      </c>
      <c r="AO16" s="107" t="s">
        <v>311</v>
      </c>
      <c r="AP16" s="107" t="s">
        <v>311</v>
      </c>
      <c r="AQ16" s="107" t="s">
        <v>308</v>
      </c>
      <c r="AR16" s="107" t="s">
        <v>308</v>
      </c>
      <c r="AS16" s="108" t="s">
        <v>308</v>
      </c>
    </row>
    <row r="17" spans="1:45" ht="15" customHeight="1" x14ac:dyDescent="0.2">
      <c r="A17" s="128">
        <v>123</v>
      </c>
      <c r="B17" s="13">
        <v>1</v>
      </c>
      <c r="C17" s="13" t="s">
        <v>104</v>
      </c>
      <c r="D17" s="124" t="s">
        <v>152</v>
      </c>
      <c r="E17" s="13">
        <v>1</v>
      </c>
      <c r="F17" s="124">
        <v>1</v>
      </c>
      <c r="G17" s="160">
        <v>4</v>
      </c>
      <c r="H17" s="122">
        <v>2</v>
      </c>
      <c r="I17" s="124">
        <v>28</v>
      </c>
      <c r="J17" s="124"/>
      <c r="K17" s="123" t="s">
        <v>150</v>
      </c>
      <c r="L17" s="123" t="s">
        <v>151</v>
      </c>
      <c r="M17" s="155" t="s">
        <v>329</v>
      </c>
      <c r="N17" s="17" t="s">
        <v>155</v>
      </c>
      <c r="O17" s="17" t="s">
        <v>155</v>
      </c>
      <c r="P17" s="17" t="s">
        <v>155</v>
      </c>
      <c r="Q17" s="17" t="str">
        <f t="shared" si="0"/>
        <v>NaN</v>
      </c>
      <c r="R17" s="17" t="s">
        <v>155</v>
      </c>
      <c r="S17" s="17" t="s">
        <v>155</v>
      </c>
      <c r="T17" s="17" t="s">
        <v>155</v>
      </c>
      <c r="U17" s="11">
        <v>1</v>
      </c>
      <c r="V17" s="3" t="s">
        <v>155</v>
      </c>
      <c r="W17" s="3">
        <v>-1</v>
      </c>
      <c r="X17" s="12" t="s">
        <v>155</v>
      </c>
      <c r="Y17" s="3">
        <v>2</v>
      </c>
      <c r="Z17" s="3">
        <v>5</v>
      </c>
      <c r="AA17" s="69">
        <v>4</v>
      </c>
      <c r="AB17" s="107" t="s">
        <v>248</v>
      </c>
      <c r="AC17" s="107" t="s">
        <v>248</v>
      </c>
      <c r="AD17" s="112" t="s">
        <v>248</v>
      </c>
      <c r="AE17" s="114" t="s">
        <v>269</v>
      </c>
      <c r="AF17" s="107" t="s">
        <v>248</v>
      </c>
      <c r="AG17" s="107" t="s">
        <v>269</v>
      </c>
      <c r="AH17" s="107" t="s">
        <v>269</v>
      </c>
      <c r="AI17" s="107" t="s">
        <v>269</v>
      </c>
      <c r="AJ17" s="107" t="s">
        <v>248</v>
      </c>
      <c r="AK17" s="107" t="s">
        <v>308</v>
      </c>
      <c r="AL17" s="107" t="s">
        <v>308</v>
      </c>
      <c r="AM17" s="107" t="s">
        <v>308</v>
      </c>
      <c r="AN17" s="114" t="s">
        <v>312</v>
      </c>
      <c r="AO17" s="107" t="s">
        <v>308</v>
      </c>
      <c r="AP17" s="107" t="s">
        <v>310</v>
      </c>
      <c r="AQ17" s="107" t="s">
        <v>310</v>
      </c>
      <c r="AR17" s="107" t="s">
        <v>310</v>
      </c>
      <c r="AS17" s="108" t="s">
        <v>308</v>
      </c>
    </row>
    <row r="18" spans="1:45" ht="16" x14ac:dyDescent="0.2">
      <c r="A18" s="13">
        <v>125</v>
      </c>
      <c r="B18" s="13">
        <v>-1</v>
      </c>
      <c r="C18" s="13" t="s">
        <v>103</v>
      </c>
      <c r="D18" s="124" t="s">
        <v>152</v>
      </c>
      <c r="E18" s="13">
        <v>1</v>
      </c>
      <c r="F18" s="124">
        <v>1</v>
      </c>
      <c r="G18" s="158">
        <v>11</v>
      </c>
      <c r="H18" s="143">
        <v>2</v>
      </c>
      <c r="I18" s="144">
        <v>27</v>
      </c>
      <c r="J18" s="124">
        <v>1</v>
      </c>
      <c r="K18" s="123" t="s">
        <v>150</v>
      </c>
      <c r="L18" s="123" t="s">
        <v>154</v>
      </c>
      <c r="M18" s="123" t="s">
        <v>327</v>
      </c>
      <c r="N18" s="17" t="s">
        <v>247</v>
      </c>
      <c r="O18" s="17" t="s">
        <v>247</v>
      </c>
      <c r="P18" s="17" t="s">
        <v>262</v>
      </c>
      <c r="Q18" s="17">
        <f t="shared" si="0"/>
        <v>24.958579881656807</v>
      </c>
      <c r="R18" s="17" t="s">
        <v>293</v>
      </c>
      <c r="S18" s="17">
        <v>40</v>
      </c>
      <c r="T18" s="17">
        <v>40</v>
      </c>
      <c r="U18" s="11">
        <v>1</v>
      </c>
      <c r="V18" s="3" t="s">
        <v>155</v>
      </c>
      <c r="W18" s="3">
        <v>-1</v>
      </c>
      <c r="X18" s="12" t="s">
        <v>155</v>
      </c>
      <c r="Y18">
        <v>6</v>
      </c>
      <c r="Z18">
        <v>1</v>
      </c>
      <c r="AA18" s="69">
        <v>7</v>
      </c>
      <c r="AB18" s="107"/>
      <c r="AC18" s="107"/>
      <c r="AD18" s="112"/>
      <c r="AE18" s="114"/>
      <c r="AF18" s="107"/>
      <c r="AG18" s="107"/>
      <c r="AH18" s="107"/>
      <c r="AI18" s="107"/>
      <c r="AJ18" s="107"/>
      <c r="AK18" s="107" t="s">
        <v>307</v>
      </c>
      <c r="AL18" s="107" t="s">
        <v>307</v>
      </c>
      <c r="AM18" s="107" t="s">
        <v>307</v>
      </c>
      <c r="AN18" s="114" t="s">
        <v>307</v>
      </c>
      <c r="AO18" s="107" t="s">
        <v>307</v>
      </c>
      <c r="AP18" s="107" t="s">
        <v>307</v>
      </c>
      <c r="AQ18" s="107" t="s">
        <v>307</v>
      </c>
      <c r="AR18" s="107" t="s">
        <v>307</v>
      </c>
      <c r="AS18" s="108" t="s">
        <v>307</v>
      </c>
    </row>
    <row r="19" spans="1:45" ht="17" customHeight="1" x14ac:dyDescent="0.2">
      <c r="A19" s="13">
        <v>126</v>
      </c>
      <c r="B19" s="13">
        <v>-1</v>
      </c>
      <c r="C19" s="13" t="s">
        <v>103</v>
      </c>
      <c r="D19" s="124" t="s">
        <v>0</v>
      </c>
      <c r="E19" s="13">
        <v>1</v>
      </c>
      <c r="F19" s="123">
        <v>1</v>
      </c>
      <c r="G19" s="158">
        <v>30</v>
      </c>
      <c r="H19" s="143">
        <v>1</v>
      </c>
      <c r="I19" s="145">
        <v>47</v>
      </c>
      <c r="J19" s="124"/>
      <c r="K19" s="123" t="s">
        <v>150</v>
      </c>
      <c r="L19" s="123" t="s">
        <v>151</v>
      </c>
      <c r="M19" s="123" t="s">
        <v>327</v>
      </c>
      <c r="N19" s="17" t="s">
        <v>247</v>
      </c>
      <c r="O19" s="17" t="s">
        <v>263</v>
      </c>
      <c r="P19" s="17" t="s">
        <v>264</v>
      </c>
      <c r="Q19" s="17">
        <f t="shared" si="0"/>
        <v>33.469549692521326</v>
      </c>
      <c r="R19" s="17" t="s">
        <v>292</v>
      </c>
      <c r="S19" s="17">
        <v>145</v>
      </c>
      <c r="T19" s="17">
        <v>145</v>
      </c>
      <c r="U19" s="11">
        <v>1</v>
      </c>
      <c r="V19" s="3" t="s">
        <v>155</v>
      </c>
      <c r="W19" s="3">
        <v>-1</v>
      </c>
      <c r="X19" s="12" t="s">
        <v>155</v>
      </c>
      <c r="Y19">
        <v>6</v>
      </c>
      <c r="Z19">
        <v>3</v>
      </c>
      <c r="AA19" s="69">
        <v>7</v>
      </c>
      <c r="AB19" s="107" t="s">
        <v>248</v>
      </c>
      <c r="AC19" s="107" t="s">
        <v>248</v>
      </c>
      <c r="AD19" s="112" t="s">
        <v>248</v>
      </c>
      <c r="AE19" s="114" t="s">
        <v>248</v>
      </c>
      <c r="AF19" s="107" t="s">
        <v>248</v>
      </c>
      <c r="AG19" s="107" t="s">
        <v>248</v>
      </c>
      <c r="AH19" s="107" t="s">
        <v>248</v>
      </c>
      <c r="AI19" s="107" t="s">
        <v>269</v>
      </c>
      <c r="AJ19" s="107" t="s">
        <v>248</v>
      </c>
      <c r="AK19" s="107" t="s">
        <v>308</v>
      </c>
      <c r="AL19" s="107" t="s">
        <v>308</v>
      </c>
      <c r="AM19" s="107" t="s">
        <v>308</v>
      </c>
      <c r="AN19" s="114" t="s">
        <v>308</v>
      </c>
      <c r="AO19" s="107" t="s">
        <v>308</v>
      </c>
      <c r="AP19" s="107" t="s">
        <v>308</v>
      </c>
      <c r="AQ19" s="107" t="s">
        <v>308</v>
      </c>
      <c r="AR19" s="107" t="s">
        <v>310</v>
      </c>
      <c r="AS19" s="108" t="s">
        <v>308</v>
      </c>
    </row>
    <row r="20" spans="1:45" s="76" customFormat="1" ht="16" x14ac:dyDescent="0.2">
      <c r="A20" s="87">
        <v>127</v>
      </c>
      <c r="B20" s="87">
        <v>1</v>
      </c>
      <c r="C20" s="87" t="s">
        <v>104</v>
      </c>
      <c r="D20" s="131" t="s">
        <v>152</v>
      </c>
      <c r="E20" s="87">
        <v>1</v>
      </c>
      <c r="F20" s="132">
        <v>1</v>
      </c>
      <c r="G20" s="161">
        <v>7</v>
      </c>
      <c r="H20" s="146">
        <v>2</v>
      </c>
      <c r="I20" s="147">
        <v>23</v>
      </c>
      <c r="J20" s="131"/>
      <c r="K20" s="133"/>
      <c r="L20" s="123" t="s">
        <v>151</v>
      </c>
      <c r="M20" s="123" t="s">
        <v>327</v>
      </c>
      <c r="N20" s="17" t="s">
        <v>247</v>
      </c>
      <c r="O20" s="17" t="s">
        <v>265</v>
      </c>
      <c r="P20" s="32">
        <v>200</v>
      </c>
      <c r="Q20" s="17">
        <f t="shared" si="0"/>
        <v>31.321006905769661</v>
      </c>
      <c r="R20" s="17" t="s">
        <v>292</v>
      </c>
      <c r="S20" s="32"/>
      <c r="T20" s="32">
        <v>0</v>
      </c>
      <c r="U20" s="134" t="s">
        <v>155</v>
      </c>
      <c r="V20" s="76" t="s">
        <v>155</v>
      </c>
      <c r="W20" s="76" t="s">
        <v>155</v>
      </c>
      <c r="X20" s="135" t="s">
        <v>155</v>
      </c>
      <c r="Y20" s="76">
        <v>7</v>
      </c>
      <c r="Z20" s="76">
        <v>1</v>
      </c>
      <c r="AA20" s="136">
        <v>4</v>
      </c>
      <c r="AB20" s="107" t="s">
        <v>248</v>
      </c>
      <c r="AC20" s="107" t="s">
        <v>248</v>
      </c>
      <c r="AD20" s="112" t="s">
        <v>248</v>
      </c>
      <c r="AE20" s="114" t="s">
        <v>269</v>
      </c>
      <c r="AF20" s="107" t="s">
        <v>248</v>
      </c>
      <c r="AG20" s="107" t="s">
        <v>269</v>
      </c>
      <c r="AH20" s="107" t="s">
        <v>269</v>
      </c>
      <c r="AI20" s="107" t="s">
        <v>269</v>
      </c>
      <c r="AJ20" s="107" t="s">
        <v>248</v>
      </c>
      <c r="AK20" s="107" t="s">
        <v>308</v>
      </c>
      <c r="AL20" s="107" t="s">
        <v>308</v>
      </c>
      <c r="AM20" s="107" t="s">
        <v>308</v>
      </c>
      <c r="AN20" s="114" t="s">
        <v>309</v>
      </c>
      <c r="AO20" s="107" t="s">
        <v>308</v>
      </c>
      <c r="AP20" s="107" t="s">
        <v>310</v>
      </c>
      <c r="AQ20" s="107" t="s">
        <v>310</v>
      </c>
      <c r="AR20" s="107" t="s">
        <v>309</v>
      </c>
      <c r="AS20" s="108" t="s">
        <v>308</v>
      </c>
    </row>
    <row r="21" spans="1:45" ht="16" x14ac:dyDescent="0.2">
      <c r="A21" s="13">
        <v>128</v>
      </c>
      <c r="B21" s="13">
        <v>1</v>
      </c>
      <c r="C21" s="13" t="s">
        <v>104</v>
      </c>
      <c r="D21" s="124" t="s">
        <v>152</v>
      </c>
      <c r="E21" s="13">
        <v>1</v>
      </c>
      <c r="F21" s="124">
        <v>1</v>
      </c>
      <c r="G21" s="158">
        <v>8</v>
      </c>
      <c r="H21" s="122">
        <v>2</v>
      </c>
      <c r="I21" s="123">
        <v>21</v>
      </c>
      <c r="J21" s="137">
        <v>1</v>
      </c>
      <c r="K21" s="123" t="s">
        <v>150</v>
      </c>
      <c r="L21" s="123" t="s">
        <v>151</v>
      </c>
      <c r="M21" s="123" t="s">
        <v>327</v>
      </c>
      <c r="N21" s="17" t="s">
        <v>247</v>
      </c>
      <c r="O21" s="17" t="s">
        <v>245</v>
      </c>
      <c r="P21" s="17" t="s">
        <v>266</v>
      </c>
      <c r="Q21" s="17">
        <f t="shared" si="0"/>
        <v>28.339632149155957</v>
      </c>
      <c r="R21" s="17" t="s">
        <v>294</v>
      </c>
      <c r="S21" s="17">
        <v>500</v>
      </c>
      <c r="T21" s="17">
        <v>500</v>
      </c>
      <c r="U21" s="11">
        <v>3</v>
      </c>
      <c r="V21" s="3" t="s">
        <v>155</v>
      </c>
      <c r="W21" s="3">
        <v>-1</v>
      </c>
      <c r="X21" s="12" t="s">
        <v>155</v>
      </c>
      <c r="Y21" s="3">
        <v>6</v>
      </c>
      <c r="Z21" s="3">
        <v>2</v>
      </c>
      <c r="AA21" s="69">
        <v>4</v>
      </c>
      <c r="AB21" s="107" t="s">
        <v>248</v>
      </c>
      <c r="AC21" s="107" t="s">
        <v>248</v>
      </c>
      <c r="AD21" s="112" t="s">
        <v>248</v>
      </c>
      <c r="AE21" s="114" t="s">
        <v>269</v>
      </c>
      <c r="AF21" s="107" t="s">
        <v>248</v>
      </c>
      <c r="AG21" s="107" t="s">
        <v>248</v>
      </c>
      <c r="AH21" s="107" t="s">
        <v>248</v>
      </c>
      <c r="AI21" s="107" t="s">
        <v>248</v>
      </c>
      <c r="AJ21" s="107" t="s">
        <v>248</v>
      </c>
      <c r="AK21" s="107" t="s">
        <v>308</v>
      </c>
      <c r="AL21" s="107" t="s">
        <v>308</v>
      </c>
      <c r="AM21" s="107" t="s">
        <v>308</v>
      </c>
      <c r="AN21" s="114" t="s">
        <v>312</v>
      </c>
      <c r="AO21" s="107" t="s">
        <v>308</v>
      </c>
      <c r="AP21" s="107" t="s">
        <v>308</v>
      </c>
      <c r="AQ21" s="107" t="s">
        <v>308</v>
      </c>
      <c r="AR21" s="107" t="s">
        <v>308</v>
      </c>
      <c r="AS21" s="108" t="s">
        <v>308</v>
      </c>
    </row>
    <row r="22" spans="1:45" ht="16" x14ac:dyDescent="0.2">
      <c r="A22" s="13">
        <v>129</v>
      </c>
      <c r="B22" s="13">
        <v>1</v>
      </c>
      <c r="C22" s="13" t="s">
        <v>104</v>
      </c>
      <c r="D22" s="124" t="s">
        <v>0</v>
      </c>
      <c r="E22" s="13">
        <v>1</v>
      </c>
      <c r="F22" s="124">
        <v>1</v>
      </c>
      <c r="G22" s="158">
        <v>0.5</v>
      </c>
      <c r="H22" s="122">
        <v>1</v>
      </c>
      <c r="I22" s="123">
        <v>33</v>
      </c>
      <c r="J22" s="124">
        <v>1</v>
      </c>
      <c r="K22" s="123" t="s">
        <v>150</v>
      </c>
      <c r="L22" s="123" t="s">
        <v>151</v>
      </c>
      <c r="M22" s="123" t="s">
        <v>327</v>
      </c>
      <c r="N22" s="17" t="s">
        <v>247</v>
      </c>
      <c r="O22" s="17" t="s">
        <v>263</v>
      </c>
      <c r="P22" s="17" t="s">
        <v>267</v>
      </c>
      <c r="Q22" s="17">
        <f t="shared" si="0"/>
        <v>29.983138266217022</v>
      </c>
      <c r="R22" s="17" t="s">
        <v>292</v>
      </c>
      <c r="S22" s="17">
        <v>32</v>
      </c>
      <c r="T22" s="17">
        <v>32</v>
      </c>
      <c r="U22" s="11">
        <v>1</v>
      </c>
      <c r="V22" s="3" t="s">
        <v>155</v>
      </c>
      <c r="W22" s="3">
        <v>-1</v>
      </c>
      <c r="X22" s="12" t="s">
        <v>155</v>
      </c>
      <c r="Y22" s="3">
        <v>6</v>
      </c>
      <c r="Z22" s="3">
        <v>7</v>
      </c>
      <c r="AA22" s="69">
        <v>4</v>
      </c>
      <c r="AB22" s="107" t="s">
        <v>248</v>
      </c>
      <c r="AC22" s="107" t="s">
        <v>248</v>
      </c>
      <c r="AD22" s="112" t="s">
        <v>248</v>
      </c>
      <c r="AE22" s="114" t="s">
        <v>269</v>
      </c>
      <c r="AF22" s="107" t="s">
        <v>248</v>
      </c>
      <c r="AG22" s="107" t="s">
        <v>248</v>
      </c>
      <c r="AH22" s="107" t="s">
        <v>248</v>
      </c>
      <c r="AI22" s="107" t="s">
        <v>269</v>
      </c>
      <c r="AJ22" s="107" t="s">
        <v>248</v>
      </c>
      <c r="AK22" s="107" t="s">
        <v>308</v>
      </c>
      <c r="AL22" s="107" t="s">
        <v>308</v>
      </c>
      <c r="AM22" s="107" t="s">
        <v>308</v>
      </c>
      <c r="AN22" s="114" t="s">
        <v>310</v>
      </c>
      <c r="AO22" s="107" t="s">
        <v>308</v>
      </c>
      <c r="AP22" s="107" t="s">
        <v>308</v>
      </c>
      <c r="AQ22" s="107" t="s">
        <v>308</v>
      </c>
      <c r="AR22" s="107" t="s">
        <v>312</v>
      </c>
      <c r="AS22" s="108" t="s">
        <v>308</v>
      </c>
    </row>
    <row r="23" spans="1:45" ht="16" x14ac:dyDescent="0.2">
      <c r="A23" s="16">
        <v>130</v>
      </c>
      <c r="B23" s="16">
        <v>-1</v>
      </c>
      <c r="C23" s="16" t="s">
        <v>103</v>
      </c>
      <c r="D23" s="123" t="s">
        <v>152</v>
      </c>
      <c r="E23" s="16">
        <v>0</v>
      </c>
      <c r="F23" s="123">
        <v>1</v>
      </c>
      <c r="G23" s="158">
        <v>2.5</v>
      </c>
      <c r="H23" s="138">
        <v>2</v>
      </c>
      <c r="I23" s="123">
        <v>24</v>
      </c>
      <c r="J23" s="123"/>
      <c r="K23" s="123"/>
      <c r="L23" s="17" t="s">
        <v>155</v>
      </c>
      <c r="M23" s="155" t="s">
        <v>329</v>
      </c>
      <c r="N23" s="17" t="s">
        <v>155</v>
      </c>
      <c r="O23" s="17" t="s">
        <v>155</v>
      </c>
      <c r="P23" s="17" t="s">
        <v>155</v>
      </c>
      <c r="Q23" s="17" t="str">
        <f t="shared" si="0"/>
        <v>NaN</v>
      </c>
      <c r="R23" s="17" t="s">
        <v>155</v>
      </c>
      <c r="S23" s="17" t="s">
        <v>155</v>
      </c>
      <c r="T23" s="17" t="s">
        <v>155</v>
      </c>
      <c r="U23" s="11" t="s">
        <v>155</v>
      </c>
      <c r="V23" s="3" t="s">
        <v>155</v>
      </c>
      <c r="W23" s="3" t="s">
        <v>155</v>
      </c>
      <c r="X23" s="12" t="s">
        <v>155</v>
      </c>
      <c r="Y23" t="s">
        <v>155</v>
      </c>
      <c r="Z23" t="s">
        <v>155</v>
      </c>
      <c r="AA23" s="69">
        <v>7</v>
      </c>
      <c r="AB23" s="107" t="s">
        <v>248</v>
      </c>
      <c r="AC23" s="107" t="s">
        <v>248</v>
      </c>
      <c r="AD23" s="112" t="s">
        <v>248</v>
      </c>
      <c r="AE23" s="114" t="s">
        <v>269</v>
      </c>
      <c r="AF23" s="107" t="s">
        <v>269</v>
      </c>
      <c r="AG23" s="107" t="s">
        <v>269</v>
      </c>
      <c r="AH23" s="107" t="s">
        <v>269</v>
      </c>
      <c r="AI23" s="107" t="s">
        <v>248</v>
      </c>
      <c r="AJ23" s="107" t="s">
        <v>248</v>
      </c>
      <c r="AK23" s="107" t="s">
        <v>308</v>
      </c>
      <c r="AL23" s="107" t="s">
        <v>308</v>
      </c>
      <c r="AM23" s="107" t="s">
        <v>308</v>
      </c>
      <c r="AN23" s="114" t="s">
        <v>312</v>
      </c>
      <c r="AO23" s="107" t="s">
        <v>309</v>
      </c>
      <c r="AP23" s="107" t="s">
        <v>311</v>
      </c>
      <c r="AQ23" s="107" t="s">
        <v>312</v>
      </c>
      <c r="AR23" s="107" t="s">
        <v>308</v>
      </c>
      <c r="AS23" s="108" t="s">
        <v>308</v>
      </c>
    </row>
    <row r="24" spans="1:45" ht="16" x14ac:dyDescent="0.2">
      <c r="A24" s="128">
        <v>132</v>
      </c>
      <c r="B24" s="13">
        <v>1</v>
      </c>
      <c r="C24" s="13" t="s">
        <v>104</v>
      </c>
      <c r="D24" s="124" t="s">
        <v>0</v>
      </c>
      <c r="E24" s="13">
        <v>1</v>
      </c>
      <c r="F24" s="121">
        <v>1</v>
      </c>
      <c r="G24" s="160">
        <v>20</v>
      </c>
      <c r="H24" s="122">
        <v>1</v>
      </c>
      <c r="I24" s="124">
        <v>38</v>
      </c>
      <c r="J24" s="124">
        <v>-1</v>
      </c>
      <c r="K24" s="123" t="s">
        <v>153</v>
      </c>
      <c r="L24" s="123" t="s">
        <v>151</v>
      </c>
      <c r="M24" s="155" t="s">
        <v>329</v>
      </c>
      <c r="N24" s="17" t="s">
        <v>155</v>
      </c>
      <c r="O24" s="17" t="s">
        <v>155</v>
      </c>
      <c r="P24" s="17" t="s">
        <v>155</v>
      </c>
      <c r="Q24" s="17" t="str">
        <f t="shared" si="0"/>
        <v>NaN</v>
      </c>
      <c r="R24" s="17" t="s">
        <v>155</v>
      </c>
      <c r="S24" s="17" t="s">
        <v>155</v>
      </c>
      <c r="T24" s="17" t="s">
        <v>155</v>
      </c>
      <c r="U24" s="11">
        <v>1</v>
      </c>
      <c r="V24" s="3" t="s">
        <v>155</v>
      </c>
      <c r="W24" s="3">
        <v>-1</v>
      </c>
      <c r="X24" s="12" t="s">
        <v>155</v>
      </c>
      <c r="Y24" s="3">
        <v>4</v>
      </c>
      <c r="Z24" s="3">
        <v>4</v>
      </c>
      <c r="AA24" s="69">
        <v>4</v>
      </c>
      <c r="AB24" s="107" t="s">
        <v>248</v>
      </c>
      <c r="AC24" s="107"/>
      <c r="AD24" s="112" t="s">
        <v>248</v>
      </c>
      <c r="AE24" s="114" t="s">
        <v>269</v>
      </c>
      <c r="AF24" s="107" t="s">
        <v>269</v>
      </c>
      <c r="AG24" s="107" t="s">
        <v>269</v>
      </c>
      <c r="AH24" s="107" t="s">
        <v>248</v>
      </c>
      <c r="AI24" s="107" t="s">
        <v>248</v>
      </c>
      <c r="AJ24" s="107" t="s">
        <v>248</v>
      </c>
      <c r="AK24" s="107" t="s">
        <v>308</v>
      </c>
      <c r="AL24" s="107" t="s">
        <v>307</v>
      </c>
      <c r="AM24" s="107" t="s">
        <v>308</v>
      </c>
      <c r="AN24" s="114" t="s">
        <v>312</v>
      </c>
      <c r="AO24" s="107" t="s">
        <v>309</v>
      </c>
      <c r="AP24" s="107" t="s">
        <v>310</v>
      </c>
      <c r="AQ24" s="107" t="s">
        <v>308</v>
      </c>
      <c r="AR24" s="107" t="s">
        <v>308</v>
      </c>
      <c r="AS24" s="108" t="s">
        <v>308</v>
      </c>
    </row>
    <row r="25" spans="1:45" ht="16" x14ac:dyDescent="0.2">
      <c r="A25" s="13">
        <v>133</v>
      </c>
      <c r="B25" s="13">
        <v>-1</v>
      </c>
      <c r="C25" s="13" t="s">
        <v>103</v>
      </c>
      <c r="D25" s="124" t="s">
        <v>152</v>
      </c>
      <c r="E25" s="13">
        <v>1</v>
      </c>
      <c r="F25" s="124">
        <v>1</v>
      </c>
      <c r="G25" s="158">
        <v>3</v>
      </c>
      <c r="H25" s="143">
        <v>2</v>
      </c>
      <c r="I25" s="144">
        <v>28</v>
      </c>
      <c r="J25" s="124"/>
      <c r="K25" s="123"/>
      <c r="L25" s="123" t="s">
        <v>151</v>
      </c>
      <c r="M25" s="123" t="s">
        <v>327</v>
      </c>
      <c r="N25" s="17" t="s">
        <v>247</v>
      </c>
      <c r="O25" s="17" t="s">
        <v>261</v>
      </c>
      <c r="P25" s="17" t="s">
        <v>268</v>
      </c>
      <c r="Q25" s="17">
        <f t="shared" si="0"/>
        <v>21.453857421875</v>
      </c>
      <c r="R25" s="17" t="s">
        <v>292</v>
      </c>
      <c r="S25" s="32"/>
      <c r="T25" s="32">
        <v>0</v>
      </c>
      <c r="U25" s="11">
        <v>1</v>
      </c>
      <c r="V25" s="3" t="s">
        <v>155</v>
      </c>
      <c r="W25" s="3">
        <v>-1</v>
      </c>
      <c r="X25" s="12" t="s">
        <v>155</v>
      </c>
      <c r="Y25">
        <v>3</v>
      </c>
      <c r="Z25">
        <v>4</v>
      </c>
      <c r="AA25" s="69">
        <v>7</v>
      </c>
      <c r="AB25" s="107" t="s">
        <v>248</v>
      </c>
      <c r="AC25" s="107" t="s">
        <v>248</v>
      </c>
      <c r="AD25" s="112" t="s">
        <v>248</v>
      </c>
      <c r="AE25" s="114" t="s">
        <v>269</v>
      </c>
      <c r="AF25" s="107" t="s">
        <v>269</v>
      </c>
      <c r="AG25" s="107" t="s">
        <v>269</v>
      </c>
      <c r="AH25" s="107" t="s">
        <v>248</v>
      </c>
      <c r="AI25" s="107" t="s">
        <v>269</v>
      </c>
      <c r="AJ25" s="107" t="s">
        <v>248</v>
      </c>
      <c r="AK25" s="107" t="s">
        <v>308</v>
      </c>
      <c r="AL25" s="107" t="s">
        <v>308</v>
      </c>
      <c r="AM25" s="107" t="s">
        <v>308</v>
      </c>
      <c r="AN25" s="114" t="s">
        <v>311</v>
      </c>
      <c r="AO25" s="107" t="s">
        <v>310</v>
      </c>
      <c r="AP25" s="107" t="s">
        <v>312</v>
      </c>
      <c r="AQ25" s="107" t="s">
        <v>308</v>
      </c>
      <c r="AR25" s="107" t="s">
        <v>312</v>
      </c>
      <c r="AS25" s="108" t="s">
        <v>308</v>
      </c>
    </row>
    <row r="26" spans="1:45" ht="16" x14ac:dyDescent="0.2">
      <c r="A26" s="13">
        <v>134</v>
      </c>
      <c r="B26" s="13">
        <v>1</v>
      </c>
      <c r="C26" s="13" t="s">
        <v>104</v>
      </c>
      <c r="D26" s="124" t="s">
        <v>0</v>
      </c>
      <c r="E26" s="13">
        <v>1</v>
      </c>
      <c r="F26" s="124">
        <v>1</v>
      </c>
      <c r="G26" s="158">
        <v>3.5</v>
      </c>
      <c r="H26" s="70">
        <v>1</v>
      </c>
      <c r="I26" s="148">
        <v>30</v>
      </c>
      <c r="J26" s="124"/>
      <c r="K26" s="123" t="s">
        <v>150</v>
      </c>
      <c r="L26" s="123" t="s">
        <v>151</v>
      </c>
      <c r="M26" s="123" t="s">
        <v>327</v>
      </c>
      <c r="N26" s="17" t="s">
        <v>244</v>
      </c>
      <c r="O26" s="17" t="s">
        <v>269</v>
      </c>
      <c r="P26" s="17" t="s">
        <v>255</v>
      </c>
      <c r="Q26" s="17">
        <f t="shared" si="0"/>
        <v>23.085944830174519</v>
      </c>
      <c r="R26" s="17" t="s">
        <v>292</v>
      </c>
      <c r="S26" s="17">
        <v>50</v>
      </c>
      <c r="T26" s="17">
        <v>50</v>
      </c>
      <c r="U26" s="11">
        <v>1</v>
      </c>
      <c r="V26" s="3" t="s">
        <v>155</v>
      </c>
      <c r="W26" s="3">
        <v>1</v>
      </c>
      <c r="X26" s="12" t="s">
        <v>223</v>
      </c>
      <c r="Y26" s="3">
        <v>5</v>
      </c>
      <c r="Z26" s="3">
        <v>3</v>
      </c>
      <c r="AA26" s="69">
        <v>4</v>
      </c>
      <c r="AB26" s="107" t="s">
        <v>248</v>
      </c>
      <c r="AC26" s="107" t="s">
        <v>248</v>
      </c>
      <c r="AD26" s="112" t="s">
        <v>248</v>
      </c>
      <c r="AE26" s="114" t="s">
        <v>269</v>
      </c>
      <c r="AF26" s="107" t="s">
        <v>248</v>
      </c>
      <c r="AG26" s="107" t="s">
        <v>248</v>
      </c>
      <c r="AH26" s="107" t="s">
        <v>248</v>
      </c>
      <c r="AI26" s="107" t="s">
        <v>248</v>
      </c>
      <c r="AJ26" s="107" t="s">
        <v>248</v>
      </c>
      <c r="AK26" s="107" t="s">
        <v>308</v>
      </c>
      <c r="AL26" s="107" t="s">
        <v>308</v>
      </c>
      <c r="AM26" s="107" t="s">
        <v>308</v>
      </c>
      <c r="AN26" s="114" t="s">
        <v>312</v>
      </c>
      <c r="AO26" s="107" t="s">
        <v>308</v>
      </c>
      <c r="AP26" s="107" t="s">
        <v>308</v>
      </c>
      <c r="AQ26" s="107" t="s">
        <v>308</v>
      </c>
      <c r="AR26" s="107" t="s">
        <v>308</v>
      </c>
      <c r="AS26" s="108" t="s">
        <v>308</v>
      </c>
    </row>
    <row r="27" spans="1:45" ht="16" x14ac:dyDescent="0.2">
      <c r="A27" s="13">
        <v>135</v>
      </c>
      <c r="B27" s="13">
        <v>1</v>
      </c>
      <c r="C27" s="13" t="s">
        <v>104</v>
      </c>
      <c r="D27" s="124" t="s">
        <v>0</v>
      </c>
      <c r="E27" s="13">
        <v>1</v>
      </c>
      <c r="F27" s="123">
        <v>1</v>
      </c>
      <c r="G27" s="160">
        <v>10</v>
      </c>
      <c r="H27" s="146">
        <v>1</v>
      </c>
      <c r="I27" s="148">
        <v>25</v>
      </c>
      <c r="J27" s="124"/>
      <c r="K27" s="123" t="s">
        <v>150</v>
      </c>
      <c r="L27" s="123" t="s">
        <v>151</v>
      </c>
      <c r="M27" s="123" t="s">
        <v>327</v>
      </c>
      <c r="N27" s="17" t="s">
        <v>244</v>
      </c>
      <c r="O27" s="17" t="s">
        <v>247</v>
      </c>
      <c r="P27" s="17" t="s">
        <v>246</v>
      </c>
      <c r="Q27" s="17">
        <f t="shared" si="0"/>
        <v>21.342553550345759</v>
      </c>
      <c r="R27" s="17" t="s">
        <v>292</v>
      </c>
      <c r="S27" s="17">
        <v>29</v>
      </c>
      <c r="T27" s="17">
        <v>29</v>
      </c>
      <c r="U27" s="11">
        <v>1</v>
      </c>
      <c r="V27" s="3" t="s">
        <v>155</v>
      </c>
      <c r="W27" s="3">
        <v>-1</v>
      </c>
      <c r="X27" s="12" t="s">
        <v>155</v>
      </c>
      <c r="Y27" s="3">
        <v>5</v>
      </c>
      <c r="Z27" s="3">
        <v>3</v>
      </c>
      <c r="AA27" s="69">
        <v>4</v>
      </c>
      <c r="AB27" s="107" t="s">
        <v>248</v>
      </c>
      <c r="AC27" s="107" t="s">
        <v>248</v>
      </c>
      <c r="AD27" s="112" t="s">
        <v>248</v>
      </c>
      <c r="AE27" s="114" t="s">
        <v>269</v>
      </c>
      <c r="AF27" s="107" t="s">
        <v>269</v>
      </c>
      <c r="AG27" s="107" t="s">
        <v>269</v>
      </c>
      <c r="AH27" s="107" t="s">
        <v>248</v>
      </c>
      <c r="AI27" s="107" t="s">
        <v>269</v>
      </c>
      <c r="AJ27" s="107" t="s">
        <v>248</v>
      </c>
      <c r="AK27" s="107" t="s">
        <v>308</v>
      </c>
      <c r="AL27" s="107" t="s">
        <v>308</v>
      </c>
      <c r="AM27" s="107" t="s">
        <v>308</v>
      </c>
      <c r="AN27" s="114" t="s">
        <v>311</v>
      </c>
      <c r="AO27" s="107" t="s">
        <v>309</v>
      </c>
      <c r="AP27" s="107" t="s">
        <v>311</v>
      </c>
      <c r="AQ27" s="107" t="s">
        <v>308</v>
      </c>
      <c r="AR27" s="107" t="s">
        <v>311</v>
      </c>
      <c r="AS27" s="108" t="s">
        <v>308</v>
      </c>
    </row>
    <row r="28" spans="1:45" ht="16" x14ac:dyDescent="0.2">
      <c r="A28" s="16">
        <v>136</v>
      </c>
      <c r="B28" s="16">
        <v>-1</v>
      </c>
      <c r="C28" s="16" t="s">
        <v>103</v>
      </c>
      <c r="D28" s="123" t="s">
        <v>0</v>
      </c>
      <c r="E28" s="16">
        <v>0</v>
      </c>
      <c r="F28" s="121">
        <v>1</v>
      </c>
      <c r="G28" s="158">
        <v>2</v>
      </c>
      <c r="H28" s="138">
        <v>1</v>
      </c>
      <c r="I28" s="123">
        <v>53</v>
      </c>
      <c r="J28" s="123"/>
      <c r="K28" s="123"/>
      <c r="L28" s="125" t="s">
        <v>151</v>
      </c>
      <c r="M28" s="123" t="s">
        <v>327</v>
      </c>
      <c r="N28" s="17" t="s">
        <v>247</v>
      </c>
      <c r="O28" s="17" t="s">
        <v>253</v>
      </c>
      <c r="P28" s="17" t="s">
        <v>270</v>
      </c>
      <c r="Q28" s="17">
        <f t="shared" si="0"/>
        <v>38.008217993079583</v>
      </c>
      <c r="R28" s="17" t="s">
        <v>292</v>
      </c>
      <c r="S28" s="17">
        <v>31</v>
      </c>
      <c r="T28" s="17">
        <v>31</v>
      </c>
      <c r="U28" s="11">
        <v>1</v>
      </c>
      <c r="V28" s="3" t="s">
        <v>155</v>
      </c>
      <c r="W28" s="3">
        <v>-1</v>
      </c>
      <c r="X28" s="12" t="s">
        <v>155</v>
      </c>
      <c r="Y28">
        <v>7</v>
      </c>
      <c r="Z28">
        <v>0</v>
      </c>
      <c r="AA28" s="69">
        <v>7</v>
      </c>
      <c r="AB28" s="107" t="s">
        <v>248</v>
      </c>
      <c r="AC28" s="107" t="s">
        <v>248</v>
      </c>
      <c r="AD28" s="112" t="s">
        <v>248</v>
      </c>
      <c r="AE28" s="114" t="s">
        <v>269</v>
      </c>
      <c r="AF28" s="107" t="s">
        <v>248</v>
      </c>
      <c r="AG28" s="107" t="s">
        <v>248</v>
      </c>
      <c r="AH28" s="107" t="s">
        <v>248</v>
      </c>
      <c r="AI28" s="107" t="s">
        <v>248</v>
      </c>
      <c r="AJ28" s="107" t="s">
        <v>248</v>
      </c>
      <c r="AK28" s="107" t="s">
        <v>308</v>
      </c>
      <c r="AL28" s="107" t="s">
        <v>308</v>
      </c>
      <c r="AM28" s="107" t="s">
        <v>308</v>
      </c>
      <c r="AN28" s="114" t="s">
        <v>311</v>
      </c>
      <c r="AO28" s="107" t="s">
        <v>308</v>
      </c>
      <c r="AP28" s="107" t="s">
        <v>308</v>
      </c>
      <c r="AQ28" s="107" t="s">
        <v>308</v>
      </c>
      <c r="AR28" s="107" t="s">
        <v>308</v>
      </c>
      <c r="AS28" s="108" t="s">
        <v>308</v>
      </c>
    </row>
    <row r="29" spans="1:45" ht="16" x14ac:dyDescent="0.2">
      <c r="A29" s="13">
        <v>137</v>
      </c>
      <c r="B29" s="13">
        <v>1</v>
      </c>
      <c r="C29" s="13" t="s">
        <v>104</v>
      </c>
      <c r="D29" s="124" t="s">
        <v>0</v>
      </c>
      <c r="E29" s="13">
        <v>1</v>
      </c>
      <c r="F29" s="124">
        <v>1</v>
      </c>
      <c r="G29" s="160">
        <v>20</v>
      </c>
      <c r="H29" s="122">
        <v>1</v>
      </c>
      <c r="I29" s="124">
        <v>39</v>
      </c>
      <c r="J29" s="124"/>
      <c r="K29" s="123" t="s">
        <v>150</v>
      </c>
      <c r="L29" s="123" t="s">
        <v>151</v>
      </c>
      <c r="M29" s="123" t="s">
        <v>327</v>
      </c>
      <c r="N29" s="17" t="s">
        <v>244</v>
      </c>
      <c r="O29" s="17" t="s">
        <v>269</v>
      </c>
      <c r="P29" s="17" t="s">
        <v>271</v>
      </c>
      <c r="Q29" s="17">
        <f t="shared" si="0"/>
        <v>26.383936948770877</v>
      </c>
      <c r="R29" s="17" t="s">
        <v>295</v>
      </c>
      <c r="S29" s="17">
        <v>68</v>
      </c>
      <c r="T29" s="17">
        <v>68</v>
      </c>
      <c r="U29" s="11">
        <v>1</v>
      </c>
      <c r="V29" s="3" t="s">
        <v>155</v>
      </c>
      <c r="W29" s="3">
        <v>1</v>
      </c>
      <c r="X29" s="12" t="s">
        <v>224</v>
      </c>
      <c r="Y29" s="3">
        <v>6</v>
      </c>
      <c r="Z29" s="3">
        <v>2</v>
      </c>
      <c r="AA29" s="69">
        <v>4</v>
      </c>
      <c r="AB29" s="107" t="s">
        <v>248</v>
      </c>
      <c r="AC29" s="107" t="s">
        <v>248</v>
      </c>
      <c r="AD29" s="112" t="s">
        <v>248</v>
      </c>
      <c r="AE29" s="114" t="s">
        <v>269</v>
      </c>
      <c r="AF29" s="107" t="s">
        <v>269</v>
      </c>
      <c r="AG29" s="107" t="s">
        <v>269</v>
      </c>
      <c r="AH29" s="107" t="s">
        <v>269</v>
      </c>
      <c r="AI29" s="107" t="s">
        <v>248</v>
      </c>
      <c r="AJ29" s="107" t="s">
        <v>248</v>
      </c>
      <c r="AK29" s="107" t="s">
        <v>308</v>
      </c>
      <c r="AL29" s="107" t="s">
        <v>308</v>
      </c>
      <c r="AM29" s="107" t="s">
        <v>308</v>
      </c>
      <c r="AN29" s="114" t="s">
        <v>312</v>
      </c>
      <c r="AO29" s="107" t="s">
        <v>309</v>
      </c>
      <c r="AP29" s="107" t="s">
        <v>309</v>
      </c>
      <c r="AQ29" s="107" t="s">
        <v>312</v>
      </c>
      <c r="AR29" s="107" t="s">
        <v>308</v>
      </c>
      <c r="AS29" s="108" t="s">
        <v>308</v>
      </c>
    </row>
    <row r="30" spans="1:45" ht="16" x14ac:dyDescent="0.2">
      <c r="A30" s="13">
        <v>140</v>
      </c>
      <c r="B30" s="13">
        <v>-1</v>
      </c>
      <c r="C30" s="13" t="s">
        <v>103</v>
      </c>
      <c r="D30" s="124" t="s">
        <v>0</v>
      </c>
      <c r="E30" s="13">
        <v>1</v>
      </c>
      <c r="F30" s="121">
        <v>1</v>
      </c>
      <c r="G30" s="158">
        <v>20</v>
      </c>
      <c r="H30" s="143">
        <v>1</v>
      </c>
      <c r="I30" s="144">
        <v>38</v>
      </c>
      <c r="J30" s="124"/>
      <c r="K30" s="124" t="s">
        <v>150</v>
      </c>
      <c r="L30" s="123" t="s">
        <v>151</v>
      </c>
      <c r="M30" s="123" t="s">
        <v>327</v>
      </c>
      <c r="N30" s="17" t="s">
        <v>244</v>
      </c>
      <c r="O30" s="17" t="s">
        <v>245</v>
      </c>
      <c r="P30" s="17" t="s">
        <v>272</v>
      </c>
      <c r="Q30" s="17">
        <f t="shared" si="0"/>
        <v>23.495822222222223</v>
      </c>
      <c r="R30" s="17" t="s">
        <v>292</v>
      </c>
      <c r="S30" s="17">
        <v>111</v>
      </c>
      <c r="T30" s="17">
        <v>111</v>
      </c>
      <c r="U30" s="11">
        <v>1</v>
      </c>
      <c r="V30" s="3" t="s">
        <v>155</v>
      </c>
      <c r="W30" s="3">
        <v>-1</v>
      </c>
      <c r="X30" s="12" t="s">
        <v>155</v>
      </c>
      <c r="Y30" s="79">
        <v>4</v>
      </c>
      <c r="Z30" s="79">
        <v>4</v>
      </c>
      <c r="AA30" s="69">
        <v>7</v>
      </c>
      <c r="AB30" s="107" t="s">
        <v>248</v>
      </c>
      <c r="AC30" s="107" t="s">
        <v>248</v>
      </c>
      <c r="AD30" s="112" t="s">
        <v>248</v>
      </c>
      <c r="AE30" s="114" t="s">
        <v>269</v>
      </c>
      <c r="AF30" s="107" t="s">
        <v>269</v>
      </c>
      <c r="AG30" s="107" t="s">
        <v>269</v>
      </c>
      <c r="AH30" s="107" t="s">
        <v>248</v>
      </c>
      <c r="AI30" s="107" t="s">
        <v>248</v>
      </c>
      <c r="AJ30" s="107" t="s">
        <v>248</v>
      </c>
      <c r="AK30" s="107" t="s">
        <v>308</v>
      </c>
      <c r="AL30" s="107" t="s">
        <v>308</v>
      </c>
      <c r="AM30" s="107" t="s">
        <v>308</v>
      </c>
      <c r="AN30" s="114" t="s">
        <v>310</v>
      </c>
      <c r="AO30" s="107" t="s">
        <v>309</v>
      </c>
      <c r="AP30" s="107" t="s">
        <v>311</v>
      </c>
      <c r="AQ30" s="107" t="s">
        <v>308</v>
      </c>
      <c r="AR30" s="107" t="s">
        <v>308</v>
      </c>
      <c r="AS30" s="108" t="s">
        <v>308</v>
      </c>
    </row>
    <row r="31" spans="1:45" ht="16" x14ac:dyDescent="0.2">
      <c r="A31" s="15">
        <v>141</v>
      </c>
      <c r="B31" s="15">
        <v>1</v>
      </c>
      <c r="C31" s="15" t="s">
        <v>104</v>
      </c>
      <c r="D31" s="124" t="s">
        <v>0</v>
      </c>
      <c r="E31" s="15">
        <v>0</v>
      </c>
      <c r="F31" s="124">
        <v>1</v>
      </c>
      <c r="G31" s="160">
        <v>16</v>
      </c>
      <c r="H31" s="130">
        <v>1</v>
      </c>
      <c r="I31" s="124">
        <v>34</v>
      </c>
      <c r="J31" s="124"/>
      <c r="K31" s="124" t="s">
        <v>153</v>
      </c>
      <c r="L31" s="156" t="s">
        <v>332</v>
      </c>
      <c r="M31" s="137" t="s">
        <v>328</v>
      </c>
      <c r="N31" s="17" t="s">
        <v>247</v>
      </c>
      <c r="O31" s="17" t="s">
        <v>244</v>
      </c>
      <c r="P31" s="17" t="s">
        <v>270</v>
      </c>
      <c r="Q31" s="17">
        <f t="shared" si="0"/>
        <v>40.346648301193753</v>
      </c>
      <c r="R31" s="17" t="s">
        <v>292</v>
      </c>
      <c r="S31" s="17">
        <v>100</v>
      </c>
      <c r="T31" s="17">
        <v>100</v>
      </c>
      <c r="U31" s="11">
        <v>1</v>
      </c>
      <c r="V31" s="3" t="s">
        <v>155</v>
      </c>
      <c r="W31" s="3">
        <v>-1</v>
      </c>
      <c r="X31" s="12" t="s">
        <v>155</v>
      </c>
      <c r="Y31" s="3">
        <v>6</v>
      </c>
      <c r="Z31" s="3">
        <v>3</v>
      </c>
      <c r="AA31" s="69">
        <v>4</v>
      </c>
      <c r="AB31" s="107" t="s">
        <v>248</v>
      </c>
      <c r="AC31" s="107" t="s">
        <v>248</v>
      </c>
      <c r="AD31" s="112" t="s">
        <v>248</v>
      </c>
      <c r="AE31" s="114" t="s">
        <v>269</v>
      </c>
      <c r="AF31" s="107" t="s">
        <v>269</v>
      </c>
      <c r="AG31" s="107" t="s">
        <v>269</v>
      </c>
      <c r="AH31" s="107" t="s">
        <v>269</v>
      </c>
      <c r="AI31" s="107" t="s">
        <v>269</v>
      </c>
      <c r="AJ31" s="107" t="s">
        <v>248</v>
      </c>
      <c r="AK31" s="107" t="s">
        <v>308</v>
      </c>
      <c r="AL31" s="107" t="s">
        <v>308</v>
      </c>
      <c r="AM31" s="107" t="s">
        <v>308</v>
      </c>
      <c r="AN31" s="114" t="s">
        <v>310</v>
      </c>
      <c r="AO31" s="107" t="s">
        <v>312</v>
      </c>
      <c r="AP31" s="107" t="s">
        <v>310</v>
      </c>
      <c r="AQ31" s="107" t="s">
        <v>312</v>
      </c>
      <c r="AR31" s="107" t="s">
        <v>310</v>
      </c>
      <c r="AS31" s="108" t="s">
        <v>308</v>
      </c>
    </row>
    <row r="32" spans="1:45" ht="16" x14ac:dyDescent="0.2">
      <c r="A32" s="13">
        <v>142</v>
      </c>
      <c r="B32" s="13">
        <v>-1</v>
      </c>
      <c r="C32" s="13" t="s">
        <v>103</v>
      </c>
      <c r="D32" s="124" t="s">
        <v>152</v>
      </c>
      <c r="E32" s="13">
        <v>1</v>
      </c>
      <c r="F32" s="124">
        <v>1</v>
      </c>
      <c r="G32" s="158">
        <v>3</v>
      </c>
      <c r="H32" s="122">
        <v>2</v>
      </c>
      <c r="I32" s="124">
        <v>38</v>
      </c>
      <c r="J32" s="124"/>
      <c r="K32" s="124" t="s">
        <v>150</v>
      </c>
      <c r="L32" s="123" t="s">
        <v>151</v>
      </c>
      <c r="M32" s="123" t="s">
        <v>327</v>
      </c>
      <c r="N32" s="17" t="s">
        <v>247</v>
      </c>
      <c r="O32" s="17" t="s">
        <v>253</v>
      </c>
      <c r="P32" s="17" t="s">
        <v>271</v>
      </c>
      <c r="Q32" s="17">
        <f t="shared" si="0"/>
        <v>30.406574394463664</v>
      </c>
      <c r="R32" s="17" t="s">
        <v>292</v>
      </c>
      <c r="S32" s="17">
        <v>170</v>
      </c>
      <c r="T32" s="17">
        <v>170</v>
      </c>
      <c r="U32" s="11">
        <v>4</v>
      </c>
      <c r="V32" s="3" t="s">
        <v>155</v>
      </c>
      <c r="W32" s="3">
        <v>-1</v>
      </c>
      <c r="X32" s="12" t="s">
        <v>155</v>
      </c>
      <c r="Y32">
        <v>7</v>
      </c>
      <c r="Z32">
        <v>0</v>
      </c>
      <c r="AA32" s="69">
        <v>7</v>
      </c>
      <c r="AB32" s="107" t="s">
        <v>269</v>
      </c>
      <c r="AC32" s="107" t="s">
        <v>248</v>
      </c>
      <c r="AD32" s="112" t="s">
        <v>248</v>
      </c>
      <c r="AE32" s="114" t="s">
        <v>269</v>
      </c>
      <c r="AF32" s="107" t="s">
        <v>248</v>
      </c>
      <c r="AG32" s="107" t="s">
        <v>269</v>
      </c>
      <c r="AH32" s="107" t="s">
        <v>269</v>
      </c>
      <c r="AI32" s="107" t="s">
        <v>248</v>
      </c>
      <c r="AJ32" s="107" t="s">
        <v>269</v>
      </c>
      <c r="AK32" s="107" t="s">
        <v>309</v>
      </c>
      <c r="AL32" s="107" t="s">
        <v>308</v>
      </c>
      <c r="AM32" s="107" t="s">
        <v>308</v>
      </c>
      <c r="AN32" s="114" t="s">
        <v>312</v>
      </c>
      <c r="AO32" s="107" t="s">
        <v>308</v>
      </c>
      <c r="AP32" s="107" t="s">
        <v>311</v>
      </c>
      <c r="AQ32" s="107" t="s">
        <v>312</v>
      </c>
      <c r="AR32" s="107" t="s">
        <v>308</v>
      </c>
      <c r="AS32" s="108" t="s">
        <v>312</v>
      </c>
    </row>
    <row r="33" spans="1:45" ht="16" customHeight="1" x14ac:dyDescent="0.2">
      <c r="A33" s="13">
        <v>143</v>
      </c>
      <c r="B33" s="13">
        <v>1</v>
      </c>
      <c r="C33" s="13" t="s">
        <v>104</v>
      </c>
      <c r="D33" s="124" t="s">
        <v>152</v>
      </c>
      <c r="E33" s="13">
        <v>1</v>
      </c>
      <c r="F33" s="123">
        <v>1</v>
      </c>
      <c r="G33" s="160">
        <v>19</v>
      </c>
      <c r="H33" s="122">
        <v>2</v>
      </c>
      <c r="I33" s="124">
        <v>37</v>
      </c>
      <c r="J33" s="124"/>
      <c r="K33" s="124"/>
      <c r="L33" s="123" t="s">
        <v>151</v>
      </c>
      <c r="M33" s="124" t="s">
        <v>327</v>
      </c>
      <c r="N33" s="17" t="s">
        <v>247</v>
      </c>
      <c r="O33" s="17" t="s">
        <v>273</v>
      </c>
      <c r="P33" s="17" t="s">
        <v>249</v>
      </c>
      <c r="Q33" s="17">
        <f t="shared" si="0"/>
        <v>25.603537981269511</v>
      </c>
      <c r="R33" s="17" t="s">
        <v>293</v>
      </c>
      <c r="S33" s="17">
        <v>58</v>
      </c>
      <c r="T33" s="17">
        <v>58</v>
      </c>
      <c r="U33" s="11">
        <v>1</v>
      </c>
      <c r="V33" s="3" t="s">
        <v>155</v>
      </c>
      <c r="W33" s="3">
        <v>-1</v>
      </c>
      <c r="X33" s="12" t="s">
        <v>155</v>
      </c>
      <c r="Y33" s="3">
        <v>6</v>
      </c>
      <c r="Z33" s="3">
        <v>2</v>
      </c>
      <c r="AA33" s="69">
        <v>4</v>
      </c>
      <c r="AB33" s="107" t="s">
        <v>248</v>
      </c>
      <c r="AC33" s="107" t="s">
        <v>269</v>
      </c>
      <c r="AD33" s="112" t="s">
        <v>248</v>
      </c>
      <c r="AE33" s="114" t="s">
        <v>269</v>
      </c>
      <c r="AF33" s="107" t="s">
        <v>248</v>
      </c>
      <c r="AG33" s="107" t="s">
        <v>269</v>
      </c>
      <c r="AH33" s="107" t="s">
        <v>269</v>
      </c>
      <c r="AI33" s="107" t="s">
        <v>248</v>
      </c>
      <c r="AJ33" s="107" t="s">
        <v>248</v>
      </c>
      <c r="AK33" s="107" t="s">
        <v>308</v>
      </c>
      <c r="AL33" s="107" t="s">
        <v>309</v>
      </c>
      <c r="AM33" s="107" t="s">
        <v>308</v>
      </c>
      <c r="AN33" s="114" t="s">
        <v>309</v>
      </c>
      <c r="AO33" s="107" t="s">
        <v>308</v>
      </c>
      <c r="AP33" s="107" t="s">
        <v>309</v>
      </c>
      <c r="AQ33" s="107" t="s">
        <v>311</v>
      </c>
      <c r="AR33" s="107" t="s">
        <v>308</v>
      </c>
      <c r="AS33" s="108" t="s">
        <v>308</v>
      </c>
    </row>
    <row r="34" spans="1:45" ht="16" x14ac:dyDescent="0.2">
      <c r="A34" s="14">
        <v>144</v>
      </c>
      <c r="B34" s="14">
        <v>1</v>
      </c>
      <c r="C34" s="14" t="s">
        <v>104</v>
      </c>
      <c r="D34" s="124" t="s">
        <v>0</v>
      </c>
      <c r="E34" s="14">
        <v>0</v>
      </c>
      <c r="F34" s="121">
        <v>1</v>
      </c>
      <c r="G34" s="158">
        <v>9</v>
      </c>
      <c r="H34" s="126">
        <v>1</v>
      </c>
      <c r="I34" s="124">
        <v>28</v>
      </c>
      <c r="J34" s="124"/>
      <c r="K34" s="124" t="s">
        <v>150</v>
      </c>
      <c r="L34" s="123" t="s">
        <v>151</v>
      </c>
      <c r="M34" s="155" t="s">
        <v>329</v>
      </c>
      <c r="N34" s="17" t="s">
        <v>155</v>
      </c>
      <c r="O34" s="17" t="s">
        <v>155</v>
      </c>
      <c r="P34" s="17" t="s">
        <v>155</v>
      </c>
      <c r="Q34" s="17" t="str">
        <f t="shared" si="0"/>
        <v>NaN</v>
      </c>
      <c r="R34" s="17" t="s">
        <v>155</v>
      </c>
      <c r="S34" s="17" t="s">
        <v>155</v>
      </c>
      <c r="T34" s="17" t="s">
        <v>155</v>
      </c>
      <c r="U34" s="11">
        <v>1</v>
      </c>
      <c r="V34" s="3" t="s">
        <v>155</v>
      </c>
      <c r="W34" s="3">
        <v>1</v>
      </c>
      <c r="X34" s="12" t="s">
        <v>225</v>
      </c>
      <c r="Y34" s="3" t="s">
        <v>155</v>
      </c>
      <c r="Z34" s="3" t="s">
        <v>155</v>
      </c>
      <c r="AA34" s="69">
        <v>4</v>
      </c>
      <c r="AB34" s="107" t="s">
        <v>248</v>
      </c>
      <c r="AC34" s="107" t="s">
        <v>248</v>
      </c>
      <c r="AD34" s="112" t="s">
        <v>248</v>
      </c>
      <c r="AE34" s="114" t="s">
        <v>248</v>
      </c>
      <c r="AF34" s="107" t="s">
        <v>269</v>
      </c>
      <c r="AG34" s="107" t="s">
        <v>248</v>
      </c>
      <c r="AH34" s="107" t="s">
        <v>248</v>
      </c>
      <c r="AI34" s="107" t="s">
        <v>248</v>
      </c>
      <c r="AJ34" s="107" t="s">
        <v>248</v>
      </c>
      <c r="AK34" s="107" t="s">
        <v>308</v>
      </c>
      <c r="AL34" s="107" t="s">
        <v>308</v>
      </c>
      <c r="AM34" s="107" t="s">
        <v>308</v>
      </c>
      <c r="AN34" s="114" t="s">
        <v>308</v>
      </c>
      <c r="AO34" s="107" t="s">
        <v>309</v>
      </c>
      <c r="AP34" s="107" t="s">
        <v>308</v>
      </c>
      <c r="AQ34" s="107" t="s">
        <v>308</v>
      </c>
      <c r="AR34" s="107" t="s">
        <v>308</v>
      </c>
      <c r="AS34" s="108" t="s">
        <v>308</v>
      </c>
    </row>
    <row r="35" spans="1:45" ht="16" x14ac:dyDescent="0.2">
      <c r="A35" s="13">
        <v>145</v>
      </c>
      <c r="B35" s="13">
        <v>-1</v>
      </c>
      <c r="C35" s="13" t="s">
        <v>103</v>
      </c>
      <c r="D35" s="123" t="s">
        <v>0</v>
      </c>
      <c r="E35" s="13">
        <v>1</v>
      </c>
      <c r="F35" s="124">
        <v>1</v>
      </c>
      <c r="G35" s="158">
        <v>5</v>
      </c>
      <c r="H35" s="143">
        <v>1</v>
      </c>
      <c r="I35" s="145">
        <v>39</v>
      </c>
      <c r="J35" s="123"/>
      <c r="K35" s="124" t="s">
        <v>150</v>
      </c>
      <c r="L35" s="123" t="s">
        <v>151</v>
      </c>
      <c r="M35" s="124" t="s">
        <v>327</v>
      </c>
      <c r="N35" s="17" t="s">
        <v>244</v>
      </c>
      <c r="O35" s="17" t="s">
        <v>273</v>
      </c>
      <c r="P35" s="17" t="s">
        <v>274</v>
      </c>
      <c r="Q35" s="17">
        <f t="shared" si="0"/>
        <v>31.966216216216214</v>
      </c>
      <c r="R35" s="17" t="s">
        <v>293</v>
      </c>
      <c r="S35" s="17">
        <v>250</v>
      </c>
      <c r="T35" s="17">
        <v>250</v>
      </c>
      <c r="U35" s="11">
        <v>1</v>
      </c>
      <c r="V35" s="3" t="s">
        <v>155</v>
      </c>
      <c r="W35" s="3">
        <v>-1</v>
      </c>
      <c r="X35" s="12" t="s">
        <v>155</v>
      </c>
      <c r="Y35" t="s">
        <v>155</v>
      </c>
      <c r="Z35" t="s">
        <v>155</v>
      </c>
      <c r="AA35" s="69">
        <v>7</v>
      </c>
      <c r="AB35" s="107" t="s">
        <v>248</v>
      </c>
      <c r="AC35" s="107" t="s">
        <v>248</v>
      </c>
      <c r="AD35" s="112" t="s">
        <v>248</v>
      </c>
      <c r="AE35" s="114" t="s">
        <v>269</v>
      </c>
      <c r="AF35" s="107" t="s">
        <v>248</v>
      </c>
      <c r="AG35" s="107" t="s">
        <v>269</v>
      </c>
      <c r="AH35" s="107" t="s">
        <v>269</v>
      </c>
      <c r="AI35" s="107" t="s">
        <v>269</v>
      </c>
      <c r="AJ35" s="107" t="s">
        <v>248</v>
      </c>
      <c r="AK35" s="107" t="s">
        <v>308</v>
      </c>
      <c r="AL35" s="107" t="s">
        <v>308</v>
      </c>
      <c r="AM35" s="107" t="s">
        <v>308</v>
      </c>
      <c r="AN35" s="114" t="s">
        <v>311</v>
      </c>
      <c r="AO35" s="107" t="s">
        <v>308</v>
      </c>
      <c r="AP35" s="107" t="s">
        <v>311</v>
      </c>
      <c r="AQ35" s="107" t="s">
        <v>311</v>
      </c>
      <c r="AR35" s="107" t="s">
        <v>310</v>
      </c>
      <c r="AS35" s="108" t="s">
        <v>308</v>
      </c>
    </row>
    <row r="36" spans="1:45" ht="16" x14ac:dyDescent="0.2">
      <c r="A36" s="13">
        <v>146</v>
      </c>
      <c r="B36" s="13">
        <v>1</v>
      </c>
      <c r="C36" s="13" t="s">
        <v>104</v>
      </c>
      <c r="D36" s="124" t="s">
        <v>152</v>
      </c>
      <c r="E36" s="13">
        <v>1</v>
      </c>
      <c r="F36" s="124">
        <v>1</v>
      </c>
      <c r="G36" s="160">
        <v>5.5</v>
      </c>
      <c r="H36" s="122">
        <v>2</v>
      </c>
      <c r="I36" s="124">
        <v>36</v>
      </c>
      <c r="J36" s="124"/>
      <c r="K36" s="123" t="s">
        <v>153</v>
      </c>
      <c r="L36" s="125" t="s">
        <v>151</v>
      </c>
      <c r="M36" s="154" t="s">
        <v>328</v>
      </c>
      <c r="N36" s="17" t="s">
        <v>247</v>
      </c>
      <c r="O36" s="17" t="s">
        <v>248</v>
      </c>
      <c r="P36" s="17" t="s">
        <v>275</v>
      </c>
      <c r="Q36" s="17">
        <f t="shared" si="0"/>
        <v>17.574999999999999</v>
      </c>
      <c r="R36" s="17" t="s">
        <v>293</v>
      </c>
      <c r="S36" s="32"/>
      <c r="T36" s="32">
        <v>0</v>
      </c>
      <c r="U36" s="11">
        <v>8</v>
      </c>
      <c r="V36" s="3" t="s">
        <v>155</v>
      </c>
      <c r="W36" s="3">
        <v>1</v>
      </c>
      <c r="X36" s="12" t="s">
        <v>226</v>
      </c>
      <c r="Y36" s="3">
        <v>4</v>
      </c>
      <c r="Z36" s="3">
        <v>5</v>
      </c>
      <c r="AA36" s="69">
        <v>4</v>
      </c>
      <c r="AB36" s="107" t="s">
        <v>248</v>
      </c>
      <c r="AC36" s="107" t="s">
        <v>248</v>
      </c>
      <c r="AD36" s="112"/>
      <c r="AE36" s="114" t="s">
        <v>269</v>
      </c>
      <c r="AF36" s="107" t="s">
        <v>269</v>
      </c>
      <c r="AG36" s="107" t="s">
        <v>248</v>
      </c>
      <c r="AH36" s="107" t="s">
        <v>269</v>
      </c>
      <c r="AI36" s="107" t="s">
        <v>248</v>
      </c>
      <c r="AJ36" s="107" t="s">
        <v>248</v>
      </c>
      <c r="AK36" s="107" t="s">
        <v>308</v>
      </c>
      <c r="AL36" s="107" t="s">
        <v>308</v>
      </c>
      <c r="AM36" s="107" t="s">
        <v>307</v>
      </c>
      <c r="AN36" s="114" t="s">
        <v>312</v>
      </c>
      <c r="AO36" s="107" t="s">
        <v>309</v>
      </c>
      <c r="AP36" s="107" t="s">
        <v>308</v>
      </c>
      <c r="AQ36" s="107" t="s">
        <v>312</v>
      </c>
      <c r="AR36" s="107" t="s">
        <v>308</v>
      </c>
      <c r="AS36" s="108" t="s">
        <v>308</v>
      </c>
    </row>
    <row r="37" spans="1:45" ht="16" x14ac:dyDescent="0.2">
      <c r="A37" s="13">
        <v>148</v>
      </c>
      <c r="B37" s="13">
        <v>-1</v>
      </c>
      <c r="C37" s="13" t="s">
        <v>103</v>
      </c>
      <c r="D37" s="124" t="s">
        <v>152</v>
      </c>
      <c r="E37" s="13">
        <v>1</v>
      </c>
      <c r="F37" s="123">
        <v>1</v>
      </c>
      <c r="G37" s="158">
        <v>15</v>
      </c>
      <c r="H37" s="143">
        <v>2</v>
      </c>
      <c r="I37" s="144">
        <v>25</v>
      </c>
      <c r="J37" s="124"/>
      <c r="K37" s="123" t="s">
        <v>150</v>
      </c>
      <c r="L37" s="123" t="s">
        <v>151</v>
      </c>
      <c r="M37" s="137" t="s">
        <v>328</v>
      </c>
      <c r="N37" s="17" t="s">
        <v>247</v>
      </c>
      <c r="O37" s="17" t="s">
        <v>273</v>
      </c>
      <c r="P37" s="17" t="s">
        <v>276</v>
      </c>
      <c r="Q37" s="17">
        <f t="shared" si="0"/>
        <v>29.334339229968784</v>
      </c>
      <c r="R37" s="17" t="s">
        <v>292</v>
      </c>
      <c r="S37" s="17">
        <v>49</v>
      </c>
      <c r="T37" s="17">
        <v>49</v>
      </c>
      <c r="U37" s="11">
        <v>1</v>
      </c>
      <c r="V37" s="3" t="s">
        <v>155</v>
      </c>
      <c r="W37" s="3">
        <v>1</v>
      </c>
      <c r="X37" s="12" t="s">
        <v>227</v>
      </c>
      <c r="Y37" t="s">
        <v>155</v>
      </c>
      <c r="Z37" t="s">
        <v>155</v>
      </c>
      <c r="AA37" s="69">
        <v>7</v>
      </c>
      <c r="AB37" s="107" t="s">
        <v>248</v>
      </c>
      <c r="AC37" s="107" t="s">
        <v>248</v>
      </c>
      <c r="AD37" s="112" t="s">
        <v>248</v>
      </c>
      <c r="AE37" s="114" t="s">
        <v>269</v>
      </c>
      <c r="AF37" s="107" t="s">
        <v>269</v>
      </c>
      <c r="AG37" s="107" t="s">
        <v>248</v>
      </c>
      <c r="AH37" s="107" t="s">
        <v>248</v>
      </c>
      <c r="AI37" s="107" t="s">
        <v>269</v>
      </c>
      <c r="AJ37" s="107" t="s">
        <v>248</v>
      </c>
      <c r="AK37" s="107" t="s">
        <v>308</v>
      </c>
      <c r="AL37" s="107" t="s">
        <v>308</v>
      </c>
      <c r="AM37" s="107" t="s">
        <v>308</v>
      </c>
      <c r="AN37" s="114" t="s">
        <v>312</v>
      </c>
      <c r="AO37" s="107" t="s">
        <v>309</v>
      </c>
      <c r="AP37" s="107" t="s">
        <v>308</v>
      </c>
      <c r="AQ37" s="107" t="s">
        <v>308</v>
      </c>
      <c r="AR37" s="107" t="s">
        <v>312</v>
      </c>
      <c r="AS37" s="108" t="s">
        <v>308</v>
      </c>
    </row>
    <row r="38" spans="1:45" ht="16" x14ac:dyDescent="0.2">
      <c r="A38" s="13">
        <v>150</v>
      </c>
      <c r="B38" s="13">
        <v>1</v>
      </c>
      <c r="C38" s="13" t="s">
        <v>104</v>
      </c>
      <c r="D38" s="124" t="s">
        <v>0</v>
      </c>
      <c r="E38" s="13">
        <v>1</v>
      </c>
      <c r="F38" s="121">
        <v>1</v>
      </c>
      <c r="G38" s="158">
        <v>10</v>
      </c>
      <c r="H38" s="146">
        <v>1</v>
      </c>
      <c r="I38" s="124">
        <v>33</v>
      </c>
      <c r="J38" s="124"/>
      <c r="K38" s="124" t="s">
        <v>150</v>
      </c>
      <c r="L38" s="123" t="s">
        <v>151</v>
      </c>
      <c r="M38" s="124" t="s">
        <v>327</v>
      </c>
      <c r="N38" s="17" t="s">
        <v>244</v>
      </c>
      <c r="O38" s="17" t="s">
        <v>248</v>
      </c>
      <c r="P38" s="17" t="s">
        <v>277</v>
      </c>
      <c r="Q38" s="17">
        <f t="shared" si="0"/>
        <v>26.579475308641975</v>
      </c>
      <c r="R38" s="17" t="s">
        <v>292</v>
      </c>
      <c r="S38" s="17">
        <v>52</v>
      </c>
      <c r="T38" s="17">
        <v>52</v>
      </c>
      <c r="U38" s="11">
        <v>1</v>
      </c>
      <c r="V38" s="3" t="s">
        <v>155</v>
      </c>
      <c r="W38" s="3">
        <v>-1</v>
      </c>
      <c r="X38" s="12" t="s">
        <v>155</v>
      </c>
      <c r="Y38" s="3">
        <v>6</v>
      </c>
      <c r="Z38" s="3">
        <v>2</v>
      </c>
      <c r="AA38" s="69">
        <v>4</v>
      </c>
      <c r="AB38" s="107" t="s">
        <v>248</v>
      </c>
      <c r="AC38" s="107" t="s">
        <v>248</v>
      </c>
      <c r="AD38" s="112" t="s">
        <v>248</v>
      </c>
      <c r="AE38" s="114" t="s">
        <v>269</v>
      </c>
      <c r="AF38" s="107" t="s">
        <v>269</v>
      </c>
      <c r="AG38" s="107" t="s">
        <v>248</v>
      </c>
      <c r="AH38" s="107" t="s">
        <v>269</v>
      </c>
      <c r="AI38" s="107" t="s">
        <v>269</v>
      </c>
      <c r="AJ38" s="107" t="s">
        <v>248</v>
      </c>
      <c r="AK38" s="107" t="s">
        <v>308</v>
      </c>
      <c r="AL38" s="107" t="s">
        <v>308</v>
      </c>
      <c r="AM38" s="107" t="s">
        <v>308</v>
      </c>
      <c r="AN38" s="114" t="s">
        <v>312</v>
      </c>
      <c r="AO38" s="107" t="s">
        <v>312</v>
      </c>
      <c r="AP38" s="107" t="s">
        <v>308</v>
      </c>
      <c r="AQ38" s="107" t="s">
        <v>312</v>
      </c>
      <c r="AR38" s="107" t="s">
        <v>312</v>
      </c>
      <c r="AS38" s="108" t="s">
        <v>308</v>
      </c>
    </row>
    <row r="39" spans="1:45" ht="16" x14ac:dyDescent="0.2">
      <c r="A39" s="13">
        <v>152</v>
      </c>
      <c r="B39" s="13">
        <v>-1</v>
      </c>
      <c r="C39" s="13" t="s">
        <v>103</v>
      </c>
      <c r="D39" s="124" t="s">
        <v>0</v>
      </c>
      <c r="E39" s="13">
        <v>1</v>
      </c>
      <c r="F39" s="124">
        <v>1</v>
      </c>
      <c r="G39" s="158">
        <v>2</v>
      </c>
      <c r="H39" s="122">
        <v>1</v>
      </c>
      <c r="I39" s="139">
        <v>24</v>
      </c>
      <c r="J39" s="124"/>
      <c r="K39" s="124" t="s">
        <v>150</v>
      </c>
      <c r="L39" s="123" t="s">
        <v>151</v>
      </c>
      <c r="M39" s="155" t="s">
        <v>329</v>
      </c>
      <c r="N39" s="17" t="s">
        <v>155</v>
      </c>
      <c r="O39" s="17" t="s">
        <v>155</v>
      </c>
      <c r="P39" s="17" t="s">
        <v>155</v>
      </c>
      <c r="Q39" s="17" t="str">
        <f t="shared" si="0"/>
        <v>NaN</v>
      </c>
      <c r="R39" s="17" t="s">
        <v>155</v>
      </c>
      <c r="S39" s="17" t="s">
        <v>155</v>
      </c>
      <c r="T39" s="17" t="s">
        <v>155</v>
      </c>
      <c r="U39" s="11">
        <v>1</v>
      </c>
      <c r="V39" s="3" t="s">
        <v>155</v>
      </c>
      <c r="W39" s="3">
        <v>-1</v>
      </c>
      <c r="X39" s="12" t="s">
        <v>155</v>
      </c>
      <c r="Y39" t="s">
        <v>155</v>
      </c>
      <c r="Z39" t="s">
        <v>155</v>
      </c>
      <c r="AA39" s="69">
        <v>7</v>
      </c>
      <c r="AB39" s="107"/>
      <c r="AC39" s="107"/>
      <c r="AD39" s="112"/>
      <c r="AE39" s="114"/>
      <c r="AF39" s="107" t="s">
        <v>248</v>
      </c>
      <c r="AG39" s="107"/>
      <c r="AH39" s="107"/>
      <c r="AI39" s="107"/>
      <c r="AJ39" s="107" t="s">
        <v>248</v>
      </c>
      <c r="AK39" s="107"/>
      <c r="AL39" s="107"/>
      <c r="AM39" s="107"/>
      <c r="AN39" s="114"/>
      <c r="AO39" s="107"/>
      <c r="AP39" s="107"/>
      <c r="AQ39" s="107"/>
      <c r="AR39" s="107"/>
      <c r="AS39" s="108"/>
    </row>
    <row r="40" spans="1:45" ht="16" x14ac:dyDescent="0.2">
      <c r="A40" s="13">
        <v>155</v>
      </c>
      <c r="B40" s="13">
        <v>1</v>
      </c>
      <c r="C40" s="13" t="s">
        <v>104</v>
      </c>
      <c r="D40" s="124" t="s">
        <v>0</v>
      </c>
      <c r="E40" s="13">
        <v>1</v>
      </c>
      <c r="F40" s="124">
        <v>1</v>
      </c>
      <c r="G40" s="158">
        <v>0.75</v>
      </c>
      <c r="H40" s="122">
        <v>1</v>
      </c>
      <c r="I40" s="124">
        <v>57</v>
      </c>
      <c r="J40" s="124"/>
      <c r="K40" s="124" t="s">
        <v>150</v>
      </c>
      <c r="L40" s="123" t="s">
        <v>151</v>
      </c>
      <c r="M40" s="124" t="s">
        <v>327</v>
      </c>
      <c r="N40" s="17" t="s">
        <v>247</v>
      </c>
      <c r="O40" s="17" t="s">
        <v>278</v>
      </c>
      <c r="P40" s="17" t="s">
        <v>267</v>
      </c>
      <c r="Q40" s="17">
        <f t="shared" si="0"/>
        <v>30.845918367346936</v>
      </c>
      <c r="R40" s="17" t="s">
        <v>292</v>
      </c>
      <c r="S40" s="17">
        <v>120</v>
      </c>
      <c r="T40" s="17">
        <v>120</v>
      </c>
      <c r="U40" s="11">
        <v>1</v>
      </c>
      <c r="V40" s="3" t="s">
        <v>155</v>
      </c>
      <c r="W40" s="3">
        <v>-1</v>
      </c>
      <c r="X40" s="12" t="s">
        <v>155</v>
      </c>
      <c r="Y40" s="3">
        <v>7</v>
      </c>
      <c r="Z40" s="3">
        <v>1</v>
      </c>
      <c r="AA40" s="69">
        <v>4</v>
      </c>
      <c r="AB40" s="107" t="s">
        <v>248</v>
      </c>
      <c r="AC40" s="107" t="s">
        <v>248</v>
      </c>
      <c r="AD40" s="112" t="s">
        <v>248</v>
      </c>
      <c r="AE40" s="114" t="s">
        <v>269</v>
      </c>
      <c r="AF40" s="107" t="s">
        <v>248</v>
      </c>
      <c r="AG40" s="107" t="s">
        <v>248</v>
      </c>
      <c r="AH40" s="107" t="s">
        <v>248</v>
      </c>
      <c r="AI40" s="107" t="s">
        <v>248</v>
      </c>
      <c r="AJ40" s="107" t="s">
        <v>248</v>
      </c>
      <c r="AK40" s="107" t="s">
        <v>308</v>
      </c>
      <c r="AL40" s="107" t="s">
        <v>308</v>
      </c>
      <c r="AM40" s="107" t="s">
        <v>308</v>
      </c>
      <c r="AN40" s="114" t="s">
        <v>312</v>
      </c>
      <c r="AO40" s="107" t="s">
        <v>308</v>
      </c>
      <c r="AP40" s="107" t="s">
        <v>308</v>
      </c>
      <c r="AQ40" s="107" t="s">
        <v>308</v>
      </c>
      <c r="AR40" s="107" t="s">
        <v>308</v>
      </c>
      <c r="AS40" s="108" t="s">
        <v>308</v>
      </c>
    </row>
    <row r="41" spans="1:45" ht="14" customHeight="1" x14ac:dyDescent="0.2">
      <c r="A41" s="13">
        <v>156</v>
      </c>
      <c r="B41" s="13">
        <v>-1</v>
      </c>
      <c r="C41" s="13" t="s">
        <v>103</v>
      </c>
      <c r="D41" s="124" t="s">
        <v>0</v>
      </c>
      <c r="E41" s="13">
        <v>1</v>
      </c>
      <c r="F41" s="123">
        <v>1</v>
      </c>
      <c r="G41" s="158">
        <v>12</v>
      </c>
      <c r="H41" s="122">
        <v>1</v>
      </c>
      <c r="I41" s="124">
        <v>33</v>
      </c>
      <c r="J41" s="124"/>
      <c r="K41" s="124" t="s">
        <v>150</v>
      </c>
      <c r="L41" s="123" t="s">
        <v>151</v>
      </c>
      <c r="M41" s="155" t="s">
        <v>329</v>
      </c>
      <c r="N41" s="17" t="s">
        <v>155</v>
      </c>
      <c r="O41" s="17" t="s">
        <v>155</v>
      </c>
      <c r="P41" s="17" t="s">
        <v>155</v>
      </c>
      <c r="Q41" s="17" t="str">
        <f t="shared" si="0"/>
        <v>NaN</v>
      </c>
      <c r="R41" s="17" t="s">
        <v>155</v>
      </c>
      <c r="S41" s="17" t="s">
        <v>155</v>
      </c>
      <c r="T41" s="17" t="s">
        <v>155</v>
      </c>
      <c r="U41" s="11">
        <v>5</v>
      </c>
      <c r="V41" s="3" t="s">
        <v>155</v>
      </c>
      <c r="W41" s="3">
        <v>1</v>
      </c>
      <c r="X41" s="12" t="s">
        <v>228</v>
      </c>
      <c r="Y41" t="s">
        <v>155</v>
      </c>
      <c r="Z41" t="s">
        <v>155</v>
      </c>
      <c r="AA41" s="69">
        <v>7</v>
      </c>
      <c r="AB41" s="107" t="s">
        <v>269</v>
      </c>
      <c r="AC41" s="107" t="s">
        <v>248</v>
      </c>
      <c r="AD41" s="112" t="s">
        <v>269</v>
      </c>
      <c r="AE41" s="114" t="s">
        <v>269</v>
      </c>
      <c r="AF41" s="107" t="s">
        <v>269</v>
      </c>
      <c r="AG41" s="107" t="s">
        <v>269</v>
      </c>
      <c r="AH41" s="107" t="s">
        <v>248</v>
      </c>
      <c r="AI41" s="107" t="s">
        <v>269</v>
      </c>
      <c r="AJ41" s="107" t="s">
        <v>248</v>
      </c>
      <c r="AK41" s="107" t="s">
        <v>310</v>
      </c>
      <c r="AL41" s="107" t="s">
        <v>308</v>
      </c>
      <c r="AM41" s="107" t="s">
        <v>312</v>
      </c>
      <c r="AN41" s="114" t="s">
        <v>310</v>
      </c>
      <c r="AO41" s="107" t="s">
        <v>310</v>
      </c>
      <c r="AP41" s="107" t="s">
        <v>310</v>
      </c>
      <c r="AQ41" s="107" t="s">
        <v>308</v>
      </c>
      <c r="AR41" s="107" t="s">
        <v>312</v>
      </c>
      <c r="AS41" s="108" t="s">
        <v>308</v>
      </c>
    </row>
    <row r="42" spans="1:45" ht="21" customHeight="1" x14ac:dyDescent="0.2">
      <c r="A42" s="13">
        <v>158</v>
      </c>
      <c r="B42" s="13">
        <v>-1</v>
      </c>
      <c r="C42" s="13" t="s">
        <v>103</v>
      </c>
      <c r="D42" s="124" t="s">
        <v>0</v>
      </c>
      <c r="E42" s="13">
        <v>1</v>
      </c>
      <c r="F42" s="121">
        <v>1</v>
      </c>
      <c r="G42" s="158">
        <v>4</v>
      </c>
      <c r="H42" s="143">
        <v>1</v>
      </c>
      <c r="I42" s="144">
        <v>27</v>
      </c>
      <c r="J42" s="124"/>
      <c r="K42" s="124" t="s">
        <v>153</v>
      </c>
      <c r="L42" s="123" t="s">
        <v>151</v>
      </c>
      <c r="M42" s="124" t="s">
        <v>327</v>
      </c>
      <c r="N42" s="17" t="s">
        <v>247</v>
      </c>
      <c r="O42" s="17" t="s">
        <v>263</v>
      </c>
      <c r="P42" s="17" t="s">
        <v>279</v>
      </c>
      <c r="Q42" s="17">
        <f t="shared" si="0"/>
        <v>23.707597698869272</v>
      </c>
      <c r="R42" s="17" t="s">
        <v>292</v>
      </c>
      <c r="S42" s="17">
        <v>75</v>
      </c>
      <c r="T42" s="17">
        <v>75</v>
      </c>
      <c r="U42" s="11">
        <v>1</v>
      </c>
      <c r="V42" s="3" t="s">
        <v>155</v>
      </c>
      <c r="W42" s="140">
        <v>-1</v>
      </c>
      <c r="X42" s="12" t="s">
        <v>155</v>
      </c>
      <c r="Y42">
        <v>6</v>
      </c>
      <c r="Z42">
        <v>2</v>
      </c>
      <c r="AA42" s="69">
        <v>7</v>
      </c>
      <c r="AB42" s="107" t="s">
        <v>248</v>
      </c>
      <c r="AC42" s="107" t="s">
        <v>248</v>
      </c>
      <c r="AD42" s="112" t="s">
        <v>248</v>
      </c>
      <c r="AE42" s="114" t="s">
        <v>269</v>
      </c>
      <c r="AF42" s="107" t="s">
        <v>248</v>
      </c>
      <c r="AG42" s="107" t="s">
        <v>269</v>
      </c>
      <c r="AH42" s="107" t="s">
        <v>269</v>
      </c>
      <c r="AI42" s="107" t="s">
        <v>269</v>
      </c>
      <c r="AJ42" s="107" t="s">
        <v>248</v>
      </c>
      <c r="AK42" s="107" t="s">
        <v>308</v>
      </c>
      <c r="AL42" s="107" t="s">
        <v>308</v>
      </c>
      <c r="AM42" s="107" t="s">
        <v>308</v>
      </c>
      <c r="AN42" s="114" t="s">
        <v>311</v>
      </c>
      <c r="AO42" s="107" t="s">
        <v>308</v>
      </c>
      <c r="AP42" s="107" t="s">
        <v>310</v>
      </c>
      <c r="AQ42" s="107" t="s">
        <v>312</v>
      </c>
      <c r="AR42" s="107" t="s">
        <v>309</v>
      </c>
      <c r="AS42" s="108" t="s">
        <v>308</v>
      </c>
    </row>
    <row r="43" spans="1:45" ht="19" customHeight="1" x14ac:dyDescent="0.2">
      <c r="A43" s="15">
        <v>159</v>
      </c>
      <c r="B43" s="15">
        <v>-1</v>
      </c>
      <c r="C43" s="15" t="s">
        <v>103</v>
      </c>
      <c r="D43" s="124" t="s">
        <v>0</v>
      </c>
      <c r="E43" s="15">
        <v>0</v>
      </c>
      <c r="F43" s="124">
        <v>1</v>
      </c>
      <c r="G43" s="158">
        <v>4</v>
      </c>
      <c r="H43" s="130">
        <v>1</v>
      </c>
      <c r="I43" s="124">
        <v>24</v>
      </c>
      <c r="J43" s="124"/>
      <c r="K43" s="124" t="s">
        <v>150</v>
      </c>
      <c r="L43" s="123" t="s">
        <v>333</v>
      </c>
      <c r="M43" s="124" t="s">
        <v>327</v>
      </c>
      <c r="N43" s="17" t="s">
        <v>247</v>
      </c>
      <c r="O43" s="17" t="s">
        <v>263</v>
      </c>
      <c r="P43" s="17" t="s">
        <v>280</v>
      </c>
      <c r="Q43" s="17">
        <f t="shared" si="0"/>
        <v>23.01031541360841</v>
      </c>
      <c r="R43" s="17" t="s">
        <v>294</v>
      </c>
      <c r="S43" s="17">
        <v>35</v>
      </c>
      <c r="T43" s="17">
        <v>35</v>
      </c>
      <c r="U43" s="11">
        <v>1</v>
      </c>
      <c r="V43" s="3" t="s">
        <v>155</v>
      </c>
      <c r="W43" s="140">
        <v>-1</v>
      </c>
      <c r="X43" s="12" t="s">
        <v>155</v>
      </c>
      <c r="Y43" t="s">
        <v>155</v>
      </c>
      <c r="Z43" t="s">
        <v>155</v>
      </c>
      <c r="AA43" s="69">
        <v>7</v>
      </c>
      <c r="AB43" s="107" t="s">
        <v>248</v>
      </c>
      <c r="AC43" s="107" t="s">
        <v>248</v>
      </c>
      <c r="AD43" s="112" t="s">
        <v>248</v>
      </c>
      <c r="AE43" s="114" t="s">
        <v>248</v>
      </c>
      <c r="AF43" s="107" t="s">
        <v>248</v>
      </c>
      <c r="AG43" s="107" t="s">
        <v>248</v>
      </c>
      <c r="AH43" s="107" t="s">
        <v>269</v>
      </c>
      <c r="AI43" s="107" t="s">
        <v>269</v>
      </c>
      <c r="AJ43" s="107" t="s">
        <v>248</v>
      </c>
      <c r="AK43" s="107" t="s">
        <v>308</v>
      </c>
      <c r="AL43" s="107" t="s">
        <v>308</v>
      </c>
      <c r="AM43" s="107" t="s">
        <v>308</v>
      </c>
      <c r="AN43" s="114" t="s">
        <v>308</v>
      </c>
      <c r="AO43" s="107" t="s">
        <v>308</v>
      </c>
      <c r="AP43" s="107" t="s">
        <v>308</v>
      </c>
      <c r="AQ43" s="107" t="s">
        <v>312</v>
      </c>
      <c r="AR43" s="107" t="s">
        <v>310</v>
      </c>
      <c r="AS43" s="108" t="s">
        <v>308</v>
      </c>
    </row>
    <row r="44" spans="1:45" ht="21" customHeight="1" x14ac:dyDescent="0.2">
      <c r="A44" s="13">
        <v>161</v>
      </c>
      <c r="B44" s="13">
        <v>1</v>
      </c>
      <c r="C44" s="13" t="s">
        <v>104</v>
      </c>
      <c r="D44" s="123" t="s">
        <v>0</v>
      </c>
      <c r="E44" s="13">
        <v>1</v>
      </c>
      <c r="F44" s="3">
        <v>1</v>
      </c>
      <c r="G44" s="162">
        <v>5</v>
      </c>
      <c r="H44" s="122">
        <v>1</v>
      </c>
      <c r="I44" s="123">
        <v>27</v>
      </c>
      <c r="J44" s="123"/>
      <c r="K44" s="124" t="s">
        <v>150</v>
      </c>
      <c r="L44" s="125" t="s">
        <v>151</v>
      </c>
      <c r="M44" s="124" t="s">
        <v>327</v>
      </c>
      <c r="N44" s="17" t="s">
        <v>247</v>
      </c>
      <c r="O44" s="17" t="s">
        <v>256</v>
      </c>
      <c r="P44" s="32">
        <v>240</v>
      </c>
      <c r="Q44" s="17">
        <f t="shared" si="0"/>
        <v>35.437933207309385</v>
      </c>
      <c r="R44" s="17" t="s">
        <v>293</v>
      </c>
      <c r="S44" s="17">
        <v>50</v>
      </c>
      <c r="T44" s="17">
        <v>50</v>
      </c>
      <c r="U44" s="11">
        <v>1</v>
      </c>
      <c r="V44" s="3" t="s">
        <v>155</v>
      </c>
      <c r="W44" s="140">
        <v>-1</v>
      </c>
      <c r="X44" s="12" t="s">
        <v>155</v>
      </c>
      <c r="Y44" s="3">
        <v>7</v>
      </c>
      <c r="Z44" s="3">
        <v>1</v>
      </c>
      <c r="AA44" s="69">
        <v>4</v>
      </c>
      <c r="AB44" s="107" t="s">
        <v>248</v>
      </c>
      <c r="AC44" s="107" t="s">
        <v>248</v>
      </c>
      <c r="AD44" s="112" t="s">
        <v>248</v>
      </c>
      <c r="AE44" s="114" t="s">
        <v>269</v>
      </c>
      <c r="AF44" s="107" t="s">
        <v>269</v>
      </c>
      <c r="AG44" s="107" t="s">
        <v>269</v>
      </c>
      <c r="AH44" s="107" t="s">
        <v>248</v>
      </c>
      <c r="AI44" s="107" t="s">
        <v>269</v>
      </c>
      <c r="AJ44" s="107" t="s">
        <v>248</v>
      </c>
      <c r="AK44" s="107" t="s">
        <v>308</v>
      </c>
      <c r="AL44" s="107" t="s">
        <v>308</v>
      </c>
      <c r="AM44" s="107" t="s">
        <v>308</v>
      </c>
      <c r="AN44" s="114" t="s">
        <v>309</v>
      </c>
      <c r="AO44" s="107" t="s">
        <v>309</v>
      </c>
      <c r="AP44" s="107" t="s">
        <v>309</v>
      </c>
      <c r="AQ44" s="107" t="s">
        <v>308</v>
      </c>
      <c r="AR44" s="107" t="s">
        <v>311</v>
      </c>
      <c r="AS44" s="108" t="s">
        <v>308</v>
      </c>
    </row>
    <row r="45" spans="1:45" ht="16" x14ac:dyDescent="0.2">
      <c r="A45" s="13">
        <v>162</v>
      </c>
      <c r="B45" s="13">
        <v>-1</v>
      </c>
      <c r="C45" s="13" t="s">
        <v>103</v>
      </c>
      <c r="D45" s="124" t="s">
        <v>0</v>
      </c>
      <c r="E45" s="13">
        <v>1</v>
      </c>
      <c r="F45" s="121">
        <v>1</v>
      </c>
      <c r="G45" s="158">
        <v>3</v>
      </c>
      <c r="H45" s="143">
        <v>1</v>
      </c>
      <c r="I45" s="144">
        <v>21</v>
      </c>
      <c r="J45" s="124"/>
      <c r="K45" s="124" t="s">
        <v>150</v>
      </c>
      <c r="L45" s="123" t="s">
        <v>151</v>
      </c>
      <c r="M45" s="124" t="s">
        <v>327</v>
      </c>
      <c r="N45" s="17" t="s">
        <v>244</v>
      </c>
      <c r="O45" s="17" t="s">
        <v>269</v>
      </c>
      <c r="P45" s="17" t="s">
        <v>281</v>
      </c>
      <c r="Q45" s="17">
        <f t="shared" si="0"/>
        <v>20.447551135297427</v>
      </c>
      <c r="R45" s="17" t="s">
        <v>295</v>
      </c>
      <c r="S45" s="32"/>
      <c r="T45" s="32">
        <v>0</v>
      </c>
      <c r="U45" s="11">
        <v>8</v>
      </c>
      <c r="V45" s="3" t="s">
        <v>155</v>
      </c>
      <c r="W45" s="140">
        <v>-1</v>
      </c>
      <c r="X45" s="12" t="s">
        <v>155</v>
      </c>
      <c r="Y45" t="s">
        <v>155</v>
      </c>
      <c r="Z45" t="s">
        <v>155</v>
      </c>
      <c r="AA45" s="69">
        <v>7</v>
      </c>
      <c r="AB45" s="107" t="s">
        <v>248</v>
      </c>
      <c r="AC45" s="107" t="s">
        <v>248</v>
      </c>
      <c r="AD45" s="112" t="s">
        <v>248</v>
      </c>
      <c r="AE45" s="114" t="s">
        <v>269</v>
      </c>
      <c r="AF45" s="107" t="s">
        <v>248</v>
      </c>
      <c r="AG45" s="107" t="s">
        <v>269</v>
      </c>
      <c r="AH45" s="107" t="s">
        <v>269</v>
      </c>
      <c r="AI45" s="107" t="s">
        <v>269</v>
      </c>
      <c r="AJ45" s="107" t="s">
        <v>248</v>
      </c>
      <c r="AK45" s="107" t="s">
        <v>308</v>
      </c>
      <c r="AL45" s="107" t="s">
        <v>308</v>
      </c>
      <c r="AM45" s="107" t="s">
        <v>308</v>
      </c>
      <c r="AN45" s="114" t="s">
        <v>312</v>
      </c>
      <c r="AO45" s="107" t="s">
        <v>308</v>
      </c>
      <c r="AP45" s="107" t="s">
        <v>310</v>
      </c>
      <c r="AQ45" s="107" t="s">
        <v>310</v>
      </c>
      <c r="AR45" s="107" t="s">
        <v>310</v>
      </c>
      <c r="AS45" s="108" t="s">
        <v>308</v>
      </c>
    </row>
    <row r="46" spans="1:45" ht="16" x14ac:dyDescent="0.2">
      <c r="A46" s="13">
        <v>163</v>
      </c>
      <c r="B46" s="13">
        <v>1</v>
      </c>
      <c r="C46" s="13" t="s">
        <v>104</v>
      </c>
      <c r="D46" s="123" t="s">
        <v>0</v>
      </c>
      <c r="E46" s="13">
        <v>1</v>
      </c>
      <c r="F46" s="124">
        <v>1</v>
      </c>
      <c r="G46" s="158">
        <v>5</v>
      </c>
      <c r="H46" s="122">
        <v>1</v>
      </c>
      <c r="I46" s="123">
        <v>22</v>
      </c>
      <c r="J46" s="123"/>
      <c r="K46" s="124" t="s">
        <v>150</v>
      </c>
      <c r="L46" s="123" t="s">
        <v>151</v>
      </c>
      <c r="M46" s="124" t="s">
        <v>327</v>
      </c>
      <c r="N46" s="17" t="s">
        <v>247</v>
      </c>
      <c r="O46" s="17" t="s">
        <v>278</v>
      </c>
      <c r="P46" s="17" t="s">
        <v>254</v>
      </c>
      <c r="Q46" s="17">
        <f t="shared" si="0"/>
        <v>26.541836734693877</v>
      </c>
      <c r="R46" s="17" t="s">
        <v>292</v>
      </c>
      <c r="S46" s="17">
        <v>100</v>
      </c>
      <c r="T46" s="17">
        <v>100</v>
      </c>
      <c r="U46" s="11">
        <v>1</v>
      </c>
      <c r="V46" s="3" t="s">
        <v>155</v>
      </c>
      <c r="W46" s="3">
        <v>-1</v>
      </c>
      <c r="X46" s="12" t="s">
        <v>155</v>
      </c>
      <c r="Y46" s="3">
        <v>6</v>
      </c>
      <c r="Z46" s="3">
        <v>7</v>
      </c>
      <c r="AA46" s="69">
        <v>4</v>
      </c>
      <c r="AB46" s="107" t="s">
        <v>248</v>
      </c>
      <c r="AC46" s="107" t="s">
        <v>248</v>
      </c>
      <c r="AD46" s="112" t="s">
        <v>248</v>
      </c>
      <c r="AE46" s="114" t="s">
        <v>269</v>
      </c>
      <c r="AF46" s="107" t="s">
        <v>248</v>
      </c>
      <c r="AG46" s="107" t="s">
        <v>248</v>
      </c>
      <c r="AH46" s="107" t="s">
        <v>269</v>
      </c>
      <c r="AI46" s="107" t="s">
        <v>269</v>
      </c>
      <c r="AJ46" s="107" t="s">
        <v>248</v>
      </c>
      <c r="AK46" s="107" t="s">
        <v>308</v>
      </c>
      <c r="AL46" s="107" t="s">
        <v>308</v>
      </c>
      <c r="AM46" s="107" t="s">
        <v>308</v>
      </c>
      <c r="AN46" s="114" t="s">
        <v>312</v>
      </c>
      <c r="AO46" s="107" t="s">
        <v>308</v>
      </c>
      <c r="AP46" s="107" t="s">
        <v>308</v>
      </c>
      <c r="AQ46" s="107" t="s">
        <v>312</v>
      </c>
      <c r="AR46" s="107" t="s">
        <v>310</v>
      </c>
      <c r="AS46" s="108" t="s">
        <v>308</v>
      </c>
    </row>
    <row r="47" spans="1:45" ht="16" x14ac:dyDescent="0.2">
      <c r="A47" s="13">
        <v>164</v>
      </c>
      <c r="B47" s="13">
        <v>1</v>
      </c>
      <c r="C47" s="13" t="s">
        <v>104</v>
      </c>
      <c r="D47" s="124" t="s">
        <v>152</v>
      </c>
      <c r="E47" s="13">
        <v>1</v>
      </c>
      <c r="F47" s="124">
        <v>1</v>
      </c>
      <c r="G47" s="158">
        <v>9.75</v>
      </c>
      <c r="H47" s="122">
        <v>2</v>
      </c>
      <c r="I47" s="124">
        <v>25</v>
      </c>
      <c r="J47" s="124"/>
      <c r="K47" s="124" t="s">
        <v>153</v>
      </c>
      <c r="L47" s="125" t="s">
        <v>151</v>
      </c>
      <c r="M47" s="124" t="s">
        <v>327</v>
      </c>
      <c r="N47" s="17" t="s">
        <v>247</v>
      </c>
      <c r="O47" s="17" t="s">
        <v>261</v>
      </c>
      <c r="P47" s="17" t="s">
        <v>282</v>
      </c>
      <c r="Q47" s="17">
        <f t="shared" si="0"/>
        <v>22.31201171875</v>
      </c>
      <c r="R47" s="17" t="s">
        <v>294</v>
      </c>
      <c r="S47" s="32"/>
      <c r="T47" s="32">
        <v>0</v>
      </c>
      <c r="U47" s="11">
        <v>1</v>
      </c>
      <c r="V47" s="3" t="s">
        <v>155</v>
      </c>
      <c r="W47" s="3">
        <v>1</v>
      </c>
      <c r="X47" s="12" t="s">
        <v>229</v>
      </c>
      <c r="Y47" s="3">
        <v>6</v>
      </c>
      <c r="Z47" s="3">
        <v>2</v>
      </c>
      <c r="AA47" s="69">
        <v>4</v>
      </c>
      <c r="AB47" s="107" t="s">
        <v>248</v>
      </c>
      <c r="AC47" s="107" t="s">
        <v>248</v>
      </c>
      <c r="AD47" s="112" t="s">
        <v>248</v>
      </c>
      <c r="AE47" s="114" t="s">
        <v>269</v>
      </c>
      <c r="AF47" s="107" t="s">
        <v>248</v>
      </c>
      <c r="AG47" s="107" t="s">
        <v>248</v>
      </c>
      <c r="AH47" s="107" t="s">
        <v>269</v>
      </c>
      <c r="AI47" s="107" t="s">
        <v>269</v>
      </c>
      <c r="AJ47" s="107" t="s">
        <v>248</v>
      </c>
      <c r="AK47" s="107" t="s">
        <v>308</v>
      </c>
      <c r="AL47" s="107" t="s">
        <v>308</v>
      </c>
      <c r="AM47" s="107" t="s">
        <v>308</v>
      </c>
      <c r="AN47" s="114" t="s">
        <v>311</v>
      </c>
      <c r="AO47" s="107" t="s">
        <v>308</v>
      </c>
      <c r="AP47" s="107" t="s">
        <v>308</v>
      </c>
      <c r="AQ47" s="107" t="s">
        <v>312</v>
      </c>
      <c r="AR47" s="107" t="s">
        <v>312</v>
      </c>
      <c r="AS47" s="108" t="s">
        <v>308</v>
      </c>
    </row>
    <row r="48" spans="1:45" ht="16" x14ac:dyDescent="0.2">
      <c r="A48" s="13">
        <v>166</v>
      </c>
      <c r="B48" s="13">
        <v>-1</v>
      </c>
      <c r="C48" s="13" t="s">
        <v>103</v>
      </c>
      <c r="D48" s="123" t="s">
        <v>152</v>
      </c>
      <c r="E48" s="13">
        <v>1</v>
      </c>
      <c r="F48" s="123">
        <v>1</v>
      </c>
      <c r="G48" s="158">
        <v>3</v>
      </c>
      <c r="H48" s="143">
        <v>2</v>
      </c>
      <c r="I48" s="145">
        <v>30</v>
      </c>
      <c r="J48" s="123"/>
      <c r="K48" s="124" t="s">
        <v>150</v>
      </c>
      <c r="L48" s="123" t="s">
        <v>151</v>
      </c>
      <c r="M48" s="124" t="s">
        <v>327</v>
      </c>
      <c r="N48" s="17" t="s">
        <v>247</v>
      </c>
      <c r="O48" s="17" t="s">
        <v>261</v>
      </c>
      <c r="P48" s="17" t="s">
        <v>283</v>
      </c>
      <c r="Q48" s="17">
        <f t="shared" si="0"/>
        <v>39.47509765625</v>
      </c>
      <c r="R48" s="17" t="s">
        <v>294</v>
      </c>
      <c r="S48" s="17">
        <v>35</v>
      </c>
      <c r="T48" s="17">
        <v>35</v>
      </c>
      <c r="U48" s="11">
        <v>3</v>
      </c>
      <c r="V48" s="3" t="s">
        <v>155</v>
      </c>
      <c r="W48" s="3">
        <v>-1</v>
      </c>
      <c r="X48" s="12" t="s">
        <v>155</v>
      </c>
      <c r="Y48" s="79">
        <v>7</v>
      </c>
      <c r="Z48" s="79">
        <v>2</v>
      </c>
      <c r="AA48" s="69">
        <v>7</v>
      </c>
      <c r="AB48" s="107" t="s">
        <v>269</v>
      </c>
      <c r="AC48" s="107" t="s">
        <v>248</v>
      </c>
      <c r="AD48" s="112" t="s">
        <v>248</v>
      </c>
      <c r="AE48" s="114" t="s">
        <v>269</v>
      </c>
      <c r="AF48" s="107" t="s">
        <v>248</v>
      </c>
      <c r="AG48" s="107" t="s">
        <v>269</v>
      </c>
      <c r="AH48" s="107" t="s">
        <v>248</v>
      </c>
      <c r="AI48" s="107" t="s">
        <v>269</v>
      </c>
      <c r="AJ48" s="107" t="s">
        <v>248</v>
      </c>
      <c r="AK48" s="107" t="s">
        <v>312</v>
      </c>
      <c r="AL48" s="107" t="s">
        <v>308</v>
      </c>
      <c r="AM48" s="107" t="s">
        <v>308</v>
      </c>
      <c r="AN48" s="114" t="s">
        <v>312</v>
      </c>
      <c r="AO48" s="107" t="s">
        <v>308</v>
      </c>
      <c r="AP48" s="107" t="s">
        <v>312</v>
      </c>
      <c r="AQ48" s="107" t="s">
        <v>308</v>
      </c>
      <c r="AR48" s="107" t="s">
        <v>312</v>
      </c>
      <c r="AS48" s="108" t="s">
        <v>308</v>
      </c>
    </row>
    <row r="49" spans="1:45" ht="16" x14ac:dyDescent="0.2">
      <c r="A49" s="13">
        <v>167</v>
      </c>
      <c r="B49" s="13">
        <v>1</v>
      </c>
      <c r="C49" s="13" t="s">
        <v>104</v>
      </c>
      <c r="D49" s="123" t="s">
        <v>0</v>
      </c>
      <c r="E49" s="13">
        <v>1</v>
      </c>
      <c r="F49" s="121">
        <v>1</v>
      </c>
      <c r="G49" s="158">
        <v>5</v>
      </c>
      <c r="H49" s="122">
        <v>1</v>
      </c>
      <c r="I49" s="123">
        <v>40</v>
      </c>
      <c r="J49" s="123"/>
      <c r="K49" s="124" t="s">
        <v>150</v>
      </c>
      <c r="L49" s="123" t="s">
        <v>151</v>
      </c>
      <c r="M49" s="124" t="s">
        <v>327</v>
      </c>
      <c r="N49" s="17" t="s">
        <v>247</v>
      </c>
      <c r="O49" s="17" t="s">
        <v>256</v>
      </c>
      <c r="P49" s="17" t="s">
        <v>284</v>
      </c>
      <c r="Q49" s="17">
        <f t="shared" si="0"/>
        <v>31.303507666456625</v>
      </c>
      <c r="R49" s="17" t="s">
        <v>293</v>
      </c>
      <c r="S49" s="17">
        <v>94</v>
      </c>
      <c r="T49" s="17">
        <v>94</v>
      </c>
      <c r="U49" s="11">
        <v>1</v>
      </c>
      <c r="V49" s="3" t="s">
        <v>155</v>
      </c>
      <c r="W49" s="3">
        <v>-1</v>
      </c>
      <c r="X49" s="12" t="s">
        <v>155</v>
      </c>
      <c r="Y49" s="3">
        <v>7</v>
      </c>
      <c r="Z49" s="3">
        <v>8</v>
      </c>
      <c r="AA49" s="69">
        <v>4</v>
      </c>
      <c r="AB49" s="107" t="s">
        <v>248</v>
      </c>
      <c r="AC49" s="107" t="s">
        <v>248</v>
      </c>
      <c r="AD49" s="112" t="s">
        <v>248</v>
      </c>
      <c r="AE49" s="114" t="s">
        <v>269</v>
      </c>
      <c r="AF49" s="107" t="s">
        <v>248</v>
      </c>
      <c r="AG49" s="107" t="s">
        <v>248</v>
      </c>
      <c r="AH49" s="107" t="s">
        <v>248</v>
      </c>
      <c r="AI49" s="107" t="s">
        <v>269</v>
      </c>
      <c r="AJ49" s="107" t="s">
        <v>248</v>
      </c>
      <c r="AK49" s="107" t="s">
        <v>308</v>
      </c>
      <c r="AL49" s="107" t="s">
        <v>308</v>
      </c>
      <c r="AM49" s="107" t="s">
        <v>308</v>
      </c>
      <c r="AN49" s="114" t="s">
        <v>312</v>
      </c>
      <c r="AO49" s="107" t="s">
        <v>308</v>
      </c>
      <c r="AP49" s="107" t="s">
        <v>308</v>
      </c>
      <c r="AQ49" s="107" t="s">
        <v>308</v>
      </c>
      <c r="AR49" s="107" t="s">
        <v>310</v>
      </c>
      <c r="AS49" s="108" t="s">
        <v>308</v>
      </c>
    </row>
    <row r="50" spans="1:45" ht="16" x14ac:dyDescent="0.2">
      <c r="A50" s="15">
        <v>168</v>
      </c>
      <c r="B50" s="15">
        <v>-1</v>
      </c>
      <c r="C50" s="15" t="s">
        <v>103</v>
      </c>
      <c r="D50" s="124" t="s">
        <v>0</v>
      </c>
      <c r="E50" s="15">
        <v>0</v>
      </c>
      <c r="F50" s="124">
        <v>1</v>
      </c>
      <c r="G50" s="158">
        <v>13</v>
      </c>
      <c r="H50" s="149">
        <v>1</v>
      </c>
      <c r="I50" s="148">
        <v>32</v>
      </c>
      <c r="J50" s="124"/>
      <c r="K50" s="131" t="s">
        <v>153</v>
      </c>
      <c r="L50" s="123" t="s">
        <v>151</v>
      </c>
      <c r="M50" s="124" t="s">
        <v>327</v>
      </c>
      <c r="N50" s="17" t="s">
        <v>244</v>
      </c>
      <c r="O50" s="17" t="s">
        <v>261</v>
      </c>
      <c r="P50" s="17" t="s">
        <v>271</v>
      </c>
      <c r="Q50" s="17">
        <f t="shared" si="0"/>
        <v>24.342105263157897</v>
      </c>
      <c r="R50" s="17" t="s">
        <v>294</v>
      </c>
      <c r="S50" s="17">
        <v>45</v>
      </c>
      <c r="T50" s="17">
        <v>45</v>
      </c>
      <c r="U50" s="11">
        <v>1</v>
      </c>
      <c r="V50" s="3" t="s">
        <v>155</v>
      </c>
      <c r="W50" s="3">
        <v>-1</v>
      </c>
      <c r="X50" s="12" t="s">
        <v>155</v>
      </c>
      <c r="Y50" t="s">
        <v>155</v>
      </c>
      <c r="Z50" t="s">
        <v>155</v>
      </c>
      <c r="AA50" s="69">
        <v>7</v>
      </c>
      <c r="AB50" s="107" t="s">
        <v>248</v>
      </c>
      <c r="AC50" s="107" t="s">
        <v>269</v>
      </c>
      <c r="AD50" s="112" t="s">
        <v>248</v>
      </c>
      <c r="AE50" s="114" t="s">
        <v>269</v>
      </c>
      <c r="AF50" s="107" t="s">
        <v>248</v>
      </c>
      <c r="AG50" s="107" t="s">
        <v>269</v>
      </c>
      <c r="AH50" s="107" t="s">
        <v>269</v>
      </c>
      <c r="AI50" s="107" t="s">
        <v>269</v>
      </c>
      <c r="AJ50" s="107" t="s">
        <v>248</v>
      </c>
      <c r="AK50" s="107" t="s">
        <v>308</v>
      </c>
      <c r="AL50" s="107" t="s">
        <v>309</v>
      </c>
      <c r="AM50" s="107" t="s">
        <v>308</v>
      </c>
      <c r="AN50" s="114" t="s">
        <v>309</v>
      </c>
      <c r="AO50" s="107" t="s">
        <v>308</v>
      </c>
      <c r="AP50" s="107" t="s">
        <v>311</v>
      </c>
      <c r="AQ50" s="107" t="s">
        <v>310</v>
      </c>
      <c r="AR50" s="107" t="s">
        <v>309</v>
      </c>
      <c r="AS50" s="108" t="s">
        <v>308</v>
      </c>
    </row>
    <row r="51" spans="1:45" ht="16" x14ac:dyDescent="0.2">
      <c r="A51" s="13">
        <v>169</v>
      </c>
      <c r="B51" s="13">
        <v>-1</v>
      </c>
      <c r="C51" s="13" t="s">
        <v>103</v>
      </c>
      <c r="D51" s="123" t="s">
        <v>152</v>
      </c>
      <c r="E51" s="13">
        <v>1</v>
      </c>
      <c r="F51" s="124">
        <v>1</v>
      </c>
      <c r="G51" s="158">
        <v>30</v>
      </c>
      <c r="H51" s="143">
        <v>2</v>
      </c>
      <c r="I51" s="145">
        <v>50</v>
      </c>
      <c r="J51" s="123"/>
      <c r="K51" s="124" t="s">
        <v>153</v>
      </c>
      <c r="L51" s="125" t="s">
        <v>151</v>
      </c>
      <c r="M51" s="124" t="s">
        <v>327</v>
      </c>
      <c r="N51" s="17" t="s">
        <v>247</v>
      </c>
      <c r="O51" s="17" t="s">
        <v>245</v>
      </c>
      <c r="P51" s="17" t="s">
        <v>285</v>
      </c>
      <c r="Q51" s="17">
        <f t="shared" si="0"/>
        <v>20.723356009070294</v>
      </c>
      <c r="R51" s="17" t="s">
        <v>292</v>
      </c>
      <c r="S51" s="17">
        <v>94</v>
      </c>
      <c r="T51" s="17">
        <v>94</v>
      </c>
      <c r="U51" s="11">
        <v>1</v>
      </c>
      <c r="V51" s="3" t="s">
        <v>155</v>
      </c>
      <c r="W51" s="3">
        <v>-1</v>
      </c>
      <c r="X51" s="12" t="s">
        <v>155</v>
      </c>
      <c r="Y51">
        <v>5</v>
      </c>
      <c r="Z51">
        <v>3</v>
      </c>
      <c r="AA51" s="69">
        <v>7</v>
      </c>
      <c r="AB51" s="107" t="s">
        <v>248</v>
      </c>
      <c r="AC51" s="107" t="s">
        <v>248</v>
      </c>
      <c r="AD51" s="107" t="s">
        <v>248</v>
      </c>
      <c r="AE51" s="114" t="s">
        <v>269</v>
      </c>
      <c r="AF51" s="107" t="s">
        <v>248</v>
      </c>
      <c r="AG51" s="107" t="s">
        <v>248</v>
      </c>
      <c r="AH51" s="107" t="s">
        <v>269</v>
      </c>
      <c r="AI51" s="107" t="s">
        <v>269</v>
      </c>
      <c r="AJ51" s="107" t="s">
        <v>248</v>
      </c>
      <c r="AK51" s="107" t="s">
        <v>308</v>
      </c>
      <c r="AL51" s="107" t="s">
        <v>308</v>
      </c>
      <c r="AM51" s="107" t="s">
        <v>308</v>
      </c>
      <c r="AN51" s="114" t="s">
        <v>310</v>
      </c>
      <c r="AO51" s="107" t="s">
        <v>308</v>
      </c>
      <c r="AP51" s="107" t="s">
        <v>308</v>
      </c>
      <c r="AQ51" s="107" t="s">
        <v>312</v>
      </c>
      <c r="AR51" s="107" t="s">
        <v>312</v>
      </c>
      <c r="AS51" s="108" t="s">
        <v>308</v>
      </c>
    </row>
    <row r="52" spans="1:45" ht="16" x14ac:dyDescent="0.2">
      <c r="A52" s="13">
        <v>170</v>
      </c>
      <c r="B52" s="13">
        <v>-1</v>
      </c>
      <c r="C52" s="13" t="s">
        <v>103</v>
      </c>
      <c r="D52" s="123" t="s">
        <v>0</v>
      </c>
      <c r="E52" s="13">
        <v>1</v>
      </c>
      <c r="F52" s="123">
        <v>1</v>
      </c>
      <c r="G52" s="158">
        <v>10</v>
      </c>
      <c r="H52" s="143">
        <v>1</v>
      </c>
      <c r="I52" s="145">
        <v>41</v>
      </c>
      <c r="J52" s="123"/>
      <c r="K52" s="124" t="s">
        <v>150</v>
      </c>
      <c r="L52" s="123" t="s">
        <v>151</v>
      </c>
      <c r="M52" s="124" t="s">
        <v>327</v>
      </c>
      <c r="N52" s="17" t="s">
        <v>247</v>
      </c>
      <c r="O52" s="17" t="s">
        <v>263</v>
      </c>
      <c r="P52" s="17" t="s">
        <v>286</v>
      </c>
      <c r="Q52" s="17">
        <f t="shared" si="0"/>
        <v>29.006943066851814</v>
      </c>
      <c r="R52" s="17" t="s">
        <v>292</v>
      </c>
      <c r="S52" s="17">
        <v>140</v>
      </c>
      <c r="T52" s="17">
        <v>140</v>
      </c>
      <c r="U52" s="11">
        <v>4</v>
      </c>
      <c r="V52" s="3" t="s">
        <v>155</v>
      </c>
      <c r="W52" s="3">
        <v>-1</v>
      </c>
      <c r="X52" s="12" t="s">
        <v>155</v>
      </c>
      <c r="Y52" s="79">
        <v>5</v>
      </c>
      <c r="Z52" s="79">
        <v>3</v>
      </c>
      <c r="AA52" s="69">
        <v>7</v>
      </c>
      <c r="AB52" s="107" t="s">
        <v>248</v>
      </c>
      <c r="AC52" s="107" t="s">
        <v>248</v>
      </c>
      <c r="AD52" s="107" t="s">
        <v>248</v>
      </c>
      <c r="AE52" s="114" t="s">
        <v>269</v>
      </c>
      <c r="AF52" s="107" t="s">
        <v>269</v>
      </c>
      <c r="AG52" s="107" t="s">
        <v>269</v>
      </c>
      <c r="AH52" s="107" t="s">
        <v>248</v>
      </c>
      <c r="AI52" s="107" t="s">
        <v>248</v>
      </c>
      <c r="AJ52" s="107" t="s">
        <v>248</v>
      </c>
      <c r="AK52" s="107" t="s">
        <v>308</v>
      </c>
      <c r="AL52" s="107" t="s">
        <v>308</v>
      </c>
      <c r="AM52" s="107" t="s">
        <v>308</v>
      </c>
      <c r="AN52" s="114" t="s">
        <v>311</v>
      </c>
      <c r="AO52" s="107" t="s">
        <v>311</v>
      </c>
      <c r="AP52" s="107" t="s">
        <v>310</v>
      </c>
      <c r="AQ52" s="107" t="s">
        <v>308</v>
      </c>
      <c r="AR52" s="107" t="s">
        <v>308</v>
      </c>
      <c r="AS52" s="108" t="s">
        <v>308</v>
      </c>
    </row>
    <row r="53" spans="1:45" ht="16" x14ac:dyDescent="0.2">
      <c r="A53" s="13">
        <v>172</v>
      </c>
      <c r="B53" s="13">
        <v>1</v>
      </c>
      <c r="C53" s="13" t="s">
        <v>104</v>
      </c>
      <c r="D53" s="123" t="s">
        <v>152</v>
      </c>
      <c r="E53" s="13">
        <v>1</v>
      </c>
      <c r="F53" s="121">
        <v>1</v>
      </c>
      <c r="G53" s="158">
        <v>1.25</v>
      </c>
      <c r="H53" s="122">
        <v>2</v>
      </c>
      <c r="I53" s="123">
        <v>32</v>
      </c>
      <c r="J53" s="123"/>
      <c r="K53" s="124" t="s">
        <v>150</v>
      </c>
      <c r="L53" s="123" t="s">
        <v>151</v>
      </c>
      <c r="M53" s="124" t="s">
        <v>327</v>
      </c>
      <c r="N53" s="17" t="s">
        <v>247</v>
      </c>
      <c r="O53" s="17" t="s">
        <v>265</v>
      </c>
      <c r="P53" s="17" t="s">
        <v>255</v>
      </c>
      <c r="Q53" s="17">
        <f t="shared" si="0"/>
        <v>27.405881042548451</v>
      </c>
      <c r="R53" s="17" t="s">
        <v>296</v>
      </c>
      <c r="S53" s="17">
        <v>90</v>
      </c>
      <c r="T53" s="17">
        <v>90</v>
      </c>
      <c r="U53" s="11">
        <v>8</v>
      </c>
      <c r="V53" s="3" t="s">
        <v>155</v>
      </c>
      <c r="W53" s="3">
        <v>-1</v>
      </c>
      <c r="X53" s="12" t="s">
        <v>155</v>
      </c>
      <c r="Y53" s="3">
        <v>6</v>
      </c>
      <c r="Z53" s="3">
        <v>0</v>
      </c>
      <c r="AA53" s="69">
        <v>4</v>
      </c>
      <c r="AB53" s="107" t="s">
        <v>248</v>
      </c>
      <c r="AC53" s="107" t="s">
        <v>248</v>
      </c>
      <c r="AD53" s="107" t="s">
        <v>248</v>
      </c>
      <c r="AE53" s="114" t="s">
        <v>269</v>
      </c>
      <c r="AF53" s="107" t="s">
        <v>248</v>
      </c>
      <c r="AG53" s="107" t="s">
        <v>269</v>
      </c>
      <c r="AH53" s="107" t="s">
        <v>248</v>
      </c>
      <c r="AI53" s="107" t="s">
        <v>269</v>
      </c>
      <c r="AJ53" s="107" t="s">
        <v>248</v>
      </c>
      <c r="AK53" s="107" t="s">
        <v>308</v>
      </c>
      <c r="AL53" s="107" t="s">
        <v>308</v>
      </c>
      <c r="AM53" s="107" t="s">
        <v>308</v>
      </c>
      <c r="AN53" s="114" t="s">
        <v>309</v>
      </c>
      <c r="AO53" s="107" t="s">
        <v>308</v>
      </c>
      <c r="AP53" s="107" t="s">
        <v>312</v>
      </c>
      <c r="AQ53" s="107" t="s">
        <v>308</v>
      </c>
      <c r="AR53" s="107" t="s">
        <v>309</v>
      </c>
      <c r="AS53" s="108" t="s">
        <v>308</v>
      </c>
    </row>
    <row r="54" spans="1:45" ht="16" x14ac:dyDescent="0.2">
      <c r="A54" s="15">
        <v>173</v>
      </c>
      <c r="B54" s="15">
        <v>-1</v>
      </c>
      <c r="C54" s="15" t="s">
        <v>103</v>
      </c>
      <c r="D54" s="124" t="s">
        <v>152</v>
      </c>
      <c r="E54" s="15">
        <v>0</v>
      </c>
      <c r="F54" s="124">
        <v>1</v>
      </c>
      <c r="G54" s="158">
        <v>8</v>
      </c>
      <c r="H54" s="130">
        <v>2</v>
      </c>
      <c r="I54" s="124">
        <v>47</v>
      </c>
      <c r="J54" s="124"/>
      <c r="K54" s="124"/>
      <c r="L54" s="123" t="s">
        <v>151</v>
      </c>
      <c r="M54" s="124" t="s">
        <v>327</v>
      </c>
      <c r="N54" s="17" t="s">
        <v>247</v>
      </c>
      <c r="O54" s="17" t="s">
        <v>244</v>
      </c>
      <c r="P54" s="17" t="s">
        <v>287</v>
      </c>
      <c r="Q54" s="17">
        <f t="shared" si="0"/>
        <v>23.401056014692376</v>
      </c>
      <c r="R54" s="17" t="s">
        <v>292</v>
      </c>
      <c r="S54" s="17">
        <v>55</v>
      </c>
      <c r="T54" s="17">
        <v>55</v>
      </c>
      <c r="U54" s="11">
        <v>1</v>
      </c>
      <c r="V54" s="3" t="s">
        <v>155</v>
      </c>
      <c r="W54" s="3">
        <v>-1</v>
      </c>
      <c r="X54" s="12" t="s">
        <v>155</v>
      </c>
      <c r="Y54" t="s">
        <v>155</v>
      </c>
      <c r="Z54" t="s">
        <v>155</v>
      </c>
      <c r="AA54" s="69">
        <v>7</v>
      </c>
      <c r="AB54" s="107" t="s">
        <v>248</v>
      </c>
      <c r="AC54" s="107" t="s">
        <v>248</v>
      </c>
      <c r="AD54" s="107" t="s">
        <v>248</v>
      </c>
      <c r="AE54" s="114" t="s">
        <v>269</v>
      </c>
      <c r="AF54" s="107" t="s">
        <v>248</v>
      </c>
      <c r="AG54" s="107" t="s">
        <v>269</v>
      </c>
      <c r="AH54" s="107" t="s">
        <v>248</v>
      </c>
      <c r="AI54" s="107" t="s">
        <v>269</v>
      </c>
      <c r="AJ54" s="107" t="s">
        <v>248</v>
      </c>
      <c r="AK54" s="107" t="s">
        <v>308</v>
      </c>
      <c r="AL54" s="107" t="s">
        <v>308</v>
      </c>
      <c r="AM54" s="107" t="s">
        <v>308</v>
      </c>
      <c r="AN54" s="114" t="s">
        <v>309</v>
      </c>
      <c r="AO54" s="107" t="s">
        <v>308</v>
      </c>
      <c r="AP54" s="107" t="s">
        <v>309</v>
      </c>
      <c r="AQ54" s="107" t="s">
        <v>308</v>
      </c>
      <c r="AR54" s="107" t="s">
        <v>309</v>
      </c>
      <c r="AS54" s="108" t="s">
        <v>308</v>
      </c>
    </row>
    <row r="55" spans="1:45" ht="16" x14ac:dyDescent="0.2">
      <c r="A55" s="13">
        <v>174</v>
      </c>
      <c r="B55" s="13">
        <v>1</v>
      </c>
      <c r="C55" s="13" t="s">
        <v>104</v>
      </c>
      <c r="D55" s="124" t="s">
        <v>152</v>
      </c>
      <c r="E55" s="13">
        <v>1</v>
      </c>
      <c r="F55" s="124">
        <v>1</v>
      </c>
      <c r="G55" s="158">
        <v>4</v>
      </c>
      <c r="H55" s="122">
        <v>2</v>
      </c>
      <c r="I55" s="124">
        <v>56</v>
      </c>
      <c r="J55" s="124"/>
      <c r="K55" s="124" t="s">
        <v>150</v>
      </c>
      <c r="L55" s="123" t="s">
        <v>151</v>
      </c>
      <c r="M55" s="124" t="s">
        <v>327</v>
      </c>
      <c r="N55" s="17" t="s">
        <v>247</v>
      </c>
      <c r="O55" s="17" t="s">
        <v>253</v>
      </c>
      <c r="P55" s="17" t="s">
        <v>288</v>
      </c>
      <c r="Q55" s="17">
        <f t="shared" si="0"/>
        <v>22.348832179930795</v>
      </c>
      <c r="R55" s="17" t="s">
        <v>293</v>
      </c>
      <c r="S55" s="17">
        <v>40</v>
      </c>
      <c r="T55" s="17">
        <v>40</v>
      </c>
      <c r="U55" s="11">
        <v>3</v>
      </c>
      <c r="V55" s="3" t="s">
        <v>155</v>
      </c>
      <c r="W55" s="3">
        <v>-1</v>
      </c>
      <c r="X55" s="12" t="s">
        <v>155</v>
      </c>
      <c r="Y55" s="3">
        <v>6</v>
      </c>
      <c r="Z55" s="3">
        <v>1</v>
      </c>
      <c r="AA55" s="69">
        <v>4</v>
      </c>
      <c r="AB55" s="107" t="s">
        <v>248</v>
      </c>
      <c r="AC55" s="107" t="s">
        <v>248</v>
      </c>
      <c r="AD55" s="107" t="s">
        <v>269</v>
      </c>
      <c r="AE55" s="114" t="s">
        <v>269</v>
      </c>
      <c r="AF55" s="107" t="s">
        <v>269</v>
      </c>
      <c r="AG55" s="107" t="s">
        <v>269</v>
      </c>
      <c r="AH55" s="107" t="s">
        <v>269</v>
      </c>
      <c r="AI55" s="107" t="s">
        <v>269</v>
      </c>
      <c r="AJ55" s="107" t="s">
        <v>248</v>
      </c>
      <c r="AK55" s="107" t="s">
        <v>308</v>
      </c>
      <c r="AL55" s="107" t="s">
        <v>308</v>
      </c>
      <c r="AM55" s="107" t="s">
        <v>309</v>
      </c>
      <c r="AN55" s="114" t="s">
        <v>312</v>
      </c>
      <c r="AO55" s="107" t="s">
        <v>309</v>
      </c>
      <c r="AP55" s="107" t="s">
        <v>309</v>
      </c>
      <c r="AQ55" s="107" t="s">
        <v>312</v>
      </c>
      <c r="AR55" s="107" t="s">
        <v>312</v>
      </c>
      <c r="AS55" s="108" t="s">
        <v>308</v>
      </c>
    </row>
    <row r="56" spans="1:45" ht="16" x14ac:dyDescent="0.2">
      <c r="A56" s="13">
        <v>175</v>
      </c>
      <c r="B56" s="13">
        <v>1</v>
      </c>
      <c r="C56" s="13" t="s">
        <v>104</v>
      </c>
      <c r="D56" s="123" t="s">
        <v>152</v>
      </c>
      <c r="E56" s="13">
        <v>1</v>
      </c>
      <c r="F56" s="123">
        <v>1</v>
      </c>
      <c r="G56" s="158">
        <v>12</v>
      </c>
      <c r="H56" s="130">
        <v>2</v>
      </c>
      <c r="I56" s="123">
        <v>35</v>
      </c>
      <c r="J56" s="123"/>
      <c r="K56" s="124" t="s">
        <v>150</v>
      </c>
      <c r="L56" s="123" t="s">
        <v>151</v>
      </c>
      <c r="M56" s="124" t="s">
        <v>327</v>
      </c>
      <c r="N56" s="17" t="s">
        <v>247</v>
      </c>
      <c r="O56" s="17" t="s">
        <v>245</v>
      </c>
      <c r="P56" s="17" t="s">
        <v>282</v>
      </c>
      <c r="Q56" s="17">
        <f t="shared" si="0"/>
        <v>23.025951121189216</v>
      </c>
      <c r="R56" s="17" t="s">
        <v>293</v>
      </c>
      <c r="S56" s="17">
        <v>20</v>
      </c>
      <c r="T56" s="17">
        <v>20</v>
      </c>
      <c r="U56" s="11">
        <v>3</v>
      </c>
      <c r="V56" s="3" t="s">
        <v>155</v>
      </c>
      <c r="W56" s="3">
        <v>-1</v>
      </c>
      <c r="X56" s="12" t="s">
        <v>155</v>
      </c>
      <c r="Y56" s="3">
        <v>5</v>
      </c>
      <c r="Z56" s="3">
        <v>3</v>
      </c>
      <c r="AA56" s="69">
        <v>4</v>
      </c>
      <c r="AB56" s="107" t="s">
        <v>248</v>
      </c>
      <c r="AC56" s="107" t="s">
        <v>248</v>
      </c>
      <c r="AD56" s="107" t="s">
        <v>248</v>
      </c>
      <c r="AE56" s="114" t="s">
        <v>269</v>
      </c>
      <c r="AF56" s="107" t="s">
        <v>248</v>
      </c>
      <c r="AG56" s="107" t="s">
        <v>248</v>
      </c>
      <c r="AH56" s="107" t="s">
        <v>248</v>
      </c>
      <c r="AI56" s="107" t="s">
        <v>248</v>
      </c>
      <c r="AJ56" s="107" t="s">
        <v>248</v>
      </c>
      <c r="AK56" s="107" t="s">
        <v>308</v>
      </c>
      <c r="AL56" s="107" t="s">
        <v>308</v>
      </c>
      <c r="AM56" s="107" t="s">
        <v>308</v>
      </c>
      <c r="AN56" s="114" t="s">
        <v>312</v>
      </c>
      <c r="AO56" s="107" t="s">
        <v>308</v>
      </c>
      <c r="AP56" s="107" t="s">
        <v>308</v>
      </c>
      <c r="AQ56" s="107" t="s">
        <v>308</v>
      </c>
      <c r="AR56" s="107" t="s">
        <v>308</v>
      </c>
      <c r="AS56" s="108" t="s">
        <v>308</v>
      </c>
    </row>
    <row r="57" spans="1:45" ht="16" x14ac:dyDescent="0.2">
      <c r="A57" s="13">
        <v>177</v>
      </c>
      <c r="B57" s="13">
        <v>-1</v>
      </c>
      <c r="C57" s="13" t="s">
        <v>103</v>
      </c>
      <c r="D57" s="141" t="s">
        <v>152</v>
      </c>
      <c r="E57" s="13">
        <v>1</v>
      </c>
      <c r="F57" s="121">
        <v>1</v>
      </c>
      <c r="G57" s="158">
        <v>2</v>
      </c>
      <c r="H57" s="143">
        <v>2</v>
      </c>
      <c r="I57" s="150">
        <v>32</v>
      </c>
      <c r="J57" s="141"/>
      <c r="K57" s="124" t="s">
        <v>150</v>
      </c>
      <c r="L57" s="123" t="s">
        <v>151</v>
      </c>
      <c r="M57" s="155" t="s">
        <v>329</v>
      </c>
      <c r="N57" s="17" t="s">
        <v>155</v>
      </c>
      <c r="O57" s="17" t="s">
        <v>155</v>
      </c>
      <c r="P57" s="17" t="s">
        <v>155</v>
      </c>
      <c r="Q57" s="17" t="str">
        <f t="shared" si="0"/>
        <v>NaN</v>
      </c>
      <c r="R57" s="17" t="s">
        <v>155</v>
      </c>
      <c r="S57" s="17" t="s">
        <v>155</v>
      </c>
      <c r="T57" s="17" t="s">
        <v>155</v>
      </c>
      <c r="U57" s="11">
        <v>1</v>
      </c>
      <c r="V57" s="3" t="s">
        <v>155</v>
      </c>
      <c r="W57" s="3">
        <v>-1</v>
      </c>
      <c r="X57" s="12" t="s">
        <v>155</v>
      </c>
      <c r="Y57" s="79">
        <v>3</v>
      </c>
      <c r="Z57" s="79">
        <v>4</v>
      </c>
      <c r="AA57" s="69">
        <v>7</v>
      </c>
      <c r="AB57" s="107" t="s">
        <v>248</v>
      </c>
      <c r="AC57" s="107" t="s">
        <v>248</v>
      </c>
      <c r="AD57" s="107" t="s">
        <v>248</v>
      </c>
      <c r="AE57" s="114" t="s">
        <v>248</v>
      </c>
      <c r="AF57" s="107" t="s">
        <v>248</v>
      </c>
      <c r="AG57" s="107" t="s">
        <v>269</v>
      </c>
      <c r="AH57" s="107" t="s">
        <v>269</v>
      </c>
      <c r="AI57" s="107" t="s">
        <v>269</v>
      </c>
      <c r="AJ57" s="107" t="s">
        <v>248</v>
      </c>
      <c r="AK57" s="107" t="s">
        <v>308</v>
      </c>
      <c r="AL57" s="107" t="s">
        <v>308</v>
      </c>
      <c r="AM57" s="107" t="s">
        <v>308</v>
      </c>
      <c r="AN57" s="114" t="s">
        <v>308</v>
      </c>
      <c r="AO57" s="107" t="s">
        <v>308</v>
      </c>
      <c r="AP57" s="107" t="s">
        <v>311</v>
      </c>
      <c r="AQ57" s="107" t="s">
        <v>312</v>
      </c>
      <c r="AR57" s="107" t="s">
        <v>310</v>
      </c>
      <c r="AS57" s="108" t="s">
        <v>308</v>
      </c>
    </row>
    <row r="58" spans="1:45" ht="16" x14ac:dyDescent="0.2">
      <c r="A58" s="13">
        <v>178</v>
      </c>
      <c r="B58" s="13">
        <v>-1</v>
      </c>
      <c r="C58" s="13" t="s">
        <v>103</v>
      </c>
      <c r="D58" s="141" t="s">
        <v>152</v>
      </c>
      <c r="E58" s="13">
        <v>1</v>
      </c>
      <c r="F58" s="124">
        <v>1</v>
      </c>
      <c r="G58" s="158">
        <v>1</v>
      </c>
      <c r="H58" s="143">
        <v>2</v>
      </c>
      <c r="I58" s="151">
        <v>32</v>
      </c>
      <c r="J58" s="142"/>
      <c r="K58" s="124"/>
      <c r="L58" s="123" t="s">
        <v>151</v>
      </c>
      <c r="M58" s="124" t="s">
        <v>327</v>
      </c>
      <c r="N58" s="17" t="s">
        <v>247</v>
      </c>
      <c r="O58" s="17" t="s">
        <v>244</v>
      </c>
      <c r="P58" s="17" t="s">
        <v>289</v>
      </c>
      <c r="Q58" s="17">
        <f t="shared" si="0"/>
        <v>21.787190082644628</v>
      </c>
      <c r="R58" s="17" t="s">
        <v>292</v>
      </c>
      <c r="S58" s="17">
        <v>22</v>
      </c>
      <c r="T58" s="17">
        <v>22</v>
      </c>
      <c r="U58" s="11">
        <v>2</v>
      </c>
      <c r="V58" s="3" t="s">
        <v>155</v>
      </c>
      <c r="W58" s="3">
        <v>-1</v>
      </c>
      <c r="X58" s="12" t="s">
        <v>155</v>
      </c>
      <c r="Y58" s="79">
        <v>4</v>
      </c>
      <c r="Z58" s="79">
        <v>6</v>
      </c>
      <c r="AA58" s="69">
        <v>7</v>
      </c>
      <c r="AB58" s="107" t="s">
        <v>248</v>
      </c>
      <c r="AC58" s="107" t="s">
        <v>248</v>
      </c>
      <c r="AD58" s="107" t="s">
        <v>248</v>
      </c>
      <c r="AE58" s="114" t="s">
        <v>248</v>
      </c>
      <c r="AF58" s="107" t="s">
        <v>269</v>
      </c>
      <c r="AG58" s="107" t="s">
        <v>269</v>
      </c>
      <c r="AH58" s="107" t="s">
        <v>269</v>
      </c>
      <c r="AI58" s="107" t="s">
        <v>269</v>
      </c>
      <c r="AJ58" s="107" t="s">
        <v>248</v>
      </c>
      <c r="AK58" s="107" t="s">
        <v>308</v>
      </c>
      <c r="AL58" s="107" t="s">
        <v>308</v>
      </c>
      <c r="AM58" s="107" t="s">
        <v>308</v>
      </c>
      <c r="AN58" s="114" t="s">
        <v>308</v>
      </c>
      <c r="AO58" s="107" t="s">
        <v>310</v>
      </c>
      <c r="AP58" s="107" t="s">
        <v>310</v>
      </c>
      <c r="AQ58" s="107" t="s">
        <v>310</v>
      </c>
      <c r="AR58" s="107" t="s">
        <v>310</v>
      </c>
      <c r="AS58" s="108" t="s">
        <v>308</v>
      </c>
    </row>
    <row r="59" spans="1:45" ht="16" x14ac:dyDescent="0.2">
      <c r="A59" s="13">
        <v>179</v>
      </c>
      <c r="B59" s="13">
        <v>1</v>
      </c>
      <c r="C59" s="13" t="s">
        <v>104</v>
      </c>
      <c r="D59" s="141" t="s">
        <v>152</v>
      </c>
      <c r="E59" s="13">
        <v>1</v>
      </c>
      <c r="F59" s="141">
        <v>1</v>
      </c>
      <c r="G59" s="163">
        <v>6</v>
      </c>
      <c r="H59" s="122">
        <v>2</v>
      </c>
      <c r="I59" s="142">
        <v>52</v>
      </c>
      <c r="J59" s="142"/>
      <c r="K59" s="124" t="s">
        <v>150</v>
      </c>
      <c r="L59" s="125" t="s">
        <v>151</v>
      </c>
      <c r="M59" s="124" t="s">
        <v>327</v>
      </c>
      <c r="N59" s="17" t="s">
        <v>247</v>
      </c>
      <c r="O59" s="17" t="s">
        <v>247</v>
      </c>
      <c r="P59" s="17" t="s">
        <v>249</v>
      </c>
      <c r="Q59" s="17">
        <f t="shared" si="0"/>
        <v>23.294674556213018</v>
      </c>
      <c r="R59" s="17" t="s">
        <v>292</v>
      </c>
      <c r="S59" s="17">
        <v>40</v>
      </c>
      <c r="T59" s="17">
        <v>40</v>
      </c>
      <c r="U59" s="11">
        <v>1</v>
      </c>
      <c r="V59" s="3" t="s">
        <v>155</v>
      </c>
      <c r="W59" s="3">
        <v>-1</v>
      </c>
      <c r="X59" s="12" t="s">
        <v>155</v>
      </c>
      <c r="Y59" s="3">
        <v>5</v>
      </c>
      <c r="Z59" s="3">
        <v>3</v>
      </c>
      <c r="AA59" s="69">
        <v>4</v>
      </c>
      <c r="AB59" s="107" t="s">
        <v>248</v>
      </c>
      <c r="AC59" s="107" t="s">
        <v>248</v>
      </c>
      <c r="AD59" s="107" t="s">
        <v>248</v>
      </c>
      <c r="AE59" s="114" t="s">
        <v>269</v>
      </c>
      <c r="AF59" s="107" t="s">
        <v>269</v>
      </c>
      <c r="AG59" s="107" t="s">
        <v>248</v>
      </c>
      <c r="AH59" s="107" t="s">
        <v>269</v>
      </c>
      <c r="AI59" s="107" t="s">
        <v>248</v>
      </c>
      <c r="AJ59" s="107" t="s">
        <v>248</v>
      </c>
      <c r="AK59" s="107" t="s">
        <v>308</v>
      </c>
      <c r="AL59" s="107" t="s">
        <v>308</v>
      </c>
      <c r="AM59" s="107" t="s">
        <v>308</v>
      </c>
      <c r="AN59" s="114" t="s">
        <v>312</v>
      </c>
      <c r="AO59" s="107" t="s">
        <v>311</v>
      </c>
      <c r="AP59" s="107" t="s">
        <v>308</v>
      </c>
      <c r="AQ59" s="107" t="s">
        <v>312</v>
      </c>
      <c r="AR59" s="107" t="s">
        <v>308</v>
      </c>
      <c r="AS59" s="108" t="s">
        <v>308</v>
      </c>
    </row>
    <row r="60" spans="1:45" ht="16" x14ac:dyDescent="0.2">
      <c r="A60" s="13">
        <v>180</v>
      </c>
      <c r="B60" s="13">
        <v>-1</v>
      </c>
      <c r="C60" s="13" t="s">
        <v>103</v>
      </c>
      <c r="D60" s="124" t="s">
        <v>152</v>
      </c>
      <c r="E60" s="13">
        <v>1</v>
      </c>
      <c r="F60" s="124">
        <v>1</v>
      </c>
      <c r="G60" s="158">
        <v>6</v>
      </c>
      <c r="H60" s="143">
        <v>2</v>
      </c>
      <c r="I60" s="144">
        <v>26</v>
      </c>
      <c r="J60" s="124"/>
      <c r="K60" s="124" t="s">
        <v>150</v>
      </c>
      <c r="L60" s="125" t="s">
        <v>151</v>
      </c>
      <c r="M60" s="154" t="s">
        <v>328</v>
      </c>
      <c r="N60" s="17" t="s">
        <v>247</v>
      </c>
      <c r="O60" s="17" t="s">
        <v>248</v>
      </c>
      <c r="P60" s="17" t="s">
        <v>287</v>
      </c>
      <c r="Q60" s="17">
        <f t="shared" si="0"/>
        <v>28.31527777777778</v>
      </c>
      <c r="R60" s="17" t="s">
        <v>294</v>
      </c>
      <c r="S60" s="17">
        <v>80</v>
      </c>
      <c r="T60" s="17">
        <v>80</v>
      </c>
      <c r="U60" s="11">
        <v>8</v>
      </c>
      <c r="V60" s="3" t="s">
        <v>155</v>
      </c>
      <c r="W60" s="3">
        <v>-1</v>
      </c>
      <c r="X60" s="12" t="s">
        <v>155</v>
      </c>
      <c r="Y60" s="79">
        <v>6</v>
      </c>
      <c r="Z60" s="79">
        <v>1</v>
      </c>
      <c r="AA60" s="69">
        <v>7</v>
      </c>
      <c r="AB60" s="107" t="s">
        <v>248</v>
      </c>
      <c r="AC60" s="107" t="s">
        <v>248</v>
      </c>
      <c r="AD60" s="107" t="s">
        <v>248</v>
      </c>
      <c r="AE60" s="114" t="s">
        <v>269</v>
      </c>
      <c r="AF60" s="107" t="s">
        <v>269</v>
      </c>
      <c r="AG60" s="107" t="s">
        <v>248</v>
      </c>
      <c r="AH60" s="107" t="s">
        <v>248</v>
      </c>
      <c r="AI60" s="107" t="s">
        <v>269</v>
      </c>
      <c r="AJ60" s="107" t="s">
        <v>248</v>
      </c>
      <c r="AK60" s="107" t="s">
        <v>308</v>
      </c>
      <c r="AL60" s="107" t="s">
        <v>308</v>
      </c>
      <c r="AM60" s="107" t="s">
        <v>308</v>
      </c>
      <c r="AN60" s="114" t="s">
        <v>310</v>
      </c>
      <c r="AO60" s="107" t="s">
        <v>309</v>
      </c>
      <c r="AP60" s="107" t="s">
        <v>308</v>
      </c>
      <c r="AQ60" s="107" t="s">
        <v>308</v>
      </c>
      <c r="AR60" s="107" t="s">
        <v>311</v>
      </c>
      <c r="AS60" s="108" t="s">
        <v>308</v>
      </c>
    </row>
    <row r="61" spans="1:45" ht="16" x14ac:dyDescent="0.2">
      <c r="A61" s="13">
        <v>181</v>
      </c>
      <c r="B61" s="13">
        <v>1</v>
      </c>
      <c r="C61" s="13" t="s">
        <v>104</v>
      </c>
      <c r="D61" s="124" t="s">
        <v>152</v>
      </c>
      <c r="E61" s="13">
        <v>1</v>
      </c>
      <c r="F61" s="124">
        <v>1</v>
      </c>
      <c r="G61" s="158">
        <v>5</v>
      </c>
      <c r="H61" s="122">
        <v>2</v>
      </c>
      <c r="I61" s="124">
        <v>30</v>
      </c>
      <c r="J61" s="124"/>
      <c r="K61" s="124" t="s">
        <v>150</v>
      </c>
      <c r="L61" s="123" t="s">
        <v>151</v>
      </c>
      <c r="M61" s="124" t="s">
        <v>327</v>
      </c>
      <c r="N61" s="17" t="s">
        <v>247</v>
      </c>
      <c r="O61" s="17" t="s">
        <v>261</v>
      </c>
      <c r="P61" s="17" t="s">
        <v>290</v>
      </c>
      <c r="Q61" s="17">
        <f t="shared" si="0"/>
        <v>24.71484375</v>
      </c>
      <c r="R61" s="17" t="s">
        <v>292</v>
      </c>
      <c r="S61" s="17">
        <v>78</v>
      </c>
      <c r="T61" s="17">
        <v>78</v>
      </c>
      <c r="U61" s="11">
        <v>1</v>
      </c>
      <c r="V61" s="3" t="s">
        <v>155</v>
      </c>
      <c r="W61" s="3">
        <v>-1</v>
      </c>
      <c r="X61" s="12" t="s">
        <v>155</v>
      </c>
      <c r="Y61" s="3">
        <v>6</v>
      </c>
      <c r="Z61" s="3">
        <v>2</v>
      </c>
      <c r="AA61" s="69">
        <v>4</v>
      </c>
      <c r="AB61" s="107" t="s">
        <v>248</v>
      </c>
      <c r="AC61" s="107" t="s">
        <v>248</v>
      </c>
      <c r="AD61" s="107" t="s">
        <v>248</v>
      </c>
      <c r="AE61" s="114" t="s">
        <v>269</v>
      </c>
      <c r="AF61" s="107" t="s">
        <v>269</v>
      </c>
      <c r="AG61" s="107" t="s">
        <v>269</v>
      </c>
      <c r="AH61" s="107" t="s">
        <v>269</v>
      </c>
      <c r="AI61" s="107" t="s">
        <v>269</v>
      </c>
      <c r="AJ61" s="107" t="s">
        <v>248</v>
      </c>
      <c r="AK61" s="107" t="s">
        <v>308</v>
      </c>
      <c r="AL61" s="107" t="s">
        <v>308</v>
      </c>
      <c r="AM61" s="107" t="s">
        <v>308</v>
      </c>
      <c r="AN61" s="114" t="s">
        <v>310</v>
      </c>
      <c r="AO61" s="107" t="s">
        <v>311</v>
      </c>
      <c r="AP61" s="107" t="s">
        <v>311</v>
      </c>
      <c r="AQ61" s="107" t="s">
        <v>310</v>
      </c>
      <c r="AR61" s="107" t="s">
        <v>310</v>
      </c>
      <c r="AS61" s="108" t="s">
        <v>308</v>
      </c>
    </row>
    <row r="62" spans="1:45" ht="16" x14ac:dyDescent="0.2">
      <c r="A62" s="128">
        <v>182</v>
      </c>
      <c r="B62" s="13">
        <v>1</v>
      </c>
      <c r="C62" s="13" t="s">
        <v>104</v>
      </c>
      <c r="D62" s="124" t="s">
        <v>0</v>
      </c>
      <c r="E62" s="13">
        <v>1</v>
      </c>
      <c r="F62" s="124">
        <v>1</v>
      </c>
      <c r="G62" s="160">
        <v>7</v>
      </c>
      <c r="H62" s="122">
        <v>1</v>
      </c>
      <c r="I62" s="124">
        <v>41</v>
      </c>
      <c r="J62" s="124"/>
      <c r="K62" s="124" t="s">
        <v>150</v>
      </c>
      <c r="L62" s="123" t="s">
        <v>151</v>
      </c>
      <c r="M62" s="124" t="s">
        <v>327</v>
      </c>
      <c r="N62" s="17" t="s">
        <v>247</v>
      </c>
      <c r="O62" s="17" t="s">
        <v>263</v>
      </c>
      <c r="P62" s="17" t="s">
        <v>291</v>
      </c>
      <c r="Q62" s="17">
        <f t="shared" si="0"/>
        <v>21.197381471930175</v>
      </c>
      <c r="R62" s="17" t="s">
        <v>297</v>
      </c>
      <c r="S62" s="17">
        <v>197</v>
      </c>
      <c r="T62" s="17">
        <v>197</v>
      </c>
      <c r="U62" s="11">
        <v>1</v>
      </c>
      <c r="V62" s="3" t="s">
        <v>155</v>
      </c>
      <c r="W62" s="3">
        <v>-1</v>
      </c>
      <c r="X62" s="12" t="s">
        <v>155</v>
      </c>
      <c r="Y62" s="3">
        <v>2</v>
      </c>
      <c r="Z62" s="3">
        <v>5</v>
      </c>
      <c r="AA62" s="69">
        <v>4</v>
      </c>
      <c r="AB62" s="107"/>
      <c r="AC62" s="107"/>
      <c r="AD62" s="107"/>
      <c r="AE62" s="114"/>
      <c r="AF62" s="107"/>
      <c r="AG62" s="107"/>
      <c r="AH62" s="107"/>
      <c r="AI62" s="107"/>
      <c r="AJ62" s="107"/>
      <c r="AK62" s="107"/>
      <c r="AL62" s="107"/>
      <c r="AM62" s="107"/>
      <c r="AN62" s="114"/>
      <c r="AO62" s="107"/>
      <c r="AP62" s="107"/>
      <c r="AQ62" s="107"/>
      <c r="AR62" s="107"/>
      <c r="AS62" s="108"/>
    </row>
    <row r="63" spans="1:45" x14ac:dyDescent="0.2">
      <c r="G63" s="164"/>
      <c r="H63" s="2"/>
      <c r="N63" s="3"/>
      <c r="Q63" s="3"/>
      <c r="U63" s="3"/>
      <c r="X63" s="3"/>
      <c r="AA63" s="3"/>
      <c r="AB63" s="107"/>
      <c r="AC63" s="107"/>
      <c r="AD63" s="107"/>
      <c r="AE63" s="114"/>
      <c r="AF63" s="107"/>
      <c r="AG63" s="107"/>
      <c r="AH63" s="107"/>
      <c r="AI63" s="107"/>
      <c r="AJ63" s="107"/>
      <c r="AK63" s="107"/>
      <c r="AL63" s="107"/>
      <c r="AM63" s="107"/>
      <c r="AN63" s="114"/>
      <c r="AO63" s="107"/>
      <c r="AP63" s="107"/>
      <c r="AQ63" s="107"/>
      <c r="AR63" s="107"/>
      <c r="AS63" s="107"/>
    </row>
    <row r="64" spans="1:45" x14ac:dyDescent="0.2">
      <c r="G64" s="164"/>
      <c r="H64" s="2"/>
      <c r="N64" s="3"/>
      <c r="Q64" s="3"/>
      <c r="U64" s="3"/>
      <c r="X64" s="3"/>
      <c r="AA64" s="3"/>
      <c r="AB64" s="107"/>
      <c r="AC64" s="107"/>
      <c r="AD64" s="107"/>
      <c r="AE64" s="114"/>
      <c r="AF64" s="107"/>
      <c r="AG64" s="107"/>
      <c r="AH64" s="107"/>
      <c r="AI64" s="107"/>
      <c r="AJ64" s="107"/>
      <c r="AK64" s="107"/>
      <c r="AL64" s="107"/>
      <c r="AM64" s="107"/>
      <c r="AN64" s="114"/>
      <c r="AO64" s="107"/>
      <c r="AP64" s="107"/>
      <c r="AQ64" s="107"/>
      <c r="AR64" s="107"/>
      <c r="AS64" s="107"/>
    </row>
    <row r="65" spans="7:45" x14ac:dyDescent="0.2">
      <c r="G65" s="164"/>
      <c r="H65" s="2"/>
      <c r="N65" s="3"/>
      <c r="Q65" s="3"/>
      <c r="U65" s="3"/>
      <c r="X65" s="3"/>
      <c r="AA65" s="3"/>
      <c r="AB65" s="107"/>
      <c r="AC65" s="107"/>
      <c r="AD65" s="107"/>
      <c r="AE65" s="114"/>
      <c r="AF65" s="107"/>
      <c r="AG65" s="107"/>
      <c r="AH65" s="107"/>
      <c r="AI65" s="107"/>
      <c r="AJ65" s="107"/>
      <c r="AK65" s="107"/>
      <c r="AL65" s="107"/>
      <c r="AM65" s="107"/>
      <c r="AN65" s="114"/>
      <c r="AO65" s="107"/>
      <c r="AP65" s="107"/>
      <c r="AQ65" s="107"/>
      <c r="AR65" s="107"/>
      <c r="AS65" s="107"/>
    </row>
    <row r="66" spans="7:45" x14ac:dyDescent="0.2">
      <c r="G66" s="164"/>
      <c r="H66" s="2"/>
      <c r="N66" s="3"/>
      <c r="Q66" s="3"/>
      <c r="U66" s="3"/>
      <c r="X66" s="3"/>
      <c r="AA66" s="3"/>
      <c r="AB66" s="107"/>
      <c r="AC66" s="107"/>
      <c r="AD66" s="107"/>
      <c r="AE66" s="114"/>
      <c r="AF66" s="107"/>
      <c r="AG66" s="107"/>
      <c r="AH66" s="107"/>
      <c r="AI66" s="107"/>
      <c r="AJ66" s="107"/>
      <c r="AK66" s="107"/>
      <c r="AL66" s="107"/>
      <c r="AM66" s="107"/>
      <c r="AN66" s="114"/>
      <c r="AO66" s="107"/>
      <c r="AP66" s="107"/>
      <c r="AQ66" s="107"/>
      <c r="AR66" s="107"/>
      <c r="AS66" s="107"/>
    </row>
    <row r="67" spans="7:45" x14ac:dyDescent="0.2">
      <c r="G67" s="164"/>
      <c r="H67" s="2"/>
      <c r="N67" s="3"/>
      <c r="Q67" s="3"/>
      <c r="U67" s="3"/>
      <c r="X67" s="3"/>
      <c r="AA67" s="3"/>
      <c r="AB67" s="107"/>
      <c r="AC67" s="107"/>
      <c r="AD67" s="107"/>
      <c r="AE67" s="114"/>
      <c r="AF67" s="107"/>
      <c r="AG67" s="107"/>
      <c r="AH67" s="107"/>
      <c r="AI67" s="107"/>
      <c r="AJ67" s="107"/>
      <c r="AK67" s="107"/>
      <c r="AL67" s="107"/>
      <c r="AM67" s="107"/>
      <c r="AN67" s="114"/>
      <c r="AO67" s="107"/>
      <c r="AP67" s="107"/>
      <c r="AQ67" s="107"/>
      <c r="AR67" s="107"/>
      <c r="AS67" s="107"/>
    </row>
    <row r="68" spans="7:45" x14ac:dyDescent="0.2">
      <c r="G68" s="164"/>
      <c r="H68" s="2"/>
      <c r="N68" s="3"/>
      <c r="Q68" s="3"/>
      <c r="U68" s="3"/>
      <c r="X68" s="3"/>
      <c r="AA68" s="3"/>
      <c r="AB68" s="107"/>
      <c r="AC68" s="107"/>
      <c r="AD68" s="107"/>
      <c r="AE68" s="114"/>
      <c r="AF68" s="107"/>
      <c r="AG68" s="107"/>
      <c r="AH68" s="107"/>
      <c r="AI68" s="107"/>
      <c r="AJ68" s="107"/>
      <c r="AK68" s="107"/>
      <c r="AL68" s="107"/>
      <c r="AM68" s="107"/>
      <c r="AN68" s="114"/>
      <c r="AO68" s="107"/>
      <c r="AP68" s="107"/>
      <c r="AQ68" s="107"/>
      <c r="AR68" s="107"/>
      <c r="AS68" s="107"/>
    </row>
    <row r="69" spans="7:45" x14ac:dyDescent="0.2">
      <c r="G69" s="164"/>
      <c r="H69" s="2"/>
      <c r="N69" s="3"/>
      <c r="Q69" s="3"/>
      <c r="U69" s="3"/>
      <c r="X69" s="3"/>
      <c r="AA69" s="3"/>
      <c r="AB69" s="107"/>
      <c r="AC69" s="107"/>
      <c r="AD69" s="107"/>
      <c r="AE69" s="114"/>
      <c r="AF69" s="107"/>
      <c r="AG69" s="107"/>
      <c r="AH69" s="107"/>
      <c r="AI69" s="107"/>
      <c r="AJ69" s="107"/>
      <c r="AK69" s="107"/>
      <c r="AL69" s="107"/>
      <c r="AM69" s="107"/>
      <c r="AN69" s="114"/>
      <c r="AO69" s="107"/>
      <c r="AP69" s="107"/>
      <c r="AQ69" s="107"/>
      <c r="AR69" s="107"/>
      <c r="AS69" s="107"/>
    </row>
    <row r="70" spans="7:45" x14ac:dyDescent="0.2">
      <c r="G70" s="164"/>
      <c r="H70" s="2"/>
      <c r="N70" s="3"/>
      <c r="Q70" s="3"/>
      <c r="U70" s="3"/>
      <c r="X70" s="3"/>
      <c r="AA70" s="3"/>
      <c r="AB70" s="107"/>
      <c r="AC70" s="107"/>
      <c r="AD70" s="107"/>
      <c r="AE70" s="114"/>
      <c r="AF70" s="107"/>
      <c r="AG70" s="107"/>
      <c r="AH70" s="107"/>
      <c r="AI70" s="107"/>
      <c r="AJ70" s="107"/>
      <c r="AK70" s="107"/>
      <c r="AL70" s="107"/>
      <c r="AM70" s="107"/>
      <c r="AN70" s="114"/>
      <c r="AO70" s="107"/>
      <c r="AP70" s="107"/>
      <c r="AQ70" s="107"/>
      <c r="AR70" s="107"/>
      <c r="AS70" s="107"/>
    </row>
    <row r="71" spans="7:45" x14ac:dyDescent="0.2">
      <c r="G71" s="164"/>
      <c r="H71" s="2"/>
      <c r="N71" s="3"/>
      <c r="Q71" s="3"/>
      <c r="U71" s="3"/>
      <c r="X71" s="3"/>
      <c r="AA71" s="3"/>
      <c r="AB71" s="107"/>
      <c r="AC71" s="107"/>
      <c r="AD71" s="107"/>
      <c r="AE71" s="114"/>
      <c r="AF71" s="107"/>
      <c r="AG71" s="107"/>
      <c r="AH71" s="107"/>
      <c r="AI71" s="107"/>
      <c r="AJ71" s="107"/>
      <c r="AK71" s="107"/>
      <c r="AL71" s="107"/>
      <c r="AM71" s="107"/>
      <c r="AN71" s="114"/>
      <c r="AO71" s="107"/>
      <c r="AP71" s="107"/>
      <c r="AQ71" s="107"/>
      <c r="AR71" s="107"/>
      <c r="AS71" s="107"/>
    </row>
    <row r="72" spans="7:45" x14ac:dyDescent="0.2">
      <c r="G72" s="164"/>
      <c r="H72" s="2"/>
      <c r="N72" s="3"/>
      <c r="Q72" s="3"/>
      <c r="U72" s="3"/>
      <c r="X72" s="3"/>
      <c r="AA72" s="3"/>
      <c r="AB72" s="107"/>
      <c r="AC72" s="107"/>
      <c r="AD72" s="107"/>
      <c r="AE72" s="114"/>
      <c r="AF72" s="107"/>
      <c r="AG72" s="107"/>
      <c r="AH72" s="107"/>
      <c r="AI72" s="107"/>
      <c r="AJ72" s="107"/>
      <c r="AK72" s="107"/>
      <c r="AL72" s="107"/>
      <c r="AM72" s="107"/>
      <c r="AN72" s="114"/>
      <c r="AO72" s="107"/>
      <c r="AP72" s="107"/>
      <c r="AQ72" s="107"/>
      <c r="AR72" s="107"/>
      <c r="AS72" s="107"/>
    </row>
    <row r="73" spans="7:45" x14ac:dyDescent="0.2">
      <c r="G73" s="164"/>
      <c r="H73" s="2"/>
      <c r="N73" s="3"/>
      <c r="Q73" s="3"/>
      <c r="U73" s="3"/>
      <c r="X73" s="3"/>
      <c r="AA73" s="3"/>
      <c r="AB73" s="107"/>
      <c r="AC73" s="107"/>
      <c r="AD73" s="107"/>
      <c r="AE73" s="114"/>
      <c r="AF73" s="107"/>
      <c r="AG73" s="107"/>
      <c r="AH73" s="107"/>
      <c r="AI73" s="107"/>
      <c r="AJ73" s="107"/>
      <c r="AK73" s="107"/>
      <c r="AL73" s="107"/>
      <c r="AM73" s="107"/>
      <c r="AN73" s="114"/>
      <c r="AO73" s="107"/>
      <c r="AP73" s="107"/>
      <c r="AQ73" s="107"/>
      <c r="AR73" s="107"/>
      <c r="AS73" s="107"/>
    </row>
    <row r="74" spans="7:45" x14ac:dyDescent="0.2">
      <c r="G74" s="164"/>
      <c r="H74" s="2"/>
      <c r="N74" s="3"/>
      <c r="Q74" s="3"/>
      <c r="U74" s="3"/>
      <c r="X74" s="3"/>
      <c r="AA74" s="3"/>
      <c r="AB74" s="107"/>
      <c r="AC74" s="107"/>
      <c r="AD74" s="107"/>
      <c r="AE74" s="114"/>
      <c r="AF74" s="107"/>
      <c r="AG74" s="107"/>
      <c r="AH74" s="107"/>
      <c r="AI74" s="107"/>
      <c r="AJ74" s="107"/>
      <c r="AK74" s="107"/>
      <c r="AL74" s="107"/>
      <c r="AM74" s="107"/>
      <c r="AN74" s="114"/>
      <c r="AO74" s="107"/>
      <c r="AP74" s="107"/>
      <c r="AQ74" s="107"/>
      <c r="AR74" s="107"/>
      <c r="AS74" s="107"/>
    </row>
    <row r="75" spans="7:45" x14ac:dyDescent="0.2">
      <c r="G75" s="164"/>
      <c r="H75" s="2"/>
      <c r="N75" s="3"/>
      <c r="Q75" s="3"/>
      <c r="U75" s="3"/>
      <c r="X75" s="3"/>
      <c r="AA75" s="3"/>
      <c r="AB75" s="107"/>
      <c r="AC75" s="107"/>
      <c r="AD75" s="107"/>
      <c r="AE75" s="114"/>
      <c r="AF75" s="107"/>
      <c r="AG75" s="107"/>
      <c r="AH75" s="107"/>
      <c r="AI75" s="107"/>
      <c r="AJ75" s="107"/>
      <c r="AK75" s="107"/>
      <c r="AL75" s="107"/>
      <c r="AM75" s="107"/>
      <c r="AN75" s="114"/>
      <c r="AO75" s="107"/>
      <c r="AP75" s="107"/>
      <c r="AQ75" s="107"/>
      <c r="AR75" s="107"/>
      <c r="AS75" s="107"/>
    </row>
    <row r="76" spans="7:45" x14ac:dyDescent="0.2">
      <c r="G76" s="164"/>
      <c r="H76" s="2"/>
      <c r="N76" s="3"/>
      <c r="Q76" s="3"/>
      <c r="U76" s="3"/>
      <c r="X76" s="3"/>
      <c r="AA76" s="3"/>
      <c r="AB76" s="107"/>
      <c r="AC76" s="107"/>
      <c r="AD76" s="107"/>
      <c r="AE76" s="114"/>
      <c r="AF76" s="107"/>
      <c r="AG76" s="107"/>
      <c r="AH76" s="107"/>
      <c r="AI76" s="107"/>
      <c r="AJ76" s="107"/>
      <c r="AK76" s="107"/>
      <c r="AL76" s="107"/>
      <c r="AM76" s="107"/>
      <c r="AN76" s="114"/>
      <c r="AO76" s="107"/>
      <c r="AP76" s="107"/>
      <c r="AQ76" s="107"/>
      <c r="AR76" s="107"/>
      <c r="AS76" s="107"/>
    </row>
    <row r="77" spans="7:45" x14ac:dyDescent="0.2">
      <c r="G77" s="164"/>
      <c r="H77" s="2"/>
      <c r="N77" s="3"/>
      <c r="Q77" s="3"/>
      <c r="U77" s="3"/>
      <c r="X77" s="3"/>
      <c r="AA77" s="3"/>
      <c r="AS77" s="110"/>
    </row>
    <row r="78" spans="7:45" x14ac:dyDescent="0.2">
      <c r="G78" s="164"/>
      <c r="H78" s="2"/>
      <c r="N78" s="3"/>
      <c r="Q78" s="3"/>
      <c r="U78" s="3"/>
      <c r="X78" s="3"/>
      <c r="AA78" s="3"/>
      <c r="AS78" s="110"/>
    </row>
    <row r="79" spans="7:45" x14ac:dyDescent="0.2">
      <c r="G79" s="164"/>
      <c r="H79" s="2"/>
      <c r="N79" s="3"/>
      <c r="Q79" s="3"/>
      <c r="U79" s="3"/>
      <c r="X79" s="3"/>
      <c r="AA79" s="3"/>
      <c r="AS79" s="110"/>
    </row>
    <row r="80" spans="7:45" x14ac:dyDescent="0.2">
      <c r="G80" s="164"/>
      <c r="H80" s="2"/>
      <c r="N80" s="3"/>
      <c r="Q80" s="3"/>
      <c r="U80" s="3"/>
      <c r="X80" s="3"/>
      <c r="AA80" s="3"/>
      <c r="AS80" s="110"/>
    </row>
    <row r="81" spans="7:45" x14ac:dyDescent="0.2">
      <c r="G81" s="164"/>
      <c r="H81" s="2"/>
      <c r="N81" s="3"/>
      <c r="Q81" s="3"/>
      <c r="U81" s="3"/>
      <c r="X81" s="3"/>
      <c r="AA81" s="3"/>
      <c r="AS81" s="110"/>
    </row>
    <row r="82" spans="7:45" x14ac:dyDescent="0.2">
      <c r="G82" s="164"/>
      <c r="H82" s="2"/>
      <c r="N82" s="3"/>
      <c r="Q82" s="3"/>
      <c r="U82" s="3"/>
      <c r="X82" s="3"/>
      <c r="AA82" s="3"/>
      <c r="AS82" s="110"/>
    </row>
    <row r="83" spans="7:45" x14ac:dyDescent="0.2">
      <c r="G83" s="164"/>
      <c r="H83" s="2"/>
      <c r="N83" s="3"/>
      <c r="Q83" s="3"/>
      <c r="U83" s="3"/>
      <c r="X83" s="3"/>
      <c r="AA83" s="3"/>
      <c r="AS83" s="110"/>
    </row>
    <row r="84" spans="7:45" x14ac:dyDescent="0.2">
      <c r="G84" s="164"/>
      <c r="H84" s="2"/>
      <c r="N84" s="3"/>
      <c r="Q84" s="3"/>
      <c r="U84" s="3"/>
      <c r="X84" s="3"/>
      <c r="AA84" s="3"/>
      <c r="AS84" s="110"/>
    </row>
    <row r="85" spans="7:45" x14ac:dyDescent="0.2">
      <c r="G85" s="164"/>
      <c r="H85" s="2"/>
      <c r="N85" s="3"/>
      <c r="Q85" s="3"/>
      <c r="U85" s="3"/>
      <c r="X85" s="3"/>
      <c r="AA85" s="3"/>
      <c r="AS85" s="110"/>
    </row>
    <row r="86" spans="7:45" x14ac:dyDescent="0.2">
      <c r="G86" s="164"/>
      <c r="H86" s="2"/>
      <c r="N86" s="3"/>
      <c r="Q86" s="3"/>
      <c r="U86" s="3"/>
      <c r="X86" s="3"/>
      <c r="AA86" s="3"/>
      <c r="AS86" s="110"/>
    </row>
    <row r="87" spans="7:45" x14ac:dyDescent="0.2">
      <c r="G87" s="164"/>
      <c r="H87" s="2"/>
      <c r="N87" s="3"/>
      <c r="Q87" s="3"/>
      <c r="U87" s="3"/>
      <c r="X87" s="3"/>
      <c r="AA87" s="3"/>
      <c r="AS87" s="110"/>
    </row>
    <row r="88" spans="7:45" x14ac:dyDescent="0.2">
      <c r="G88" s="164"/>
      <c r="H88" s="2"/>
      <c r="N88" s="3"/>
      <c r="Q88" s="3"/>
      <c r="U88" s="3"/>
      <c r="X88" s="3"/>
      <c r="AA88" s="3"/>
      <c r="AS88" s="110"/>
    </row>
    <row r="89" spans="7:45" x14ac:dyDescent="0.2">
      <c r="G89" s="164"/>
      <c r="H89" s="2"/>
      <c r="N89" s="3"/>
      <c r="Q89" s="3"/>
      <c r="U89" s="3"/>
      <c r="X89" s="3"/>
      <c r="AA89" s="3"/>
      <c r="AS89" s="110"/>
    </row>
    <row r="90" spans="7:45" x14ac:dyDescent="0.2">
      <c r="G90" s="164"/>
      <c r="H90" s="2"/>
      <c r="N90" s="3"/>
      <c r="Q90" s="3"/>
      <c r="U90" s="3"/>
      <c r="X90" s="3"/>
      <c r="AA90" s="3"/>
      <c r="AS90" s="110"/>
    </row>
    <row r="91" spans="7:45" x14ac:dyDescent="0.2">
      <c r="G91" s="164"/>
      <c r="H91" s="2"/>
      <c r="N91" s="3"/>
      <c r="Q91" s="3"/>
      <c r="U91" s="3"/>
      <c r="X91" s="3"/>
      <c r="AA91" s="3"/>
      <c r="AS91" s="110"/>
    </row>
    <row r="92" spans="7:45" x14ac:dyDescent="0.2">
      <c r="G92" s="164"/>
      <c r="H92" s="2"/>
      <c r="N92" s="3"/>
      <c r="Q92" s="3"/>
      <c r="U92" s="3"/>
      <c r="X92" s="3"/>
      <c r="AA92" s="3"/>
      <c r="AS92" s="110"/>
    </row>
    <row r="93" spans="7:45" x14ac:dyDescent="0.2">
      <c r="G93" s="164"/>
      <c r="H93" s="2"/>
      <c r="N93" s="3"/>
      <c r="Q93" s="3"/>
      <c r="U93" s="3"/>
      <c r="X93" s="3"/>
      <c r="AA93" s="3"/>
      <c r="AS93" s="110"/>
    </row>
    <row r="94" spans="7:45" x14ac:dyDescent="0.2">
      <c r="G94" s="164"/>
      <c r="H94" s="2"/>
      <c r="N94" s="3"/>
      <c r="Q94" s="3"/>
      <c r="U94" s="3"/>
      <c r="X94" s="3"/>
      <c r="AA94" s="3"/>
      <c r="AS94" s="110"/>
    </row>
    <row r="95" spans="7:45" x14ac:dyDescent="0.2">
      <c r="G95" s="164"/>
      <c r="H95" s="2"/>
      <c r="N95" s="3"/>
      <c r="Q95" s="3"/>
      <c r="U95" s="3"/>
      <c r="X95" s="3"/>
      <c r="AA95" s="3"/>
      <c r="AS95" s="110"/>
    </row>
    <row r="96" spans="7:45" x14ac:dyDescent="0.2">
      <c r="G96" s="164"/>
      <c r="H96" s="2"/>
      <c r="N96" s="3"/>
      <c r="Q96" s="3"/>
      <c r="U96" s="3"/>
      <c r="X96" s="3"/>
      <c r="AA96" s="3"/>
      <c r="AS96" s="110"/>
    </row>
    <row r="97" spans="7:45" x14ac:dyDescent="0.2">
      <c r="G97" s="164"/>
      <c r="H97" s="2"/>
      <c r="N97" s="3"/>
      <c r="Q97" s="3"/>
      <c r="U97" s="3"/>
      <c r="X97" s="3"/>
      <c r="AA97" s="3"/>
      <c r="AS97" s="110"/>
    </row>
    <row r="98" spans="7:45" x14ac:dyDescent="0.2">
      <c r="G98" s="164"/>
      <c r="H98" s="2"/>
      <c r="N98" s="3"/>
      <c r="Q98" s="3"/>
      <c r="U98" s="3"/>
      <c r="X98" s="3"/>
      <c r="AA98" s="3"/>
      <c r="AS98" s="110"/>
    </row>
    <row r="99" spans="7:45" x14ac:dyDescent="0.2">
      <c r="G99" s="164"/>
      <c r="H99" s="2"/>
      <c r="N99" s="3"/>
      <c r="Q99" s="3"/>
      <c r="U99" s="3"/>
      <c r="X99" s="3"/>
      <c r="AA99" s="3"/>
      <c r="AS99" s="110"/>
    </row>
    <row r="100" spans="7:45" x14ac:dyDescent="0.2">
      <c r="G100" s="164"/>
      <c r="H100" s="2"/>
      <c r="N100" s="3"/>
      <c r="Q100" s="3"/>
      <c r="U100" s="3"/>
      <c r="X100" s="3"/>
      <c r="AA100" s="3"/>
      <c r="AS100" s="110"/>
    </row>
    <row r="101" spans="7:45" x14ac:dyDescent="0.2">
      <c r="G101" s="164"/>
      <c r="H101" s="2"/>
      <c r="N101" s="3"/>
      <c r="Q101" s="3"/>
      <c r="U101" s="3"/>
      <c r="X101" s="3"/>
      <c r="AA101" s="3"/>
      <c r="AS101" s="110"/>
    </row>
    <row r="102" spans="7:45" x14ac:dyDescent="0.2">
      <c r="G102" s="164"/>
      <c r="H102" s="2"/>
      <c r="N102" s="3"/>
      <c r="Q102" s="3"/>
      <c r="U102" s="3"/>
      <c r="X102" s="3"/>
      <c r="AA102" s="3"/>
      <c r="AS102" s="110"/>
    </row>
    <row r="103" spans="7:45" x14ac:dyDescent="0.2">
      <c r="G103" s="164"/>
      <c r="H103" s="2"/>
      <c r="N103" s="3"/>
      <c r="Q103" s="3"/>
      <c r="U103" s="3"/>
      <c r="X103" s="3"/>
      <c r="AA103" s="3"/>
      <c r="AS103" s="110"/>
    </row>
    <row r="104" spans="7:45" x14ac:dyDescent="0.2">
      <c r="G104" s="164"/>
      <c r="H104" s="2"/>
      <c r="N104" s="3"/>
      <c r="Q104" s="3"/>
      <c r="U104" s="3"/>
      <c r="X104" s="3"/>
      <c r="AA104" s="3"/>
      <c r="AS104" s="110"/>
    </row>
    <row r="105" spans="7:45" x14ac:dyDescent="0.2">
      <c r="G105" s="164"/>
      <c r="H105" s="2"/>
      <c r="N105" s="3"/>
      <c r="Q105" s="3"/>
      <c r="U105" s="3"/>
      <c r="X105" s="3"/>
      <c r="AA105" s="3"/>
      <c r="AS105" s="110"/>
    </row>
    <row r="106" spans="7:45" x14ac:dyDescent="0.2">
      <c r="G106" s="164"/>
      <c r="H106" s="2"/>
      <c r="N106" s="3"/>
      <c r="Q106" s="3"/>
      <c r="U106" s="3"/>
      <c r="X106" s="3"/>
      <c r="AA106" s="3"/>
      <c r="AS106" s="110"/>
    </row>
    <row r="107" spans="7:45" x14ac:dyDescent="0.2">
      <c r="G107" s="164"/>
      <c r="H107" s="2"/>
      <c r="N107" s="3"/>
      <c r="Q107" s="3"/>
      <c r="U107" s="3"/>
      <c r="X107" s="3"/>
      <c r="AA107" s="3"/>
      <c r="AS107" s="110"/>
    </row>
    <row r="108" spans="7:45" x14ac:dyDescent="0.2">
      <c r="G108" s="164"/>
      <c r="H108" s="2"/>
      <c r="N108" s="3"/>
      <c r="Q108" s="3"/>
      <c r="U108" s="3"/>
      <c r="X108" s="3"/>
      <c r="AA108" s="3"/>
      <c r="AS108" s="110"/>
    </row>
    <row r="109" spans="7:45" x14ac:dyDescent="0.2">
      <c r="G109" s="164"/>
      <c r="H109" s="2"/>
      <c r="N109" s="3"/>
      <c r="Q109" s="3"/>
      <c r="U109" s="3"/>
      <c r="X109" s="3"/>
      <c r="AA109" s="3"/>
      <c r="AS109" s="110"/>
    </row>
    <row r="110" spans="7:45" x14ac:dyDescent="0.2">
      <c r="G110" s="164"/>
      <c r="H110" s="2"/>
      <c r="N110" s="3"/>
      <c r="Q110" s="3"/>
      <c r="U110" s="3"/>
      <c r="X110" s="3"/>
      <c r="AA110" s="3"/>
      <c r="AS110" s="110"/>
    </row>
    <row r="111" spans="7:45" x14ac:dyDescent="0.2">
      <c r="G111" s="164"/>
      <c r="H111" s="2"/>
      <c r="N111" s="3"/>
      <c r="Q111" s="3"/>
      <c r="U111" s="3"/>
      <c r="X111" s="3"/>
      <c r="AA111" s="3"/>
      <c r="AS111" s="110"/>
    </row>
    <row r="112" spans="7:45" x14ac:dyDescent="0.2">
      <c r="G112" s="164"/>
      <c r="H112" s="2"/>
      <c r="N112" s="3"/>
      <c r="Q112" s="3"/>
      <c r="U112" s="3"/>
      <c r="X112" s="3"/>
      <c r="AA112" s="3"/>
      <c r="AS112" s="110"/>
    </row>
    <row r="113" spans="7:45" x14ac:dyDescent="0.2">
      <c r="G113" s="164"/>
      <c r="H113" s="2"/>
      <c r="N113" s="3"/>
      <c r="Q113" s="3"/>
      <c r="U113" s="3"/>
      <c r="X113" s="3"/>
      <c r="AA113" s="3"/>
      <c r="AS113" s="110"/>
    </row>
    <row r="114" spans="7:45" x14ac:dyDescent="0.2">
      <c r="G114" s="164"/>
      <c r="H114" s="2"/>
      <c r="N114" s="3"/>
      <c r="Q114" s="3"/>
      <c r="U114" s="3"/>
      <c r="X114" s="3"/>
      <c r="AA114" s="3"/>
      <c r="AS114" s="110"/>
    </row>
    <row r="115" spans="7:45" x14ac:dyDescent="0.2">
      <c r="G115" s="164"/>
      <c r="H115" s="2"/>
      <c r="N115" s="3"/>
      <c r="Q115" s="3"/>
      <c r="U115" s="3"/>
      <c r="X115" s="3"/>
      <c r="AA115" s="3"/>
      <c r="AS115" s="110"/>
    </row>
    <row r="116" spans="7:45" x14ac:dyDescent="0.2">
      <c r="G116" s="164"/>
      <c r="H116" s="2"/>
      <c r="N116" s="3"/>
      <c r="Q116" s="3"/>
      <c r="U116" s="3"/>
      <c r="X116" s="3"/>
      <c r="AA116" s="3"/>
      <c r="AS116" s="110"/>
    </row>
    <row r="117" spans="7:45" x14ac:dyDescent="0.2">
      <c r="G117" s="164"/>
      <c r="H117" s="2"/>
      <c r="N117" s="3"/>
      <c r="Q117" s="3"/>
      <c r="U117" s="3"/>
      <c r="X117" s="3"/>
      <c r="AA117" s="3"/>
      <c r="AS117" s="110"/>
    </row>
    <row r="118" spans="7:45" x14ac:dyDescent="0.2">
      <c r="G118" s="164"/>
      <c r="H118" s="2"/>
      <c r="N118" s="3"/>
      <c r="Q118" s="3"/>
      <c r="U118" s="3"/>
      <c r="X118" s="3"/>
      <c r="AA118" s="3"/>
      <c r="AS118" s="110"/>
    </row>
    <row r="119" spans="7:45" x14ac:dyDescent="0.2">
      <c r="G119" s="164"/>
      <c r="H119" s="2"/>
      <c r="N119" s="3"/>
      <c r="Q119" s="3"/>
      <c r="U119" s="3"/>
      <c r="X119" s="3"/>
      <c r="AA119" s="3"/>
      <c r="AS119" s="110"/>
    </row>
    <row r="120" spans="7:45" x14ac:dyDescent="0.2">
      <c r="G120" s="164"/>
      <c r="H120" s="2"/>
      <c r="N120" s="3"/>
      <c r="Q120" s="3"/>
      <c r="U120" s="3"/>
      <c r="X120" s="3"/>
      <c r="AA120" s="3"/>
      <c r="AS120" s="110"/>
    </row>
    <row r="121" spans="7:45" x14ac:dyDescent="0.2">
      <c r="G121" s="164"/>
      <c r="H121" s="2"/>
      <c r="N121" s="3"/>
      <c r="Q121" s="3"/>
      <c r="U121" s="3"/>
      <c r="X121" s="3"/>
      <c r="AA121" s="3"/>
      <c r="AS121" s="110"/>
    </row>
    <row r="122" spans="7:45" x14ac:dyDescent="0.2">
      <c r="G122" s="164"/>
      <c r="H122" s="2"/>
      <c r="N122" s="3"/>
      <c r="Q122" s="3"/>
      <c r="U122" s="3"/>
      <c r="X122" s="3"/>
      <c r="AA122" s="3"/>
      <c r="AS122" s="110"/>
    </row>
    <row r="123" spans="7:45" x14ac:dyDescent="0.2">
      <c r="G123" s="164"/>
      <c r="H123" s="2"/>
      <c r="N123" s="3"/>
      <c r="Q123" s="3"/>
      <c r="U123" s="3"/>
      <c r="X123" s="3"/>
      <c r="AA123" s="3"/>
      <c r="AS123" s="110"/>
    </row>
    <row r="124" spans="7:45" x14ac:dyDescent="0.2">
      <c r="G124" s="164"/>
      <c r="H124" s="2"/>
      <c r="N124" s="3"/>
      <c r="Q124" s="3"/>
      <c r="U124" s="3"/>
      <c r="X124" s="3"/>
      <c r="AA124" s="3"/>
      <c r="AS124" s="110"/>
    </row>
    <row r="125" spans="7:45" x14ac:dyDescent="0.2">
      <c r="G125" s="164"/>
      <c r="H125" s="2"/>
      <c r="N125" s="3"/>
      <c r="Q125" s="3"/>
      <c r="U125" s="3"/>
      <c r="X125" s="3"/>
      <c r="AA125" s="3"/>
      <c r="AS125" s="110"/>
    </row>
    <row r="126" spans="7:45" x14ac:dyDescent="0.2">
      <c r="G126" s="164"/>
      <c r="H126" s="2"/>
      <c r="N126" s="3"/>
      <c r="Q126" s="3"/>
      <c r="U126" s="3"/>
      <c r="X126" s="3"/>
      <c r="AA126" s="3"/>
      <c r="AS126" s="110"/>
    </row>
    <row r="127" spans="7:45" x14ac:dyDescent="0.2">
      <c r="G127" s="164"/>
      <c r="H127" s="2"/>
      <c r="N127" s="3"/>
      <c r="Q127" s="3"/>
      <c r="U127" s="3"/>
      <c r="X127" s="3"/>
      <c r="AA127" s="3"/>
      <c r="AS127" s="110"/>
    </row>
    <row r="128" spans="7:45" x14ac:dyDescent="0.2">
      <c r="G128" s="164"/>
      <c r="H128" s="2"/>
      <c r="N128" s="3"/>
      <c r="Q128" s="3"/>
      <c r="U128" s="3"/>
      <c r="X128" s="3"/>
      <c r="AA128" s="3"/>
      <c r="AS128" s="110"/>
    </row>
    <row r="129" spans="7:45" x14ac:dyDescent="0.2">
      <c r="G129" s="164"/>
      <c r="H129" s="2"/>
      <c r="N129" s="3"/>
      <c r="Q129" s="3"/>
      <c r="U129" s="3"/>
      <c r="X129" s="3"/>
      <c r="AA129" s="3"/>
      <c r="AS129" s="110"/>
    </row>
    <row r="130" spans="7:45" x14ac:dyDescent="0.2">
      <c r="G130" s="164"/>
      <c r="H130" s="2"/>
      <c r="N130" s="3"/>
      <c r="Q130" s="3"/>
      <c r="U130" s="3"/>
      <c r="X130" s="3"/>
      <c r="AA130" s="3"/>
      <c r="AS130" s="110"/>
    </row>
    <row r="131" spans="7:45" x14ac:dyDescent="0.2">
      <c r="G131" s="164"/>
      <c r="H131" s="2"/>
      <c r="N131" s="3"/>
      <c r="Q131" s="3"/>
      <c r="U131" s="3"/>
      <c r="X131" s="3"/>
      <c r="AA131" s="3"/>
      <c r="AS131" s="110"/>
    </row>
    <row r="132" spans="7:45" x14ac:dyDescent="0.2">
      <c r="G132" s="164"/>
      <c r="H132" s="2"/>
      <c r="N132" s="3"/>
      <c r="Q132" s="3"/>
      <c r="U132" s="3"/>
      <c r="X132" s="3"/>
      <c r="AA132" s="3"/>
      <c r="AS132" s="110"/>
    </row>
    <row r="133" spans="7:45" x14ac:dyDescent="0.2">
      <c r="G133" s="164"/>
      <c r="H133" s="2"/>
      <c r="N133" s="3"/>
      <c r="Q133" s="3"/>
      <c r="U133" s="3"/>
      <c r="X133" s="3"/>
      <c r="AA133" s="3"/>
      <c r="AS133" s="110"/>
    </row>
    <row r="134" spans="7:45" x14ac:dyDescent="0.2">
      <c r="G134" s="164"/>
      <c r="H134" s="2"/>
      <c r="N134" s="3"/>
      <c r="Q134" s="3"/>
      <c r="U134" s="3"/>
      <c r="X134" s="3"/>
      <c r="AA134" s="3"/>
      <c r="AS134" s="110"/>
    </row>
    <row r="135" spans="7:45" x14ac:dyDescent="0.2">
      <c r="G135" s="164"/>
      <c r="H135" s="2"/>
      <c r="N135" s="3"/>
      <c r="Q135" s="3"/>
      <c r="U135" s="3"/>
      <c r="X135" s="3"/>
      <c r="AA135" s="3"/>
      <c r="AS135" s="110"/>
    </row>
    <row r="136" spans="7:45" x14ac:dyDescent="0.2">
      <c r="G136" s="164"/>
      <c r="H136" s="2"/>
      <c r="N136" s="3"/>
      <c r="Q136" s="3"/>
      <c r="U136" s="3"/>
      <c r="X136" s="3"/>
      <c r="AA136" s="3"/>
      <c r="AS136" s="110"/>
    </row>
    <row r="137" spans="7:45" x14ac:dyDescent="0.2">
      <c r="G137" s="164"/>
      <c r="H137" s="2"/>
      <c r="N137" s="3"/>
      <c r="Q137" s="3"/>
      <c r="U137" s="3"/>
      <c r="X137" s="3"/>
      <c r="AA137" s="3"/>
      <c r="AS137" s="110"/>
    </row>
    <row r="138" spans="7:45" x14ac:dyDescent="0.2">
      <c r="G138" s="164"/>
      <c r="H138" s="2"/>
      <c r="N138" s="3"/>
      <c r="Q138" s="3"/>
      <c r="U138" s="3"/>
      <c r="X138" s="3"/>
      <c r="AA138" s="3"/>
      <c r="AS138" s="110"/>
    </row>
    <row r="139" spans="7:45" x14ac:dyDescent="0.2">
      <c r="G139" s="164"/>
      <c r="H139" s="2"/>
      <c r="N139" s="3"/>
      <c r="Q139" s="3"/>
      <c r="U139" s="3"/>
      <c r="X139" s="3"/>
      <c r="AA139" s="3"/>
      <c r="AS139" s="110"/>
    </row>
    <row r="140" spans="7:45" x14ac:dyDescent="0.2">
      <c r="G140" s="164"/>
      <c r="H140" s="2"/>
      <c r="N140" s="3"/>
      <c r="Q140" s="3"/>
      <c r="U140" s="3"/>
      <c r="X140" s="3"/>
      <c r="AA140" s="3"/>
      <c r="AS140" s="110"/>
    </row>
    <row r="141" spans="7:45" x14ac:dyDescent="0.2">
      <c r="G141" s="164"/>
      <c r="H141" s="2"/>
      <c r="N141" s="3"/>
      <c r="Q141" s="3"/>
      <c r="U141" s="3"/>
      <c r="X141" s="3"/>
      <c r="AA141" s="3"/>
      <c r="AS141" s="110"/>
    </row>
    <row r="142" spans="7:45" x14ac:dyDescent="0.2">
      <c r="G142" s="164"/>
      <c r="H142" s="2"/>
      <c r="N142" s="3"/>
      <c r="Q142" s="3"/>
      <c r="U142" s="3"/>
      <c r="X142" s="3"/>
      <c r="AA142" s="3"/>
      <c r="AS142" s="110"/>
    </row>
    <row r="143" spans="7:45" x14ac:dyDescent="0.2">
      <c r="G143" s="164"/>
      <c r="H143" s="2"/>
      <c r="N143" s="3"/>
      <c r="Q143" s="3"/>
      <c r="U143" s="3"/>
      <c r="X143" s="3"/>
      <c r="AA143" s="3"/>
      <c r="AS143" s="110"/>
    </row>
    <row r="144" spans="7:45" x14ac:dyDescent="0.2">
      <c r="G144" s="164"/>
      <c r="H144" s="2"/>
      <c r="N144" s="3"/>
      <c r="Q144" s="3"/>
      <c r="U144" s="3"/>
      <c r="X144" s="3"/>
      <c r="AA144" s="3"/>
      <c r="AS144" s="110"/>
    </row>
    <row r="145" spans="7:45" x14ac:dyDescent="0.2">
      <c r="G145" s="164"/>
      <c r="H145" s="2"/>
      <c r="N145" s="3"/>
      <c r="Q145" s="3"/>
      <c r="U145" s="3"/>
      <c r="X145" s="3"/>
      <c r="AA145" s="3"/>
      <c r="AS145" s="110"/>
    </row>
    <row r="146" spans="7:45" x14ac:dyDescent="0.2">
      <c r="G146" s="164"/>
      <c r="H146" s="2"/>
      <c r="N146" s="3"/>
      <c r="Q146" s="3"/>
      <c r="U146" s="3"/>
      <c r="X146" s="3"/>
      <c r="AA146" s="3"/>
      <c r="AS146" s="110"/>
    </row>
    <row r="147" spans="7:45" x14ac:dyDescent="0.2">
      <c r="G147" s="164"/>
      <c r="H147" s="2"/>
      <c r="N147" s="3"/>
      <c r="Q147" s="3"/>
      <c r="U147" s="3"/>
      <c r="X147" s="3"/>
      <c r="AA147" s="3"/>
      <c r="AS147" s="110"/>
    </row>
    <row r="148" spans="7:45" x14ac:dyDescent="0.2">
      <c r="G148" s="164"/>
      <c r="H148" s="2"/>
      <c r="N148" s="3"/>
      <c r="Q148" s="3"/>
      <c r="U148" s="3"/>
      <c r="X148" s="3"/>
      <c r="AA148" s="3"/>
      <c r="AS148" s="110"/>
    </row>
    <row r="149" spans="7:45" x14ac:dyDescent="0.2">
      <c r="G149" s="164"/>
      <c r="H149" s="2"/>
      <c r="N149" s="3"/>
      <c r="Q149" s="3"/>
      <c r="U149" s="3"/>
      <c r="X149" s="3"/>
      <c r="AA149" s="3"/>
      <c r="AS149" s="110"/>
    </row>
    <row r="150" spans="7:45" x14ac:dyDescent="0.2">
      <c r="G150" s="164"/>
      <c r="H150" s="2"/>
      <c r="N150" s="3"/>
      <c r="Q150" s="3"/>
      <c r="U150" s="3"/>
      <c r="X150" s="3"/>
      <c r="AA150" s="3"/>
      <c r="AS150" s="110"/>
    </row>
    <row r="151" spans="7:45" x14ac:dyDescent="0.2">
      <c r="G151" s="164"/>
      <c r="H151" s="2"/>
      <c r="N151" s="3"/>
      <c r="Q151" s="3"/>
      <c r="U151" s="3"/>
      <c r="X151" s="3"/>
      <c r="AA151" s="3"/>
      <c r="AS151" s="110"/>
    </row>
    <row r="152" spans="7:45" x14ac:dyDescent="0.2">
      <c r="G152" s="164"/>
      <c r="H152" s="2"/>
      <c r="N152" s="3"/>
      <c r="Q152" s="3"/>
      <c r="U152" s="3"/>
      <c r="X152" s="3"/>
      <c r="AA152" s="3"/>
      <c r="AS152" s="110"/>
    </row>
    <row r="153" spans="7:45" x14ac:dyDescent="0.2">
      <c r="G153" s="164"/>
      <c r="H153" s="2"/>
      <c r="N153" s="3"/>
      <c r="Q153" s="3"/>
      <c r="U153" s="3"/>
      <c r="X153" s="3"/>
      <c r="AA153" s="3"/>
      <c r="AS153" s="110"/>
    </row>
    <row r="154" spans="7:45" x14ac:dyDescent="0.2">
      <c r="G154" s="164"/>
      <c r="H154" s="2"/>
      <c r="N154" s="3"/>
      <c r="Q154" s="3"/>
      <c r="U154" s="3"/>
      <c r="X154" s="3"/>
      <c r="AA154" s="3"/>
      <c r="AS154" s="110"/>
    </row>
    <row r="155" spans="7:45" x14ac:dyDescent="0.2">
      <c r="G155" s="164"/>
      <c r="H155" s="2"/>
      <c r="N155" s="3"/>
      <c r="Q155" s="3"/>
      <c r="U155" s="3"/>
      <c r="X155" s="3"/>
      <c r="AA155" s="3"/>
      <c r="AS155" s="110"/>
    </row>
    <row r="156" spans="7:45" x14ac:dyDescent="0.2">
      <c r="G156" s="164"/>
      <c r="H156" s="2"/>
      <c r="N156" s="3"/>
      <c r="Q156" s="3"/>
      <c r="U156" s="3"/>
      <c r="X156" s="3"/>
      <c r="AA156" s="3"/>
      <c r="AS156" s="110"/>
    </row>
    <row r="157" spans="7:45" x14ac:dyDescent="0.2">
      <c r="G157" s="164"/>
      <c r="H157" s="2"/>
      <c r="N157" s="3"/>
      <c r="Q157" s="3"/>
      <c r="U157" s="3"/>
      <c r="X157" s="3"/>
      <c r="AA157" s="3"/>
      <c r="AS157" s="110"/>
    </row>
    <row r="158" spans="7:45" x14ac:dyDescent="0.2">
      <c r="G158" s="164"/>
      <c r="H158" s="2"/>
      <c r="N158" s="3"/>
      <c r="Q158" s="3"/>
      <c r="U158" s="3"/>
      <c r="X158" s="3"/>
      <c r="AA158" s="3"/>
      <c r="AS158" s="110"/>
    </row>
    <row r="159" spans="7:45" x14ac:dyDescent="0.2">
      <c r="G159" s="164"/>
      <c r="H159" s="2"/>
      <c r="N159" s="3"/>
      <c r="Q159" s="3"/>
      <c r="U159" s="3"/>
      <c r="X159" s="3"/>
      <c r="AA159" s="3"/>
      <c r="AS159" s="110"/>
    </row>
    <row r="160" spans="7:45" x14ac:dyDescent="0.2">
      <c r="G160" s="164"/>
      <c r="H160" s="2"/>
      <c r="N160" s="3"/>
      <c r="Q160" s="3"/>
      <c r="U160" s="3"/>
      <c r="X160" s="3"/>
      <c r="AA160" s="3"/>
      <c r="AS160" s="110"/>
    </row>
    <row r="161" spans="7:45" x14ac:dyDescent="0.2">
      <c r="G161" s="164"/>
      <c r="H161" s="2"/>
      <c r="N161" s="3"/>
      <c r="Q161" s="3"/>
      <c r="U161" s="3"/>
      <c r="X161" s="3"/>
      <c r="AA161" s="3"/>
      <c r="AS161" s="110"/>
    </row>
    <row r="162" spans="7:45" x14ac:dyDescent="0.2">
      <c r="G162" s="164"/>
      <c r="H162" s="2"/>
      <c r="N162" s="3"/>
      <c r="Q162" s="3"/>
      <c r="U162" s="3"/>
      <c r="X162" s="3"/>
      <c r="AA162" s="3"/>
      <c r="AS162" s="110"/>
    </row>
    <row r="163" spans="7:45" x14ac:dyDescent="0.2">
      <c r="G163" s="164"/>
      <c r="H163" s="2"/>
      <c r="N163" s="3"/>
      <c r="Q163" s="3"/>
      <c r="U163" s="3"/>
      <c r="X163" s="3"/>
      <c r="AA163" s="3"/>
      <c r="AS163" s="110"/>
    </row>
    <row r="164" spans="7:45" x14ac:dyDescent="0.2">
      <c r="G164" s="164"/>
      <c r="H164" s="2"/>
      <c r="N164" s="3"/>
      <c r="Q164" s="3"/>
      <c r="U164" s="3"/>
      <c r="X164" s="3"/>
      <c r="AA164" s="3"/>
      <c r="AS164" s="110"/>
    </row>
    <row r="165" spans="7:45" x14ac:dyDescent="0.2">
      <c r="G165" s="164"/>
      <c r="H165" s="2"/>
      <c r="N165" s="3"/>
      <c r="Q165" s="3"/>
      <c r="U165" s="3"/>
      <c r="X165" s="3"/>
      <c r="AA165" s="3"/>
      <c r="AS165" s="110"/>
    </row>
    <row r="166" spans="7:45" x14ac:dyDescent="0.2">
      <c r="G166" s="164"/>
      <c r="H166" s="2"/>
      <c r="N166" s="3"/>
      <c r="Q166" s="3"/>
      <c r="U166" s="3"/>
      <c r="X166" s="3"/>
      <c r="AA166" s="3"/>
      <c r="AS166" s="110"/>
    </row>
    <row r="167" spans="7:45" x14ac:dyDescent="0.2">
      <c r="G167" s="164"/>
      <c r="H167" s="2"/>
      <c r="N167" s="3"/>
      <c r="Q167" s="3"/>
      <c r="U167" s="3"/>
      <c r="X167" s="3"/>
      <c r="AA167" s="3"/>
      <c r="AS167" s="110"/>
    </row>
    <row r="168" spans="7:45" x14ac:dyDescent="0.2">
      <c r="G168" s="164"/>
      <c r="H168" s="2"/>
      <c r="N168" s="3"/>
      <c r="Q168" s="3"/>
      <c r="U168" s="3"/>
      <c r="X168" s="3"/>
      <c r="AA168" s="3"/>
      <c r="AS168" s="110"/>
    </row>
    <row r="169" spans="7:45" x14ac:dyDescent="0.2">
      <c r="G169" s="164"/>
      <c r="H169" s="2"/>
      <c r="N169" s="3"/>
      <c r="Q169" s="3"/>
      <c r="U169" s="3"/>
      <c r="X169" s="3"/>
      <c r="AA169" s="3"/>
      <c r="AS169" s="110"/>
    </row>
    <row r="170" spans="7:45" x14ac:dyDescent="0.2">
      <c r="G170" s="164"/>
      <c r="H170" s="2"/>
      <c r="N170" s="3"/>
      <c r="Q170" s="3"/>
      <c r="U170" s="3"/>
      <c r="X170" s="3"/>
      <c r="AA170" s="3"/>
      <c r="AS170" s="110"/>
    </row>
    <row r="171" spans="7:45" x14ac:dyDescent="0.2">
      <c r="G171" s="164"/>
      <c r="H171" s="2"/>
      <c r="N171" s="3"/>
      <c r="Q171" s="3"/>
      <c r="U171" s="3"/>
      <c r="X171" s="3"/>
      <c r="AA171" s="3"/>
      <c r="AS171" s="110"/>
    </row>
    <row r="172" spans="7:45" x14ac:dyDescent="0.2">
      <c r="G172" s="164"/>
      <c r="H172" s="2"/>
      <c r="N172" s="3"/>
      <c r="Q172" s="3"/>
      <c r="U172" s="3"/>
      <c r="X172" s="3"/>
      <c r="AA172" s="3"/>
      <c r="AS172" s="110"/>
    </row>
    <row r="173" spans="7:45" x14ac:dyDescent="0.2">
      <c r="G173" s="164"/>
      <c r="H173" s="2"/>
      <c r="N173" s="3"/>
      <c r="Q173" s="3"/>
      <c r="U173" s="3"/>
      <c r="X173" s="3"/>
      <c r="AA173" s="3"/>
      <c r="AS173" s="110"/>
    </row>
    <row r="174" spans="7:45" x14ac:dyDescent="0.2">
      <c r="G174" s="164"/>
      <c r="H174" s="2"/>
      <c r="N174" s="3"/>
      <c r="Q174" s="3"/>
      <c r="U174" s="3"/>
      <c r="X174" s="3"/>
      <c r="AA174" s="3"/>
      <c r="AS174" s="110"/>
    </row>
    <row r="175" spans="7:45" x14ac:dyDescent="0.2">
      <c r="G175" s="164"/>
      <c r="H175" s="2"/>
      <c r="N175" s="3"/>
      <c r="Q175" s="3"/>
      <c r="U175" s="3"/>
      <c r="X175" s="3"/>
      <c r="AA175" s="3"/>
      <c r="AS175" s="110"/>
    </row>
    <row r="176" spans="7:45" x14ac:dyDescent="0.2">
      <c r="G176" s="164"/>
      <c r="H176" s="2"/>
      <c r="N176" s="3"/>
      <c r="Q176" s="3"/>
      <c r="U176" s="3"/>
      <c r="X176" s="3"/>
      <c r="AA176" s="3"/>
      <c r="AS176" s="110"/>
    </row>
    <row r="177" spans="7:45" x14ac:dyDescent="0.2">
      <c r="G177" s="164"/>
      <c r="H177" s="2"/>
      <c r="N177" s="3"/>
      <c r="Q177" s="3"/>
      <c r="U177" s="3"/>
      <c r="X177" s="3"/>
      <c r="AA177" s="3"/>
      <c r="AS177" s="110"/>
    </row>
    <row r="178" spans="7:45" x14ac:dyDescent="0.2">
      <c r="G178" s="164"/>
      <c r="H178" s="2"/>
      <c r="N178" s="3"/>
      <c r="Q178" s="3"/>
      <c r="U178" s="3"/>
      <c r="X178" s="3"/>
      <c r="AA178" s="3"/>
      <c r="AS178" s="110"/>
    </row>
    <row r="179" spans="7:45" x14ac:dyDescent="0.2">
      <c r="G179" s="164"/>
      <c r="H179" s="2"/>
      <c r="N179" s="3"/>
      <c r="Q179" s="3"/>
      <c r="U179" s="3"/>
      <c r="X179" s="3"/>
      <c r="AA179" s="3"/>
      <c r="AS179" s="110"/>
    </row>
    <row r="180" spans="7:45" x14ac:dyDescent="0.2">
      <c r="G180" s="164"/>
      <c r="H180" s="2"/>
      <c r="N180" s="3"/>
      <c r="Q180" s="3"/>
      <c r="U180" s="3"/>
      <c r="X180" s="3"/>
      <c r="AA180" s="3"/>
      <c r="AS180" s="110"/>
    </row>
    <row r="181" spans="7:45" x14ac:dyDescent="0.2">
      <c r="G181" s="164"/>
      <c r="H181" s="2"/>
      <c r="N181" s="3"/>
      <c r="Q181" s="3"/>
      <c r="U181" s="3"/>
      <c r="X181" s="3"/>
      <c r="AA181" s="3"/>
      <c r="AS181" s="110"/>
    </row>
  </sheetData>
  <phoneticPr fontId="29" type="noConversion"/>
  <conditionalFormatting sqref="L23">
    <cfRule type="containsText" dxfId="7" priority="100" operator="containsText" text="NaN">
      <formula>NOT(ISERROR(SEARCH("NaN",L23)))</formula>
    </cfRule>
  </conditionalFormatting>
  <conditionalFormatting sqref="N2:T62">
    <cfRule type="containsText" dxfId="6" priority="93" operator="containsText" text="NaN">
      <formula>NOT(ISERROR(SEARCH("NaN",N2)))</formula>
    </cfRule>
  </conditionalFormatting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D484-CC7C-2A40-8B3A-3E586D3A8C68}">
  <sheetPr>
    <tabColor rgb="FFFF0000"/>
  </sheetPr>
  <dimension ref="A1:BJ62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F1" sqref="AF1:AG1048576"/>
    </sheetView>
  </sheetViews>
  <sheetFormatPr baseColWidth="10" defaultColWidth="11" defaultRowHeight="16" x14ac:dyDescent="0.2"/>
  <cols>
    <col min="1" max="1" width="11" style="20"/>
    <col min="2" max="2" width="7.1640625" style="20" customWidth="1"/>
    <col min="3" max="3" width="15.6640625" style="20" customWidth="1"/>
    <col min="4" max="7" width="11" style="17"/>
    <col min="8" max="8" width="11" style="78"/>
    <col min="9" max="9" width="10.5" style="17" bestFit="1" customWidth="1"/>
    <col min="10" max="10" width="12.5" style="17" bestFit="1" customWidth="1"/>
    <col min="11" max="11" width="12.33203125" style="17" bestFit="1" customWidth="1"/>
    <col min="12" max="17" width="11" style="17"/>
    <col min="18" max="18" width="11" style="17" customWidth="1"/>
    <col min="19" max="19" width="11" style="78" customWidth="1"/>
    <col min="20" max="21" width="11" style="17"/>
    <col min="22" max="22" width="10.5" style="17" bestFit="1" customWidth="1"/>
    <col min="23" max="23" width="12.5" style="17" bestFit="1" customWidth="1"/>
    <col min="24" max="24" width="12.33203125" style="17" bestFit="1" customWidth="1"/>
    <col min="25" max="30" width="11" style="17"/>
    <col min="31" max="31" width="11" style="78"/>
    <col min="32" max="42" width="11" style="17"/>
    <col min="43" max="43" width="11" style="78"/>
    <col min="44" max="45" width="11" style="17"/>
    <col min="46" max="46" width="10.5" style="17" bestFit="1" customWidth="1"/>
    <col min="47" max="47" width="12.5" style="17" bestFit="1" customWidth="1"/>
    <col min="48" max="48" width="12.33203125" style="17" bestFit="1" customWidth="1"/>
    <col min="49" max="54" width="11" style="17"/>
    <col min="55" max="55" width="11" style="78"/>
    <col min="56" max="62" width="11" style="17"/>
    <col min="63" max="16384" width="11" style="20"/>
  </cols>
  <sheetData>
    <row r="1" spans="1:62" s="24" customFormat="1" ht="15" thickBot="1" x14ac:dyDescent="0.2">
      <c r="A1" s="19" t="s">
        <v>149</v>
      </c>
      <c r="B1" s="56" t="s">
        <v>213</v>
      </c>
      <c r="C1" s="55" t="s">
        <v>214</v>
      </c>
      <c r="D1" s="25" t="s">
        <v>113</v>
      </c>
      <c r="E1" s="24" t="s">
        <v>114</v>
      </c>
      <c r="F1" s="29" t="s">
        <v>115</v>
      </c>
      <c r="G1" s="24" t="s">
        <v>132</v>
      </c>
      <c r="H1" s="73" t="s">
        <v>236</v>
      </c>
      <c r="I1" s="166" t="s">
        <v>334</v>
      </c>
      <c r="J1" s="166" t="s">
        <v>335</v>
      </c>
      <c r="K1" s="166" t="s">
        <v>336</v>
      </c>
      <c r="L1" s="24" t="s">
        <v>133</v>
      </c>
      <c r="M1" s="28" t="s">
        <v>134</v>
      </c>
      <c r="N1" s="71" t="s">
        <v>232</v>
      </c>
      <c r="O1" s="24" t="s">
        <v>112</v>
      </c>
      <c r="P1" s="24" t="s">
        <v>117</v>
      </c>
      <c r="Q1" s="29" t="s">
        <v>118</v>
      </c>
      <c r="R1" s="24" t="s">
        <v>135</v>
      </c>
      <c r="S1" s="73" t="s">
        <v>237</v>
      </c>
      <c r="T1" s="26" t="s">
        <v>156</v>
      </c>
      <c r="U1" s="26" t="s">
        <v>160</v>
      </c>
      <c r="V1" s="166" t="s">
        <v>337</v>
      </c>
      <c r="W1" s="166" t="s">
        <v>338</v>
      </c>
      <c r="X1" s="166" t="s">
        <v>339</v>
      </c>
      <c r="Y1" s="27" t="s">
        <v>136</v>
      </c>
      <c r="Z1" s="28" t="s">
        <v>137</v>
      </c>
      <c r="AA1" s="24" t="s">
        <v>123</v>
      </c>
      <c r="AB1" s="24" t="s">
        <v>124</v>
      </c>
      <c r="AC1" s="29" t="s">
        <v>126</v>
      </c>
      <c r="AD1" s="24" t="s">
        <v>138</v>
      </c>
      <c r="AE1" s="73" t="s">
        <v>238</v>
      </c>
      <c r="AF1" s="26" t="s">
        <v>157</v>
      </c>
      <c r="AG1" s="26" t="s">
        <v>161</v>
      </c>
      <c r="AH1" s="166" t="s">
        <v>343</v>
      </c>
      <c r="AI1" s="166" t="s">
        <v>344</v>
      </c>
      <c r="AJ1" s="166" t="s">
        <v>345</v>
      </c>
      <c r="AK1" s="27" t="s">
        <v>139</v>
      </c>
      <c r="AL1" s="28" t="s">
        <v>140</v>
      </c>
      <c r="AM1" s="24" t="s">
        <v>127</v>
      </c>
      <c r="AN1" s="24" t="s">
        <v>128</v>
      </c>
      <c r="AO1" s="29" t="s">
        <v>125</v>
      </c>
      <c r="AP1" s="24" t="s">
        <v>141</v>
      </c>
      <c r="AQ1" s="73" t="s">
        <v>239</v>
      </c>
      <c r="AR1" s="26" t="s">
        <v>158</v>
      </c>
      <c r="AS1" s="26" t="s">
        <v>189</v>
      </c>
      <c r="AT1" s="166" t="s">
        <v>340</v>
      </c>
      <c r="AU1" s="166" t="s">
        <v>341</v>
      </c>
      <c r="AV1" s="166" t="s">
        <v>342</v>
      </c>
      <c r="AW1" s="27" t="s">
        <v>142</v>
      </c>
      <c r="AX1" s="28" t="s">
        <v>143</v>
      </c>
      <c r="AY1" s="24" t="s">
        <v>129</v>
      </c>
      <c r="AZ1" s="24" t="s">
        <v>130</v>
      </c>
      <c r="BA1" s="29" t="s">
        <v>144</v>
      </c>
      <c r="BB1" s="24" t="s">
        <v>145</v>
      </c>
      <c r="BC1" s="73" t="s">
        <v>240</v>
      </c>
      <c r="BD1" s="26" t="s">
        <v>159</v>
      </c>
      <c r="BE1" s="26" t="s">
        <v>162</v>
      </c>
      <c r="BF1" s="166" t="s">
        <v>346</v>
      </c>
      <c r="BG1" s="166" t="s">
        <v>347</v>
      </c>
      <c r="BH1" s="166" t="s">
        <v>348</v>
      </c>
      <c r="BI1" s="27" t="s">
        <v>146</v>
      </c>
      <c r="BJ1" s="28" t="s">
        <v>147</v>
      </c>
    </row>
    <row r="2" spans="1:62" x14ac:dyDescent="0.15">
      <c r="A2" s="36">
        <v>101</v>
      </c>
      <c r="B2" s="57">
        <v>1</v>
      </c>
      <c r="C2" s="58">
        <v>1</v>
      </c>
      <c r="D2" s="20">
        <v>8</v>
      </c>
      <c r="E2" s="20">
        <v>3</v>
      </c>
      <c r="F2" s="42">
        <v>5</v>
      </c>
      <c r="G2" s="20">
        <v>5</v>
      </c>
      <c r="H2" s="74">
        <f>AVERAGE(D2:G2)</f>
        <v>5.25</v>
      </c>
      <c r="I2" s="22">
        <v>6</v>
      </c>
      <c r="J2" s="20">
        <v>7</v>
      </c>
      <c r="K2" s="23">
        <v>7</v>
      </c>
      <c r="L2" s="20">
        <v>6</v>
      </c>
      <c r="M2" s="41">
        <v>5.75</v>
      </c>
      <c r="N2" s="72">
        <f t="shared" ref="N2:N33" si="0">AVERAGE(F2,Q2)</f>
        <v>5</v>
      </c>
      <c r="O2" s="20">
        <v>8</v>
      </c>
      <c r="P2" s="20">
        <v>2</v>
      </c>
      <c r="Q2" s="42">
        <v>5</v>
      </c>
      <c r="R2" s="20">
        <v>4</v>
      </c>
      <c r="S2" s="75">
        <f t="shared" ref="S2:S33" si="1">AVERAGE(O2,P2,Q2,R2)</f>
        <v>4.75</v>
      </c>
      <c r="T2" s="17">
        <v>2</v>
      </c>
      <c r="U2" s="17">
        <v>5</v>
      </c>
      <c r="V2" s="22">
        <v>1</v>
      </c>
      <c r="W2" s="20">
        <v>4</v>
      </c>
      <c r="X2" s="23">
        <v>5</v>
      </c>
      <c r="Y2" s="40">
        <v>3</v>
      </c>
      <c r="Z2" s="41">
        <v>2.75</v>
      </c>
      <c r="AA2" s="20">
        <v>3</v>
      </c>
      <c r="AB2" s="20">
        <v>1</v>
      </c>
      <c r="AC2" s="42">
        <v>2</v>
      </c>
      <c r="AD2" s="20">
        <v>1</v>
      </c>
      <c r="AE2" s="74">
        <f>AVERAGE(AA2:AD2)</f>
        <v>1.75</v>
      </c>
      <c r="AF2" s="17">
        <v>2</v>
      </c>
      <c r="AG2" s="17">
        <v>3</v>
      </c>
      <c r="AH2" s="44">
        <v>2</v>
      </c>
      <c r="AI2" s="44">
        <v>4</v>
      </c>
      <c r="AJ2" s="44">
        <v>5</v>
      </c>
      <c r="AK2" s="40">
        <v>4.333333333333333</v>
      </c>
      <c r="AL2" s="41">
        <v>2.75</v>
      </c>
      <c r="AM2" s="17">
        <v>5</v>
      </c>
      <c r="AN2" s="17">
        <v>1</v>
      </c>
      <c r="AO2" s="30">
        <v>2.4</v>
      </c>
      <c r="AP2" s="17" t="s">
        <v>155</v>
      </c>
      <c r="AQ2" s="75">
        <f>AVERAGE(AM2,AN2,AO2,AP2)</f>
        <v>2.8000000000000003</v>
      </c>
      <c r="AR2" s="17">
        <v>2.2000000000000002</v>
      </c>
      <c r="AS2" s="17">
        <v>5</v>
      </c>
      <c r="AT2" s="22" t="s">
        <v>155</v>
      </c>
      <c r="AU2" s="20" t="s">
        <v>155</v>
      </c>
      <c r="AV2" s="23" t="s">
        <v>155</v>
      </c>
      <c r="AW2" s="40" t="s">
        <v>155</v>
      </c>
      <c r="AX2" s="41" t="s">
        <v>155</v>
      </c>
      <c r="AY2" s="20">
        <v>4</v>
      </c>
      <c r="AZ2" s="20">
        <v>1</v>
      </c>
      <c r="BA2" s="42">
        <v>2</v>
      </c>
      <c r="BB2" s="20">
        <v>2</v>
      </c>
      <c r="BC2" s="75">
        <f>AVERAGE(AY2:BB2)</f>
        <v>2.25</v>
      </c>
      <c r="BD2" s="77">
        <v>2.6</v>
      </c>
      <c r="BE2" s="77">
        <v>5</v>
      </c>
      <c r="BF2" s="44">
        <v>1</v>
      </c>
      <c r="BG2" s="44">
        <v>2</v>
      </c>
      <c r="BH2" s="44">
        <v>1</v>
      </c>
      <c r="BI2" s="40">
        <v>1.3333333333333333</v>
      </c>
      <c r="BJ2" s="41">
        <v>1.5</v>
      </c>
    </row>
    <row r="3" spans="1:62" x14ac:dyDescent="0.15">
      <c r="A3" s="52">
        <v>102</v>
      </c>
      <c r="B3" s="57">
        <v>-1</v>
      </c>
      <c r="C3" s="58">
        <v>1</v>
      </c>
      <c r="D3" s="20">
        <v>7</v>
      </c>
      <c r="E3" s="20">
        <v>3</v>
      </c>
      <c r="F3" s="42">
        <v>5</v>
      </c>
      <c r="G3" s="20">
        <v>4</v>
      </c>
      <c r="H3" s="74">
        <f t="shared" ref="H3:H17" si="2">AVERAGE(D3:G3)</f>
        <v>4.75</v>
      </c>
      <c r="I3" s="22">
        <v>4</v>
      </c>
      <c r="J3" s="20">
        <v>6</v>
      </c>
      <c r="K3" s="23">
        <v>8</v>
      </c>
      <c r="L3" s="20">
        <v>5</v>
      </c>
      <c r="M3" s="41">
        <v>4.5</v>
      </c>
      <c r="N3" s="72">
        <f t="shared" si="0"/>
        <v>4</v>
      </c>
      <c r="O3" s="20">
        <v>7</v>
      </c>
      <c r="P3" s="20">
        <v>1</v>
      </c>
      <c r="Q3" s="42">
        <v>3</v>
      </c>
      <c r="R3" s="20">
        <v>3</v>
      </c>
      <c r="S3" s="75">
        <f t="shared" si="1"/>
        <v>3.5</v>
      </c>
      <c r="T3" s="17">
        <v>4.2</v>
      </c>
      <c r="U3" s="17">
        <v>5</v>
      </c>
      <c r="V3" s="22">
        <v>6</v>
      </c>
      <c r="W3" s="20">
        <v>5</v>
      </c>
      <c r="X3" s="23">
        <v>7</v>
      </c>
      <c r="Y3" s="40">
        <v>4</v>
      </c>
      <c r="Z3" s="41">
        <v>4.25</v>
      </c>
      <c r="AA3" s="20">
        <v>6</v>
      </c>
      <c r="AB3" s="20">
        <v>1</v>
      </c>
      <c r="AC3" s="42">
        <v>3</v>
      </c>
      <c r="AD3" s="20">
        <v>1</v>
      </c>
      <c r="AE3" s="74">
        <f>AVERAGE(AA3:AD3)</f>
        <v>2.75</v>
      </c>
      <c r="AF3" s="17">
        <v>3.4</v>
      </c>
      <c r="AG3" s="17">
        <v>5</v>
      </c>
      <c r="AH3" s="44">
        <v>3</v>
      </c>
      <c r="AI3" s="44">
        <v>5</v>
      </c>
      <c r="AJ3" s="44">
        <v>7</v>
      </c>
      <c r="AK3" s="40">
        <v>3.3333333333333335</v>
      </c>
      <c r="AL3" s="41">
        <v>3.5</v>
      </c>
      <c r="AM3" s="20">
        <v>8</v>
      </c>
      <c r="AN3" s="20">
        <v>1</v>
      </c>
      <c r="AO3" s="42">
        <v>3</v>
      </c>
      <c r="AP3" s="20">
        <v>3</v>
      </c>
      <c r="AQ3" s="74">
        <f>AVERAGE(AM3,AN3,AO3,AP3)</f>
        <v>3.75</v>
      </c>
      <c r="AR3" s="17">
        <v>3.4285714285714284</v>
      </c>
      <c r="AS3" s="17">
        <v>7</v>
      </c>
      <c r="AT3" s="22">
        <v>3</v>
      </c>
      <c r="AU3" s="20">
        <v>2</v>
      </c>
      <c r="AV3" s="23">
        <v>7</v>
      </c>
      <c r="AW3" s="40">
        <v>2</v>
      </c>
      <c r="AX3" s="41">
        <v>3.75</v>
      </c>
      <c r="AY3" s="20">
        <v>2</v>
      </c>
      <c r="AZ3" s="20">
        <v>0</v>
      </c>
      <c r="BA3" s="42">
        <v>1</v>
      </c>
      <c r="BB3" s="20">
        <v>1</v>
      </c>
      <c r="BC3" s="75">
        <f>AVERAGE(AY3:BB3)</f>
        <v>1</v>
      </c>
      <c r="BD3" s="77">
        <v>0.5714285714285714</v>
      </c>
      <c r="BE3" s="77">
        <v>7</v>
      </c>
      <c r="BF3" s="44">
        <v>1</v>
      </c>
      <c r="BG3" s="44">
        <v>1</v>
      </c>
      <c r="BH3" s="44">
        <v>1</v>
      </c>
      <c r="BI3" s="40">
        <v>0.66666666666666663</v>
      </c>
      <c r="BJ3" s="41">
        <v>0.5</v>
      </c>
    </row>
    <row r="4" spans="1:62" ht="17" x14ac:dyDescent="0.15">
      <c r="A4" s="37">
        <v>103</v>
      </c>
      <c r="B4" s="59">
        <v>-1</v>
      </c>
      <c r="C4" s="60">
        <v>1</v>
      </c>
      <c r="D4" s="20">
        <v>9</v>
      </c>
      <c r="E4" s="20">
        <v>7</v>
      </c>
      <c r="F4" s="42">
        <v>8</v>
      </c>
      <c r="G4" s="20">
        <v>8</v>
      </c>
      <c r="H4" s="74">
        <f t="shared" si="2"/>
        <v>8</v>
      </c>
      <c r="I4" s="22">
        <v>5</v>
      </c>
      <c r="J4" s="20">
        <v>8</v>
      </c>
      <c r="K4" s="23">
        <v>5</v>
      </c>
      <c r="L4" s="20">
        <v>6</v>
      </c>
      <c r="M4" s="41">
        <v>5.75</v>
      </c>
      <c r="N4" s="72">
        <f t="shared" si="0"/>
        <v>6.5</v>
      </c>
      <c r="O4" s="20">
        <v>7</v>
      </c>
      <c r="P4" s="20">
        <v>3</v>
      </c>
      <c r="Q4" s="42">
        <v>5</v>
      </c>
      <c r="R4" s="20">
        <v>6</v>
      </c>
      <c r="S4" s="75">
        <f t="shared" si="1"/>
        <v>5.25</v>
      </c>
      <c r="T4" s="17">
        <v>3</v>
      </c>
      <c r="U4" s="17">
        <v>6</v>
      </c>
      <c r="V4" s="22">
        <v>3</v>
      </c>
      <c r="W4" s="20">
        <v>6</v>
      </c>
      <c r="X4" s="23">
        <v>9</v>
      </c>
      <c r="Y4" s="40">
        <v>5.333333333333333</v>
      </c>
      <c r="Z4" s="41">
        <v>4.5</v>
      </c>
      <c r="AA4" s="17">
        <v>7</v>
      </c>
      <c r="AB4" s="17">
        <v>1</v>
      </c>
      <c r="AC4" s="30">
        <v>3</v>
      </c>
      <c r="AD4" s="17">
        <v>6</v>
      </c>
      <c r="AE4" s="84">
        <f>AVERAGE(AA4:AD4)</f>
        <v>4.25</v>
      </c>
      <c r="AF4" s="17">
        <v>5</v>
      </c>
      <c r="AG4" s="17">
        <v>4</v>
      </c>
      <c r="AH4" s="44" t="s">
        <v>155</v>
      </c>
      <c r="AI4" s="44" t="s">
        <v>155</v>
      </c>
      <c r="AJ4" s="44" t="s">
        <v>155</v>
      </c>
      <c r="AK4" s="40" t="s">
        <v>155</v>
      </c>
      <c r="AL4" s="41" t="s">
        <v>155</v>
      </c>
      <c r="AM4" s="83">
        <v>8</v>
      </c>
      <c r="AN4" s="83">
        <v>4</v>
      </c>
      <c r="AO4" s="83">
        <v>4</v>
      </c>
      <c r="AP4" s="83">
        <v>7</v>
      </c>
      <c r="AQ4" s="84">
        <f>AVERAGE(AM4,AN4,AO4,AP4)</f>
        <v>5.75</v>
      </c>
      <c r="AR4" s="17">
        <v>7</v>
      </c>
      <c r="AS4" s="17">
        <v>2</v>
      </c>
      <c r="AT4" s="22" t="s">
        <v>155</v>
      </c>
      <c r="AU4" s="20" t="s">
        <v>155</v>
      </c>
      <c r="AV4" s="23" t="s">
        <v>155</v>
      </c>
      <c r="AW4" s="40" t="s">
        <v>155</v>
      </c>
      <c r="AX4" s="41" t="s">
        <v>155</v>
      </c>
      <c r="AY4" s="20" t="s">
        <v>155</v>
      </c>
      <c r="AZ4" s="20" t="s">
        <v>155</v>
      </c>
      <c r="BA4" s="42" t="s">
        <v>155</v>
      </c>
      <c r="BB4" s="20" t="s">
        <v>155</v>
      </c>
      <c r="BC4" s="74" t="s">
        <v>155</v>
      </c>
      <c r="BD4" s="77">
        <v>5</v>
      </c>
      <c r="BE4" s="77">
        <v>3</v>
      </c>
      <c r="BF4" s="44" t="s">
        <v>155</v>
      </c>
      <c r="BG4" s="44" t="s">
        <v>155</v>
      </c>
      <c r="BH4" s="44" t="s">
        <v>155</v>
      </c>
      <c r="BI4" s="40" t="s">
        <v>155</v>
      </c>
      <c r="BJ4" s="41" t="s">
        <v>155</v>
      </c>
    </row>
    <row r="5" spans="1:62" x14ac:dyDescent="0.15">
      <c r="A5" s="36">
        <v>104</v>
      </c>
      <c r="B5" s="57">
        <v>-1</v>
      </c>
      <c r="C5" s="58">
        <v>1</v>
      </c>
      <c r="D5" s="20">
        <v>8</v>
      </c>
      <c r="E5" s="20">
        <v>0</v>
      </c>
      <c r="F5" s="46">
        <v>3</v>
      </c>
      <c r="G5" s="20">
        <v>0</v>
      </c>
      <c r="H5" s="74">
        <f t="shared" si="2"/>
        <v>2.75</v>
      </c>
      <c r="I5" s="22">
        <v>4</v>
      </c>
      <c r="J5" s="20">
        <v>0</v>
      </c>
      <c r="K5" s="23">
        <v>0</v>
      </c>
      <c r="L5" s="20">
        <v>1.6666666666666667</v>
      </c>
      <c r="M5" s="41">
        <v>4.25</v>
      </c>
      <c r="N5" s="72">
        <f t="shared" si="0"/>
        <v>2.1666666666666665</v>
      </c>
      <c r="O5" s="17">
        <v>3</v>
      </c>
      <c r="P5" s="17">
        <v>1</v>
      </c>
      <c r="Q5" s="30">
        <v>1.3333333333333333</v>
      </c>
      <c r="R5" s="17">
        <v>0</v>
      </c>
      <c r="S5" s="75">
        <f t="shared" si="1"/>
        <v>1.3333333333333333</v>
      </c>
      <c r="T5" s="17">
        <v>1.3333333333333333</v>
      </c>
      <c r="U5" s="17">
        <v>3</v>
      </c>
      <c r="V5" s="22" t="s">
        <v>155</v>
      </c>
      <c r="W5" s="20" t="s">
        <v>155</v>
      </c>
      <c r="X5" s="23" t="s">
        <v>155</v>
      </c>
      <c r="Y5" s="40" t="s">
        <v>155</v>
      </c>
      <c r="Z5" s="41" t="s">
        <v>155</v>
      </c>
      <c r="AA5" s="20">
        <v>3</v>
      </c>
      <c r="AB5" s="20">
        <v>0</v>
      </c>
      <c r="AC5" s="42">
        <v>2</v>
      </c>
      <c r="AD5" s="20">
        <v>0</v>
      </c>
      <c r="AE5" s="74">
        <f t="shared" ref="AE5:AE36" si="3">AVERAGE(AA5:AD5)</f>
        <v>1.25</v>
      </c>
      <c r="AF5" s="17">
        <v>0</v>
      </c>
      <c r="AG5" s="17">
        <v>2</v>
      </c>
      <c r="AH5" s="44">
        <v>2</v>
      </c>
      <c r="AI5" s="44">
        <v>1</v>
      </c>
      <c r="AJ5" s="44">
        <v>0</v>
      </c>
      <c r="AK5" s="40">
        <v>0.33333333333333331</v>
      </c>
      <c r="AL5" s="41">
        <v>1.5</v>
      </c>
      <c r="AM5" s="20">
        <v>3</v>
      </c>
      <c r="AN5" s="20">
        <v>0</v>
      </c>
      <c r="AO5" s="42">
        <v>1</v>
      </c>
      <c r="AP5" s="20">
        <v>2</v>
      </c>
      <c r="AQ5" s="74">
        <f>AVERAGE(AM5,AN5,AO5,AP5)</f>
        <v>1.5</v>
      </c>
      <c r="AR5" s="17">
        <v>0.33333333333333331</v>
      </c>
      <c r="AS5" s="17">
        <v>3</v>
      </c>
      <c r="AT5" s="22">
        <v>2</v>
      </c>
      <c r="AU5" s="20">
        <v>4</v>
      </c>
      <c r="AV5" s="23">
        <v>0</v>
      </c>
      <c r="AW5" s="40">
        <v>2</v>
      </c>
      <c r="AX5" s="41">
        <v>0.5</v>
      </c>
      <c r="AY5" s="20">
        <v>2</v>
      </c>
      <c r="AZ5" s="20">
        <v>0</v>
      </c>
      <c r="BA5" s="42">
        <v>1</v>
      </c>
      <c r="BB5" s="20">
        <v>1</v>
      </c>
      <c r="BC5" s="75">
        <f t="shared" ref="BC5:BC33" si="4">AVERAGE(AY5:BB5)</f>
        <v>1</v>
      </c>
      <c r="BD5" s="77">
        <v>0.18666666666666668</v>
      </c>
      <c r="BE5" s="77">
        <v>3</v>
      </c>
      <c r="BF5" s="44">
        <v>1</v>
      </c>
      <c r="BG5" s="44">
        <v>1</v>
      </c>
      <c r="BH5" s="44">
        <v>1</v>
      </c>
      <c r="BI5" s="40">
        <v>0.33333333333333331</v>
      </c>
      <c r="BJ5" s="41">
        <v>0.5</v>
      </c>
    </row>
    <row r="6" spans="1:62" x14ac:dyDescent="0.15">
      <c r="A6" s="52">
        <v>105</v>
      </c>
      <c r="B6" s="57">
        <v>-1</v>
      </c>
      <c r="C6" s="58">
        <v>1</v>
      </c>
      <c r="D6" s="20">
        <v>7</v>
      </c>
      <c r="E6" s="20">
        <v>1</v>
      </c>
      <c r="F6" s="42">
        <v>5</v>
      </c>
      <c r="G6" s="20">
        <v>5</v>
      </c>
      <c r="H6" s="74">
        <f t="shared" si="2"/>
        <v>4.5</v>
      </c>
      <c r="I6" s="22">
        <v>6</v>
      </c>
      <c r="J6" s="20">
        <v>4</v>
      </c>
      <c r="K6" s="23">
        <v>5</v>
      </c>
      <c r="L6" s="20">
        <v>4</v>
      </c>
      <c r="M6" s="41">
        <v>4</v>
      </c>
      <c r="N6" s="72">
        <f t="shared" si="0"/>
        <v>4.5</v>
      </c>
      <c r="O6" s="20">
        <v>6</v>
      </c>
      <c r="P6" s="20">
        <v>1</v>
      </c>
      <c r="Q6" s="42">
        <v>4</v>
      </c>
      <c r="R6" s="20">
        <v>2</v>
      </c>
      <c r="S6" s="75">
        <f t="shared" si="1"/>
        <v>3.25</v>
      </c>
      <c r="T6" s="17">
        <v>4.333333333333333</v>
      </c>
      <c r="U6" s="17">
        <v>3</v>
      </c>
      <c r="V6" s="22">
        <v>6</v>
      </c>
      <c r="W6" s="20">
        <v>5</v>
      </c>
      <c r="X6" s="23">
        <v>6</v>
      </c>
      <c r="Y6" s="40">
        <v>2.6666666666666665</v>
      </c>
      <c r="Z6" s="41">
        <v>3.75</v>
      </c>
      <c r="AA6" s="20">
        <v>4</v>
      </c>
      <c r="AB6" s="20">
        <v>1</v>
      </c>
      <c r="AC6" s="42">
        <v>3</v>
      </c>
      <c r="AD6" s="20">
        <v>3</v>
      </c>
      <c r="AE6" s="74">
        <f t="shared" si="3"/>
        <v>2.75</v>
      </c>
      <c r="AF6" s="17">
        <v>2.6</v>
      </c>
      <c r="AG6" s="17">
        <v>5</v>
      </c>
      <c r="AH6" s="44">
        <v>5</v>
      </c>
      <c r="AI6" s="44">
        <v>5</v>
      </c>
      <c r="AJ6" s="44">
        <v>6</v>
      </c>
      <c r="AK6" s="40">
        <v>3</v>
      </c>
      <c r="AL6" s="41">
        <v>4.75</v>
      </c>
      <c r="AM6" s="20">
        <v>6</v>
      </c>
      <c r="AN6" s="20">
        <v>0</v>
      </c>
      <c r="AO6" s="42">
        <v>2</v>
      </c>
      <c r="AP6" s="20">
        <v>0</v>
      </c>
      <c r="AQ6" s="74">
        <f>AVERAGE(AM6,AN6,AO6,AP6)</f>
        <v>2</v>
      </c>
      <c r="AR6" s="17">
        <v>0.6</v>
      </c>
      <c r="AS6" s="17">
        <v>5</v>
      </c>
      <c r="AT6" s="22">
        <v>0</v>
      </c>
      <c r="AU6" s="20">
        <v>0</v>
      </c>
      <c r="AV6" s="23">
        <v>3</v>
      </c>
      <c r="AW6" s="40">
        <v>0.33333333333333331</v>
      </c>
      <c r="AX6" s="41">
        <v>1.25</v>
      </c>
      <c r="AY6" s="20">
        <v>6</v>
      </c>
      <c r="AZ6" s="20">
        <v>0</v>
      </c>
      <c r="BA6" s="42">
        <v>3</v>
      </c>
      <c r="BB6" s="20">
        <v>3</v>
      </c>
      <c r="BC6" s="74">
        <f t="shared" si="4"/>
        <v>3</v>
      </c>
      <c r="BD6" s="77">
        <v>2.2000000000000002</v>
      </c>
      <c r="BE6" s="77">
        <v>5</v>
      </c>
      <c r="BF6" s="44">
        <v>1</v>
      </c>
      <c r="BG6" s="44">
        <v>1</v>
      </c>
      <c r="BH6" s="44">
        <v>5</v>
      </c>
      <c r="BI6" s="40">
        <v>0.66666666666666663</v>
      </c>
      <c r="BJ6" s="41">
        <v>3.5</v>
      </c>
    </row>
    <row r="7" spans="1:62" x14ac:dyDescent="0.15">
      <c r="A7" s="52">
        <v>106</v>
      </c>
      <c r="B7" s="57">
        <v>1</v>
      </c>
      <c r="C7" s="58">
        <v>1</v>
      </c>
      <c r="D7" s="20">
        <v>8</v>
      </c>
      <c r="E7" s="20">
        <v>8</v>
      </c>
      <c r="F7" s="42">
        <v>8</v>
      </c>
      <c r="G7" s="20">
        <v>8</v>
      </c>
      <c r="H7" s="74">
        <f t="shared" si="2"/>
        <v>8</v>
      </c>
      <c r="I7" s="22">
        <v>4</v>
      </c>
      <c r="J7" s="20">
        <v>6</v>
      </c>
      <c r="K7" s="23">
        <v>8</v>
      </c>
      <c r="L7" s="20">
        <v>7.333333333333333</v>
      </c>
      <c r="M7" s="41">
        <v>6</v>
      </c>
      <c r="N7" s="72">
        <f t="shared" si="0"/>
        <v>6</v>
      </c>
      <c r="O7" s="20">
        <v>5</v>
      </c>
      <c r="P7" s="20">
        <v>3</v>
      </c>
      <c r="Q7" s="42">
        <v>4</v>
      </c>
      <c r="R7" s="20">
        <v>3</v>
      </c>
      <c r="S7" s="75">
        <f t="shared" si="1"/>
        <v>3.75</v>
      </c>
      <c r="T7" s="17">
        <v>5.333333333333333</v>
      </c>
      <c r="U7" s="17">
        <v>3</v>
      </c>
      <c r="V7" s="22">
        <v>4</v>
      </c>
      <c r="W7" s="20">
        <v>4</v>
      </c>
      <c r="X7" s="23">
        <v>4</v>
      </c>
      <c r="Y7" s="40">
        <v>3.3333333333333335</v>
      </c>
      <c r="Z7" s="41">
        <v>4</v>
      </c>
      <c r="AA7" s="20">
        <v>2</v>
      </c>
      <c r="AB7" s="20">
        <v>2</v>
      </c>
      <c r="AC7" s="42">
        <v>2</v>
      </c>
      <c r="AD7" s="20">
        <v>1</v>
      </c>
      <c r="AE7" s="74">
        <f t="shared" si="3"/>
        <v>1.75</v>
      </c>
      <c r="AF7" s="17">
        <v>1.6666666666666667</v>
      </c>
      <c r="AG7" s="17">
        <v>6</v>
      </c>
      <c r="AH7" s="44">
        <v>2</v>
      </c>
      <c r="AI7" s="44">
        <v>2</v>
      </c>
      <c r="AJ7" s="44">
        <v>1</v>
      </c>
      <c r="AK7" s="40">
        <v>1.3333333333333333</v>
      </c>
      <c r="AL7" s="41">
        <v>1.75</v>
      </c>
      <c r="AM7" s="20">
        <v>6</v>
      </c>
      <c r="AN7" s="20">
        <v>6</v>
      </c>
      <c r="AO7" s="42">
        <v>0</v>
      </c>
      <c r="AP7" s="20">
        <v>4</v>
      </c>
      <c r="AQ7" s="74">
        <f>AVERAGE(AM7,AN7,AO7,AP7)</f>
        <v>4</v>
      </c>
      <c r="AR7" s="17">
        <v>0.7142857142857143</v>
      </c>
      <c r="AS7" s="17">
        <v>7</v>
      </c>
      <c r="AT7" s="22">
        <v>0</v>
      </c>
      <c r="AU7" s="20">
        <v>0</v>
      </c>
      <c r="AV7" s="23">
        <v>1</v>
      </c>
      <c r="AW7" s="40">
        <v>1</v>
      </c>
      <c r="AX7" s="41">
        <v>0.5</v>
      </c>
      <c r="AY7" s="20">
        <v>5</v>
      </c>
      <c r="AZ7" s="20">
        <v>2</v>
      </c>
      <c r="BA7" s="42">
        <v>3</v>
      </c>
      <c r="BB7" s="20">
        <v>0</v>
      </c>
      <c r="BC7" s="75">
        <f t="shared" si="4"/>
        <v>2.5</v>
      </c>
      <c r="BD7" s="77">
        <v>0.33333333333333331</v>
      </c>
      <c r="BE7" s="77">
        <v>6</v>
      </c>
      <c r="BF7" s="44">
        <v>4</v>
      </c>
      <c r="BG7" s="44">
        <v>3</v>
      </c>
      <c r="BH7" s="44">
        <v>5</v>
      </c>
      <c r="BI7" s="40">
        <v>3</v>
      </c>
      <c r="BJ7" s="41">
        <v>4</v>
      </c>
    </row>
    <row r="8" spans="1:62" ht="15" customHeight="1" x14ac:dyDescent="0.15">
      <c r="A8" s="52">
        <v>107</v>
      </c>
      <c r="B8" s="57">
        <v>1</v>
      </c>
      <c r="C8" s="58">
        <v>1</v>
      </c>
      <c r="D8" s="20">
        <v>7</v>
      </c>
      <c r="E8" s="20">
        <v>2</v>
      </c>
      <c r="F8" s="42">
        <v>4</v>
      </c>
      <c r="G8" s="20">
        <v>6</v>
      </c>
      <c r="H8" s="74">
        <f t="shared" si="2"/>
        <v>4.75</v>
      </c>
      <c r="I8" s="22">
        <v>3</v>
      </c>
      <c r="J8" s="20">
        <v>3</v>
      </c>
      <c r="K8" s="23">
        <v>1</v>
      </c>
      <c r="L8" s="20">
        <v>1.6666666666666667</v>
      </c>
      <c r="M8" s="41">
        <v>1.75</v>
      </c>
      <c r="N8" s="72">
        <f t="shared" si="0"/>
        <v>4.5</v>
      </c>
      <c r="O8" s="20">
        <v>8</v>
      </c>
      <c r="P8" s="20">
        <v>3</v>
      </c>
      <c r="Q8" s="42">
        <v>5</v>
      </c>
      <c r="R8" s="20">
        <v>5</v>
      </c>
      <c r="S8" s="75">
        <f t="shared" si="1"/>
        <v>5.25</v>
      </c>
      <c r="T8" s="17">
        <v>3.75</v>
      </c>
      <c r="U8" s="17">
        <v>4</v>
      </c>
      <c r="V8" s="22">
        <v>1</v>
      </c>
      <c r="W8" s="20">
        <v>2</v>
      </c>
      <c r="X8" s="23">
        <v>1</v>
      </c>
      <c r="Y8" s="40">
        <v>1</v>
      </c>
      <c r="Z8" s="41">
        <v>1</v>
      </c>
      <c r="AA8" s="20">
        <v>6</v>
      </c>
      <c r="AB8" s="20">
        <v>1</v>
      </c>
      <c r="AC8" s="42">
        <v>3</v>
      </c>
      <c r="AD8" s="20">
        <v>3</v>
      </c>
      <c r="AE8" s="75">
        <f t="shared" si="3"/>
        <v>3.25</v>
      </c>
      <c r="AF8" s="17">
        <v>3.1666666666666665</v>
      </c>
      <c r="AG8" s="17">
        <v>6</v>
      </c>
      <c r="AH8" s="44">
        <v>2</v>
      </c>
      <c r="AI8" s="44">
        <v>1</v>
      </c>
      <c r="AJ8" s="44">
        <v>1</v>
      </c>
      <c r="AK8" s="40">
        <v>0.33333333333333331</v>
      </c>
      <c r="AL8" s="41">
        <v>1.25</v>
      </c>
      <c r="AM8" s="20">
        <v>7</v>
      </c>
      <c r="AN8" s="20">
        <v>0</v>
      </c>
      <c r="AO8" s="42">
        <v>2</v>
      </c>
      <c r="AP8" s="20">
        <v>2</v>
      </c>
      <c r="AQ8" s="75">
        <f>AVERAGE(AM8,AN8,AO8,AP8)</f>
        <v>2.75</v>
      </c>
      <c r="AR8" s="17">
        <v>1.8571428571428572</v>
      </c>
      <c r="AS8" s="17">
        <v>7</v>
      </c>
      <c r="AT8" s="22">
        <v>1</v>
      </c>
      <c r="AU8" s="20">
        <v>0</v>
      </c>
      <c r="AV8" s="23">
        <v>0</v>
      </c>
      <c r="AW8" s="40">
        <v>0</v>
      </c>
      <c r="AX8" s="41">
        <v>0.25</v>
      </c>
      <c r="AY8" s="20">
        <v>5</v>
      </c>
      <c r="AZ8" s="20">
        <v>0</v>
      </c>
      <c r="BA8" s="42">
        <v>2</v>
      </c>
      <c r="BB8" s="20">
        <v>3</v>
      </c>
      <c r="BC8" s="75">
        <f t="shared" si="4"/>
        <v>2.5</v>
      </c>
      <c r="BD8" s="77">
        <v>2</v>
      </c>
      <c r="BE8" s="77">
        <v>6</v>
      </c>
      <c r="BF8" s="44">
        <v>1</v>
      </c>
      <c r="BG8" s="44">
        <v>0</v>
      </c>
      <c r="BH8" s="44">
        <v>1</v>
      </c>
      <c r="BI8" s="40">
        <v>0</v>
      </c>
      <c r="BJ8" s="41">
        <v>0.5</v>
      </c>
    </row>
    <row r="9" spans="1:62" ht="15" customHeight="1" x14ac:dyDescent="0.15">
      <c r="A9" s="52">
        <v>108</v>
      </c>
      <c r="B9" s="57">
        <v>-1</v>
      </c>
      <c r="C9" s="58">
        <v>1</v>
      </c>
      <c r="D9" s="20">
        <v>7</v>
      </c>
      <c r="E9" s="20">
        <v>8</v>
      </c>
      <c r="F9" s="42">
        <v>4</v>
      </c>
      <c r="G9" s="20">
        <v>4</v>
      </c>
      <c r="H9" s="74">
        <f t="shared" si="2"/>
        <v>5.75</v>
      </c>
      <c r="I9" s="22">
        <v>5</v>
      </c>
      <c r="J9" s="20">
        <v>3</v>
      </c>
      <c r="K9" s="23">
        <v>6</v>
      </c>
      <c r="L9" s="20">
        <v>3.6666666666666665</v>
      </c>
      <c r="M9" s="41">
        <v>3.75</v>
      </c>
      <c r="N9" s="72">
        <f t="shared" si="0"/>
        <v>4.5</v>
      </c>
      <c r="O9" s="20">
        <v>7</v>
      </c>
      <c r="P9" s="20">
        <v>2</v>
      </c>
      <c r="Q9" s="42">
        <v>5</v>
      </c>
      <c r="R9" s="20">
        <v>3</v>
      </c>
      <c r="S9" s="75">
        <f t="shared" si="1"/>
        <v>4.25</v>
      </c>
      <c r="T9" s="17">
        <v>5</v>
      </c>
      <c r="U9" s="17">
        <v>2</v>
      </c>
      <c r="V9" s="22">
        <v>4</v>
      </c>
      <c r="W9" s="20">
        <v>3</v>
      </c>
      <c r="X9" s="23">
        <v>7</v>
      </c>
      <c r="Y9" s="40">
        <v>3.6666666666666665</v>
      </c>
      <c r="Z9" s="41">
        <v>4.25</v>
      </c>
      <c r="AA9" s="17">
        <v>4</v>
      </c>
      <c r="AB9" s="83">
        <v>0</v>
      </c>
      <c r="AC9" s="83">
        <v>2</v>
      </c>
      <c r="AD9" s="83">
        <v>3</v>
      </c>
      <c r="AE9" s="75">
        <f t="shared" si="3"/>
        <v>2.25</v>
      </c>
      <c r="AF9" s="17">
        <v>1.4285714285714286</v>
      </c>
      <c r="AG9" s="17">
        <v>7</v>
      </c>
      <c r="AH9" s="44" t="s">
        <v>307</v>
      </c>
      <c r="AI9" s="44" t="s">
        <v>307</v>
      </c>
      <c r="AJ9" s="44" t="s">
        <v>307</v>
      </c>
      <c r="AK9" s="40" t="s">
        <v>155</v>
      </c>
      <c r="AL9" s="41" t="s">
        <v>155</v>
      </c>
      <c r="AM9" s="20">
        <v>7</v>
      </c>
      <c r="AN9" s="20">
        <v>2</v>
      </c>
      <c r="AO9" s="42">
        <v>5</v>
      </c>
      <c r="AP9" s="20">
        <v>5</v>
      </c>
      <c r="AQ9" s="75">
        <f>AVERAGE(AM9,AN9,AO9,AP9)</f>
        <v>4.75</v>
      </c>
      <c r="AR9" s="17">
        <v>3.6666666666666665</v>
      </c>
      <c r="AS9" s="17">
        <v>6</v>
      </c>
      <c r="AT9" s="22">
        <v>2</v>
      </c>
      <c r="AU9" s="20">
        <v>4</v>
      </c>
      <c r="AV9" s="23">
        <v>5</v>
      </c>
      <c r="AW9" s="40">
        <v>2.6666666666666665</v>
      </c>
      <c r="AX9" s="41">
        <v>2.75</v>
      </c>
      <c r="AY9" s="20">
        <v>7</v>
      </c>
      <c r="AZ9" s="20">
        <v>3</v>
      </c>
      <c r="BA9" s="42">
        <v>6</v>
      </c>
      <c r="BB9" s="20">
        <v>6</v>
      </c>
      <c r="BC9" s="75">
        <f t="shared" si="4"/>
        <v>5.5</v>
      </c>
      <c r="BD9" s="77">
        <v>5.2857142857142856</v>
      </c>
      <c r="BE9" s="77">
        <v>7</v>
      </c>
      <c r="BF9" s="44">
        <v>5</v>
      </c>
      <c r="BG9" s="44">
        <v>4</v>
      </c>
      <c r="BH9" s="44">
        <v>7</v>
      </c>
      <c r="BI9" s="40">
        <v>3.3333333333333335</v>
      </c>
      <c r="BJ9" s="41">
        <v>4.5</v>
      </c>
    </row>
    <row r="10" spans="1:62" x14ac:dyDescent="0.15">
      <c r="A10" s="52">
        <v>109</v>
      </c>
      <c r="B10" s="57">
        <v>-1</v>
      </c>
      <c r="C10" s="82">
        <v>1</v>
      </c>
      <c r="D10" s="20">
        <v>5</v>
      </c>
      <c r="E10" s="20">
        <v>2</v>
      </c>
      <c r="F10" s="42">
        <v>4</v>
      </c>
      <c r="G10" s="20">
        <v>2</v>
      </c>
      <c r="H10" s="74">
        <f t="shared" si="2"/>
        <v>3.25</v>
      </c>
      <c r="I10" s="22">
        <v>3</v>
      </c>
      <c r="J10" s="20">
        <v>1</v>
      </c>
      <c r="K10" s="23">
        <v>6</v>
      </c>
      <c r="L10" s="20">
        <v>1.3333333333333333</v>
      </c>
      <c r="M10" s="41">
        <v>3.75</v>
      </c>
      <c r="N10" s="72">
        <f t="shared" si="0"/>
        <v>4</v>
      </c>
      <c r="O10" s="20">
        <v>6</v>
      </c>
      <c r="P10" s="20">
        <v>1</v>
      </c>
      <c r="Q10" s="42">
        <v>4</v>
      </c>
      <c r="R10" s="20">
        <v>3</v>
      </c>
      <c r="S10" s="75">
        <f t="shared" si="1"/>
        <v>3.5</v>
      </c>
      <c r="T10" s="17">
        <v>4.4000000000000004</v>
      </c>
      <c r="U10" s="17">
        <v>5</v>
      </c>
      <c r="V10" s="22">
        <v>3</v>
      </c>
      <c r="W10" s="20">
        <v>4</v>
      </c>
      <c r="X10" s="23">
        <v>7</v>
      </c>
      <c r="Y10" s="40">
        <v>2.3333333333333335</v>
      </c>
      <c r="Z10" s="41">
        <v>4.5</v>
      </c>
      <c r="AA10" s="20">
        <v>3</v>
      </c>
      <c r="AB10" s="20">
        <v>2</v>
      </c>
      <c r="AC10" s="42">
        <v>3</v>
      </c>
      <c r="AD10" s="20">
        <v>2</v>
      </c>
      <c r="AE10" s="75">
        <f t="shared" si="3"/>
        <v>2.5</v>
      </c>
      <c r="AF10" s="17">
        <v>0.83333333333333337</v>
      </c>
      <c r="AG10" s="17">
        <v>6</v>
      </c>
      <c r="AH10" s="44">
        <v>1</v>
      </c>
      <c r="AI10" s="44">
        <v>1</v>
      </c>
      <c r="AJ10" s="44">
        <v>3</v>
      </c>
      <c r="AK10" s="40">
        <v>0.66666666666666663</v>
      </c>
      <c r="AL10" s="41">
        <v>2.25</v>
      </c>
      <c r="AM10" s="20">
        <v>4</v>
      </c>
      <c r="AN10" s="20">
        <v>2</v>
      </c>
      <c r="AO10" s="42">
        <v>3</v>
      </c>
      <c r="AP10" s="20">
        <v>2</v>
      </c>
      <c r="AQ10" s="75">
        <f>AVERAGE(AM10,AN10,AO10,AP10)</f>
        <v>2.75</v>
      </c>
      <c r="AR10" s="17">
        <v>0.5</v>
      </c>
      <c r="AS10" s="17">
        <v>6</v>
      </c>
      <c r="AT10" s="22">
        <v>2</v>
      </c>
      <c r="AU10" s="20">
        <v>1</v>
      </c>
      <c r="AV10" s="23">
        <v>4</v>
      </c>
      <c r="AW10" s="40">
        <v>0.33333333333333331</v>
      </c>
      <c r="AX10" s="41">
        <v>2.25</v>
      </c>
      <c r="AY10" s="20">
        <v>4</v>
      </c>
      <c r="AZ10" s="20">
        <v>3</v>
      </c>
      <c r="BA10" s="42">
        <v>4</v>
      </c>
      <c r="BB10" s="20">
        <v>4</v>
      </c>
      <c r="BC10" s="75">
        <f t="shared" si="4"/>
        <v>3.75</v>
      </c>
      <c r="BD10" s="77">
        <v>1.6</v>
      </c>
      <c r="BE10" s="77">
        <v>5</v>
      </c>
      <c r="BF10" s="44">
        <v>2</v>
      </c>
      <c r="BG10" s="44">
        <v>1</v>
      </c>
      <c r="BH10" s="44">
        <v>5</v>
      </c>
      <c r="BI10" s="40">
        <v>0.66666666666666663</v>
      </c>
      <c r="BJ10" s="41">
        <v>2.75</v>
      </c>
    </row>
    <row r="11" spans="1:62" x14ac:dyDescent="0.15">
      <c r="A11" s="52">
        <v>110</v>
      </c>
      <c r="B11" s="57">
        <v>-1</v>
      </c>
      <c r="C11" s="58">
        <v>1</v>
      </c>
      <c r="D11" s="20">
        <v>3</v>
      </c>
      <c r="E11" s="20">
        <v>0</v>
      </c>
      <c r="F11" s="46">
        <v>1</v>
      </c>
      <c r="G11" s="20">
        <v>1</v>
      </c>
      <c r="H11" s="74">
        <f t="shared" si="2"/>
        <v>1.25</v>
      </c>
      <c r="I11" s="22">
        <v>2</v>
      </c>
      <c r="J11" s="20">
        <v>2</v>
      </c>
      <c r="K11" s="23">
        <v>3</v>
      </c>
      <c r="L11" s="20">
        <v>1.6666666666666667</v>
      </c>
      <c r="M11" s="41">
        <v>1.5</v>
      </c>
      <c r="N11" s="72">
        <f t="shared" si="0"/>
        <v>1.5</v>
      </c>
      <c r="O11" s="20">
        <v>4</v>
      </c>
      <c r="P11" s="20">
        <v>0</v>
      </c>
      <c r="Q11" s="42">
        <v>2</v>
      </c>
      <c r="R11" s="20">
        <v>3</v>
      </c>
      <c r="S11" s="75">
        <f t="shared" si="1"/>
        <v>2.25</v>
      </c>
      <c r="T11" s="17">
        <v>0.5</v>
      </c>
      <c r="U11" s="17">
        <v>6</v>
      </c>
      <c r="V11" s="22">
        <v>2</v>
      </c>
      <c r="W11" s="20">
        <v>1</v>
      </c>
      <c r="X11" s="23">
        <v>2</v>
      </c>
      <c r="Y11" s="40">
        <v>0.66666666666666663</v>
      </c>
      <c r="Z11" s="41">
        <v>1.5</v>
      </c>
      <c r="AA11" s="20">
        <v>4</v>
      </c>
      <c r="AB11" s="20">
        <v>1</v>
      </c>
      <c r="AC11" s="42">
        <v>1</v>
      </c>
      <c r="AD11" s="20">
        <v>1</v>
      </c>
      <c r="AE11" s="75">
        <f t="shared" si="3"/>
        <v>1.75</v>
      </c>
      <c r="AF11" s="17">
        <v>1</v>
      </c>
      <c r="AG11" s="17">
        <v>6</v>
      </c>
      <c r="AH11" s="44">
        <v>1</v>
      </c>
      <c r="AI11" s="44">
        <v>2</v>
      </c>
      <c r="AJ11" s="44">
        <v>3</v>
      </c>
      <c r="AK11" s="40">
        <v>1.3333333333333333</v>
      </c>
      <c r="AL11" s="41">
        <v>1.5</v>
      </c>
      <c r="AM11" s="20">
        <v>3</v>
      </c>
      <c r="AN11" s="20">
        <v>0</v>
      </c>
      <c r="AO11" s="42">
        <v>1</v>
      </c>
      <c r="AP11" s="20">
        <v>2</v>
      </c>
      <c r="AQ11" s="75">
        <f>AVERAGE(AM11,AN11,AO11,AP11)</f>
        <v>1.5</v>
      </c>
      <c r="AR11" s="17">
        <v>0.2857142857142857</v>
      </c>
      <c r="AS11" s="17">
        <v>7</v>
      </c>
      <c r="AT11" s="22">
        <v>1</v>
      </c>
      <c r="AU11" s="20">
        <v>2</v>
      </c>
      <c r="AV11" s="23">
        <v>2</v>
      </c>
      <c r="AW11" s="40">
        <v>1</v>
      </c>
      <c r="AX11" s="41">
        <v>0.75</v>
      </c>
      <c r="AY11" s="20">
        <v>4</v>
      </c>
      <c r="AZ11" s="20">
        <v>1</v>
      </c>
      <c r="BA11" s="42">
        <v>2</v>
      </c>
      <c r="BB11" s="20">
        <v>1</v>
      </c>
      <c r="BC11" s="75">
        <f t="shared" si="4"/>
        <v>2</v>
      </c>
      <c r="BD11" s="77">
        <v>1.8571428571428572</v>
      </c>
      <c r="BE11" s="77">
        <v>7</v>
      </c>
      <c r="BF11" s="44">
        <v>0</v>
      </c>
      <c r="BG11" s="44">
        <v>2</v>
      </c>
      <c r="BH11" s="44">
        <v>3</v>
      </c>
      <c r="BI11" s="40">
        <v>1.3333333333333333</v>
      </c>
      <c r="BJ11" s="41">
        <v>0.75</v>
      </c>
    </row>
    <row r="12" spans="1:62" x14ac:dyDescent="0.15">
      <c r="A12" s="52">
        <v>115</v>
      </c>
      <c r="B12" s="57">
        <v>1</v>
      </c>
      <c r="C12" s="58">
        <v>1</v>
      </c>
      <c r="D12" s="20">
        <v>6</v>
      </c>
      <c r="E12" s="20">
        <v>1</v>
      </c>
      <c r="F12" s="46">
        <v>3</v>
      </c>
      <c r="G12" s="20">
        <v>7</v>
      </c>
      <c r="H12" s="74">
        <f t="shared" si="2"/>
        <v>4.25</v>
      </c>
      <c r="I12" s="22">
        <v>6</v>
      </c>
      <c r="J12" s="20">
        <v>2</v>
      </c>
      <c r="K12" s="23">
        <v>9</v>
      </c>
      <c r="L12" s="20">
        <v>1.6666666666666667</v>
      </c>
      <c r="M12" s="41">
        <v>4.5</v>
      </c>
      <c r="N12" s="72">
        <f t="shared" si="0"/>
        <v>3.5</v>
      </c>
      <c r="O12" s="20">
        <v>6</v>
      </c>
      <c r="P12" s="20">
        <v>1</v>
      </c>
      <c r="Q12" s="42">
        <v>4</v>
      </c>
      <c r="R12" s="20">
        <v>1</v>
      </c>
      <c r="S12" s="75">
        <f t="shared" si="1"/>
        <v>3</v>
      </c>
      <c r="T12" s="17">
        <v>3.5</v>
      </c>
      <c r="U12" s="17">
        <v>6</v>
      </c>
      <c r="V12" s="22">
        <v>3</v>
      </c>
      <c r="W12" s="20">
        <v>4</v>
      </c>
      <c r="X12" s="23">
        <v>5</v>
      </c>
      <c r="Y12" s="40">
        <v>2.3333333333333335</v>
      </c>
      <c r="Z12" s="41">
        <v>3.5</v>
      </c>
      <c r="AA12" s="20">
        <v>6</v>
      </c>
      <c r="AB12" s="20">
        <v>0</v>
      </c>
      <c r="AC12" s="42">
        <v>5</v>
      </c>
      <c r="AD12" s="20">
        <v>3</v>
      </c>
      <c r="AE12" s="75">
        <f t="shared" si="3"/>
        <v>3.5</v>
      </c>
      <c r="AF12" s="17">
        <v>3</v>
      </c>
      <c r="AG12" s="17">
        <v>4</v>
      </c>
      <c r="AH12" s="44">
        <v>4</v>
      </c>
      <c r="AI12" s="44">
        <v>5</v>
      </c>
      <c r="AJ12" s="44">
        <v>2</v>
      </c>
      <c r="AK12" s="40">
        <v>3.3333333333333335</v>
      </c>
      <c r="AL12" s="41">
        <v>3.5</v>
      </c>
      <c r="AM12" s="20">
        <v>4</v>
      </c>
      <c r="AN12" s="20">
        <v>0</v>
      </c>
      <c r="AO12" s="42">
        <v>3</v>
      </c>
      <c r="AP12" s="20">
        <v>2</v>
      </c>
      <c r="AQ12" s="75">
        <f>AVERAGE(AM12,AN12,AO12,AP12)</f>
        <v>2.25</v>
      </c>
      <c r="AR12" s="17">
        <v>2.27</v>
      </c>
      <c r="AS12" s="17">
        <v>4</v>
      </c>
      <c r="AT12" s="22">
        <v>7</v>
      </c>
      <c r="AU12" s="20">
        <v>4</v>
      </c>
      <c r="AV12" s="23">
        <v>6</v>
      </c>
      <c r="AW12" s="40">
        <v>3.6666666666666665</v>
      </c>
      <c r="AX12" s="41">
        <v>4.75</v>
      </c>
      <c r="AY12" s="20">
        <v>3</v>
      </c>
      <c r="AZ12" s="20">
        <v>0</v>
      </c>
      <c r="BA12" s="42">
        <v>4</v>
      </c>
      <c r="BB12" s="20">
        <v>1</v>
      </c>
      <c r="BC12" s="75">
        <f t="shared" si="4"/>
        <v>2</v>
      </c>
      <c r="BD12" s="77">
        <v>0.38600000000000001</v>
      </c>
      <c r="BE12" s="77">
        <v>5</v>
      </c>
      <c r="BF12" s="44">
        <v>0</v>
      </c>
      <c r="BG12" s="44">
        <v>1</v>
      </c>
      <c r="BH12" s="44">
        <v>1</v>
      </c>
      <c r="BI12" s="40">
        <v>0.33333333333333331</v>
      </c>
      <c r="BJ12" s="41">
        <v>0.25</v>
      </c>
    </row>
    <row r="13" spans="1:62" x14ac:dyDescent="0.15">
      <c r="A13" s="52">
        <v>116</v>
      </c>
      <c r="B13" s="57">
        <v>-1</v>
      </c>
      <c r="C13" s="58">
        <v>1</v>
      </c>
      <c r="D13" s="20">
        <v>7</v>
      </c>
      <c r="E13" s="20">
        <v>1</v>
      </c>
      <c r="F13" s="42">
        <v>5</v>
      </c>
      <c r="G13" s="20">
        <v>1</v>
      </c>
      <c r="H13" s="74">
        <f t="shared" si="2"/>
        <v>3.5</v>
      </c>
      <c r="I13" s="22">
        <v>4</v>
      </c>
      <c r="J13" s="20">
        <v>6</v>
      </c>
      <c r="K13" s="23">
        <v>0</v>
      </c>
      <c r="L13" s="20">
        <v>3</v>
      </c>
      <c r="M13" s="41">
        <v>4.5</v>
      </c>
      <c r="N13" s="72">
        <f t="shared" si="0"/>
        <v>3</v>
      </c>
      <c r="O13" s="20">
        <v>4</v>
      </c>
      <c r="P13" s="20">
        <v>0</v>
      </c>
      <c r="Q13" s="42">
        <v>1</v>
      </c>
      <c r="R13" s="20">
        <v>3</v>
      </c>
      <c r="S13" s="75">
        <f t="shared" si="1"/>
        <v>2</v>
      </c>
      <c r="T13" s="17">
        <v>2.5714285714285716</v>
      </c>
      <c r="U13" s="17">
        <v>7</v>
      </c>
      <c r="V13" s="22">
        <v>4</v>
      </c>
      <c r="W13" s="20">
        <v>4</v>
      </c>
      <c r="X13" s="23">
        <v>0</v>
      </c>
      <c r="Y13" s="40">
        <v>2</v>
      </c>
      <c r="Z13" s="41">
        <v>1.25</v>
      </c>
      <c r="AA13" s="20">
        <v>3</v>
      </c>
      <c r="AB13" s="20">
        <v>0</v>
      </c>
      <c r="AC13" s="42">
        <v>1</v>
      </c>
      <c r="AD13" s="20">
        <v>0</v>
      </c>
      <c r="AE13" s="75">
        <f t="shared" si="3"/>
        <v>1</v>
      </c>
      <c r="AF13" s="17">
        <v>0.66666666666666663</v>
      </c>
      <c r="AG13" s="17">
        <v>6</v>
      </c>
      <c r="AH13" s="44">
        <v>3</v>
      </c>
      <c r="AI13" s="44">
        <v>1</v>
      </c>
      <c r="AJ13" s="44">
        <v>2</v>
      </c>
      <c r="AK13" s="40">
        <v>0.33333333333333331</v>
      </c>
      <c r="AL13" s="41">
        <v>2.25</v>
      </c>
      <c r="AM13" s="20">
        <v>3</v>
      </c>
      <c r="AN13" s="20">
        <v>0</v>
      </c>
      <c r="AO13" s="42">
        <v>1</v>
      </c>
      <c r="AP13" s="20">
        <v>1</v>
      </c>
      <c r="AQ13" s="75">
        <f>AVERAGE(AM13,AN13,AO13,AP13)</f>
        <v>1.25</v>
      </c>
      <c r="AR13" s="17">
        <v>0.66666666666666663</v>
      </c>
      <c r="AS13" s="17">
        <v>6</v>
      </c>
      <c r="AT13" s="22">
        <v>0</v>
      </c>
      <c r="AU13" s="20">
        <v>1</v>
      </c>
      <c r="AV13" s="23">
        <v>0</v>
      </c>
      <c r="AW13" s="40">
        <v>0.33333333333333331</v>
      </c>
      <c r="AX13" s="41">
        <v>0.5</v>
      </c>
      <c r="AY13" s="20">
        <v>3</v>
      </c>
      <c r="AZ13" s="20">
        <v>0</v>
      </c>
      <c r="BA13" s="42">
        <v>2</v>
      </c>
      <c r="BB13" s="20">
        <v>3</v>
      </c>
      <c r="BC13" s="75">
        <f t="shared" si="4"/>
        <v>2</v>
      </c>
      <c r="BD13" s="77">
        <v>0.7142857142857143</v>
      </c>
      <c r="BE13" s="77">
        <v>7</v>
      </c>
      <c r="BF13" s="44">
        <v>2</v>
      </c>
      <c r="BG13" s="44">
        <v>2</v>
      </c>
      <c r="BH13" s="44">
        <v>0</v>
      </c>
      <c r="BI13" s="40">
        <v>1</v>
      </c>
      <c r="BJ13" s="41">
        <v>0.75</v>
      </c>
    </row>
    <row r="14" spans="1:62" ht="15" customHeight="1" x14ac:dyDescent="0.15">
      <c r="A14" s="52">
        <v>118</v>
      </c>
      <c r="B14" s="57">
        <v>1</v>
      </c>
      <c r="C14" s="58">
        <v>1</v>
      </c>
      <c r="D14" s="20">
        <v>7</v>
      </c>
      <c r="E14" s="20">
        <v>2</v>
      </c>
      <c r="F14" s="42">
        <v>4</v>
      </c>
      <c r="G14" s="20">
        <v>2</v>
      </c>
      <c r="H14" s="74">
        <f t="shared" si="2"/>
        <v>3.75</v>
      </c>
      <c r="I14" s="22">
        <v>3</v>
      </c>
      <c r="J14" s="20">
        <v>6</v>
      </c>
      <c r="K14" s="23">
        <v>1</v>
      </c>
      <c r="L14" s="20">
        <v>4.666666666666667</v>
      </c>
      <c r="M14" s="41">
        <v>3.25</v>
      </c>
      <c r="N14" s="72">
        <f t="shared" si="0"/>
        <v>3.5</v>
      </c>
      <c r="O14" s="20">
        <v>6</v>
      </c>
      <c r="P14" s="20">
        <v>1</v>
      </c>
      <c r="Q14" s="42">
        <v>3</v>
      </c>
      <c r="R14" s="20">
        <v>2</v>
      </c>
      <c r="S14" s="75">
        <f t="shared" si="1"/>
        <v>3</v>
      </c>
      <c r="T14" s="17">
        <v>3.3333333333333335</v>
      </c>
      <c r="U14" s="17">
        <v>6</v>
      </c>
      <c r="V14" s="22">
        <v>4</v>
      </c>
      <c r="W14" s="20">
        <v>2</v>
      </c>
      <c r="X14" s="23">
        <v>2</v>
      </c>
      <c r="Y14" s="40">
        <v>2.3333333333333335</v>
      </c>
      <c r="Z14" s="41">
        <v>2.75</v>
      </c>
      <c r="AA14" s="20">
        <v>6</v>
      </c>
      <c r="AB14" s="20">
        <v>2</v>
      </c>
      <c r="AC14" s="42">
        <v>4</v>
      </c>
      <c r="AD14" s="20">
        <v>5</v>
      </c>
      <c r="AE14" s="75">
        <f t="shared" si="3"/>
        <v>4.25</v>
      </c>
      <c r="AF14" s="17">
        <v>3.5</v>
      </c>
      <c r="AG14" s="17">
        <v>2</v>
      </c>
      <c r="AH14" s="44">
        <v>6</v>
      </c>
      <c r="AI14" s="44">
        <v>4</v>
      </c>
      <c r="AJ14" s="44">
        <v>1</v>
      </c>
      <c r="AK14" s="40">
        <v>4</v>
      </c>
      <c r="AL14" s="41">
        <v>4.25</v>
      </c>
      <c r="AM14" s="20">
        <v>6</v>
      </c>
      <c r="AN14" s="20">
        <v>1</v>
      </c>
      <c r="AO14" s="42">
        <v>3</v>
      </c>
      <c r="AP14" s="20">
        <v>3</v>
      </c>
      <c r="AQ14" s="75">
        <f>AVERAGE(AM14,AN14,AO14,AP14)</f>
        <v>3.25</v>
      </c>
      <c r="AR14" s="17">
        <v>3.0985714285714288</v>
      </c>
      <c r="AS14" s="17">
        <v>7</v>
      </c>
      <c r="AT14" s="22">
        <v>2</v>
      </c>
      <c r="AU14" s="20">
        <v>3</v>
      </c>
      <c r="AV14" s="23">
        <v>0</v>
      </c>
      <c r="AW14" s="40">
        <v>3.3333333333333335</v>
      </c>
      <c r="AX14" s="41">
        <v>1.25</v>
      </c>
      <c r="AY14" s="20">
        <v>3</v>
      </c>
      <c r="AZ14" s="20">
        <v>0</v>
      </c>
      <c r="BA14" s="42">
        <v>1</v>
      </c>
      <c r="BB14" s="20">
        <v>1</v>
      </c>
      <c r="BC14" s="75">
        <f t="shared" si="4"/>
        <v>1.25</v>
      </c>
      <c r="BD14" s="77">
        <v>0.29749999999999999</v>
      </c>
      <c r="BE14" s="77">
        <v>4</v>
      </c>
      <c r="BF14" s="44">
        <v>1</v>
      </c>
      <c r="BG14" s="44">
        <v>1</v>
      </c>
      <c r="BH14" s="44">
        <v>0</v>
      </c>
      <c r="BI14" s="40">
        <v>0.66666666666666663</v>
      </c>
      <c r="BJ14" s="41">
        <v>0.75</v>
      </c>
    </row>
    <row r="15" spans="1:62" ht="17" x14ac:dyDescent="0.15">
      <c r="A15" s="52">
        <v>120</v>
      </c>
      <c r="B15" s="57">
        <v>1</v>
      </c>
      <c r="C15" s="58">
        <v>1</v>
      </c>
      <c r="D15" s="20">
        <v>9</v>
      </c>
      <c r="E15" s="20">
        <v>4</v>
      </c>
      <c r="F15" s="42">
        <v>7</v>
      </c>
      <c r="G15" s="20">
        <v>5</v>
      </c>
      <c r="H15" s="74">
        <f t="shared" si="2"/>
        <v>6.25</v>
      </c>
      <c r="I15" s="22">
        <v>7</v>
      </c>
      <c r="J15" s="20">
        <v>10</v>
      </c>
      <c r="K15" s="23">
        <v>9</v>
      </c>
      <c r="L15" s="20">
        <v>6.666666666666667</v>
      </c>
      <c r="M15" s="41">
        <v>6.25</v>
      </c>
      <c r="N15" s="72">
        <f t="shared" si="0"/>
        <v>6</v>
      </c>
      <c r="O15" s="20">
        <v>7</v>
      </c>
      <c r="P15" s="20">
        <v>4</v>
      </c>
      <c r="Q15" s="42">
        <v>5</v>
      </c>
      <c r="R15" s="20">
        <v>6</v>
      </c>
      <c r="S15" s="75">
        <f t="shared" si="1"/>
        <v>5.5</v>
      </c>
      <c r="T15" s="17">
        <v>5.5714285714285712</v>
      </c>
      <c r="U15" s="17">
        <v>7</v>
      </c>
      <c r="V15" s="22">
        <v>3</v>
      </c>
      <c r="W15" s="20">
        <v>7</v>
      </c>
      <c r="X15" s="23">
        <v>10</v>
      </c>
      <c r="Y15" s="40">
        <v>5.333333333333333</v>
      </c>
      <c r="Z15" s="41">
        <v>5.75</v>
      </c>
      <c r="AA15" s="83">
        <v>4</v>
      </c>
      <c r="AB15" s="83">
        <v>0</v>
      </c>
      <c r="AC15" s="83">
        <v>1</v>
      </c>
      <c r="AD15" s="83">
        <v>2</v>
      </c>
      <c r="AE15" s="75">
        <f t="shared" si="3"/>
        <v>1.75</v>
      </c>
      <c r="AF15" s="17">
        <v>1.2857142857142858</v>
      </c>
      <c r="AG15" s="17">
        <v>7</v>
      </c>
      <c r="AH15" s="44" t="s">
        <v>155</v>
      </c>
      <c r="AI15" s="44" t="s">
        <v>155</v>
      </c>
      <c r="AJ15" s="44" t="s">
        <v>155</v>
      </c>
      <c r="AK15" s="40" t="s">
        <v>155</v>
      </c>
      <c r="AL15" s="41" t="s">
        <v>155</v>
      </c>
      <c r="AM15" s="20">
        <v>5</v>
      </c>
      <c r="AN15" s="20">
        <v>2</v>
      </c>
      <c r="AO15" s="42">
        <v>4</v>
      </c>
      <c r="AP15" s="20">
        <v>4</v>
      </c>
      <c r="AQ15" s="75">
        <f>AVERAGE(AM15,AN15,AO15,AP15)</f>
        <v>3.75</v>
      </c>
      <c r="AR15" s="17">
        <v>2.1666666666666665</v>
      </c>
      <c r="AS15" s="17">
        <v>6</v>
      </c>
      <c r="AT15" s="22">
        <v>6</v>
      </c>
      <c r="AU15" s="20">
        <v>4</v>
      </c>
      <c r="AV15" s="23">
        <v>5</v>
      </c>
      <c r="AW15" s="40">
        <v>3.3333333333333335</v>
      </c>
      <c r="AX15" s="41">
        <v>4.5</v>
      </c>
      <c r="AY15" s="20">
        <v>8</v>
      </c>
      <c r="AZ15" s="20">
        <v>4</v>
      </c>
      <c r="BA15" s="42">
        <v>5</v>
      </c>
      <c r="BB15" s="20">
        <v>4</v>
      </c>
      <c r="BC15" s="75">
        <f t="shared" si="4"/>
        <v>5.25</v>
      </c>
      <c r="BD15" s="77">
        <v>3.5642857142857145</v>
      </c>
      <c r="BE15" s="77">
        <v>7</v>
      </c>
      <c r="BF15" s="44">
        <v>2</v>
      </c>
      <c r="BG15" s="44">
        <v>5</v>
      </c>
      <c r="BH15" s="44">
        <v>10</v>
      </c>
      <c r="BI15" s="40">
        <v>4</v>
      </c>
      <c r="BJ15" s="41">
        <v>4.25</v>
      </c>
    </row>
    <row r="16" spans="1:62" x14ac:dyDescent="0.15">
      <c r="A16" s="38">
        <v>121</v>
      </c>
      <c r="B16" s="61">
        <v>1</v>
      </c>
      <c r="C16" s="62">
        <v>1</v>
      </c>
      <c r="D16" s="20">
        <v>7</v>
      </c>
      <c r="E16" s="20">
        <v>5</v>
      </c>
      <c r="F16" s="42">
        <v>6</v>
      </c>
      <c r="G16" s="20">
        <v>7</v>
      </c>
      <c r="H16" s="74">
        <f t="shared" si="2"/>
        <v>6.25</v>
      </c>
      <c r="I16" s="22">
        <v>4</v>
      </c>
      <c r="J16" s="20">
        <v>7</v>
      </c>
      <c r="K16" s="23">
        <v>4</v>
      </c>
      <c r="L16" s="20">
        <v>5.666666666666667</v>
      </c>
      <c r="M16" s="41">
        <v>4</v>
      </c>
      <c r="N16" s="72">
        <f t="shared" si="0"/>
        <v>5.9166666666666661</v>
      </c>
      <c r="O16" s="17">
        <v>7</v>
      </c>
      <c r="P16" s="17">
        <v>3</v>
      </c>
      <c r="Q16" s="30">
        <v>5.833333333333333</v>
      </c>
      <c r="R16" s="17">
        <v>7</v>
      </c>
      <c r="S16" s="75">
        <f t="shared" si="1"/>
        <v>5.708333333333333</v>
      </c>
      <c r="T16" s="17">
        <v>5.333333333333333</v>
      </c>
      <c r="U16" s="17">
        <v>6</v>
      </c>
      <c r="V16" s="22" t="s">
        <v>155</v>
      </c>
      <c r="W16" s="20" t="s">
        <v>155</v>
      </c>
      <c r="X16" s="23" t="s">
        <v>155</v>
      </c>
      <c r="Y16" s="40" t="s">
        <v>155</v>
      </c>
      <c r="Z16" s="41" t="s">
        <v>155</v>
      </c>
      <c r="AA16" s="20">
        <v>8</v>
      </c>
      <c r="AB16" s="20">
        <v>4</v>
      </c>
      <c r="AC16" s="42">
        <v>6</v>
      </c>
      <c r="AD16" s="20">
        <v>6</v>
      </c>
      <c r="AE16" s="75">
        <f t="shared" si="3"/>
        <v>6</v>
      </c>
      <c r="AF16" s="17">
        <v>8</v>
      </c>
      <c r="AG16" s="17">
        <v>1</v>
      </c>
      <c r="AH16" s="44">
        <v>6</v>
      </c>
      <c r="AI16" s="44">
        <v>6</v>
      </c>
      <c r="AJ16" s="44">
        <v>5</v>
      </c>
      <c r="AK16" s="40">
        <v>4.333333333333333</v>
      </c>
      <c r="AL16" s="41">
        <v>5.25</v>
      </c>
      <c r="AM16" s="20">
        <v>8</v>
      </c>
      <c r="AN16" s="20">
        <v>3</v>
      </c>
      <c r="AO16" s="42">
        <v>6</v>
      </c>
      <c r="AP16" s="20">
        <v>7</v>
      </c>
      <c r="AQ16" s="75">
        <f>AVERAGE(AM16,AN16,AO16,AP16)</f>
        <v>6</v>
      </c>
      <c r="AR16" s="17">
        <v>4.9800000000000004</v>
      </c>
      <c r="AS16" s="17">
        <v>1</v>
      </c>
      <c r="AT16" s="22">
        <v>2</v>
      </c>
      <c r="AU16" s="20">
        <v>4</v>
      </c>
      <c r="AV16" s="23">
        <v>4</v>
      </c>
      <c r="AW16" s="40">
        <v>3</v>
      </c>
      <c r="AX16" s="41">
        <v>3.25</v>
      </c>
      <c r="AY16" s="20">
        <v>7</v>
      </c>
      <c r="AZ16" s="20">
        <v>5</v>
      </c>
      <c r="BA16" s="42">
        <v>6</v>
      </c>
      <c r="BB16" s="20">
        <v>5</v>
      </c>
      <c r="BC16" s="75">
        <f t="shared" si="4"/>
        <v>5.75</v>
      </c>
      <c r="BD16" s="77">
        <v>4.9800000000000004</v>
      </c>
      <c r="BE16" s="77">
        <v>1</v>
      </c>
      <c r="BF16" s="44">
        <v>3</v>
      </c>
      <c r="BG16" s="44">
        <v>10</v>
      </c>
      <c r="BH16" s="44">
        <v>5</v>
      </c>
      <c r="BI16" s="40">
        <v>5.333333333333333</v>
      </c>
      <c r="BJ16" s="41">
        <v>3.25</v>
      </c>
    </row>
    <row r="17" spans="1:62" x14ac:dyDescent="0.15">
      <c r="A17" s="36">
        <v>123</v>
      </c>
      <c r="B17" s="57">
        <v>1</v>
      </c>
      <c r="C17" s="58">
        <v>1</v>
      </c>
      <c r="D17" s="20">
        <v>5</v>
      </c>
      <c r="E17" s="20">
        <v>3</v>
      </c>
      <c r="F17" s="42">
        <v>4</v>
      </c>
      <c r="G17" s="20">
        <v>4</v>
      </c>
      <c r="H17" s="74">
        <f t="shared" si="2"/>
        <v>4</v>
      </c>
      <c r="I17" s="22">
        <v>7</v>
      </c>
      <c r="J17" s="20">
        <v>7</v>
      </c>
      <c r="K17" s="23">
        <v>8</v>
      </c>
      <c r="L17" s="20">
        <v>3.6666666666666665</v>
      </c>
      <c r="M17" s="41">
        <v>4.75</v>
      </c>
      <c r="N17" s="72">
        <f t="shared" si="0"/>
        <v>3.125</v>
      </c>
      <c r="O17" s="17">
        <v>2</v>
      </c>
      <c r="P17" s="17">
        <v>0</v>
      </c>
      <c r="Q17" s="30">
        <v>2.25</v>
      </c>
      <c r="R17" s="17">
        <v>2</v>
      </c>
      <c r="S17" s="75">
        <f t="shared" si="1"/>
        <v>1.5625</v>
      </c>
      <c r="T17" s="17">
        <v>3.25</v>
      </c>
      <c r="U17" s="17">
        <v>4</v>
      </c>
      <c r="V17" s="22" t="s">
        <v>155</v>
      </c>
      <c r="W17" s="20" t="s">
        <v>155</v>
      </c>
      <c r="X17" s="23" t="s">
        <v>155</v>
      </c>
      <c r="Y17" s="40" t="s">
        <v>155</v>
      </c>
      <c r="Z17" s="41" t="s">
        <v>155</v>
      </c>
      <c r="AA17" s="20">
        <v>4</v>
      </c>
      <c r="AB17" s="20">
        <v>4</v>
      </c>
      <c r="AC17" s="42">
        <v>4</v>
      </c>
      <c r="AD17" s="20">
        <v>5</v>
      </c>
      <c r="AE17" s="75">
        <f t="shared" si="3"/>
        <v>4.25</v>
      </c>
      <c r="AF17" s="17">
        <v>2.4285714285714284</v>
      </c>
      <c r="AG17" s="17">
        <v>7</v>
      </c>
      <c r="AH17" s="44">
        <v>3</v>
      </c>
      <c r="AI17" s="44">
        <v>4</v>
      </c>
      <c r="AJ17" s="44">
        <v>6</v>
      </c>
      <c r="AK17" s="40">
        <v>4</v>
      </c>
      <c r="AL17" s="41">
        <v>3</v>
      </c>
      <c r="AM17" s="20">
        <v>5</v>
      </c>
      <c r="AN17" s="20">
        <v>1</v>
      </c>
      <c r="AO17" s="42">
        <v>2</v>
      </c>
      <c r="AP17" s="20">
        <v>3</v>
      </c>
      <c r="AQ17" s="75">
        <f>AVERAGE(AM17,AN17,AO17,AP17)</f>
        <v>2.75</v>
      </c>
      <c r="AR17" s="17">
        <v>2.14</v>
      </c>
      <c r="AS17" s="17">
        <v>2</v>
      </c>
      <c r="AT17" s="22">
        <v>2</v>
      </c>
      <c r="AU17" s="20">
        <v>3</v>
      </c>
      <c r="AV17" s="23">
        <v>2</v>
      </c>
      <c r="AW17" s="40">
        <v>2</v>
      </c>
      <c r="AX17" s="41">
        <v>1.5</v>
      </c>
      <c r="AY17" s="20">
        <v>7</v>
      </c>
      <c r="AZ17" s="20">
        <v>5</v>
      </c>
      <c r="BA17" s="42">
        <v>4</v>
      </c>
      <c r="BB17" s="20">
        <v>4</v>
      </c>
      <c r="BC17" s="75">
        <f t="shared" si="4"/>
        <v>5</v>
      </c>
      <c r="BD17" s="77">
        <v>3.43</v>
      </c>
      <c r="BE17" s="77">
        <v>1</v>
      </c>
      <c r="BF17" s="44">
        <v>2</v>
      </c>
      <c r="BG17" s="44">
        <v>4</v>
      </c>
      <c r="BH17" s="44">
        <v>3</v>
      </c>
      <c r="BI17" s="40">
        <v>2.6666666666666665</v>
      </c>
      <c r="BJ17" s="41">
        <v>1.5</v>
      </c>
    </row>
    <row r="18" spans="1:62" x14ac:dyDescent="0.15">
      <c r="A18" s="52">
        <v>125</v>
      </c>
      <c r="B18" s="57">
        <v>-1</v>
      </c>
      <c r="C18" s="58">
        <v>1</v>
      </c>
      <c r="D18" s="20" t="s">
        <v>155</v>
      </c>
      <c r="E18" s="20" t="s">
        <v>155</v>
      </c>
      <c r="F18" s="42" t="s">
        <v>155</v>
      </c>
      <c r="G18" s="20" t="s">
        <v>155</v>
      </c>
      <c r="H18" s="74" t="s">
        <v>155</v>
      </c>
      <c r="I18" s="22" t="s">
        <v>155</v>
      </c>
      <c r="J18" s="20" t="s">
        <v>155</v>
      </c>
      <c r="K18" s="23" t="s">
        <v>155</v>
      </c>
      <c r="L18" s="20" t="s">
        <v>155</v>
      </c>
      <c r="M18" s="41" t="s">
        <v>155</v>
      </c>
      <c r="N18" s="72">
        <f t="shared" si="0"/>
        <v>4</v>
      </c>
      <c r="O18" s="20">
        <v>6</v>
      </c>
      <c r="P18" s="20">
        <v>2</v>
      </c>
      <c r="Q18" s="42">
        <v>4</v>
      </c>
      <c r="R18" s="20">
        <v>4</v>
      </c>
      <c r="S18" s="75">
        <f t="shared" si="1"/>
        <v>4</v>
      </c>
      <c r="T18" s="17">
        <v>6</v>
      </c>
      <c r="U18" s="17">
        <v>1</v>
      </c>
      <c r="V18" s="22">
        <v>6</v>
      </c>
      <c r="W18" s="20">
        <v>7</v>
      </c>
      <c r="X18" s="23">
        <v>7</v>
      </c>
      <c r="Y18" s="40">
        <v>3.6666666666666665</v>
      </c>
      <c r="Z18" s="41">
        <v>5</v>
      </c>
      <c r="AA18" s="20">
        <v>6</v>
      </c>
      <c r="AB18" s="20">
        <v>2</v>
      </c>
      <c r="AC18" s="42">
        <v>4</v>
      </c>
      <c r="AD18" s="20">
        <v>3</v>
      </c>
      <c r="AE18" s="75">
        <f t="shared" si="3"/>
        <v>3.75</v>
      </c>
      <c r="AF18" s="17">
        <v>2.6666666666666665</v>
      </c>
      <c r="AG18" s="17">
        <v>6</v>
      </c>
      <c r="AH18" s="44">
        <v>5</v>
      </c>
      <c r="AI18" s="44">
        <v>5</v>
      </c>
      <c r="AJ18" s="44">
        <v>3</v>
      </c>
      <c r="AK18" s="40">
        <v>2.3333333333333335</v>
      </c>
      <c r="AL18" s="41">
        <v>5</v>
      </c>
      <c r="AM18" s="20">
        <v>6</v>
      </c>
      <c r="AN18" s="20">
        <v>1</v>
      </c>
      <c r="AO18" s="42">
        <v>4</v>
      </c>
      <c r="AP18" s="20">
        <v>2</v>
      </c>
      <c r="AQ18" s="75">
        <f>AVERAGE(AM18,AN18,AO18,AP18)</f>
        <v>3.25</v>
      </c>
      <c r="AR18" s="17">
        <v>2.5</v>
      </c>
      <c r="AS18" s="17">
        <v>6</v>
      </c>
      <c r="AT18" s="22">
        <v>4</v>
      </c>
      <c r="AU18" s="20">
        <v>4</v>
      </c>
      <c r="AV18" s="23">
        <v>1</v>
      </c>
      <c r="AW18" s="40">
        <v>1.6666666666666667</v>
      </c>
      <c r="AX18" s="41">
        <v>2</v>
      </c>
      <c r="AY18" s="20">
        <v>3</v>
      </c>
      <c r="AZ18" s="20">
        <v>1</v>
      </c>
      <c r="BA18" s="42">
        <v>2</v>
      </c>
      <c r="BB18" s="20">
        <v>1</v>
      </c>
      <c r="BC18" s="75">
        <f t="shared" si="4"/>
        <v>1.75</v>
      </c>
      <c r="BD18" s="77">
        <v>3</v>
      </c>
      <c r="BE18" s="77">
        <v>6</v>
      </c>
      <c r="BF18" s="44">
        <v>0</v>
      </c>
      <c r="BG18" s="44">
        <v>1</v>
      </c>
      <c r="BH18" s="44">
        <v>1</v>
      </c>
      <c r="BI18" s="40">
        <v>0.33333333333333331</v>
      </c>
      <c r="BJ18" s="41">
        <v>0.25</v>
      </c>
    </row>
    <row r="19" spans="1:62" x14ac:dyDescent="0.15">
      <c r="A19" s="52">
        <v>126</v>
      </c>
      <c r="B19" s="57">
        <v>-1</v>
      </c>
      <c r="C19" s="58">
        <v>1</v>
      </c>
      <c r="D19" s="20" t="s">
        <v>155</v>
      </c>
      <c r="E19" s="20" t="s">
        <v>155</v>
      </c>
      <c r="F19" s="42" t="s">
        <v>155</v>
      </c>
      <c r="G19" s="20" t="s">
        <v>155</v>
      </c>
      <c r="H19" s="74" t="s">
        <v>155</v>
      </c>
      <c r="I19" s="22" t="s">
        <v>155</v>
      </c>
      <c r="J19" s="20" t="s">
        <v>155</v>
      </c>
      <c r="K19" s="23" t="s">
        <v>155</v>
      </c>
      <c r="L19" s="20" t="s">
        <v>155</v>
      </c>
      <c r="M19" s="41" t="s">
        <v>155</v>
      </c>
      <c r="N19" s="72">
        <f t="shared" si="0"/>
        <v>4</v>
      </c>
      <c r="O19" s="20">
        <v>6</v>
      </c>
      <c r="P19" s="20">
        <v>2</v>
      </c>
      <c r="Q19" s="42">
        <v>4</v>
      </c>
      <c r="R19" s="20">
        <v>3</v>
      </c>
      <c r="S19" s="75">
        <f t="shared" si="1"/>
        <v>3.75</v>
      </c>
      <c r="T19" s="17">
        <v>2.4285714285714284</v>
      </c>
      <c r="U19" s="17">
        <v>7</v>
      </c>
      <c r="V19" s="22">
        <v>0</v>
      </c>
      <c r="W19" s="20">
        <v>2</v>
      </c>
      <c r="X19" s="23">
        <v>6</v>
      </c>
      <c r="Y19" s="40">
        <v>1.6666666666666667</v>
      </c>
      <c r="Z19" s="41">
        <v>2</v>
      </c>
      <c r="AA19" s="20">
        <v>4</v>
      </c>
      <c r="AB19" s="20">
        <v>2</v>
      </c>
      <c r="AC19" s="42">
        <v>3</v>
      </c>
      <c r="AD19" s="20">
        <v>4</v>
      </c>
      <c r="AE19" s="75">
        <f t="shared" si="3"/>
        <v>3.25</v>
      </c>
      <c r="AF19" s="17">
        <v>3</v>
      </c>
      <c r="AG19" s="17">
        <v>6</v>
      </c>
      <c r="AH19" s="44">
        <v>2</v>
      </c>
      <c r="AI19" s="44">
        <v>2</v>
      </c>
      <c r="AJ19" s="44">
        <v>8</v>
      </c>
      <c r="AK19" s="40">
        <v>2.6666666666666665</v>
      </c>
      <c r="AL19" s="41">
        <v>2.5</v>
      </c>
      <c r="AM19" s="20">
        <v>7</v>
      </c>
      <c r="AN19" s="20">
        <v>2</v>
      </c>
      <c r="AO19" s="42">
        <v>4</v>
      </c>
      <c r="AP19" s="20">
        <v>3</v>
      </c>
      <c r="AQ19" s="75">
        <f>AVERAGE(AM19,AN19,AO19,AP19)</f>
        <v>4</v>
      </c>
      <c r="AR19" s="17">
        <v>4.75</v>
      </c>
      <c r="AS19" s="17">
        <v>4</v>
      </c>
      <c r="AT19" s="22">
        <v>2</v>
      </c>
      <c r="AU19" s="20">
        <v>3</v>
      </c>
      <c r="AV19" s="23">
        <v>6</v>
      </c>
      <c r="AW19" s="40">
        <v>2</v>
      </c>
      <c r="AX19" s="41">
        <v>2</v>
      </c>
      <c r="AY19" s="20">
        <v>5</v>
      </c>
      <c r="AZ19" s="20">
        <v>2</v>
      </c>
      <c r="BA19" s="42">
        <v>3</v>
      </c>
      <c r="BB19" s="20">
        <v>4</v>
      </c>
      <c r="BC19" s="75">
        <f t="shared" si="4"/>
        <v>3.5</v>
      </c>
      <c r="BD19" s="77">
        <v>3.4885714285714289</v>
      </c>
      <c r="BE19" s="77">
        <v>7</v>
      </c>
      <c r="BF19" s="44">
        <v>0</v>
      </c>
      <c r="BG19" s="44">
        <v>3</v>
      </c>
      <c r="BH19" s="44">
        <v>10</v>
      </c>
      <c r="BI19" s="40">
        <v>2</v>
      </c>
      <c r="BJ19" s="41">
        <v>2.5</v>
      </c>
    </row>
    <row r="20" spans="1:62" s="94" customFormat="1" ht="17" x14ac:dyDescent="0.15">
      <c r="A20" s="91">
        <v>127</v>
      </c>
      <c r="B20" s="92">
        <v>1</v>
      </c>
      <c r="C20" s="93">
        <v>1</v>
      </c>
      <c r="D20" s="94" t="s">
        <v>155</v>
      </c>
      <c r="E20" s="94" t="s">
        <v>155</v>
      </c>
      <c r="F20" s="94" t="s">
        <v>155</v>
      </c>
      <c r="G20" s="94" t="s">
        <v>155</v>
      </c>
      <c r="H20" s="91" t="s">
        <v>155</v>
      </c>
      <c r="I20" s="22" t="s">
        <v>155</v>
      </c>
      <c r="J20" s="20" t="s">
        <v>155</v>
      </c>
      <c r="K20" s="23" t="s">
        <v>155</v>
      </c>
      <c r="L20" s="94" t="s">
        <v>155</v>
      </c>
      <c r="M20" s="96" t="s">
        <v>155</v>
      </c>
      <c r="N20" s="94">
        <f t="shared" si="0"/>
        <v>6</v>
      </c>
      <c r="O20" s="94">
        <v>8</v>
      </c>
      <c r="P20" s="94">
        <v>2</v>
      </c>
      <c r="Q20" s="94">
        <v>6</v>
      </c>
      <c r="R20" s="94">
        <v>4</v>
      </c>
      <c r="S20" s="97">
        <f t="shared" si="1"/>
        <v>5</v>
      </c>
      <c r="T20" s="98">
        <v>5.666666666666667</v>
      </c>
      <c r="U20" s="98">
        <v>6</v>
      </c>
      <c r="V20" s="22">
        <v>10</v>
      </c>
      <c r="W20" s="20">
        <v>7</v>
      </c>
      <c r="X20" s="23">
        <v>4</v>
      </c>
      <c r="Y20" s="95">
        <v>5</v>
      </c>
      <c r="Z20" s="96">
        <v>7.5</v>
      </c>
      <c r="AA20" s="98">
        <v>5</v>
      </c>
      <c r="AB20" s="98">
        <v>0</v>
      </c>
      <c r="AC20" s="98">
        <v>1.1428571428571428</v>
      </c>
      <c r="AD20" s="98">
        <v>3</v>
      </c>
      <c r="AE20" s="97">
        <f t="shared" si="3"/>
        <v>2.2857142857142856</v>
      </c>
      <c r="AF20" s="98">
        <v>1.2857142857142858</v>
      </c>
      <c r="AG20" s="98">
        <v>7</v>
      </c>
      <c r="AH20" s="44" t="s">
        <v>307</v>
      </c>
      <c r="AI20" s="44" t="s">
        <v>307</v>
      </c>
      <c r="AJ20" s="44" t="s">
        <v>307</v>
      </c>
      <c r="AK20" s="95" t="s">
        <v>155</v>
      </c>
      <c r="AL20" s="96" t="s">
        <v>155</v>
      </c>
      <c r="AM20" s="94">
        <v>2</v>
      </c>
      <c r="AN20" s="94">
        <v>0</v>
      </c>
      <c r="AO20" s="94">
        <v>1</v>
      </c>
      <c r="AP20" s="94">
        <v>0</v>
      </c>
      <c r="AQ20" s="97">
        <f>AVERAGE(AM20,AN20,AO20,AP20)</f>
        <v>0.75</v>
      </c>
      <c r="AR20" s="98">
        <v>0.25</v>
      </c>
      <c r="AS20" s="98">
        <v>4</v>
      </c>
      <c r="AT20" s="22">
        <v>0</v>
      </c>
      <c r="AU20" s="20">
        <v>1</v>
      </c>
      <c r="AV20" s="23">
        <v>0</v>
      </c>
      <c r="AW20" s="95">
        <v>0.33333333333333331</v>
      </c>
      <c r="AX20" s="96">
        <v>0.25</v>
      </c>
      <c r="AY20" s="94">
        <v>3</v>
      </c>
      <c r="AZ20" s="94">
        <v>0</v>
      </c>
      <c r="BA20" s="94">
        <v>0</v>
      </c>
      <c r="BB20" s="94">
        <v>1</v>
      </c>
      <c r="BC20" s="97">
        <f t="shared" si="4"/>
        <v>1</v>
      </c>
      <c r="BD20" s="99">
        <v>0</v>
      </c>
      <c r="BE20" s="99">
        <v>4</v>
      </c>
      <c r="BF20" s="44">
        <v>0</v>
      </c>
      <c r="BG20" s="44">
        <v>0</v>
      </c>
      <c r="BH20" s="44">
        <v>0</v>
      </c>
      <c r="BI20" s="95">
        <v>0</v>
      </c>
      <c r="BJ20" s="96">
        <v>0</v>
      </c>
    </row>
    <row r="21" spans="1:62" x14ac:dyDescent="0.15">
      <c r="A21" s="52">
        <v>128</v>
      </c>
      <c r="B21" s="57">
        <v>1</v>
      </c>
      <c r="C21" s="58">
        <v>1</v>
      </c>
      <c r="D21" s="20">
        <v>6</v>
      </c>
      <c r="E21" s="20">
        <v>2</v>
      </c>
      <c r="F21" s="42">
        <v>4</v>
      </c>
      <c r="G21" s="20">
        <v>3</v>
      </c>
      <c r="H21" s="74">
        <f>AVERAGE(D21:G21)</f>
        <v>3.75</v>
      </c>
      <c r="I21" s="22">
        <v>5</v>
      </c>
      <c r="J21" s="20">
        <v>5</v>
      </c>
      <c r="K21" s="23">
        <v>6</v>
      </c>
      <c r="L21" s="20">
        <v>4.666666666666667</v>
      </c>
      <c r="M21" s="41">
        <v>3.5</v>
      </c>
      <c r="N21" s="72">
        <f t="shared" si="0"/>
        <v>4</v>
      </c>
      <c r="O21" s="20">
        <v>6</v>
      </c>
      <c r="P21" s="20">
        <v>2</v>
      </c>
      <c r="Q21" s="42">
        <v>4</v>
      </c>
      <c r="R21" s="20">
        <v>5</v>
      </c>
      <c r="S21" s="75">
        <f t="shared" si="1"/>
        <v>4.25</v>
      </c>
      <c r="T21" s="17">
        <v>4.5999999999999996</v>
      </c>
      <c r="U21" s="17">
        <v>5</v>
      </c>
      <c r="V21" s="22">
        <v>5</v>
      </c>
      <c r="W21" s="20">
        <v>5</v>
      </c>
      <c r="X21" s="23">
        <v>5</v>
      </c>
      <c r="Y21" s="40">
        <v>4.333333333333333</v>
      </c>
      <c r="Z21" s="41">
        <v>3.5</v>
      </c>
      <c r="AA21" s="20">
        <v>5</v>
      </c>
      <c r="AB21" s="20">
        <v>2</v>
      </c>
      <c r="AC21" s="42">
        <v>4</v>
      </c>
      <c r="AD21" s="20">
        <v>4</v>
      </c>
      <c r="AE21" s="75">
        <f t="shared" si="3"/>
        <v>3.75</v>
      </c>
      <c r="AF21" s="17">
        <v>4.666666666666667</v>
      </c>
      <c r="AG21" s="17">
        <v>6</v>
      </c>
      <c r="AH21" s="44">
        <v>2</v>
      </c>
      <c r="AI21" s="44">
        <v>2</v>
      </c>
      <c r="AJ21" s="44">
        <v>1</v>
      </c>
      <c r="AK21" s="40">
        <v>2</v>
      </c>
      <c r="AL21" s="41">
        <v>2</v>
      </c>
      <c r="AM21" s="20">
        <v>6</v>
      </c>
      <c r="AN21" s="20">
        <v>1</v>
      </c>
      <c r="AO21" s="42">
        <v>3</v>
      </c>
      <c r="AP21" s="20">
        <v>1</v>
      </c>
      <c r="AQ21" s="75">
        <f>AVERAGE(AM21,AN21,AO21,AP21)</f>
        <v>2.75</v>
      </c>
      <c r="AR21" s="17">
        <v>3.2</v>
      </c>
      <c r="AS21" s="17">
        <v>5</v>
      </c>
      <c r="AT21" s="22">
        <v>3</v>
      </c>
      <c r="AU21" s="20">
        <v>0</v>
      </c>
      <c r="AV21" s="23">
        <v>1</v>
      </c>
      <c r="AW21" s="40">
        <v>0.33333333333333331</v>
      </c>
      <c r="AX21" s="41">
        <v>1.25</v>
      </c>
      <c r="AY21" s="20">
        <v>4</v>
      </c>
      <c r="AZ21" s="20">
        <v>1</v>
      </c>
      <c r="BA21" s="42">
        <v>2</v>
      </c>
      <c r="BB21" s="20">
        <v>1</v>
      </c>
      <c r="BC21" s="75">
        <f t="shared" si="4"/>
        <v>2</v>
      </c>
      <c r="BD21" s="77">
        <v>2.2157142857142857</v>
      </c>
      <c r="BE21" s="77">
        <v>7</v>
      </c>
      <c r="BF21" s="44">
        <v>1</v>
      </c>
      <c r="BG21" s="44">
        <v>1</v>
      </c>
      <c r="BH21" s="44">
        <v>1</v>
      </c>
      <c r="BI21" s="40">
        <v>1</v>
      </c>
      <c r="BJ21" s="41">
        <v>1</v>
      </c>
    </row>
    <row r="22" spans="1:62" x14ac:dyDescent="0.15">
      <c r="A22" s="52">
        <v>129</v>
      </c>
      <c r="B22" s="57">
        <v>1</v>
      </c>
      <c r="C22" s="58">
        <v>1</v>
      </c>
      <c r="D22" s="20">
        <v>5</v>
      </c>
      <c r="E22" s="20">
        <v>1</v>
      </c>
      <c r="F22" s="46">
        <v>3</v>
      </c>
      <c r="G22" s="20">
        <v>1</v>
      </c>
      <c r="H22" s="74">
        <f>AVERAGE(D22:G22)</f>
        <v>2.5</v>
      </c>
      <c r="I22" s="22">
        <v>5</v>
      </c>
      <c r="J22" s="20">
        <v>3</v>
      </c>
      <c r="K22" s="23">
        <v>2</v>
      </c>
      <c r="L22" s="20">
        <v>2.3333333333333335</v>
      </c>
      <c r="M22" s="41">
        <v>4.25</v>
      </c>
      <c r="N22" s="72">
        <f t="shared" si="0"/>
        <v>2.5</v>
      </c>
      <c r="O22" s="20">
        <v>4</v>
      </c>
      <c r="P22" s="20">
        <v>0</v>
      </c>
      <c r="Q22" s="42">
        <v>2</v>
      </c>
      <c r="R22" s="20">
        <v>1</v>
      </c>
      <c r="S22" s="75">
        <f t="shared" si="1"/>
        <v>1.75</v>
      </c>
      <c r="T22" s="17">
        <v>0.5</v>
      </c>
      <c r="U22" s="17">
        <v>6</v>
      </c>
      <c r="V22" s="22">
        <v>2</v>
      </c>
      <c r="W22" s="20">
        <v>1</v>
      </c>
      <c r="X22" s="23">
        <v>0</v>
      </c>
      <c r="Y22" s="40">
        <v>0.66666666666666663</v>
      </c>
      <c r="Z22" s="41">
        <v>1.75</v>
      </c>
      <c r="AA22" s="20">
        <v>2</v>
      </c>
      <c r="AB22" s="20">
        <v>0</v>
      </c>
      <c r="AC22" s="42">
        <v>1</v>
      </c>
      <c r="AD22" s="20">
        <v>0</v>
      </c>
      <c r="AE22" s="75">
        <f t="shared" si="3"/>
        <v>0.75</v>
      </c>
      <c r="AF22" s="17">
        <v>0</v>
      </c>
      <c r="AG22" s="17">
        <v>7</v>
      </c>
      <c r="AH22" s="44">
        <v>0</v>
      </c>
      <c r="AI22" s="44">
        <v>0</v>
      </c>
      <c r="AJ22" s="44">
        <v>0</v>
      </c>
      <c r="AK22" s="40">
        <v>0</v>
      </c>
      <c r="AL22" s="41">
        <v>0</v>
      </c>
      <c r="AM22" s="20">
        <v>8</v>
      </c>
      <c r="AN22" s="20">
        <v>1</v>
      </c>
      <c r="AO22" s="42">
        <v>3</v>
      </c>
      <c r="AP22" s="20">
        <v>1</v>
      </c>
      <c r="AQ22" s="75">
        <f>AVERAGE(AM22,AN22,AO22,AP22)</f>
        <v>3.25</v>
      </c>
      <c r="AR22" s="31">
        <v>0</v>
      </c>
      <c r="AS22" s="17">
        <v>7</v>
      </c>
      <c r="AT22" s="22">
        <v>0</v>
      </c>
      <c r="AU22" s="20">
        <v>0</v>
      </c>
      <c r="AV22" s="23">
        <v>0</v>
      </c>
      <c r="AW22" s="40">
        <v>0</v>
      </c>
      <c r="AX22" s="41">
        <v>0.25</v>
      </c>
      <c r="AY22" s="20">
        <v>5</v>
      </c>
      <c r="AZ22" s="20">
        <v>0</v>
      </c>
      <c r="BA22" s="42">
        <v>1</v>
      </c>
      <c r="BB22" s="20">
        <v>0</v>
      </c>
      <c r="BC22" s="75">
        <f t="shared" si="4"/>
        <v>1.5</v>
      </c>
      <c r="BD22" s="77">
        <v>0.18000000000000002</v>
      </c>
      <c r="BE22" s="77">
        <v>6</v>
      </c>
      <c r="BF22" s="44">
        <v>0</v>
      </c>
      <c r="BG22" s="44">
        <v>0</v>
      </c>
      <c r="BH22" s="44">
        <v>0</v>
      </c>
      <c r="BI22" s="40">
        <v>0</v>
      </c>
      <c r="BJ22" s="41">
        <v>0.5</v>
      </c>
    </row>
    <row r="23" spans="1:62" ht="17" x14ac:dyDescent="0.15">
      <c r="A23" s="39">
        <v>130</v>
      </c>
      <c r="B23" s="63">
        <v>-1</v>
      </c>
      <c r="C23" s="64">
        <v>1</v>
      </c>
      <c r="D23" s="20" t="s">
        <v>155</v>
      </c>
      <c r="E23" s="20" t="s">
        <v>155</v>
      </c>
      <c r="F23" s="42" t="s">
        <v>155</v>
      </c>
      <c r="G23" s="20" t="s">
        <v>155</v>
      </c>
      <c r="H23" s="74" t="s">
        <v>155</v>
      </c>
      <c r="I23" s="22" t="s">
        <v>155</v>
      </c>
      <c r="J23" s="20" t="s">
        <v>155</v>
      </c>
      <c r="K23" s="23" t="s">
        <v>155</v>
      </c>
      <c r="L23" s="20" t="s">
        <v>155</v>
      </c>
      <c r="M23" s="41" t="s">
        <v>155</v>
      </c>
      <c r="N23" s="72">
        <f t="shared" si="0"/>
        <v>5.666666666666667</v>
      </c>
      <c r="O23" s="17">
        <v>6</v>
      </c>
      <c r="P23" s="17">
        <v>3</v>
      </c>
      <c r="Q23" s="83">
        <v>5.666666666666667</v>
      </c>
      <c r="R23" s="17" t="s">
        <v>155</v>
      </c>
      <c r="S23" s="75">
        <f t="shared" si="1"/>
        <v>4.8888888888888893</v>
      </c>
      <c r="T23" s="17">
        <v>3.3333333333333335</v>
      </c>
      <c r="U23" s="17">
        <v>3</v>
      </c>
      <c r="V23" s="22" t="s">
        <v>155</v>
      </c>
      <c r="W23" s="20" t="s">
        <v>155</v>
      </c>
      <c r="X23" s="23" t="s">
        <v>155</v>
      </c>
      <c r="Y23" s="40" t="s">
        <v>155</v>
      </c>
      <c r="Z23" s="41" t="s">
        <v>155</v>
      </c>
      <c r="AA23" s="83">
        <v>5</v>
      </c>
      <c r="AB23" s="17">
        <v>2</v>
      </c>
      <c r="AC23" s="83">
        <v>3.6</v>
      </c>
      <c r="AD23" s="17">
        <v>5</v>
      </c>
      <c r="AE23" s="75">
        <f t="shared" si="3"/>
        <v>3.9</v>
      </c>
      <c r="AF23" s="17">
        <v>3.2</v>
      </c>
      <c r="AG23" s="17">
        <v>5</v>
      </c>
      <c r="AH23" s="44" t="s">
        <v>307</v>
      </c>
      <c r="AI23" s="44" t="s">
        <v>307</v>
      </c>
      <c r="AJ23" s="44" t="s">
        <v>307</v>
      </c>
      <c r="AK23" s="40" t="s">
        <v>155</v>
      </c>
      <c r="AL23" s="41" t="s">
        <v>155</v>
      </c>
      <c r="AM23" s="20">
        <v>5</v>
      </c>
      <c r="AN23" s="20">
        <v>3</v>
      </c>
      <c r="AO23" s="42">
        <v>4</v>
      </c>
      <c r="AP23" s="20">
        <v>5</v>
      </c>
      <c r="AQ23" s="75">
        <f>AVERAGE(AM23,AN23,AO23,AP23)</f>
        <v>4.25</v>
      </c>
      <c r="AR23" s="17">
        <v>3.0400000000000005</v>
      </c>
      <c r="AS23" s="17">
        <v>6</v>
      </c>
      <c r="AT23" s="22">
        <v>3</v>
      </c>
      <c r="AU23" s="20">
        <v>4</v>
      </c>
      <c r="AV23" s="23">
        <v>4</v>
      </c>
      <c r="AW23" s="40">
        <v>3</v>
      </c>
      <c r="AX23" s="41">
        <v>2.75</v>
      </c>
      <c r="AY23" s="20">
        <v>6</v>
      </c>
      <c r="AZ23" s="20">
        <v>3</v>
      </c>
      <c r="BA23" s="42">
        <v>5</v>
      </c>
      <c r="BB23" s="20">
        <v>5</v>
      </c>
      <c r="BC23" s="75">
        <f t="shared" si="4"/>
        <v>4.75</v>
      </c>
      <c r="BD23" s="77">
        <v>3.84</v>
      </c>
      <c r="BE23" s="77">
        <v>3</v>
      </c>
      <c r="BF23" s="44">
        <v>3</v>
      </c>
      <c r="BG23" s="44">
        <v>6</v>
      </c>
      <c r="BH23" s="44">
        <v>5</v>
      </c>
      <c r="BI23" s="40">
        <v>4.333333333333333</v>
      </c>
      <c r="BJ23" s="41">
        <v>3.25</v>
      </c>
    </row>
    <row r="24" spans="1:62" x14ac:dyDescent="0.2">
      <c r="A24" s="36">
        <v>132</v>
      </c>
      <c r="B24" s="57">
        <v>1</v>
      </c>
      <c r="C24" s="58">
        <v>1</v>
      </c>
      <c r="D24" s="81">
        <v>6</v>
      </c>
      <c r="E24" s="81">
        <v>4</v>
      </c>
      <c r="F24" s="81">
        <v>5</v>
      </c>
      <c r="G24" s="81">
        <v>5</v>
      </c>
      <c r="H24" s="74">
        <f>AVERAGE(D24:G24)</f>
        <v>5</v>
      </c>
      <c r="I24" s="167">
        <v>5</v>
      </c>
      <c r="J24" s="81">
        <v>4</v>
      </c>
      <c r="K24" s="168">
        <v>5</v>
      </c>
      <c r="L24" s="80">
        <v>3.6666666666666665</v>
      </c>
      <c r="M24" s="85">
        <v>4.75</v>
      </c>
      <c r="N24" s="72">
        <f t="shared" si="0"/>
        <v>4</v>
      </c>
      <c r="O24" s="17">
        <v>4</v>
      </c>
      <c r="P24" s="17">
        <v>2</v>
      </c>
      <c r="Q24" s="30">
        <v>3</v>
      </c>
      <c r="R24" s="17">
        <v>2</v>
      </c>
      <c r="S24" s="75">
        <f t="shared" si="1"/>
        <v>2.75</v>
      </c>
      <c r="T24" s="17">
        <v>2.6666666666666665</v>
      </c>
      <c r="U24" s="17">
        <v>6</v>
      </c>
      <c r="V24" s="167" t="s">
        <v>155</v>
      </c>
      <c r="W24" s="81" t="s">
        <v>155</v>
      </c>
      <c r="X24" s="168" t="s">
        <v>155</v>
      </c>
      <c r="Y24" s="40" t="s">
        <v>155</v>
      </c>
      <c r="Z24" s="41" t="s">
        <v>155</v>
      </c>
      <c r="AA24" s="20">
        <v>3</v>
      </c>
      <c r="AB24" s="20">
        <v>2</v>
      </c>
      <c r="AC24" s="42">
        <v>2</v>
      </c>
      <c r="AD24" s="20">
        <v>2</v>
      </c>
      <c r="AE24" s="75">
        <f t="shared" si="3"/>
        <v>2.25</v>
      </c>
      <c r="AF24" s="17">
        <v>1.8571428571428572</v>
      </c>
      <c r="AG24" s="17">
        <v>7</v>
      </c>
      <c r="AH24" s="44">
        <v>2</v>
      </c>
      <c r="AI24" s="44">
        <v>1</v>
      </c>
      <c r="AJ24" s="44">
        <v>2</v>
      </c>
      <c r="AK24" s="40">
        <v>1</v>
      </c>
      <c r="AL24" s="41">
        <v>1.75</v>
      </c>
      <c r="AM24" s="20">
        <v>4</v>
      </c>
      <c r="AN24" s="20">
        <v>2</v>
      </c>
      <c r="AO24" s="42">
        <v>3</v>
      </c>
      <c r="AP24" s="20">
        <v>2</v>
      </c>
      <c r="AQ24" s="75">
        <f>AVERAGE(AM24,AN24,AO24,AP24)</f>
        <v>2.75</v>
      </c>
      <c r="AR24" s="17">
        <v>1.7033333333333331</v>
      </c>
      <c r="AS24" s="17">
        <v>6</v>
      </c>
      <c r="AT24" s="167">
        <v>3</v>
      </c>
      <c r="AU24" s="81">
        <v>3</v>
      </c>
      <c r="AV24" s="168">
        <v>4</v>
      </c>
      <c r="AW24" s="40">
        <v>3</v>
      </c>
      <c r="AX24" s="41">
        <v>3.25</v>
      </c>
      <c r="AY24" s="20">
        <v>3</v>
      </c>
      <c r="AZ24" s="20">
        <v>2</v>
      </c>
      <c r="BA24" s="42">
        <v>3</v>
      </c>
      <c r="BB24" s="20">
        <v>2</v>
      </c>
      <c r="BC24" s="75">
        <f t="shared" si="4"/>
        <v>2.5</v>
      </c>
      <c r="BD24" s="77">
        <v>1.4542857142857142</v>
      </c>
      <c r="BE24" s="77">
        <v>7</v>
      </c>
      <c r="BF24" s="44">
        <v>3</v>
      </c>
      <c r="BG24" s="44">
        <v>3</v>
      </c>
      <c r="BH24" s="44">
        <v>3</v>
      </c>
      <c r="BI24" s="40">
        <v>3</v>
      </c>
      <c r="BJ24" s="41">
        <v>3</v>
      </c>
    </row>
    <row r="25" spans="1:62" x14ac:dyDescent="0.15">
      <c r="A25" s="52">
        <v>133</v>
      </c>
      <c r="B25" s="57">
        <v>-1</v>
      </c>
      <c r="C25" s="58">
        <v>1</v>
      </c>
      <c r="D25" s="20" t="s">
        <v>155</v>
      </c>
      <c r="E25" s="20" t="s">
        <v>155</v>
      </c>
      <c r="F25" s="42" t="s">
        <v>155</v>
      </c>
      <c r="G25" s="20" t="s">
        <v>155</v>
      </c>
      <c r="H25" s="74" t="s">
        <v>155</v>
      </c>
      <c r="I25" s="22" t="s">
        <v>155</v>
      </c>
      <c r="J25" s="20" t="s">
        <v>155</v>
      </c>
      <c r="K25" s="23" t="s">
        <v>155</v>
      </c>
      <c r="L25" s="20" t="s">
        <v>155</v>
      </c>
      <c r="M25" s="41" t="s">
        <v>155</v>
      </c>
      <c r="N25" s="72">
        <f t="shared" si="0"/>
        <v>6</v>
      </c>
      <c r="O25" s="20">
        <v>7</v>
      </c>
      <c r="P25" s="20">
        <v>4</v>
      </c>
      <c r="Q25" s="42">
        <v>6</v>
      </c>
      <c r="R25" s="20">
        <v>7</v>
      </c>
      <c r="S25" s="75">
        <f t="shared" si="1"/>
        <v>6</v>
      </c>
      <c r="T25" s="83">
        <v>3</v>
      </c>
      <c r="U25" s="83">
        <v>2</v>
      </c>
      <c r="V25" s="22">
        <v>4</v>
      </c>
      <c r="W25" s="20">
        <v>5</v>
      </c>
      <c r="X25" s="23">
        <v>6</v>
      </c>
      <c r="Y25" s="40">
        <v>3</v>
      </c>
      <c r="Z25" s="41">
        <v>3</v>
      </c>
      <c r="AA25" s="20">
        <v>6</v>
      </c>
      <c r="AB25" s="20">
        <v>3</v>
      </c>
      <c r="AC25" s="42">
        <v>4</v>
      </c>
      <c r="AD25" s="20">
        <v>3</v>
      </c>
      <c r="AE25" s="75">
        <f t="shared" si="3"/>
        <v>4</v>
      </c>
      <c r="AF25" s="17">
        <v>3.4</v>
      </c>
      <c r="AG25" s="17">
        <v>5</v>
      </c>
      <c r="AH25" s="44">
        <v>3</v>
      </c>
      <c r="AI25" s="44">
        <v>5</v>
      </c>
      <c r="AJ25" s="44">
        <v>6</v>
      </c>
      <c r="AK25" s="40">
        <v>2.6666666666666665</v>
      </c>
      <c r="AL25" s="41">
        <v>3.5</v>
      </c>
      <c r="AM25" s="20">
        <v>6</v>
      </c>
      <c r="AN25" s="20">
        <v>3</v>
      </c>
      <c r="AO25" s="42">
        <v>4</v>
      </c>
      <c r="AP25" s="20">
        <v>5</v>
      </c>
      <c r="AQ25" s="75">
        <f>AVERAGE(AM25,AN25,AO25,AP25)</f>
        <v>4.5</v>
      </c>
      <c r="AR25" s="17">
        <v>3.1566666666666667</v>
      </c>
      <c r="AS25" s="17">
        <v>3</v>
      </c>
      <c r="AT25" s="22">
        <v>2</v>
      </c>
      <c r="AU25" s="20">
        <v>3</v>
      </c>
      <c r="AV25" s="23">
        <v>6</v>
      </c>
      <c r="AW25" s="40">
        <v>2</v>
      </c>
      <c r="AX25" s="41">
        <v>2</v>
      </c>
      <c r="AY25" s="20">
        <v>8</v>
      </c>
      <c r="AZ25" s="20">
        <v>2</v>
      </c>
      <c r="BA25" s="42">
        <v>5</v>
      </c>
      <c r="BB25" s="20">
        <v>6</v>
      </c>
      <c r="BC25" s="75">
        <f t="shared" si="4"/>
        <v>5.25</v>
      </c>
      <c r="BD25" s="77">
        <v>4.5599999999999996</v>
      </c>
      <c r="BE25" s="77">
        <v>6</v>
      </c>
      <c r="BF25" s="44">
        <v>5</v>
      </c>
      <c r="BG25" s="44">
        <v>7</v>
      </c>
      <c r="BH25" s="44">
        <v>9</v>
      </c>
      <c r="BI25" s="40">
        <v>4.666666666666667</v>
      </c>
      <c r="BJ25" s="41">
        <v>5</v>
      </c>
    </row>
    <row r="26" spans="1:62" x14ac:dyDescent="0.15">
      <c r="A26" s="52">
        <v>134</v>
      </c>
      <c r="B26" s="57">
        <v>1</v>
      </c>
      <c r="C26" s="58">
        <v>1</v>
      </c>
      <c r="D26" s="20">
        <v>7</v>
      </c>
      <c r="E26" s="20">
        <v>1</v>
      </c>
      <c r="F26" s="46">
        <v>3</v>
      </c>
      <c r="G26" s="20">
        <v>4</v>
      </c>
      <c r="H26" s="74">
        <f>AVERAGE(D26:G26)</f>
        <v>3.75</v>
      </c>
      <c r="I26" s="22">
        <v>4</v>
      </c>
      <c r="J26" s="20">
        <v>1</v>
      </c>
      <c r="K26" s="23">
        <v>8</v>
      </c>
      <c r="L26" s="20">
        <v>2</v>
      </c>
      <c r="M26" s="41">
        <v>4.25</v>
      </c>
      <c r="N26" s="72">
        <f t="shared" si="0"/>
        <v>4</v>
      </c>
      <c r="O26" s="20">
        <v>7</v>
      </c>
      <c r="P26" s="20">
        <v>1</v>
      </c>
      <c r="Q26" s="42">
        <v>5</v>
      </c>
      <c r="R26" s="20">
        <v>1</v>
      </c>
      <c r="S26" s="75">
        <f t="shared" si="1"/>
        <v>3.5</v>
      </c>
      <c r="T26" s="17">
        <v>3.2857142857142856</v>
      </c>
      <c r="U26" s="17">
        <v>7</v>
      </c>
      <c r="V26" s="22">
        <v>4</v>
      </c>
      <c r="W26" s="20">
        <v>3</v>
      </c>
      <c r="X26" s="23">
        <v>7</v>
      </c>
      <c r="Y26" s="40">
        <v>1.6666666666666667</v>
      </c>
      <c r="Z26" s="41">
        <v>3.25</v>
      </c>
      <c r="AA26" s="20">
        <v>4</v>
      </c>
      <c r="AB26" s="20">
        <v>1</v>
      </c>
      <c r="AC26" s="42">
        <v>3</v>
      </c>
      <c r="AD26" s="20">
        <v>2</v>
      </c>
      <c r="AE26" s="75">
        <f t="shared" si="3"/>
        <v>2.5</v>
      </c>
      <c r="AF26" s="17">
        <v>1.7142857142857142</v>
      </c>
      <c r="AG26" s="17">
        <v>7</v>
      </c>
      <c r="AH26" s="44">
        <v>1</v>
      </c>
      <c r="AI26" s="44">
        <v>1</v>
      </c>
      <c r="AJ26" s="44">
        <v>4</v>
      </c>
      <c r="AK26" s="40">
        <v>1.3333333333333333</v>
      </c>
      <c r="AL26" s="41">
        <v>2</v>
      </c>
      <c r="AM26" s="20">
        <v>5</v>
      </c>
      <c r="AN26" s="20">
        <v>1</v>
      </c>
      <c r="AO26" s="42">
        <v>2</v>
      </c>
      <c r="AP26" s="20">
        <v>1</v>
      </c>
      <c r="AQ26" s="75">
        <f>AVERAGE(AM26,AN26,AO26,AP26)</f>
        <v>2.25</v>
      </c>
      <c r="AR26" s="17">
        <v>1.9771428571428571</v>
      </c>
      <c r="AS26" s="17">
        <v>7</v>
      </c>
      <c r="AT26" s="22">
        <v>0</v>
      </c>
      <c r="AU26" s="20">
        <v>0</v>
      </c>
      <c r="AV26" s="23">
        <v>2</v>
      </c>
      <c r="AW26" s="40">
        <v>0.33333333333333331</v>
      </c>
      <c r="AX26" s="41">
        <v>0.5</v>
      </c>
      <c r="AY26" s="20">
        <v>4</v>
      </c>
      <c r="AZ26" s="20">
        <v>0</v>
      </c>
      <c r="BA26" s="42">
        <v>1</v>
      </c>
      <c r="BB26" s="20">
        <v>1</v>
      </c>
      <c r="BC26" s="75">
        <f t="shared" si="4"/>
        <v>1.5</v>
      </c>
      <c r="BD26" s="77">
        <v>1.3614285714285717</v>
      </c>
      <c r="BE26" s="77">
        <v>7</v>
      </c>
      <c r="BF26" s="44">
        <v>0</v>
      </c>
      <c r="BG26" s="44">
        <v>1</v>
      </c>
      <c r="BH26" s="44">
        <v>1</v>
      </c>
      <c r="BI26" s="40">
        <v>0.66666666666666663</v>
      </c>
      <c r="BJ26" s="41">
        <v>0.25</v>
      </c>
    </row>
    <row r="27" spans="1:62" x14ac:dyDescent="0.15">
      <c r="A27" s="52">
        <v>135</v>
      </c>
      <c r="B27" s="57">
        <v>1</v>
      </c>
      <c r="C27" s="58">
        <v>1</v>
      </c>
      <c r="D27" s="20">
        <v>8</v>
      </c>
      <c r="E27" s="20">
        <v>6</v>
      </c>
      <c r="F27" s="42">
        <v>7</v>
      </c>
      <c r="G27" s="20">
        <v>6</v>
      </c>
      <c r="H27" s="74">
        <f>AVERAGE(D27:G27)</f>
        <v>6.75</v>
      </c>
      <c r="I27" s="22">
        <v>4</v>
      </c>
      <c r="J27" s="20">
        <v>7</v>
      </c>
      <c r="K27" s="23">
        <v>9</v>
      </c>
      <c r="L27" s="20">
        <v>5.333333333333333</v>
      </c>
      <c r="M27" s="41">
        <v>6.25</v>
      </c>
      <c r="N27" s="72">
        <f t="shared" si="0"/>
        <v>6.5</v>
      </c>
      <c r="O27" s="20">
        <v>7</v>
      </c>
      <c r="P27" s="20">
        <v>4</v>
      </c>
      <c r="Q27" s="42">
        <v>6</v>
      </c>
      <c r="R27" s="20">
        <v>7</v>
      </c>
      <c r="S27" s="75">
        <f t="shared" si="1"/>
        <v>6</v>
      </c>
      <c r="T27" s="17">
        <v>6.833333333333333</v>
      </c>
      <c r="U27" s="17">
        <v>6</v>
      </c>
      <c r="V27" s="22">
        <v>7</v>
      </c>
      <c r="W27" s="20">
        <v>8</v>
      </c>
      <c r="X27" s="23">
        <v>9</v>
      </c>
      <c r="Y27" s="40">
        <v>7</v>
      </c>
      <c r="Z27" s="41">
        <v>6</v>
      </c>
      <c r="AA27" s="20">
        <v>8</v>
      </c>
      <c r="AB27" s="20">
        <v>4</v>
      </c>
      <c r="AC27" s="42">
        <v>6</v>
      </c>
      <c r="AD27" s="20">
        <v>6</v>
      </c>
      <c r="AE27" s="75">
        <f t="shared" si="3"/>
        <v>6</v>
      </c>
      <c r="AF27" s="17">
        <v>6</v>
      </c>
      <c r="AG27" s="17">
        <v>4</v>
      </c>
      <c r="AH27" s="44">
        <v>3</v>
      </c>
      <c r="AI27" s="44">
        <v>5</v>
      </c>
      <c r="AJ27" s="44">
        <v>8</v>
      </c>
      <c r="AK27" s="40">
        <v>6</v>
      </c>
      <c r="AL27" s="41">
        <v>5.5</v>
      </c>
      <c r="AM27" s="20">
        <v>8</v>
      </c>
      <c r="AN27" s="20">
        <v>4</v>
      </c>
      <c r="AO27" s="42">
        <v>6</v>
      </c>
      <c r="AP27" s="20">
        <v>5</v>
      </c>
      <c r="AQ27" s="75">
        <f>AVERAGE(AM27,AN27,AO27,AP27)</f>
        <v>5.75</v>
      </c>
      <c r="AR27" s="17">
        <v>6</v>
      </c>
      <c r="AS27" s="17">
        <v>6</v>
      </c>
      <c r="AT27" s="22">
        <v>4</v>
      </c>
      <c r="AU27" s="20">
        <v>5</v>
      </c>
      <c r="AV27" s="23">
        <v>7</v>
      </c>
      <c r="AW27" s="40">
        <v>4</v>
      </c>
      <c r="AX27" s="41">
        <v>5.5</v>
      </c>
      <c r="AY27" s="20">
        <v>8</v>
      </c>
      <c r="AZ27" s="20">
        <v>3</v>
      </c>
      <c r="BA27" s="42">
        <v>6</v>
      </c>
      <c r="BB27" s="20">
        <v>5</v>
      </c>
      <c r="BC27" s="75">
        <f t="shared" si="4"/>
        <v>5.5</v>
      </c>
      <c r="BD27" s="77">
        <v>5.7766666666666673</v>
      </c>
      <c r="BE27" s="77">
        <v>3</v>
      </c>
      <c r="BF27" s="44">
        <v>6</v>
      </c>
      <c r="BG27" s="44">
        <v>5</v>
      </c>
      <c r="BH27" s="44">
        <v>7</v>
      </c>
      <c r="BI27" s="40">
        <v>3.6666666666666665</v>
      </c>
      <c r="BJ27" s="41">
        <v>5.5</v>
      </c>
    </row>
    <row r="28" spans="1:62" x14ac:dyDescent="0.15">
      <c r="A28" s="53">
        <v>136</v>
      </c>
      <c r="B28" s="63">
        <v>-1</v>
      </c>
      <c r="C28" s="64">
        <v>1</v>
      </c>
      <c r="D28" s="20">
        <v>4</v>
      </c>
      <c r="E28" s="20">
        <v>0</v>
      </c>
      <c r="F28" s="42">
        <v>2</v>
      </c>
      <c r="G28" s="20">
        <v>0</v>
      </c>
      <c r="H28" s="74">
        <f>AVERAGE(D28:G28)</f>
        <v>1.5</v>
      </c>
      <c r="I28" s="22">
        <v>2</v>
      </c>
      <c r="J28" s="20">
        <v>1</v>
      </c>
      <c r="K28" s="23">
        <v>3</v>
      </c>
      <c r="L28" s="20">
        <v>1.6666666666666667</v>
      </c>
      <c r="M28" s="41">
        <v>2.5</v>
      </c>
      <c r="N28" s="72">
        <f t="shared" si="0"/>
        <v>2</v>
      </c>
      <c r="O28" s="20">
        <v>3</v>
      </c>
      <c r="P28" s="20">
        <v>0</v>
      </c>
      <c r="Q28" s="42">
        <v>2</v>
      </c>
      <c r="R28" s="20">
        <v>0</v>
      </c>
      <c r="S28" s="75">
        <f t="shared" si="1"/>
        <v>1.25</v>
      </c>
      <c r="T28" s="17">
        <v>1.2857142857142858</v>
      </c>
      <c r="U28" s="17">
        <v>7</v>
      </c>
      <c r="V28" s="22">
        <v>2</v>
      </c>
      <c r="W28" s="20">
        <v>1</v>
      </c>
      <c r="X28" s="23">
        <v>2</v>
      </c>
      <c r="Y28" s="40">
        <v>1</v>
      </c>
      <c r="Z28" s="41">
        <v>1</v>
      </c>
      <c r="AA28" s="20">
        <v>2</v>
      </c>
      <c r="AB28" s="20">
        <v>0</v>
      </c>
      <c r="AC28" s="42">
        <v>2</v>
      </c>
      <c r="AD28" s="20">
        <v>0</v>
      </c>
      <c r="AE28" s="74">
        <f t="shared" si="3"/>
        <v>1</v>
      </c>
      <c r="AF28" s="17">
        <v>0.7142857142857143</v>
      </c>
      <c r="AG28" s="17">
        <v>7</v>
      </c>
      <c r="AH28" s="44">
        <v>3</v>
      </c>
      <c r="AI28" s="44">
        <v>2</v>
      </c>
      <c r="AJ28" s="44">
        <v>4</v>
      </c>
      <c r="AK28" s="40">
        <v>3.3333333333333335</v>
      </c>
      <c r="AL28" s="41">
        <v>3.25</v>
      </c>
      <c r="AM28" s="20">
        <v>7</v>
      </c>
      <c r="AN28" s="20">
        <v>2</v>
      </c>
      <c r="AO28" s="42">
        <v>4</v>
      </c>
      <c r="AP28" s="20">
        <v>5</v>
      </c>
      <c r="AQ28" s="74">
        <f>AVERAGE(AM28,AN28,AO28,AP28)</f>
        <v>4.5</v>
      </c>
      <c r="AR28" s="17">
        <v>0.98285714285714287</v>
      </c>
      <c r="AS28" s="17">
        <v>7</v>
      </c>
      <c r="AT28" s="22">
        <v>8</v>
      </c>
      <c r="AU28" s="20">
        <v>2</v>
      </c>
      <c r="AV28" s="23">
        <v>6</v>
      </c>
      <c r="AW28" s="40">
        <v>4</v>
      </c>
      <c r="AX28" s="41">
        <v>6</v>
      </c>
      <c r="AY28" s="20">
        <v>5</v>
      </c>
      <c r="AZ28" s="20">
        <v>2</v>
      </c>
      <c r="BA28" s="42">
        <v>3</v>
      </c>
      <c r="BB28" s="20">
        <v>2</v>
      </c>
      <c r="BC28" s="74">
        <f t="shared" si="4"/>
        <v>3</v>
      </c>
      <c r="BD28" s="77">
        <v>1.0985714285714285</v>
      </c>
      <c r="BE28" s="77">
        <v>7</v>
      </c>
      <c r="BF28" s="44">
        <v>4</v>
      </c>
      <c r="BG28" s="44">
        <v>2</v>
      </c>
      <c r="BH28" s="44">
        <v>4</v>
      </c>
      <c r="BI28" s="40">
        <v>1.6666666666666667</v>
      </c>
      <c r="BJ28" s="41">
        <v>3.5</v>
      </c>
    </row>
    <row r="29" spans="1:62" x14ac:dyDescent="0.15">
      <c r="A29" s="52">
        <v>137</v>
      </c>
      <c r="B29" s="57">
        <v>1</v>
      </c>
      <c r="C29" s="58">
        <v>1</v>
      </c>
      <c r="D29" s="20">
        <v>5</v>
      </c>
      <c r="E29" s="20">
        <v>2</v>
      </c>
      <c r="F29" s="46">
        <v>3</v>
      </c>
      <c r="G29" s="20">
        <v>4</v>
      </c>
      <c r="H29" s="74">
        <f>AVERAGE(D29:G29)</f>
        <v>3.5</v>
      </c>
      <c r="I29" s="22">
        <v>2</v>
      </c>
      <c r="J29" s="20">
        <v>2</v>
      </c>
      <c r="K29" s="23">
        <v>3</v>
      </c>
      <c r="L29" s="20">
        <v>1.6666666666666667</v>
      </c>
      <c r="M29" s="41">
        <v>1.5</v>
      </c>
      <c r="N29" s="72">
        <f t="shared" si="0"/>
        <v>3.5</v>
      </c>
      <c r="O29" s="20">
        <v>8</v>
      </c>
      <c r="P29" s="20">
        <v>2</v>
      </c>
      <c r="Q29" s="42">
        <v>4</v>
      </c>
      <c r="R29" s="20">
        <v>4</v>
      </c>
      <c r="S29" s="75">
        <f t="shared" si="1"/>
        <v>4.5</v>
      </c>
      <c r="T29" s="17">
        <v>3.5</v>
      </c>
      <c r="U29" s="17">
        <v>6</v>
      </c>
      <c r="V29" s="22">
        <v>2</v>
      </c>
      <c r="W29" s="20">
        <v>2</v>
      </c>
      <c r="X29" s="23">
        <v>4</v>
      </c>
      <c r="Y29" s="40">
        <v>1.3333333333333333</v>
      </c>
      <c r="Z29" s="41">
        <v>2</v>
      </c>
      <c r="AA29" s="20">
        <v>4</v>
      </c>
      <c r="AB29" s="20">
        <v>2</v>
      </c>
      <c r="AC29" s="42">
        <v>3</v>
      </c>
      <c r="AD29" s="20">
        <v>3</v>
      </c>
      <c r="AE29" s="74">
        <f t="shared" si="3"/>
        <v>3</v>
      </c>
      <c r="AF29" s="17">
        <v>1.6666666666666667</v>
      </c>
      <c r="AG29" s="17">
        <v>6</v>
      </c>
      <c r="AH29" s="44">
        <v>2</v>
      </c>
      <c r="AI29" s="44">
        <v>1</v>
      </c>
      <c r="AJ29" s="44">
        <v>2</v>
      </c>
      <c r="AK29" s="40">
        <v>1</v>
      </c>
      <c r="AL29" s="41">
        <v>1</v>
      </c>
      <c r="AM29" s="20">
        <v>1</v>
      </c>
      <c r="AN29" s="20">
        <v>1</v>
      </c>
      <c r="AO29" s="42">
        <v>1</v>
      </c>
      <c r="AP29" s="20">
        <v>1</v>
      </c>
      <c r="AQ29" s="74">
        <f>AVERAGE(AM29,AN29,AO29,AP29)</f>
        <v>1</v>
      </c>
      <c r="AR29" s="17">
        <v>0.66000000000000014</v>
      </c>
      <c r="AS29" s="17">
        <v>7</v>
      </c>
      <c r="AT29" s="22">
        <v>1</v>
      </c>
      <c r="AU29" s="20">
        <v>1</v>
      </c>
      <c r="AV29" s="23">
        <v>1</v>
      </c>
      <c r="AW29" s="40">
        <v>0.66666666666666663</v>
      </c>
      <c r="AX29" s="41">
        <v>0.5</v>
      </c>
      <c r="AY29" s="20">
        <v>2</v>
      </c>
      <c r="AZ29" s="20">
        <v>1</v>
      </c>
      <c r="BA29" s="42">
        <v>1</v>
      </c>
      <c r="BB29" s="20">
        <v>1</v>
      </c>
      <c r="BC29" s="74">
        <f t="shared" si="4"/>
        <v>1.25</v>
      </c>
      <c r="BD29" s="77">
        <v>0.53285714285714292</v>
      </c>
      <c r="BE29" s="77">
        <v>7</v>
      </c>
      <c r="BF29" s="44">
        <v>1</v>
      </c>
      <c r="BG29" s="44">
        <v>1</v>
      </c>
      <c r="BH29" s="44">
        <v>1</v>
      </c>
      <c r="BI29" s="40">
        <v>0.66666666666666663</v>
      </c>
      <c r="BJ29" s="41">
        <v>0.5</v>
      </c>
    </row>
    <row r="30" spans="1:62" x14ac:dyDescent="0.15">
      <c r="A30" s="52">
        <v>140</v>
      </c>
      <c r="B30" s="57">
        <v>-1</v>
      </c>
      <c r="C30" s="58">
        <v>1</v>
      </c>
      <c r="D30" s="20" t="s">
        <v>155</v>
      </c>
      <c r="E30" s="20" t="s">
        <v>155</v>
      </c>
      <c r="F30" s="42" t="s">
        <v>155</v>
      </c>
      <c r="G30" s="20" t="s">
        <v>155</v>
      </c>
      <c r="H30" s="74" t="s">
        <v>155</v>
      </c>
      <c r="I30" s="22" t="s">
        <v>155</v>
      </c>
      <c r="J30" s="20" t="s">
        <v>155</v>
      </c>
      <c r="K30" s="23" t="s">
        <v>155</v>
      </c>
      <c r="L30" s="20" t="s">
        <v>155</v>
      </c>
      <c r="M30" s="41" t="s">
        <v>155</v>
      </c>
      <c r="N30" s="72">
        <f t="shared" si="0"/>
        <v>3</v>
      </c>
      <c r="O30" s="20">
        <v>4</v>
      </c>
      <c r="P30" s="20">
        <v>2</v>
      </c>
      <c r="Q30" s="42">
        <v>3</v>
      </c>
      <c r="R30" s="20">
        <v>3</v>
      </c>
      <c r="S30" s="75">
        <f t="shared" si="1"/>
        <v>3</v>
      </c>
      <c r="T30" s="17">
        <v>5.666666666666667</v>
      </c>
      <c r="U30" s="17">
        <v>3</v>
      </c>
      <c r="V30" s="22">
        <v>2</v>
      </c>
      <c r="W30" s="20">
        <v>3</v>
      </c>
      <c r="X30" s="23">
        <v>4</v>
      </c>
      <c r="Y30" s="40">
        <v>2</v>
      </c>
      <c r="Z30" s="41">
        <v>1.75</v>
      </c>
      <c r="AA30" s="20">
        <v>5</v>
      </c>
      <c r="AB30" s="20">
        <v>3</v>
      </c>
      <c r="AC30" s="42">
        <v>4</v>
      </c>
      <c r="AD30" s="20">
        <v>4</v>
      </c>
      <c r="AE30" s="74">
        <f t="shared" si="3"/>
        <v>4</v>
      </c>
      <c r="AF30" s="17">
        <v>6</v>
      </c>
      <c r="AG30" s="17">
        <v>1</v>
      </c>
      <c r="AH30" s="44">
        <v>4</v>
      </c>
      <c r="AI30" s="44">
        <v>6</v>
      </c>
      <c r="AJ30" s="44">
        <v>10</v>
      </c>
      <c r="AK30" s="40">
        <v>5</v>
      </c>
      <c r="AL30" s="41">
        <v>4.75</v>
      </c>
      <c r="AM30" s="20">
        <v>5</v>
      </c>
      <c r="AN30" s="20">
        <v>3</v>
      </c>
      <c r="AO30" s="42">
        <v>4</v>
      </c>
      <c r="AP30" s="20">
        <v>3</v>
      </c>
      <c r="AQ30" s="74">
        <f>AVERAGE(AM30,AN30,AO30,AP30)</f>
        <v>3.75</v>
      </c>
      <c r="AR30" s="17">
        <v>5.0299999999999994</v>
      </c>
      <c r="AS30" s="17">
        <v>2</v>
      </c>
      <c r="AT30" s="22">
        <v>2</v>
      </c>
      <c r="AU30" s="20">
        <v>4</v>
      </c>
      <c r="AV30" s="23">
        <v>9</v>
      </c>
      <c r="AW30" s="40">
        <v>3</v>
      </c>
      <c r="AX30" s="41">
        <v>3.75</v>
      </c>
      <c r="AY30" s="20">
        <v>6</v>
      </c>
      <c r="AZ30" s="20">
        <v>3</v>
      </c>
      <c r="BA30" s="42">
        <v>4</v>
      </c>
      <c r="BB30" s="20">
        <v>3</v>
      </c>
      <c r="BC30" s="74">
        <f t="shared" si="4"/>
        <v>4</v>
      </c>
      <c r="BD30" s="77">
        <v>4.4400000000000004</v>
      </c>
      <c r="BE30" s="77">
        <v>1</v>
      </c>
      <c r="BF30" s="44">
        <v>2</v>
      </c>
      <c r="BG30" s="44">
        <v>4</v>
      </c>
      <c r="BH30" s="44">
        <v>9</v>
      </c>
      <c r="BI30" s="40">
        <v>3.6666666666666665</v>
      </c>
      <c r="BJ30" s="41">
        <v>3.25</v>
      </c>
    </row>
    <row r="31" spans="1:62" x14ac:dyDescent="0.15">
      <c r="A31" s="54">
        <v>141</v>
      </c>
      <c r="B31" s="61">
        <v>1</v>
      </c>
      <c r="C31" s="62">
        <v>1</v>
      </c>
      <c r="D31" s="20">
        <v>6</v>
      </c>
      <c r="E31" s="20">
        <v>2</v>
      </c>
      <c r="F31" s="46">
        <v>3</v>
      </c>
      <c r="G31" s="20">
        <v>3</v>
      </c>
      <c r="H31" s="74">
        <f t="shared" ref="H31:H36" si="5">AVERAGE(D31:G31)</f>
        <v>3.5</v>
      </c>
      <c r="I31" s="22">
        <v>4</v>
      </c>
      <c r="J31" s="20">
        <v>2</v>
      </c>
      <c r="K31" s="23">
        <v>1</v>
      </c>
      <c r="L31" s="20">
        <v>2</v>
      </c>
      <c r="M31" s="41">
        <v>3</v>
      </c>
      <c r="N31" s="72">
        <f t="shared" si="0"/>
        <v>3.5</v>
      </c>
      <c r="O31" s="20">
        <v>7</v>
      </c>
      <c r="P31" s="20">
        <v>2</v>
      </c>
      <c r="Q31" s="42">
        <v>4</v>
      </c>
      <c r="R31" s="20">
        <v>3</v>
      </c>
      <c r="S31" s="75">
        <f t="shared" si="1"/>
        <v>4</v>
      </c>
      <c r="T31" s="17">
        <v>3.3333333333333335</v>
      </c>
      <c r="U31" s="17">
        <v>6</v>
      </c>
      <c r="V31" s="22">
        <v>5</v>
      </c>
      <c r="W31" s="20">
        <v>3</v>
      </c>
      <c r="X31" s="23">
        <v>2</v>
      </c>
      <c r="Y31" s="40">
        <v>3.6666666666666665</v>
      </c>
      <c r="Z31" s="41">
        <v>3.75</v>
      </c>
      <c r="AA31" s="20">
        <v>5</v>
      </c>
      <c r="AB31" s="20">
        <v>1</v>
      </c>
      <c r="AC31" s="42">
        <v>4</v>
      </c>
      <c r="AD31" s="20">
        <v>2</v>
      </c>
      <c r="AE31" s="74">
        <f t="shared" si="3"/>
        <v>3</v>
      </c>
      <c r="AF31" s="17">
        <v>3</v>
      </c>
      <c r="AG31" s="17">
        <v>6</v>
      </c>
      <c r="AH31" s="44">
        <v>6</v>
      </c>
      <c r="AI31" s="44">
        <v>4</v>
      </c>
      <c r="AJ31" s="44">
        <v>0</v>
      </c>
      <c r="AK31" s="40">
        <v>3</v>
      </c>
      <c r="AL31" s="41">
        <v>3.25</v>
      </c>
      <c r="AM31" s="20">
        <v>8</v>
      </c>
      <c r="AN31" s="20">
        <v>3</v>
      </c>
      <c r="AO31" s="42">
        <v>6</v>
      </c>
      <c r="AP31" s="20">
        <v>5</v>
      </c>
      <c r="AQ31" s="74">
        <f>AVERAGE(AM31,AN31,AO31,AP31)</f>
        <v>5.5</v>
      </c>
      <c r="AR31" s="17">
        <v>5.0720000000000001</v>
      </c>
      <c r="AS31" s="17">
        <v>5</v>
      </c>
      <c r="AT31" s="22">
        <v>5</v>
      </c>
      <c r="AU31" s="20">
        <v>1</v>
      </c>
      <c r="AV31" s="23">
        <v>0</v>
      </c>
      <c r="AW31" s="40">
        <v>1.3333333333333333</v>
      </c>
      <c r="AX31" s="41">
        <v>2.75</v>
      </c>
      <c r="AY31" s="20">
        <v>6</v>
      </c>
      <c r="AZ31" s="20">
        <v>1</v>
      </c>
      <c r="BA31" s="42">
        <v>3</v>
      </c>
      <c r="BB31" s="20">
        <v>3</v>
      </c>
      <c r="BC31" s="74">
        <f t="shared" si="4"/>
        <v>3.25</v>
      </c>
      <c r="BD31" s="77">
        <v>0.8</v>
      </c>
      <c r="BE31" s="77">
        <v>5</v>
      </c>
      <c r="BF31" s="44">
        <v>3</v>
      </c>
      <c r="BG31" s="44">
        <v>1</v>
      </c>
      <c r="BH31" s="44">
        <v>0</v>
      </c>
      <c r="BI31" s="40">
        <v>1</v>
      </c>
      <c r="BJ31" s="41">
        <v>2</v>
      </c>
    </row>
    <row r="32" spans="1:62" x14ac:dyDescent="0.15">
      <c r="A32" s="52">
        <v>142</v>
      </c>
      <c r="B32" s="57">
        <v>-1</v>
      </c>
      <c r="C32" s="58">
        <v>1</v>
      </c>
      <c r="D32" s="20">
        <v>6</v>
      </c>
      <c r="E32" s="20">
        <v>3</v>
      </c>
      <c r="F32" s="42">
        <v>4</v>
      </c>
      <c r="G32" s="20">
        <v>4</v>
      </c>
      <c r="H32" s="74">
        <f t="shared" si="5"/>
        <v>4.25</v>
      </c>
      <c r="I32" s="22">
        <v>6</v>
      </c>
      <c r="J32" s="20">
        <v>6</v>
      </c>
      <c r="K32" s="23">
        <v>6</v>
      </c>
      <c r="L32" s="20">
        <v>4.333333333333333</v>
      </c>
      <c r="M32" s="41">
        <v>6</v>
      </c>
      <c r="N32" s="72">
        <f t="shared" si="0"/>
        <v>3.5</v>
      </c>
      <c r="O32" s="20">
        <v>6</v>
      </c>
      <c r="P32" s="20">
        <v>2</v>
      </c>
      <c r="Q32" s="42">
        <v>3</v>
      </c>
      <c r="R32" s="20">
        <v>2</v>
      </c>
      <c r="S32" s="75">
        <f t="shared" si="1"/>
        <v>3.25</v>
      </c>
      <c r="T32" s="17">
        <v>2.4285714285714284</v>
      </c>
      <c r="U32" s="17">
        <v>7</v>
      </c>
      <c r="V32" s="22">
        <v>5</v>
      </c>
      <c r="W32" s="20">
        <v>4</v>
      </c>
      <c r="X32" s="23">
        <v>4</v>
      </c>
      <c r="Y32" s="40">
        <v>3</v>
      </c>
      <c r="Z32" s="41">
        <v>2.5</v>
      </c>
      <c r="AA32" s="20">
        <v>4</v>
      </c>
      <c r="AB32" s="20">
        <v>2</v>
      </c>
      <c r="AC32" s="42">
        <v>4</v>
      </c>
      <c r="AD32" s="20">
        <v>3</v>
      </c>
      <c r="AE32" s="74">
        <f t="shared" si="3"/>
        <v>3.25</v>
      </c>
      <c r="AF32" s="17">
        <v>0.75</v>
      </c>
      <c r="AG32" s="17">
        <v>4</v>
      </c>
      <c r="AH32" s="44">
        <v>6</v>
      </c>
      <c r="AI32" s="44">
        <v>6</v>
      </c>
      <c r="AJ32" s="44">
        <v>4</v>
      </c>
      <c r="AK32" s="40">
        <v>4.333333333333333</v>
      </c>
      <c r="AL32" s="41">
        <v>4.5</v>
      </c>
      <c r="AM32" s="20">
        <v>3</v>
      </c>
      <c r="AN32" s="20">
        <v>1</v>
      </c>
      <c r="AO32" s="42">
        <v>2</v>
      </c>
      <c r="AP32" s="20">
        <v>2</v>
      </c>
      <c r="AQ32" s="74">
        <f>AVERAGE(AM32,AN32,AO32,AP32)</f>
        <v>2</v>
      </c>
      <c r="AR32" s="17">
        <v>0.44714285714285712</v>
      </c>
      <c r="AS32" s="17">
        <v>7</v>
      </c>
      <c r="AT32" s="22">
        <v>2</v>
      </c>
      <c r="AU32" s="20">
        <v>1</v>
      </c>
      <c r="AV32" s="23">
        <v>1</v>
      </c>
      <c r="AW32" s="40">
        <v>1.6666666666666667</v>
      </c>
      <c r="AX32" s="41">
        <v>1.75</v>
      </c>
      <c r="AY32" s="20">
        <v>4</v>
      </c>
      <c r="AZ32" s="20">
        <v>1</v>
      </c>
      <c r="BA32" s="42">
        <v>2</v>
      </c>
      <c r="BB32" s="20">
        <v>2</v>
      </c>
      <c r="BC32" s="74">
        <f t="shared" si="4"/>
        <v>2.25</v>
      </c>
      <c r="BD32" s="77">
        <v>0.93142857142857138</v>
      </c>
      <c r="BE32" s="77">
        <v>7</v>
      </c>
      <c r="BF32" s="44">
        <v>1</v>
      </c>
      <c r="BG32" s="44">
        <v>3</v>
      </c>
      <c r="BH32" s="44">
        <v>3</v>
      </c>
      <c r="BI32" s="40">
        <v>2.3333333333333335</v>
      </c>
      <c r="BJ32" s="41">
        <v>1.75</v>
      </c>
    </row>
    <row r="33" spans="1:62" ht="16" customHeight="1" x14ac:dyDescent="0.15">
      <c r="A33" s="52">
        <v>143</v>
      </c>
      <c r="B33" s="57">
        <v>1</v>
      </c>
      <c r="C33" s="58">
        <v>1</v>
      </c>
      <c r="D33" s="20">
        <v>6</v>
      </c>
      <c r="E33" s="20">
        <v>1</v>
      </c>
      <c r="F33" s="46">
        <v>2</v>
      </c>
      <c r="G33" s="20">
        <v>3</v>
      </c>
      <c r="H33" s="74">
        <f t="shared" si="5"/>
        <v>3</v>
      </c>
      <c r="I33" s="22">
        <v>7</v>
      </c>
      <c r="J33" s="20">
        <v>7</v>
      </c>
      <c r="K33" s="23">
        <v>9</v>
      </c>
      <c r="L33" s="20">
        <v>4</v>
      </c>
      <c r="M33" s="41">
        <v>4.5</v>
      </c>
      <c r="N33" s="72">
        <f t="shared" si="0"/>
        <v>2.5</v>
      </c>
      <c r="O33" s="20">
        <v>7</v>
      </c>
      <c r="P33" s="20">
        <v>0</v>
      </c>
      <c r="Q33" s="42">
        <v>3</v>
      </c>
      <c r="R33" s="20">
        <v>4</v>
      </c>
      <c r="S33" s="75">
        <f t="shared" si="1"/>
        <v>3.5</v>
      </c>
      <c r="T33" s="17">
        <v>4.5</v>
      </c>
      <c r="U33" s="17">
        <v>6</v>
      </c>
      <c r="V33" s="22">
        <v>5</v>
      </c>
      <c r="W33" s="20">
        <v>6</v>
      </c>
      <c r="X33" s="23">
        <v>7</v>
      </c>
      <c r="Y33" s="40">
        <v>4.666666666666667</v>
      </c>
      <c r="Z33" s="41">
        <v>5</v>
      </c>
      <c r="AA33" s="20">
        <v>3</v>
      </c>
      <c r="AB33" s="20">
        <v>0</v>
      </c>
      <c r="AC33" s="42">
        <v>2</v>
      </c>
      <c r="AD33" s="20">
        <v>1</v>
      </c>
      <c r="AE33" s="74">
        <f t="shared" si="3"/>
        <v>1.5</v>
      </c>
      <c r="AF33" s="17">
        <v>1.5714285714285714</v>
      </c>
      <c r="AG33" s="17">
        <v>7</v>
      </c>
      <c r="AH33" s="44">
        <v>0</v>
      </c>
      <c r="AI33" s="44">
        <v>3</v>
      </c>
      <c r="AJ33" s="44">
        <v>2</v>
      </c>
      <c r="AK33" s="40">
        <v>1.3333333333333333</v>
      </c>
      <c r="AL33" s="41">
        <v>0.75</v>
      </c>
      <c r="AM33" s="20">
        <v>5</v>
      </c>
      <c r="AN33" s="20">
        <v>0</v>
      </c>
      <c r="AO33" s="42">
        <v>3</v>
      </c>
      <c r="AP33" s="20">
        <v>1</v>
      </c>
      <c r="AQ33" s="74">
        <f>AVERAGE(AM33,AN33,AO33,AP33)</f>
        <v>2.25</v>
      </c>
      <c r="AR33" s="17">
        <v>0.86</v>
      </c>
      <c r="AS33" s="17">
        <v>7</v>
      </c>
      <c r="AT33" s="22">
        <v>1</v>
      </c>
      <c r="AU33" s="20">
        <v>2</v>
      </c>
      <c r="AV33" s="23">
        <v>2</v>
      </c>
      <c r="AW33" s="40">
        <v>1</v>
      </c>
      <c r="AX33" s="41">
        <v>1.25</v>
      </c>
      <c r="AY33" s="20">
        <v>4</v>
      </c>
      <c r="AZ33" s="20">
        <v>0</v>
      </c>
      <c r="BA33" s="42">
        <v>1</v>
      </c>
      <c r="BB33" s="20">
        <v>0</v>
      </c>
      <c r="BC33" s="74">
        <f t="shared" si="4"/>
        <v>1.25</v>
      </c>
      <c r="BD33" s="77">
        <v>0.13428571428571429</v>
      </c>
      <c r="BE33" s="77">
        <v>7</v>
      </c>
      <c r="BF33" s="44">
        <v>0</v>
      </c>
      <c r="BG33" s="44">
        <v>0</v>
      </c>
      <c r="BH33" s="44">
        <v>0</v>
      </c>
      <c r="BI33" s="40">
        <v>0</v>
      </c>
      <c r="BJ33" s="41">
        <v>0</v>
      </c>
    </row>
    <row r="34" spans="1:62" ht="17" x14ac:dyDescent="0.15">
      <c r="A34" s="37">
        <v>144</v>
      </c>
      <c r="B34" s="59">
        <v>1</v>
      </c>
      <c r="C34" s="60">
        <v>0</v>
      </c>
      <c r="D34" s="20">
        <v>7</v>
      </c>
      <c r="E34" s="20">
        <v>4</v>
      </c>
      <c r="F34" s="42">
        <v>5</v>
      </c>
      <c r="G34" s="20">
        <v>5</v>
      </c>
      <c r="H34" s="74">
        <f t="shared" si="5"/>
        <v>5.25</v>
      </c>
      <c r="I34" s="22">
        <v>6</v>
      </c>
      <c r="J34" s="20">
        <v>6</v>
      </c>
      <c r="K34" s="23">
        <v>8</v>
      </c>
      <c r="L34" s="20">
        <v>5.666666666666667</v>
      </c>
      <c r="M34" s="41">
        <v>4</v>
      </c>
      <c r="N34" s="72">
        <f t="shared" ref="N34:N62" si="6">AVERAGE(F34,Q34)</f>
        <v>4.5</v>
      </c>
      <c r="O34" s="20">
        <v>5</v>
      </c>
      <c r="P34" s="20">
        <v>2</v>
      </c>
      <c r="Q34" s="42">
        <v>4</v>
      </c>
      <c r="R34" s="20">
        <v>4</v>
      </c>
      <c r="S34" s="75">
        <f t="shared" ref="S34:S62" si="7">AVERAGE(O34,P34,Q34,R34)</f>
        <v>3.75</v>
      </c>
      <c r="T34" s="17">
        <v>4</v>
      </c>
      <c r="U34" s="17">
        <v>6</v>
      </c>
      <c r="V34" s="22">
        <v>6</v>
      </c>
      <c r="W34" s="20">
        <v>5</v>
      </c>
      <c r="X34" s="23">
        <v>4</v>
      </c>
      <c r="Y34" s="40">
        <v>4.333333333333333</v>
      </c>
      <c r="Z34" s="41">
        <v>3</v>
      </c>
      <c r="AA34" s="20">
        <v>6</v>
      </c>
      <c r="AB34" s="20">
        <v>2</v>
      </c>
      <c r="AC34" s="42">
        <v>3</v>
      </c>
      <c r="AD34" s="20">
        <v>6</v>
      </c>
      <c r="AE34" s="74">
        <f t="shared" si="3"/>
        <v>4.25</v>
      </c>
      <c r="AF34" s="17">
        <v>2.7280000000000002</v>
      </c>
      <c r="AG34" s="17">
        <v>5</v>
      </c>
      <c r="AH34" s="44">
        <v>0</v>
      </c>
      <c r="AI34" s="44">
        <v>3</v>
      </c>
      <c r="AJ34" s="44">
        <v>3</v>
      </c>
      <c r="AK34" s="40">
        <v>1.6666666666666667</v>
      </c>
      <c r="AL34" s="41">
        <v>1.25</v>
      </c>
      <c r="AM34" s="17" t="s">
        <v>155</v>
      </c>
      <c r="AN34" s="17" t="s">
        <v>155</v>
      </c>
      <c r="AO34" s="30" t="s">
        <v>155</v>
      </c>
      <c r="AP34" s="17" t="s">
        <v>155</v>
      </c>
      <c r="AQ34" s="74" t="s">
        <v>155</v>
      </c>
      <c r="AR34" s="86" t="s">
        <v>155</v>
      </c>
      <c r="AS34" s="86">
        <v>0</v>
      </c>
      <c r="AT34" s="22" t="s">
        <v>155</v>
      </c>
      <c r="AU34" s="20" t="s">
        <v>155</v>
      </c>
      <c r="AV34" s="23" t="s">
        <v>155</v>
      </c>
      <c r="AW34" s="40" t="s">
        <v>155</v>
      </c>
      <c r="AX34" s="41" t="s">
        <v>155</v>
      </c>
      <c r="AY34" s="20" t="s">
        <v>155</v>
      </c>
      <c r="AZ34" s="20" t="s">
        <v>155</v>
      </c>
      <c r="BA34" s="42" t="s">
        <v>155</v>
      </c>
      <c r="BB34" s="20" t="s">
        <v>155</v>
      </c>
      <c r="BC34" s="74" t="s">
        <v>155</v>
      </c>
      <c r="BD34" s="77" t="s">
        <v>155</v>
      </c>
      <c r="BE34" s="77">
        <v>0</v>
      </c>
      <c r="BF34" s="44" t="s">
        <v>155</v>
      </c>
      <c r="BG34" s="44" t="s">
        <v>155</v>
      </c>
      <c r="BH34" s="44" t="s">
        <v>155</v>
      </c>
      <c r="BI34" s="40" t="s">
        <v>155</v>
      </c>
      <c r="BJ34" s="41" t="s">
        <v>155</v>
      </c>
    </row>
    <row r="35" spans="1:62" x14ac:dyDescent="0.15">
      <c r="A35" s="52">
        <v>145</v>
      </c>
      <c r="B35" s="57">
        <v>-1</v>
      </c>
      <c r="C35" s="58">
        <v>1</v>
      </c>
      <c r="D35" s="20">
        <v>7</v>
      </c>
      <c r="E35" s="20">
        <v>3</v>
      </c>
      <c r="F35" s="42">
        <v>5</v>
      </c>
      <c r="G35" s="20">
        <v>4</v>
      </c>
      <c r="H35" s="74">
        <f t="shared" si="5"/>
        <v>4.75</v>
      </c>
      <c r="I35" s="22">
        <v>1</v>
      </c>
      <c r="J35" s="20">
        <v>3</v>
      </c>
      <c r="K35" s="23">
        <v>3</v>
      </c>
      <c r="L35" s="20">
        <v>2.3333333333333335</v>
      </c>
      <c r="M35" s="41">
        <v>2</v>
      </c>
      <c r="N35" s="72">
        <f t="shared" si="6"/>
        <v>5</v>
      </c>
      <c r="O35" s="20">
        <v>7</v>
      </c>
      <c r="P35" s="20">
        <v>3</v>
      </c>
      <c r="Q35" s="42">
        <v>5</v>
      </c>
      <c r="R35" s="20">
        <v>3</v>
      </c>
      <c r="S35" s="75">
        <f t="shared" si="7"/>
        <v>4.5</v>
      </c>
      <c r="T35" s="17">
        <v>2.6666666666666665</v>
      </c>
      <c r="U35" s="17">
        <v>6</v>
      </c>
      <c r="V35" s="22">
        <v>2</v>
      </c>
      <c r="W35" s="20">
        <v>4</v>
      </c>
      <c r="X35" s="23">
        <v>4</v>
      </c>
      <c r="Y35" s="40">
        <v>2.3333333333333335</v>
      </c>
      <c r="Z35" s="41">
        <v>2.75</v>
      </c>
      <c r="AA35" s="20">
        <v>3</v>
      </c>
      <c r="AB35" s="20">
        <v>2</v>
      </c>
      <c r="AC35" s="42">
        <v>4</v>
      </c>
      <c r="AD35" s="20">
        <v>3</v>
      </c>
      <c r="AE35" s="74">
        <f t="shared" si="3"/>
        <v>3</v>
      </c>
      <c r="AF35" s="17">
        <v>1.1816666666666666</v>
      </c>
      <c r="AG35" s="17">
        <v>6</v>
      </c>
      <c r="AH35" s="44">
        <v>3</v>
      </c>
      <c r="AI35" s="44">
        <v>3</v>
      </c>
      <c r="AJ35" s="44">
        <v>5</v>
      </c>
      <c r="AK35" s="40">
        <v>2.3333333333333335</v>
      </c>
      <c r="AL35" s="41">
        <v>4.25</v>
      </c>
      <c r="AM35" s="20">
        <v>4</v>
      </c>
      <c r="AN35" s="20">
        <v>2</v>
      </c>
      <c r="AO35" s="42">
        <v>3</v>
      </c>
      <c r="AP35" s="20">
        <v>3</v>
      </c>
      <c r="AQ35" s="74">
        <f>AVERAGE(AM35,AN35,AO35,AP35)</f>
        <v>3</v>
      </c>
      <c r="AR35" s="17">
        <v>1.0775000000000001</v>
      </c>
      <c r="AS35" s="17">
        <v>4</v>
      </c>
      <c r="AT35" s="22">
        <v>1</v>
      </c>
      <c r="AU35" s="20">
        <v>2</v>
      </c>
      <c r="AV35" s="23">
        <v>2</v>
      </c>
      <c r="AW35" s="40">
        <v>1</v>
      </c>
      <c r="AX35" s="41">
        <v>1.5</v>
      </c>
      <c r="AY35" s="20">
        <v>4</v>
      </c>
      <c r="AZ35" s="20">
        <v>2</v>
      </c>
      <c r="BA35" s="42">
        <v>3</v>
      </c>
      <c r="BB35" s="20">
        <v>3</v>
      </c>
      <c r="BC35" s="74">
        <f t="shared" ref="BC35:BC62" si="8">AVERAGE(AY35:BB35)</f>
        <v>3</v>
      </c>
      <c r="BD35" s="77">
        <v>2.7483333333333331</v>
      </c>
      <c r="BE35" s="77">
        <v>6</v>
      </c>
      <c r="BF35" s="44">
        <v>1</v>
      </c>
      <c r="BG35" s="44">
        <v>1</v>
      </c>
      <c r="BH35" s="44">
        <v>3</v>
      </c>
      <c r="BI35" s="40">
        <v>0.66666666666666663</v>
      </c>
      <c r="BJ35" s="41">
        <v>1.5</v>
      </c>
    </row>
    <row r="36" spans="1:62" x14ac:dyDescent="0.15">
      <c r="A36" s="52">
        <v>146</v>
      </c>
      <c r="B36" s="57">
        <v>1</v>
      </c>
      <c r="C36" s="58">
        <v>1</v>
      </c>
      <c r="D36" s="20">
        <v>7</v>
      </c>
      <c r="E36" s="20">
        <v>1</v>
      </c>
      <c r="F36" s="42">
        <v>3</v>
      </c>
      <c r="G36" s="20">
        <v>7</v>
      </c>
      <c r="H36" s="74">
        <f t="shared" si="5"/>
        <v>4.5</v>
      </c>
      <c r="I36" s="22">
        <v>5</v>
      </c>
      <c r="J36" s="20">
        <v>5</v>
      </c>
      <c r="K36" s="23">
        <v>6</v>
      </c>
      <c r="L36" s="20">
        <v>3.3333333333333335</v>
      </c>
      <c r="M36" s="41">
        <v>5.25</v>
      </c>
      <c r="N36" s="72">
        <f t="shared" si="6"/>
        <v>4</v>
      </c>
      <c r="O36" s="20">
        <v>8</v>
      </c>
      <c r="P36" s="20">
        <v>0</v>
      </c>
      <c r="Q36" s="42">
        <v>5</v>
      </c>
      <c r="R36" s="20">
        <v>6</v>
      </c>
      <c r="S36" s="75">
        <f t="shared" si="7"/>
        <v>4.75</v>
      </c>
      <c r="T36" s="17">
        <v>4.1428571428571432</v>
      </c>
      <c r="U36" s="17">
        <v>7</v>
      </c>
      <c r="V36" s="22">
        <v>8</v>
      </c>
      <c r="W36" s="20">
        <v>5</v>
      </c>
      <c r="X36" s="23">
        <v>7</v>
      </c>
      <c r="Y36" s="40">
        <v>5</v>
      </c>
      <c r="Z36" s="41">
        <v>7</v>
      </c>
      <c r="AA36" s="20">
        <v>6</v>
      </c>
      <c r="AB36" s="20">
        <v>1</v>
      </c>
      <c r="AC36" s="42">
        <v>5</v>
      </c>
      <c r="AD36" s="20">
        <v>6</v>
      </c>
      <c r="AE36" s="74">
        <f t="shared" si="3"/>
        <v>4.5</v>
      </c>
      <c r="AF36" s="17">
        <v>3.1428571428571428</v>
      </c>
      <c r="AG36" s="17">
        <v>7</v>
      </c>
      <c r="AH36" s="44">
        <v>2</v>
      </c>
      <c r="AI36" s="44">
        <v>2</v>
      </c>
      <c r="AJ36" s="44">
        <v>4</v>
      </c>
      <c r="AK36" s="40">
        <v>1</v>
      </c>
      <c r="AL36" s="41">
        <v>3.25</v>
      </c>
      <c r="AM36" s="20">
        <v>8</v>
      </c>
      <c r="AN36" s="20">
        <v>0</v>
      </c>
      <c r="AO36" s="42">
        <v>5</v>
      </c>
      <c r="AP36" s="20">
        <v>6</v>
      </c>
      <c r="AQ36" s="74">
        <f>AVERAGE(AM36,AN36,AO36,AP36)</f>
        <v>4.75</v>
      </c>
      <c r="AR36" s="17">
        <v>4.3733333333333331</v>
      </c>
      <c r="AS36" s="17">
        <v>6</v>
      </c>
      <c r="AT36" s="22">
        <v>3</v>
      </c>
      <c r="AU36" s="20">
        <v>3</v>
      </c>
      <c r="AV36" s="23">
        <v>5</v>
      </c>
      <c r="AW36" s="40">
        <v>2.3333333333333335</v>
      </c>
      <c r="AX36" s="41">
        <v>4</v>
      </c>
      <c r="AY36" s="20">
        <v>8</v>
      </c>
      <c r="AZ36" s="20">
        <v>0</v>
      </c>
      <c r="BA36" s="42">
        <v>5</v>
      </c>
      <c r="BB36" s="20">
        <v>7</v>
      </c>
      <c r="BC36" s="74">
        <f t="shared" si="8"/>
        <v>5</v>
      </c>
      <c r="BD36" s="77">
        <v>5.8666666666666671</v>
      </c>
      <c r="BE36" s="77">
        <v>6</v>
      </c>
      <c r="BF36" s="44">
        <v>2</v>
      </c>
      <c r="BG36" s="44">
        <v>3</v>
      </c>
      <c r="BH36" s="44">
        <v>4</v>
      </c>
      <c r="BI36" s="40">
        <v>1.6666666666666667</v>
      </c>
      <c r="BJ36" s="41">
        <v>2.75</v>
      </c>
    </row>
    <row r="37" spans="1:62" x14ac:dyDescent="0.15">
      <c r="A37" s="52">
        <v>148</v>
      </c>
      <c r="B37" s="57">
        <v>-1</v>
      </c>
      <c r="C37" s="58">
        <v>1</v>
      </c>
      <c r="D37" s="20" t="s">
        <v>155</v>
      </c>
      <c r="E37" s="20" t="s">
        <v>155</v>
      </c>
      <c r="F37" s="42" t="s">
        <v>155</v>
      </c>
      <c r="G37" s="20" t="s">
        <v>155</v>
      </c>
      <c r="H37" s="74" t="s">
        <v>155</v>
      </c>
      <c r="I37" s="22" t="s">
        <v>155</v>
      </c>
      <c r="J37" s="20" t="s">
        <v>155</v>
      </c>
      <c r="K37" s="23" t="s">
        <v>155</v>
      </c>
      <c r="L37" s="20" t="s">
        <v>155</v>
      </c>
      <c r="M37" s="41" t="s">
        <v>155</v>
      </c>
      <c r="N37" s="72">
        <f t="shared" si="6"/>
        <v>4</v>
      </c>
      <c r="O37" s="20">
        <v>4</v>
      </c>
      <c r="P37" s="20">
        <v>2</v>
      </c>
      <c r="Q37" s="42">
        <v>4</v>
      </c>
      <c r="R37" s="20">
        <v>3</v>
      </c>
      <c r="S37" s="75">
        <f t="shared" si="7"/>
        <v>3.25</v>
      </c>
      <c r="T37" s="17">
        <v>5.5</v>
      </c>
      <c r="U37" s="17">
        <v>2</v>
      </c>
      <c r="V37" s="22">
        <v>1</v>
      </c>
      <c r="W37" s="20">
        <v>2</v>
      </c>
      <c r="X37" s="23">
        <v>3</v>
      </c>
      <c r="Y37" s="40">
        <v>2.3333333333333335</v>
      </c>
      <c r="Z37" s="41">
        <v>1.75</v>
      </c>
      <c r="AA37" s="20">
        <v>5</v>
      </c>
      <c r="AB37" s="20">
        <v>0</v>
      </c>
      <c r="AC37" s="42">
        <v>3</v>
      </c>
      <c r="AD37" s="20">
        <v>2</v>
      </c>
      <c r="AE37" s="74">
        <f t="shared" ref="AE37:AE62" si="9">AVERAGE(AA37:AD37)</f>
        <v>2.5</v>
      </c>
      <c r="AF37" s="17">
        <v>0.83333333333333337</v>
      </c>
      <c r="AG37" s="17">
        <v>6</v>
      </c>
      <c r="AH37" s="44">
        <v>4</v>
      </c>
      <c r="AI37" s="44">
        <v>7</v>
      </c>
      <c r="AJ37" s="44">
        <v>7</v>
      </c>
      <c r="AK37" s="40">
        <v>6.333333333333333</v>
      </c>
      <c r="AL37" s="41">
        <v>4</v>
      </c>
      <c r="AM37" s="20">
        <v>6</v>
      </c>
      <c r="AN37" s="20">
        <v>0</v>
      </c>
      <c r="AO37" s="42">
        <v>6</v>
      </c>
      <c r="AP37" s="20">
        <v>6</v>
      </c>
      <c r="AQ37" s="74">
        <f>AVERAGE(AM37,AN37,AO37,AP37)</f>
        <v>4.5</v>
      </c>
      <c r="AR37" s="17">
        <v>2.4</v>
      </c>
      <c r="AS37" s="17">
        <v>5</v>
      </c>
      <c r="AT37" s="22">
        <v>3</v>
      </c>
      <c r="AU37" s="20">
        <v>7</v>
      </c>
      <c r="AV37" s="23">
        <v>7</v>
      </c>
      <c r="AW37" s="40">
        <v>6.666666666666667</v>
      </c>
      <c r="AX37" s="41">
        <v>4.75</v>
      </c>
      <c r="AY37" s="20">
        <v>5</v>
      </c>
      <c r="AZ37" s="20">
        <v>2</v>
      </c>
      <c r="BA37" s="42">
        <v>4</v>
      </c>
      <c r="BB37" s="20">
        <v>3</v>
      </c>
      <c r="BC37" s="74">
        <f t="shared" si="8"/>
        <v>3.5</v>
      </c>
      <c r="BD37" s="77">
        <v>1.6916666666666667</v>
      </c>
      <c r="BE37" s="77">
        <v>6</v>
      </c>
      <c r="BF37" s="44">
        <v>4</v>
      </c>
      <c r="BG37" s="44">
        <v>5</v>
      </c>
      <c r="BH37" s="44">
        <v>7</v>
      </c>
      <c r="BI37" s="40">
        <v>5</v>
      </c>
      <c r="BJ37" s="41">
        <v>4</v>
      </c>
    </row>
    <row r="38" spans="1:62" x14ac:dyDescent="0.15">
      <c r="A38" s="52">
        <v>150</v>
      </c>
      <c r="B38" s="57">
        <v>1</v>
      </c>
      <c r="C38" s="58">
        <v>1</v>
      </c>
      <c r="D38" s="20">
        <v>7</v>
      </c>
      <c r="E38" s="20">
        <v>2</v>
      </c>
      <c r="F38" s="46">
        <v>3</v>
      </c>
      <c r="G38" s="20">
        <v>5</v>
      </c>
      <c r="H38" s="74">
        <f t="shared" ref="H38:H44" si="10">AVERAGE(D38:G38)</f>
        <v>4.25</v>
      </c>
      <c r="I38" s="22">
        <v>3</v>
      </c>
      <c r="J38" s="20">
        <v>4</v>
      </c>
      <c r="K38" s="23">
        <v>3</v>
      </c>
      <c r="L38" s="20">
        <v>1.6666666666666667</v>
      </c>
      <c r="M38" s="41">
        <v>2.25</v>
      </c>
      <c r="N38" s="72">
        <f t="shared" si="6"/>
        <v>3</v>
      </c>
      <c r="O38" s="20">
        <v>7</v>
      </c>
      <c r="P38" s="20">
        <v>0</v>
      </c>
      <c r="Q38" s="42">
        <v>3</v>
      </c>
      <c r="R38" s="20">
        <v>3</v>
      </c>
      <c r="S38" s="75">
        <f t="shared" si="7"/>
        <v>3.25</v>
      </c>
      <c r="T38" s="17">
        <v>1.1428571428571428</v>
      </c>
      <c r="U38" s="17">
        <v>7</v>
      </c>
      <c r="V38" s="22">
        <v>1</v>
      </c>
      <c r="W38" s="20">
        <v>2</v>
      </c>
      <c r="X38" s="23">
        <v>3</v>
      </c>
      <c r="Y38" s="40">
        <v>1.3333333333333333</v>
      </c>
      <c r="Z38" s="41">
        <v>1</v>
      </c>
      <c r="AA38" s="20">
        <v>5</v>
      </c>
      <c r="AB38" s="20">
        <v>3</v>
      </c>
      <c r="AC38" s="42">
        <v>3</v>
      </c>
      <c r="AD38" s="20">
        <v>4</v>
      </c>
      <c r="AE38" s="74">
        <f t="shared" si="9"/>
        <v>3.75</v>
      </c>
      <c r="AF38" s="17">
        <v>1.2449999999999999</v>
      </c>
      <c r="AG38" s="17">
        <v>6</v>
      </c>
      <c r="AH38" s="44">
        <v>2</v>
      </c>
      <c r="AI38" s="44">
        <v>4</v>
      </c>
      <c r="AJ38" s="44">
        <v>6</v>
      </c>
      <c r="AK38" s="40">
        <v>3.3333333333333335</v>
      </c>
      <c r="AL38" s="41">
        <v>2.25</v>
      </c>
      <c r="AM38" s="20">
        <v>7</v>
      </c>
      <c r="AN38" s="20">
        <v>1</v>
      </c>
      <c r="AO38" s="42">
        <v>3</v>
      </c>
      <c r="AP38" s="20">
        <v>4</v>
      </c>
      <c r="AQ38" s="74">
        <f>AVERAGE(AM38,AN38,AO38,AP38)</f>
        <v>3.75</v>
      </c>
      <c r="AR38" s="17">
        <v>1.7614285714285713</v>
      </c>
      <c r="AS38" s="17">
        <v>7</v>
      </c>
      <c r="AT38" s="22">
        <v>0</v>
      </c>
      <c r="AU38" s="20">
        <v>4</v>
      </c>
      <c r="AV38" s="23">
        <v>5</v>
      </c>
      <c r="AW38" s="40">
        <v>1.6666666666666667</v>
      </c>
      <c r="AX38" s="41">
        <v>1.25</v>
      </c>
      <c r="AY38" s="20">
        <v>7</v>
      </c>
      <c r="AZ38" s="20">
        <v>1</v>
      </c>
      <c r="BA38" s="42">
        <v>3</v>
      </c>
      <c r="BB38" s="20">
        <v>3</v>
      </c>
      <c r="BC38" s="74">
        <f t="shared" si="8"/>
        <v>3.5</v>
      </c>
      <c r="BD38" s="77">
        <v>1.35</v>
      </c>
      <c r="BE38" s="77">
        <v>7</v>
      </c>
      <c r="BF38" s="44">
        <v>2</v>
      </c>
      <c r="BG38" s="44">
        <v>4</v>
      </c>
      <c r="BH38" s="44">
        <v>7</v>
      </c>
      <c r="BI38" s="40">
        <v>3</v>
      </c>
      <c r="BJ38" s="41">
        <v>2.75</v>
      </c>
    </row>
    <row r="39" spans="1:62" x14ac:dyDescent="0.15">
      <c r="A39" s="36">
        <v>152</v>
      </c>
      <c r="B39" s="57">
        <v>-1</v>
      </c>
      <c r="C39" s="58">
        <v>1</v>
      </c>
      <c r="D39" s="20">
        <v>4</v>
      </c>
      <c r="E39" s="20">
        <v>1</v>
      </c>
      <c r="F39" s="46">
        <v>2</v>
      </c>
      <c r="G39" s="20">
        <v>2</v>
      </c>
      <c r="H39" s="74">
        <f t="shared" si="10"/>
        <v>2.25</v>
      </c>
      <c r="I39" s="22">
        <v>0</v>
      </c>
      <c r="J39" s="20">
        <v>3</v>
      </c>
      <c r="K39" s="23">
        <v>2</v>
      </c>
      <c r="L39" s="20">
        <v>2</v>
      </c>
      <c r="M39" s="41">
        <v>0.5</v>
      </c>
      <c r="N39" s="72">
        <f t="shared" si="6"/>
        <v>1.5</v>
      </c>
      <c r="O39" s="17">
        <v>2</v>
      </c>
      <c r="P39" s="17">
        <v>1</v>
      </c>
      <c r="Q39" s="30">
        <v>1</v>
      </c>
      <c r="R39" s="17">
        <v>0</v>
      </c>
      <c r="S39" s="75">
        <f t="shared" si="7"/>
        <v>1</v>
      </c>
      <c r="T39" s="17">
        <v>2</v>
      </c>
      <c r="U39" s="17">
        <v>6</v>
      </c>
      <c r="V39" s="22" t="s">
        <v>155</v>
      </c>
      <c r="W39" s="20" t="s">
        <v>155</v>
      </c>
      <c r="X39" s="23" t="s">
        <v>155</v>
      </c>
      <c r="Y39" s="40" t="s">
        <v>155</v>
      </c>
      <c r="Z39" s="41" t="s">
        <v>155</v>
      </c>
      <c r="AA39" s="20">
        <v>3</v>
      </c>
      <c r="AB39" s="20">
        <v>0</v>
      </c>
      <c r="AC39" s="42">
        <v>1</v>
      </c>
      <c r="AD39" s="20">
        <v>1</v>
      </c>
      <c r="AE39" s="74">
        <f t="shared" si="9"/>
        <v>1.25</v>
      </c>
      <c r="AF39" s="17">
        <v>0.6</v>
      </c>
      <c r="AG39" s="17">
        <v>5</v>
      </c>
      <c r="AH39" s="44">
        <v>0</v>
      </c>
      <c r="AI39" s="44">
        <v>3</v>
      </c>
      <c r="AJ39" s="44">
        <v>2</v>
      </c>
      <c r="AK39" s="40">
        <v>3</v>
      </c>
      <c r="AL39" s="41">
        <v>0.5</v>
      </c>
      <c r="AM39" s="20">
        <v>1</v>
      </c>
      <c r="AN39" s="20">
        <v>0</v>
      </c>
      <c r="AO39" s="42">
        <v>0</v>
      </c>
      <c r="AP39" s="20">
        <v>0</v>
      </c>
      <c r="AQ39" s="74">
        <f>AVERAGE(AM39,AN39,AO39,AP39)</f>
        <v>0.25</v>
      </c>
      <c r="AR39" s="31">
        <v>0</v>
      </c>
      <c r="AS39" s="17">
        <v>6</v>
      </c>
      <c r="AT39" s="22">
        <v>0</v>
      </c>
      <c r="AU39" s="20">
        <v>0</v>
      </c>
      <c r="AV39" s="23">
        <v>0</v>
      </c>
      <c r="AW39" s="40">
        <v>0</v>
      </c>
      <c r="AX39" s="41">
        <v>0</v>
      </c>
      <c r="AY39" s="20">
        <v>1</v>
      </c>
      <c r="AZ39" s="20">
        <v>0</v>
      </c>
      <c r="BA39" s="42">
        <v>0</v>
      </c>
      <c r="BB39" s="20">
        <v>0</v>
      </c>
      <c r="BC39" s="74">
        <f t="shared" si="8"/>
        <v>0.25</v>
      </c>
      <c r="BD39" s="77" t="s">
        <v>155</v>
      </c>
      <c r="BE39" s="77">
        <v>0</v>
      </c>
      <c r="BF39" s="44">
        <v>0</v>
      </c>
      <c r="BG39" s="44">
        <v>0</v>
      </c>
      <c r="BH39" s="44">
        <v>0</v>
      </c>
      <c r="BI39" s="40">
        <v>0</v>
      </c>
      <c r="BJ39" s="41">
        <v>0</v>
      </c>
    </row>
    <row r="40" spans="1:62" ht="14" customHeight="1" x14ac:dyDescent="0.15">
      <c r="A40" s="52">
        <v>155</v>
      </c>
      <c r="B40" s="57">
        <v>1</v>
      </c>
      <c r="C40" s="58">
        <v>1</v>
      </c>
      <c r="D40" s="20">
        <v>7</v>
      </c>
      <c r="E40" s="20">
        <v>0</v>
      </c>
      <c r="F40" s="42">
        <v>4</v>
      </c>
      <c r="G40" s="20">
        <v>3</v>
      </c>
      <c r="H40" s="74">
        <f t="shared" si="10"/>
        <v>3.5</v>
      </c>
      <c r="I40" s="22">
        <v>1</v>
      </c>
      <c r="J40" s="20">
        <v>2</v>
      </c>
      <c r="K40" s="23">
        <v>1</v>
      </c>
      <c r="L40" s="20">
        <v>1.3333333333333333</v>
      </c>
      <c r="M40" s="41">
        <v>1.25</v>
      </c>
      <c r="N40" s="72">
        <f t="shared" si="6"/>
        <v>3</v>
      </c>
      <c r="O40" s="20">
        <v>4</v>
      </c>
      <c r="P40" s="20">
        <v>1</v>
      </c>
      <c r="Q40" s="42">
        <v>2</v>
      </c>
      <c r="R40" s="20">
        <v>2</v>
      </c>
      <c r="S40" s="75">
        <f t="shared" si="7"/>
        <v>2.25</v>
      </c>
      <c r="T40" s="17">
        <v>1.5714285714285714</v>
      </c>
      <c r="U40" s="17">
        <v>7</v>
      </c>
      <c r="V40" s="22">
        <v>1</v>
      </c>
      <c r="W40" s="20">
        <v>2</v>
      </c>
      <c r="X40" s="23">
        <v>2</v>
      </c>
      <c r="Y40" s="40">
        <v>1.3333333333333333</v>
      </c>
      <c r="Z40" s="41">
        <v>1.25</v>
      </c>
      <c r="AA40" s="20">
        <v>3</v>
      </c>
      <c r="AB40" s="20">
        <v>0</v>
      </c>
      <c r="AC40" s="42">
        <v>2</v>
      </c>
      <c r="AD40" s="20">
        <v>2</v>
      </c>
      <c r="AE40" s="74">
        <f t="shared" si="9"/>
        <v>1.75</v>
      </c>
      <c r="AF40" s="17">
        <v>1.6314285714285717</v>
      </c>
      <c r="AG40" s="17">
        <v>7</v>
      </c>
      <c r="AH40" s="44">
        <v>0</v>
      </c>
      <c r="AI40" s="44">
        <v>1</v>
      </c>
      <c r="AJ40" s="44">
        <v>1</v>
      </c>
      <c r="AK40" s="40">
        <v>0.66666666666666663</v>
      </c>
      <c r="AL40" s="41">
        <v>0.25</v>
      </c>
      <c r="AM40" s="20">
        <v>2</v>
      </c>
      <c r="AN40" s="20">
        <v>0</v>
      </c>
      <c r="AO40" s="42">
        <v>1</v>
      </c>
      <c r="AP40" s="20">
        <v>1</v>
      </c>
      <c r="AQ40" s="74">
        <f>AVERAGE(AM40,AN40,AO40,AP40)</f>
        <v>1</v>
      </c>
      <c r="AR40" s="17">
        <v>2.6074999999999999</v>
      </c>
      <c r="AS40" s="17">
        <v>4</v>
      </c>
      <c r="AT40" s="22">
        <v>0</v>
      </c>
      <c r="AU40" s="20">
        <v>1</v>
      </c>
      <c r="AV40" s="23">
        <v>1</v>
      </c>
      <c r="AW40" s="40">
        <v>0.66666666666666663</v>
      </c>
      <c r="AX40" s="41">
        <v>0.5</v>
      </c>
      <c r="AY40" s="20">
        <v>3</v>
      </c>
      <c r="AZ40" s="20">
        <v>0</v>
      </c>
      <c r="BA40" s="42">
        <v>1</v>
      </c>
      <c r="BB40" s="20">
        <v>1</v>
      </c>
      <c r="BC40" s="74">
        <f t="shared" si="8"/>
        <v>1.25</v>
      </c>
      <c r="BD40" s="77">
        <v>2.0728571428571425</v>
      </c>
      <c r="BE40" s="77">
        <v>7</v>
      </c>
      <c r="BF40" s="44">
        <v>0</v>
      </c>
      <c r="BG40" s="44">
        <v>1</v>
      </c>
      <c r="BH40" s="44">
        <v>1</v>
      </c>
      <c r="BI40" s="40">
        <v>0.33333333333333331</v>
      </c>
      <c r="BJ40" s="41">
        <v>0.25</v>
      </c>
    </row>
    <row r="41" spans="1:62" ht="15" customHeight="1" x14ac:dyDescent="0.15">
      <c r="A41" s="52">
        <v>156</v>
      </c>
      <c r="B41" s="57">
        <v>-1</v>
      </c>
      <c r="C41" s="58">
        <v>1</v>
      </c>
      <c r="D41" s="20">
        <v>5</v>
      </c>
      <c r="E41" s="20">
        <v>1</v>
      </c>
      <c r="F41" s="42">
        <v>4</v>
      </c>
      <c r="G41" s="20">
        <v>2</v>
      </c>
      <c r="H41" s="74">
        <f t="shared" si="10"/>
        <v>3</v>
      </c>
      <c r="I41" s="22">
        <v>2</v>
      </c>
      <c r="J41" s="20">
        <v>5</v>
      </c>
      <c r="K41" s="23">
        <v>4</v>
      </c>
      <c r="L41" s="20">
        <v>5.666666666666667</v>
      </c>
      <c r="M41" s="41">
        <v>3.25</v>
      </c>
      <c r="N41" s="72">
        <f t="shared" si="6"/>
        <v>4.5</v>
      </c>
      <c r="O41" s="20">
        <v>8</v>
      </c>
      <c r="P41" s="20">
        <v>2</v>
      </c>
      <c r="Q41" s="42">
        <v>5</v>
      </c>
      <c r="R41" s="20">
        <v>3</v>
      </c>
      <c r="S41" s="75">
        <f t="shared" si="7"/>
        <v>4.5</v>
      </c>
      <c r="T41" s="17">
        <v>5.2</v>
      </c>
      <c r="U41" s="17">
        <v>5</v>
      </c>
      <c r="V41" s="22">
        <v>6</v>
      </c>
      <c r="W41" s="20">
        <v>4</v>
      </c>
      <c r="X41" s="23">
        <v>5</v>
      </c>
      <c r="Y41" s="40">
        <v>5</v>
      </c>
      <c r="Z41" s="41">
        <v>4.25</v>
      </c>
      <c r="AA41" s="20">
        <v>5</v>
      </c>
      <c r="AB41" s="20">
        <v>1</v>
      </c>
      <c r="AC41" s="42">
        <v>3</v>
      </c>
      <c r="AD41" s="20">
        <v>2</v>
      </c>
      <c r="AE41" s="74">
        <f t="shared" si="9"/>
        <v>2.75</v>
      </c>
      <c r="AF41" s="17">
        <v>1.9185714285714286</v>
      </c>
      <c r="AG41" s="17">
        <v>7</v>
      </c>
      <c r="AH41" s="44">
        <v>2</v>
      </c>
      <c r="AI41" s="44">
        <v>4</v>
      </c>
      <c r="AJ41" s="44">
        <v>4</v>
      </c>
      <c r="AK41" s="40">
        <v>3.6666666666666665</v>
      </c>
      <c r="AL41" s="41">
        <v>2.75</v>
      </c>
      <c r="AM41" s="20">
        <v>9</v>
      </c>
      <c r="AN41" s="20">
        <v>1</v>
      </c>
      <c r="AO41" s="42">
        <v>5</v>
      </c>
      <c r="AP41" s="20">
        <v>3</v>
      </c>
      <c r="AQ41" s="74">
        <f>AVERAGE(AM41,AN41,AO41,AP41)</f>
        <v>4.5</v>
      </c>
      <c r="AR41" s="17">
        <v>3.7640000000000002</v>
      </c>
      <c r="AS41" s="17">
        <v>5</v>
      </c>
      <c r="AT41" s="22">
        <v>2</v>
      </c>
      <c r="AU41" s="20">
        <v>5</v>
      </c>
      <c r="AV41" s="23">
        <v>5</v>
      </c>
      <c r="AW41" s="40">
        <v>3.6666666666666665</v>
      </c>
      <c r="AX41" s="41">
        <v>2.25</v>
      </c>
      <c r="AY41" s="20">
        <v>5</v>
      </c>
      <c r="AZ41" s="20">
        <v>1</v>
      </c>
      <c r="BA41" s="42">
        <v>2</v>
      </c>
      <c r="BB41" s="20">
        <v>2</v>
      </c>
      <c r="BC41" s="74">
        <f t="shared" si="8"/>
        <v>2.5</v>
      </c>
      <c r="BD41" s="77">
        <v>0.51200000000000001</v>
      </c>
      <c r="BE41" s="77">
        <v>5</v>
      </c>
      <c r="BF41" s="44">
        <v>0</v>
      </c>
      <c r="BG41" s="44">
        <v>3</v>
      </c>
      <c r="BH41" s="44">
        <v>4</v>
      </c>
      <c r="BI41" s="40">
        <v>2.6666666666666665</v>
      </c>
      <c r="BJ41" s="41">
        <v>1.5</v>
      </c>
    </row>
    <row r="42" spans="1:62" ht="17" customHeight="1" x14ac:dyDescent="0.15">
      <c r="A42" s="52">
        <v>158</v>
      </c>
      <c r="B42" s="57">
        <v>-1</v>
      </c>
      <c r="C42" s="58">
        <v>1</v>
      </c>
      <c r="D42" s="20">
        <v>8</v>
      </c>
      <c r="E42" s="20">
        <v>0</v>
      </c>
      <c r="F42" s="42">
        <v>6</v>
      </c>
      <c r="G42" s="20">
        <v>0</v>
      </c>
      <c r="H42" s="74">
        <f t="shared" si="10"/>
        <v>3.5</v>
      </c>
      <c r="I42" s="22">
        <v>7</v>
      </c>
      <c r="J42" s="20">
        <v>7</v>
      </c>
      <c r="K42" s="23">
        <v>0</v>
      </c>
      <c r="L42" s="20">
        <v>6.666666666666667</v>
      </c>
      <c r="M42" s="41">
        <v>3.75</v>
      </c>
      <c r="N42" s="72">
        <f t="shared" si="6"/>
        <v>6</v>
      </c>
      <c r="O42" s="20">
        <v>9</v>
      </c>
      <c r="P42" s="20">
        <v>0</v>
      </c>
      <c r="Q42" s="42">
        <v>6</v>
      </c>
      <c r="R42" s="20">
        <v>0</v>
      </c>
      <c r="S42" s="75">
        <f t="shared" si="7"/>
        <v>3.75</v>
      </c>
      <c r="T42" s="17">
        <v>4</v>
      </c>
      <c r="U42" s="17">
        <v>5</v>
      </c>
      <c r="V42" s="22">
        <v>1</v>
      </c>
      <c r="W42" s="20">
        <v>0</v>
      </c>
      <c r="X42" s="23">
        <v>0</v>
      </c>
      <c r="Y42" s="40">
        <v>0.33333333333333331</v>
      </c>
      <c r="Z42" s="41">
        <v>0.25</v>
      </c>
      <c r="AA42" s="20">
        <v>8</v>
      </c>
      <c r="AB42" s="20">
        <v>0</v>
      </c>
      <c r="AC42" s="42">
        <v>5</v>
      </c>
      <c r="AD42" s="20">
        <v>5</v>
      </c>
      <c r="AE42" s="74">
        <f t="shared" si="9"/>
        <v>4.5</v>
      </c>
      <c r="AF42" s="17">
        <v>2.5</v>
      </c>
      <c r="AG42" s="17">
        <v>6</v>
      </c>
      <c r="AH42" s="44">
        <v>5</v>
      </c>
      <c r="AI42" s="44">
        <v>6</v>
      </c>
      <c r="AJ42" s="44">
        <v>2</v>
      </c>
      <c r="AK42" s="40">
        <v>6</v>
      </c>
      <c r="AL42" s="41">
        <v>4</v>
      </c>
      <c r="AM42" s="20">
        <v>9</v>
      </c>
      <c r="AN42" s="20">
        <v>0</v>
      </c>
      <c r="AO42" s="42">
        <v>5</v>
      </c>
      <c r="AP42" s="20">
        <v>1</v>
      </c>
      <c r="AQ42" s="74">
        <f>AVERAGE(AM42,AN42,AO42,AP42)</f>
        <v>3.75</v>
      </c>
      <c r="AR42" s="17">
        <v>1.242</v>
      </c>
      <c r="AS42" s="17">
        <v>5</v>
      </c>
      <c r="AT42" s="22">
        <v>6</v>
      </c>
      <c r="AU42" s="20">
        <v>7</v>
      </c>
      <c r="AV42" s="23">
        <v>1</v>
      </c>
      <c r="AW42" s="40">
        <v>6</v>
      </c>
      <c r="AX42" s="41">
        <v>1.75</v>
      </c>
      <c r="AY42" s="20">
        <v>6</v>
      </c>
      <c r="AZ42" s="20">
        <v>0</v>
      </c>
      <c r="BA42" s="42">
        <v>3</v>
      </c>
      <c r="BB42" s="20">
        <v>2</v>
      </c>
      <c r="BC42" s="74">
        <f t="shared" si="8"/>
        <v>2.75</v>
      </c>
      <c r="BD42" s="77">
        <v>0.53333333333333333</v>
      </c>
      <c r="BE42" s="77">
        <v>6</v>
      </c>
      <c r="BF42" s="44">
        <v>2</v>
      </c>
      <c r="BG42" s="44">
        <v>2</v>
      </c>
      <c r="BH42" s="44">
        <v>0</v>
      </c>
      <c r="BI42" s="40">
        <v>2</v>
      </c>
      <c r="BJ42" s="41">
        <v>1.25</v>
      </c>
    </row>
    <row r="43" spans="1:62" ht="19" customHeight="1" x14ac:dyDescent="0.15">
      <c r="A43" s="54">
        <v>159</v>
      </c>
      <c r="B43" s="61">
        <v>-1</v>
      </c>
      <c r="C43" s="62">
        <v>1</v>
      </c>
      <c r="D43" s="20">
        <v>7</v>
      </c>
      <c r="E43" s="20">
        <v>4</v>
      </c>
      <c r="F43" s="42">
        <v>5</v>
      </c>
      <c r="G43" s="20">
        <v>3</v>
      </c>
      <c r="H43" s="74">
        <f t="shared" si="10"/>
        <v>4.75</v>
      </c>
      <c r="I43" s="22">
        <v>3</v>
      </c>
      <c r="J43" s="20">
        <v>4</v>
      </c>
      <c r="K43" s="23">
        <v>0</v>
      </c>
      <c r="L43" s="20">
        <v>4.666666666666667</v>
      </c>
      <c r="M43" s="41">
        <v>2</v>
      </c>
      <c r="N43" s="72">
        <f t="shared" si="6"/>
        <v>4.5</v>
      </c>
      <c r="O43" s="20">
        <v>5</v>
      </c>
      <c r="P43" s="20">
        <v>2</v>
      </c>
      <c r="Q43" s="42">
        <v>4</v>
      </c>
      <c r="R43" s="20">
        <v>4</v>
      </c>
      <c r="S43" s="75">
        <f t="shared" si="7"/>
        <v>3.75</v>
      </c>
      <c r="T43" s="17">
        <v>4</v>
      </c>
      <c r="U43" s="17">
        <v>1</v>
      </c>
      <c r="V43" s="22">
        <v>2</v>
      </c>
      <c r="W43" s="20">
        <v>3</v>
      </c>
      <c r="X43" s="23">
        <v>0</v>
      </c>
      <c r="Y43" s="40">
        <v>2.3333333333333335</v>
      </c>
      <c r="Z43" s="41">
        <v>1</v>
      </c>
      <c r="AA43" s="20">
        <v>4</v>
      </c>
      <c r="AB43" s="20">
        <v>1</v>
      </c>
      <c r="AC43" s="42">
        <v>2</v>
      </c>
      <c r="AD43" s="20">
        <v>2</v>
      </c>
      <c r="AE43" s="74">
        <f t="shared" si="9"/>
        <v>2.25</v>
      </c>
      <c r="AF43" s="17">
        <v>1.68</v>
      </c>
      <c r="AG43" s="17">
        <v>3</v>
      </c>
      <c r="AH43" s="44">
        <v>0</v>
      </c>
      <c r="AI43" s="44">
        <v>1</v>
      </c>
      <c r="AJ43" s="44">
        <v>1</v>
      </c>
      <c r="AK43" s="40">
        <v>0.33333333333333331</v>
      </c>
      <c r="AL43" s="41">
        <v>0.25</v>
      </c>
      <c r="AM43" s="20">
        <v>7</v>
      </c>
      <c r="AN43" s="20">
        <v>2</v>
      </c>
      <c r="AO43" s="42">
        <v>4</v>
      </c>
      <c r="AP43" s="20">
        <v>4</v>
      </c>
      <c r="AQ43" s="74">
        <f>AVERAGE(AM43,AN43,AO43,AP43)</f>
        <v>4.25</v>
      </c>
      <c r="AR43" s="17">
        <v>3.7900000000000005</v>
      </c>
      <c r="AS43" s="17">
        <v>3</v>
      </c>
      <c r="AT43" s="22">
        <v>0</v>
      </c>
      <c r="AU43" s="20">
        <v>3</v>
      </c>
      <c r="AV43" s="23">
        <v>0</v>
      </c>
      <c r="AW43" s="40">
        <v>1.3333333333333333</v>
      </c>
      <c r="AX43" s="41">
        <v>0</v>
      </c>
      <c r="AY43" s="20">
        <v>4</v>
      </c>
      <c r="AZ43" s="20">
        <v>0</v>
      </c>
      <c r="BA43" s="42">
        <v>3</v>
      </c>
      <c r="BB43" s="20">
        <v>4</v>
      </c>
      <c r="BC43" s="74">
        <f t="shared" si="8"/>
        <v>2.75</v>
      </c>
      <c r="BD43" s="77">
        <v>0</v>
      </c>
      <c r="BE43" s="77">
        <v>2</v>
      </c>
      <c r="BF43" s="44">
        <v>2</v>
      </c>
      <c r="BG43" s="44">
        <v>2</v>
      </c>
      <c r="BH43" s="44">
        <v>0</v>
      </c>
      <c r="BI43" s="40">
        <v>1</v>
      </c>
      <c r="BJ43" s="41">
        <v>0.5</v>
      </c>
    </row>
    <row r="44" spans="1:62" x14ac:dyDescent="0.15">
      <c r="A44" s="52">
        <v>161</v>
      </c>
      <c r="B44" s="57">
        <v>1</v>
      </c>
      <c r="C44" s="58">
        <v>1</v>
      </c>
      <c r="D44" s="20">
        <v>7</v>
      </c>
      <c r="E44" s="20">
        <v>1</v>
      </c>
      <c r="F44" s="46">
        <v>3</v>
      </c>
      <c r="G44" s="20">
        <v>4</v>
      </c>
      <c r="H44" s="74">
        <f t="shared" si="10"/>
        <v>3.75</v>
      </c>
      <c r="I44" s="22">
        <v>3</v>
      </c>
      <c r="J44" s="20">
        <v>5</v>
      </c>
      <c r="K44" s="23">
        <v>3</v>
      </c>
      <c r="L44" s="20">
        <v>3.3333333333333335</v>
      </c>
      <c r="M44" s="41">
        <v>3.5</v>
      </c>
      <c r="N44" s="72">
        <f t="shared" si="6"/>
        <v>3</v>
      </c>
      <c r="O44" s="20">
        <v>5</v>
      </c>
      <c r="P44" s="20">
        <v>1</v>
      </c>
      <c r="Q44" s="42">
        <v>3</v>
      </c>
      <c r="R44" s="20">
        <v>6</v>
      </c>
      <c r="S44" s="75">
        <f t="shared" si="7"/>
        <v>3.75</v>
      </c>
      <c r="T44" s="17">
        <v>2</v>
      </c>
      <c r="U44" s="17">
        <v>6</v>
      </c>
      <c r="V44" s="22">
        <v>3</v>
      </c>
      <c r="W44" s="20">
        <v>6</v>
      </c>
      <c r="X44" s="23">
        <v>6</v>
      </c>
      <c r="Y44" s="40">
        <v>5</v>
      </c>
      <c r="Z44" s="41">
        <v>3.75</v>
      </c>
      <c r="AA44" s="20">
        <v>3</v>
      </c>
      <c r="AB44" s="20">
        <v>0</v>
      </c>
      <c r="AC44" s="42">
        <v>1</v>
      </c>
      <c r="AD44" s="20">
        <v>1</v>
      </c>
      <c r="AE44" s="74">
        <f t="shared" si="9"/>
        <v>1.25</v>
      </c>
      <c r="AF44" s="17">
        <v>0.8859999999999999</v>
      </c>
      <c r="AG44" s="17">
        <v>5</v>
      </c>
      <c r="AH44" s="44">
        <v>0</v>
      </c>
      <c r="AI44" s="44">
        <v>2</v>
      </c>
      <c r="AJ44" s="44">
        <v>0</v>
      </c>
      <c r="AK44" s="40">
        <v>1</v>
      </c>
      <c r="AL44" s="41">
        <v>0.5</v>
      </c>
      <c r="AM44" s="20">
        <v>0</v>
      </c>
      <c r="AN44" s="20">
        <v>0</v>
      </c>
      <c r="AO44" s="42">
        <v>0</v>
      </c>
      <c r="AP44" s="20">
        <v>0</v>
      </c>
      <c r="AQ44" s="74">
        <f>AVERAGE(AM44,AN44,AO44,AP44)</f>
        <v>0</v>
      </c>
      <c r="AR44" s="31">
        <v>0</v>
      </c>
      <c r="AS44" s="17">
        <v>6</v>
      </c>
      <c r="AT44" s="22">
        <v>0</v>
      </c>
      <c r="AU44" s="20">
        <v>0</v>
      </c>
      <c r="AV44" s="23">
        <v>0</v>
      </c>
      <c r="AW44" s="40">
        <v>0</v>
      </c>
      <c r="AX44" s="41">
        <v>0</v>
      </c>
      <c r="AY44" s="20">
        <v>2</v>
      </c>
      <c r="AZ44" s="20">
        <v>0</v>
      </c>
      <c r="BA44" s="42">
        <v>0</v>
      </c>
      <c r="BB44" s="20">
        <v>0</v>
      </c>
      <c r="BC44" s="74">
        <f t="shared" si="8"/>
        <v>0.5</v>
      </c>
      <c r="BD44" s="77">
        <v>0.21714285714285714</v>
      </c>
      <c r="BE44" s="77">
        <v>7</v>
      </c>
      <c r="BF44" s="44">
        <v>1</v>
      </c>
      <c r="BG44" s="44">
        <v>0</v>
      </c>
      <c r="BH44" s="44">
        <v>0</v>
      </c>
      <c r="BI44" s="40">
        <v>0</v>
      </c>
      <c r="BJ44" s="41">
        <v>0.5</v>
      </c>
    </row>
    <row r="45" spans="1:62" x14ac:dyDescent="0.15">
      <c r="A45" s="52">
        <v>162</v>
      </c>
      <c r="B45" s="57">
        <v>-1</v>
      </c>
      <c r="C45" s="58">
        <v>1</v>
      </c>
      <c r="D45" s="20" t="s">
        <v>155</v>
      </c>
      <c r="E45" s="20" t="s">
        <v>155</v>
      </c>
      <c r="F45" s="42" t="s">
        <v>155</v>
      </c>
      <c r="G45" s="20" t="s">
        <v>155</v>
      </c>
      <c r="H45" s="74" t="s">
        <v>155</v>
      </c>
      <c r="I45" s="22" t="s">
        <v>155</v>
      </c>
      <c r="J45" s="20" t="s">
        <v>155</v>
      </c>
      <c r="K45" s="23" t="s">
        <v>155</v>
      </c>
      <c r="L45" s="20" t="s">
        <v>155</v>
      </c>
      <c r="M45" s="41" t="s">
        <v>155</v>
      </c>
      <c r="N45" s="72">
        <f t="shared" si="6"/>
        <v>4</v>
      </c>
      <c r="O45" s="20">
        <v>9</v>
      </c>
      <c r="P45" s="20">
        <v>0</v>
      </c>
      <c r="Q45" s="42">
        <v>4</v>
      </c>
      <c r="R45" s="20">
        <v>0</v>
      </c>
      <c r="S45" s="75">
        <f t="shared" si="7"/>
        <v>3.25</v>
      </c>
      <c r="T45" s="17">
        <v>4.8571428571428568</v>
      </c>
      <c r="U45" s="17">
        <v>7</v>
      </c>
      <c r="V45" s="22">
        <v>4</v>
      </c>
      <c r="W45" s="20">
        <v>1</v>
      </c>
      <c r="X45" s="23">
        <v>4</v>
      </c>
      <c r="Y45" s="40">
        <v>1.3333333333333333</v>
      </c>
      <c r="Z45" s="41">
        <v>2</v>
      </c>
      <c r="AA45" s="20">
        <v>8</v>
      </c>
      <c r="AB45" s="20">
        <v>0</v>
      </c>
      <c r="AC45" s="42">
        <v>4</v>
      </c>
      <c r="AD45" s="20">
        <v>6</v>
      </c>
      <c r="AE45" s="74">
        <f t="shared" si="9"/>
        <v>4.5</v>
      </c>
      <c r="AF45" s="17">
        <v>4.1550000000000002</v>
      </c>
      <c r="AG45" s="17">
        <v>6</v>
      </c>
      <c r="AH45" s="44">
        <v>3</v>
      </c>
      <c r="AI45" s="44">
        <v>4</v>
      </c>
      <c r="AJ45" s="44">
        <v>3</v>
      </c>
      <c r="AK45" s="40">
        <v>2</v>
      </c>
      <c r="AL45" s="41">
        <v>2</v>
      </c>
      <c r="AM45" s="20">
        <v>8</v>
      </c>
      <c r="AN45" s="20">
        <v>0</v>
      </c>
      <c r="AO45" s="42">
        <v>3</v>
      </c>
      <c r="AP45" s="20">
        <v>0</v>
      </c>
      <c r="AQ45" s="74">
        <f>AVERAGE(AM45,AN45,AO45,AP45)</f>
        <v>2.75</v>
      </c>
      <c r="AR45" s="17">
        <v>3.5142857142857147</v>
      </c>
      <c r="AS45" s="17">
        <v>7</v>
      </c>
      <c r="AT45" s="22">
        <v>3</v>
      </c>
      <c r="AU45" s="20">
        <v>3</v>
      </c>
      <c r="AV45" s="23">
        <v>0</v>
      </c>
      <c r="AW45" s="40">
        <v>2.3333333333333335</v>
      </c>
      <c r="AX45" s="41">
        <v>2</v>
      </c>
      <c r="AY45" s="20">
        <v>8</v>
      </c>
      <c r="AZ45" s="20">
        <v>0</v>
      </c>
      <c r="BA45" s="42">
        <v>3</v>
      </c>
      <c r="BB45" s="20">
        <v>0</v>
      </c>
      <c r="BC45" s="74">
        <f t="shared" si="8"/>
        <v>2.75</v>
      </c>
      <c r="BD45" s="77">
        <v>2.6642857142857141</v>
      </c>
      <c r="BE45" s="77">
        <v>7</v>
      </c>
      <c r="BF45" s="44">
        <v>5</v>
      </c>
      <c r="BG45" s="44">
        <v>0</v>
      </c>
      <c r="BH45" s="44">
        <v>3</v>
      </c>
      <c r="BI45" s="40">
        <v>1</v>
      </c>
      <c r="BJ45" s="41">
        <v>2</v>
      </c>
    </row>
    <row r="46" spans="1:62" x14ac:dyDescent="0.15">
      <c r="A46" s="52">
        <v>163</v>
      </c>
      <c r="B46" s="57">
        <v>1</v>
      </c>
      <c r="C46" s="58">
        <v>1</v>
      </c>
      <c r="D46" s="20">
        <v>5</v>
      </c>
      <c r="E46" s="20">
        <v>3</v>
      </c>
      <c r="F46" s="42">
        <v>4</v>
      </c>
      <c r="G46" s="20">
        <v>5</v>
      </c>
      <c r="H46" s="74">
        <f t="shared" ref="H46:H59" si="11">AVERAGE(D46:G46)</f>
        <v>4.25</v>
      </c>
      <c r="I46" s="22">
        <v>3</v>
      </c>
      <c r="J46" s="20">
        <v>3</v>
      </c>
      <c r="K46" s="23">
        <v>4</v>
      </c>
      <c r="L46" s="20">
        <v>3</v>
      </c>
      <c r="M46" s="41">
        <v>2</v>
      </c>
      <c r="N46" s="72">
        <f t="shared" si="6"/>
        <v>4</v>
      </c>
      <c r="O46" s="20">
        <v>6</v>
      </c>
      <c r="P46" s="20">
        <v>3</v>
      </c>
      <c r="Q46" s="42">
        <v>4</v>
      </c>
      <c r="R46" s="20">
        <v>4</v>
      </c>
      <c r="S46" s="75">
        <f t="shared" si="7"/>
        <v>4.25</v>
      </c>
      <c r="T46" s="83">
        <v>3</v>
      </c>
      <c r="U46" s="83">
        <v>2</v>
      </c>
      <c r="V46" s="22">
        <v>2</v>
      </c>
      <c r="W46" s="20">
        <v>3</v>
      </c>
      <c r="X46" s="23">
        <v>5</v>
      </c>
      <c r="Y46" s="40">
        <v>2.3333333333333335</v>
      </c>
      <c r="Z46" s="41">
        <v>2</v>
      </c>
      <c r="AA46" s="20">
        <v>4</v>
      </c>
      <c r="AB46" s="20">
        <v>1</v>
      </c>
      <c r="AC46" s="42">
        <v>3</v>
      </c>
      <c r="AD46" s="20">
        <v>2</v>
      </c>
      <c r="AE46" s="74">
        <f t="shared" si="9"/>
        <v>2.5</v>
      </c>
      <c r="AF46" s="17">
        <v>1.8499999999999999</v>
      </c>
      <c r="AG46" s="17">
        <v>3</v>
      </c>
      <c r="AH46" s="44">
        <v>4</v>
      </c>
      <c r="AI46" s="44">
        <v>1</v>
      </c>
      <c r="AJ46" s="44">
        <v>2</v>
      </c>
      <c r="AK46" s="40">
        <v>1</v>
      </c>
      <c r="AL46" s="41">
        <v>2</v>
      </c>
      <c r="AM46" s="20">
        <v>6</v>
      </c>
      <c r="AN46" s="20">
        <v>0</v>
      </c>
      <c r="AO46" s="42">
        <v>2</v>
      </c>
      <c r="AP46" s="20">
        <v>2</v>
      </c>
      <c r="AQ46" s="74">
        <f>AVERAGE(AM46,AN46,AO46,AP46)</f>
        <v>2.5</v>
      </c>
      <c r="AR46" s="17">
        <v>0.60666666666666658</v>
      </c>
      <c r="AS46" s="17">
        <v>3</v>
      </c>
      <c r="AT46" s="22">
        <v>1</v>
      </c>
      <c r="AU46" s="20">
        <v>2</v>
      </c>
      <c r="AV46" s="23">
        <v>3</v>
      </c>
      <c r="AW46" s="40">
        <v>1.6666666666666667</v>
      </c>
      <c r="AX46" s="41">
        <v>1.25</v>
      </c>
      <c r="AY46" s="20">
        <v>6</v>
      </c>
      <c r="AZ46" s="20">
        <v>0</v>
      </c>
      <c r="BA46" s="42">
        <v>2</v>
      </c>
      <c r="BB46" s="20">
        <v>1</v>
      </c>
      <c r="BC46" s="74">
        <f t="shared" si="8"/>
        <v>2.25</v>
      </c>
      <c r="BD46" s="77">
        <v>1.345</v>
      </c>
      <c r="BE46" s="77">
        <v>2</v>
      </c>
      <c r="BF46" s="44">
        <v>1</v>
      </c>
      <c r="BG46" s="44">
        <v>2</v>
      </c>
      <c r="BH46" s="44">
        <v>3</v>
      </c>
      <c r="BI46" s="40">
        <v>1.3333333333333333</v>
      </c>
      <c r="BJ46" s="41">
        <v>1</v>
      </c>
    </row>
    <row r="47" spans="1:62" x14ac:dyDescent="0.15">
      <c r="A47" s="52">
        <v>164</v>
      </c>
      <c r="B47" s="57">
        <v>1</v>
      </c>
      <c r="C47" s="58">
        <v>1</v>
      </c>
      <c r="D47" s="20">
        <v>9</v>
      </c>
      <c r="E47" s="20">
        <v>2</v>
      </c>
      <c r="F47" s="42">
        <v>6</v>
      </c>
      <c r="G47" s="20">
        <v>3</v>
      </c>
      <c r="H47" s="74">
        <f t="shared" si="11"/>
        <v>5</v>
      </c>
      <c r="I47" s="22">
        <v>3</v>
      </c>
      <c r="J47" s="20">
        <v>6</v>
      </c>
      <c r="K47" s="23">
        <v>7</v>
      </c>
      <c r="L47" s="20">
        <v>4</v>
      </c>
      <c r="M47" s="41">
        <v>4.25</v>
      </c>
      <c r="N47" s="72">
        <f t="shared" si="6"/>
        <v>5</v>
      </c>
      <c r="O47" s="20">
        <v>7</v>
      </c>
      <c r="P47" s="20">
        <v>1</v>
      </c>
      <c r="Q47" s="42">
        <v>4</v>
      </c>
      <c r="R47" s="20">
        <v>2</v>
      </c>
      <c r="S47" s="75">
        <f t="shared" si="7"/>
        <v>3.5</v>
      </c>
      <c r="T47" s="17">
        <v>4.8571428571428568</v>
      </c>
      <c r="U47" s="17">
        <v>7</v>
      </c>
      <c r="V47" s="22">
        <v>0</v>
      </c>
      <c r="W47" s="20">
        <v>0</v>
      </c>
      <c r="X47" s="23">
        <v>5</v>
      </c>
      <c r="Y47" s="40">
        <v>1</v>
      </c>
      <c r="Z47" s="41">
        <v>1.75</v>
      </c>
      <c r="AA47" s="20">
        <v>3</v>
      </c>
      <c r="AB47" s="20">
        <v>0</v>
      </c>
      <c r="AC47" s="42">
        <v>3</v>
      </c>
      <c r="AD47" s="20">
        <v>0</v>
      </c>
      <c r="AE47" s="74">
        <f t="shared" si="9"/>
        <v>1.5</v>
      </c>
      <c r="AF47" s="17">
        <v>4.2033333333333331</v>
      </c>
      <c r="AG47" s="17">
        <v>3</v>
      </c>
      <c r="AH47" s="44">
        <v>0</v>
      </c>
      <c r="AI47" s="44">
        <v>1</v>
      </c>
      <c r="AJ47" s="44">
        <v>2</v>
      </c>
      <c r="AK47" s="40">
        <v>0.33333333333333331</v>
      </c>
      <c r="AL47" s="41">
        <v>0.5</v>
      </c>
      <c r="AM47" s="20">
        <v>4</v>
      </c>
      <c r="AN47" s="20">
        <v>0</v>
      </c>
      <c r="AO47" s="42">
        <v>1</v>
      </c>
      <c r="AP47" s="20">
        <v>0</v>
      </c>
      <c r="AQ47" s="74">
        <f>AVERAGE(AM47,AN47,AO47,AP47)</f>
        <v>1.25</v>
      </c>
      <c r="AR47" s="17">
        <v>3.17</v>
      </c>
      <c r="AS47" s="17">
        <v>4</v>
      </c>
      <c r="AT47" s="22">
        <v>0</v>
      </c>
      <c r="AU47" s="20">
        <v>0</v>
      </c>
      <c r="AV47" s="23">
        <v>1</v>
      </c>
      <c r="AW47" s="40">
        <v>0</v>
      </c>
      <c r="AX47" s="41">
        <v>0.25</v>
      </c>
      <c r="AY47" s="20">
        <v>3</v>
      </c>
      <c r="AZ47" s="20">
        <v>0</v>
      </c>
      <c r="BA47" s="42">
        <v>1</v>
      </c>
      <c r="BB47" s="20">
        <v>1</v>
      </c>
      <c r="BC47" s="74">
        <f t="shared" si="8"/>
        <v>1.25</v>
      </c>
      <c r="BD47" s="77">
        <v>0.1466666666666667</v>
      </c>
      <c r="BE47" s="77">
        <v>3</v>
      </c>
      <c r="BF47" s="44">
        <v>0</v>
      </c>
      <c r="BG47" s="44">
        <v>0</v>
      </c>
      <c r="BH47" s="44">
        <v>0</v>
      </c>
      <c r="BI47" s="40">
        <v>0</v>
      </c>
      <c r="BJ47" s="41">
        <v>0</v>
      </c>
    </row>
    <row r="48" spans="1:62" x14ac:dyDescent="0.15">
      <c r="A48" s="52">
        <v>166</v>
      </c>
      <c r="B48" s="57">
        <v>-1</v>
      </c>
      <c r="C48" s="58">
        <v>1</v>
      </c>
      <c r="D48" s="20">
        <v>8</v>
      </c>
      <c r="E48" s="20">
        <v>3</v>
      </c>
      <c r="F48" s="42">
        <v>6</v>
      </c>
      <c r="G48" s="20">
        <v>6</v>
      </c>
      <c r="H48" s="74">
        <f t="shared" si="11"/>
        <v>5.75</v>
      </c>
      <c r="I48" s="22">
        <v>7</v>
      </c>
      <c r="J48" s="20">
        <v>8</v>
      </c>
      <c r="K48" s="23">
        <v>5</v>
      </c>
      <c r="L48" s="20">
        <v>6</v>
      </c>
      <c r="M48" s="41">
        <v>5.75</v>
      </c>
      <c r="N48" s="72">
        <f t="shared" si="6"/>
        <v>6</v>
      </c>
      <c r="O48" s="20">
        <v>7</v>
      </c>
      <c r="P48" s="20">
        <v>4</v>
      </c>
      <c r="Q48" s="42">
        <v>6</v>
      </c>
      <c r="R48" s="20">
        <v>5</v>
      </c>
      <c r="S48" s="75">
        <f t="shared" si="7"/>
        <v>5.5</v>
      </c>
      <c r="T48" s="17">
        <v>8.6666666666666661</v>
      </c>
      <c r="U48" s="17">
        <v>6</v>
      </c>
      <c r="V48" s="22">
        <v>6</v>
      </c>
      <c r="W48" s="20">
        <v>4</v>
      </c>
      <c r="X48" s="23">
        <v>4</v>
      </c>
      <c r="Y48" s="40">
        <v>3.3333333333333335</v>
      </c>
      <c r="Z48" s="41">
        <v>5</v>
      </c>
      <c r="AA48" s="20">
        <v>7</v>
      </c>
      <c r="AB48" s="20">
        <v>2</v>
      </c>
      <c r="AC48" s="42">
        <v>5</v>
      </c>
      <c r="AD48" s="20">
        <v>6</v>
      </c>
      <c r="AE48" s="74">
        <f t="shared" si="9"/>
        <v>5</v>
      </c>
      <c r="AF48" s="17">
        <v>8.1159999999999997</v>
      </c>
      <c r="AG48" s="17">
        <v>5</v>
      </c>
      <c r="AH48" s="44">
        <v>4</v>
      </c>
      <c r="AI48" s="44">
        <v>4</v>
      </c>
      <c r="AJ48" s="44">
        <v>6</v>
      </c>
      <c r="AK48" s="40">
        <v>3.6666666666666665</v>
      </c>
      <c r="AL48" s="41">
        <v>4.75</v>
      </c>
      <c r="AM48" s="20">
        <v>7</v>
      </c>
      <c r="AN48" s="20">
        <v>4</v>
      </c>
      <c r="AO48" s="42">
        <v>5</v>
      </c>
      <c r="AP48" s="20">
        <v>6</v>
      </c>
      <c r="AQ48" s="74">
        <f>AVERAGE(AM48,AN48,AO48,AP48)</f>
        <v>5.5</v>
      </c>
      <c r="AR48" s="17">
        <v>8.3571428571428577</v>
      </c>
      <c r="AS48" s="17">
        <v>7</v>
      </c>
      <c r="AT48" s="22">
        <v>3</v>
      </c>
      <c r="AU48" s="20">
        <v>3</v>
      </c>
      <c r="AV48" s="23">
        <v>2</v>
      </c>
      <c r="AW48" s="40">
        <v>2</v>
      </c>
      <c r="AX48" s="41">
        <v>3.75</v>
      </c>
      <c r="AY48" s="20">
        <v>8</v>
      </c>
      <c r="AZ48" s="20">
        <v>4</v>
      </c>
      <c r="BA48" s="42">
        <v>6</v>
      </c>
      <c r="BB48" s="20">
        <v>7</v>
      </c>
      <c r="BC48" s="74">
        <f t="shared" si="8"/>
        <v>6.25</v>
      </c>
      <c r="BD48" s="77">
        <v>7.71</v>
      </c>
      <c r="BE48" s="77">
        <v>6</v>
      </c>
      <c r="BF48" s="44">
        <v>6</v>
      </c>
      <c r="BG48" s="44">
        <v>4</v>
      </c>
      <c r="BH48" s="44">
        <v>4</v>
      </c>
      <c r="BI48" s="40">
        <v>3</v>
      </c>
      <c r="BJ48" s="41">
        <v>6.25</v>
      </c>
    </row>
    <row r="49" spans="1:62" x14ac:dyDescent="0.15">
      <c r="A49" s="52">
        <v>167</v>
      </c>
      <c r="B49" s="57">
        <v>1</v>
      </c>
      <c r="C49" s="58">
        <v>1</v>
      </c>
      <c r="D49" s="20">
        <v>8</v>
      </c>
      <c r="E49" s="20">
        <v>2</v>
      </c>
      <c r="F49" s="42">
        <v>5</v>
      </c>
      <c r="G49" s="20">
        <v>6</v>
      </c>
      <c r="H49" s="74">
        <f t="shared" si="11"/>
        <v>5.25</v>
      </c>
      <c r="I49" s="22">
        <v>6</v>
      </c>
      <c r="J49" s="20">
        <v>7</v>
      </c>
      <c r="K49" s="23">
        <v>7</v>
      </c>
      <c r="L49" s="20">
        <v>5.333333333333333</v>
      </c>
      <c r="M49" s="41">
        <v>4.25</v>
      </c>
      <c r="N49" s="72">
        <f t="shared" si="6"/>
        <v>4</v>
      </c>
      <c r="O49" s="20">
        <v>4</v>
      </c>
      <c r="P49" s="20">
        <v>1</v>
      </c>
      <c r="Q49" s="42">
        <v>3</v>
      </c>
      <c r="R49" s="20">
        <v>3</v>
      </c>
      <c r="S49" s="75">
        <f t="shared" si="7"/>
        <v>2.75</v>
      </c>
      <c r="T49" s="17">
        <v>1.5714285714285714</v>
      </c>
      <c r="U49" s="17">
        <v>7</v>
      </c>
      <c r="V49" s="22">
        <v>4</v>
      </c>
      <c r="W49" s="20">
        <v>3</v>
      </c>
      <c r="X49" s="23">
        <v>4</v>
      </c>
      <c r="Y49" s="40">
        <v>2.6666666666666665</v>
      </c>
      <c r="Z49" s="41">
        <v>2</v>
      </c>
      <c r="AA49" s="20">
        <v>3</v>
      </c>
      <c r="AB49" s="20">
        <v>1</v>
      </c>
      <c r="AC49" s="42">
        <v>2</v>
      </c>
      <c r="AD49" s="20">
        <v>2</v>
      </c>
      <c r="AE49" s="74">
        <f t="shared" si="9"/>
        <v>2</v>
      </c>
      <c r="AF49" s="17">
        <v>0.91999999999999993</v>
      </c>
      <c r="AG49" s="17">
        <v>7</v>
      </c>
      <c r="AH49" s="44">
        <v>2</v>
      </c>
      <c r="AI49" s="44">
        <v>3</v>
      </c>
      <c r="AJ49" s="44">
        <v>2</v>
      </c>
      <c r="AK49" s="40">
        <v>2</v>
      </c>
      <c r="AL49" s="41">
        <v>1</v>
      </c>
      <c r="AM49" s="20">
        <v>3</v>
      </c>
      <c r="AN49" s="20">
        <v>0</v>
      </c>
      <c r="AO49" s="42">
        <v>2</v>
      </c>
      <c r="AP49" s="20">
        <v>1</v>
      </c>
      <c r="AQ49" s="74">
        <f>AVERAGE(AM49,AN49,AO49,AP49)</f>
        <v>1.5</v>
      </c>
      <c r="AR49" s="17">
        <v>0.35000000000000003</v>
      </c>
      <c r="AS49" s="17">
        <v>7</v>
      </c>
      <c r="AT49" s="22">
        <v>1</v>
      </c>
      <c r="AU49" s="20">
        <v>2</v>
      </c>
      <c r="AV49" s="23">
        <v>3</v>
      </c>
      <c r="AW49" s="40">
        <v>1</v>
      </c>
      <c r="AX49" s="41">
        <v>1</v>
      </c>
      <c r="AY49" s="20">
        <v>2</v>
      </c>
      <c r="AZ49" s="20">
        <v>0</v>
      </c>
      <c r="BA49" s="42">
        <v>1</v>
      </c>
      <c r="BB49" s="20">
        <v>1</v>
      </c>
      <c r="BC49" s="74">
        <f t="shared" si="8"/>
        <v>1</v>
      </c>
      <c r="BD49" s="77">
        <v>0</v>
      </c>
      <c r="BE49" s="77">
        <v>7</v>
      </c>
      <c r="BF49" s="44">
        <v>0</v>
      </c>
      <c r="BG49" s="44">
        <v>1</v>
      </c>
      <c r="BH49" s="44">
        <v>2</v>
      </c>
      <c r="BI49" s="40">
        <v>0.66666666666666663</v>
      </c>
      <c r="BJ49" s="41">
        <v>0.5</v>
      </c>
    </row>
    <row r="50" spans="1:62" x14ac:dyDescent="0.15">
      <c r="A50" s="54">
        <v>168</v>
      </c>
      <c r="B50" s="61">
        <v>-1</v>
      </c>
      <c r="C50" s="62">
        <v>1</v>
      </c>
      <c r="D50" s="20">
        <v>7</v>
      </c>
      <c r="E50" s="20">
        <v>4</v>
      </c>
      <c r="F50" s="42">
        <v>6</v>
      </c>
      <c r="G50" s="20">
        <v>7</v>
      </c>
      <c r="H50" s="74">
        <f t="shared" si="11"/>
        <v>6</v>
      </c>
      <c r="I50" s="22">
        <v>5</v>
      </c>
      <c r="J50" s="20">
        <v>7</v>
      </c>
      <c r="K50" s="23">
        <v>8</v>
      </c>
      <c r="L50" s="20">
        <v>6.666666666666667</v>
      </c>
      <c r="M50" s="41">
        <v>6.5</v>
      </c>
      <c r="N50" s="72">
        <f t="shared" si="6"/>
        <v>6.5</v>
      </c>
      <c r="O50" s="20">
        <v>8</v>
      </c>
      <c r="P50" s="20">
        <v>4</v>
      </c>
      <c r="Q50" s="42">
        <v>7</v>
      </c>
      <c r="R50" s="20">
        <v>4</v>
      </c>
      <c r="S50" s="75">
        <f t="shared" si="7"/>
        <v>5.75</v>
      </c>
      <c r="T50" s="17">
        <v>5.8571428571428568</v>
      </c>
      <c r="U50" s="17">
        <v>7</v>
      </c>
      <c r="V50" s="22">
        <v>7</v>
      </c>
      <c r="W50" s="20">
        <v>8</v>
      </c>
      <c r="X50" s="23">
        <v>10</v>
      </c>
      <c r="Y50" s="40">
        <v>6.333333333333333</v>
      </c>
      <c r="Z50" s="41">
        <v>8.25</v>
      </c>
      <c r="AA50" s="20">
        <v>9</v>
      </c>
      <c r="AB50" s="20">
        <v>6</v>
      </c>
      <c r="AC50" s="42">
        <v>8</v>
      </c>
      <c r="AD50" s="20">
        <v>9</v>
      </c>
      <c r="AE50" s="74">
        <f t="shared" si="9"/>
        <v>8</v>
      </c>
      <c r="AF50" s="17">
        <v>8.3979999999999997</v>
      </c>
      <c r="AG50" s="17">
        <v>5</v>
      </c>
      <c r="AH50" s="44">
        <v>8</v>
      </c>
      <c r="AI50" s="44">
        <v>6</v>
      </c>
      <c r="AJ50" s="44">
        <v>10</v>
      </c>
      <c r="AK50" s="40">
        <v>6.333333333333333</v>
      </c>
      <c r="AL50" s="41">
        <v>8.75</v>
      </c>
      <c r="AM50" s="20">
        <v>9</v>
      </c>
      <c r="AN50" s="20">
        <v>9</v>
      </c>
      <c r="AO50" s="42">
        <v>9</v>
      </c>
      <c r="AP50" s="20">
        <v>9</v>
      </c>
      <c r="AQ50" s="74">
        <f>AVERAGE(AM50,AN50,AO50,AP50)</f>
        <v>9</v>
      </c>
      <c r="AR50" s="17">
        <v>9.0533333333333328</v>
      </c>
      <c r="AS50" s="17">
        <v>3</v>
      </c>
      <c r="AT50" s="22">
        <v>10</v>
      </c>
      <c r="AU50" s="20">
        <v>8</v>
      </c>
      <c r="AV50" s="23">
        <v>8</v>
      </c>
      <c r="AW50" s="40">
        <v>8.6666666666666661</v>
      </c>
      <c r="AX50" s="41">
        <v>9.5</v>
      </c>
      <c r="AY50" s="20">
        <v>3</v>
      </c>
      <c r="AZ50" s="20">
        <v>2</v>
      </c>
      <c r="BA50" s="42">
        <v>5</v>
      </c>
      <c r="BB50" s="20">
        <v>7</v>
      </c>
      <c r="BC50" s="74">
        <f t="shared" si="8"/>
        <v>4.25</v>
      </c>
      <c r="BD50" s="77">
        <v>4.9250000000000007</v>
      </c>
      <c r="BE50" s="77">
        <v>4</v>
      </c>
      <c r="BF50" s="44">
        <v>10</v>
      </c>
      <c r="BG50" s="44">
        <v>10</v>
      </c>
      <c r="BH50" s="44">
        <v>7</v>
      </c>
      <c r="BI50" s="40">
        <v>10</v>
      </c>
      <c r="BJ50" s="41">
        <v>9.25</v>
      </c>
    </row>
    <row r="51" spans="1:62" x14ac:dyDescent="0.15">
      <c r="A51" s="52">
        <v>169</v>
      </c>
      <c r="B51" s="57">
        <v>-1</v>
      </c>
      <c r="C51" s="58">
        <v>1</v>
      </c>
      <c r="D51" s="20">
        <v>8</v>
      </c>
      <c r="E51" s="20">
        <v>2</v>
      </c>
      <c r="F51" s="42">
        <v>6</v>
      </c>
      <c r="G51" s="20">
        <v>5</v>
      </c>
      <c r="H51" s="74">
        <f t="shared" si="11"/>
        <v>5.25</v>
      </c>
      <c r="I51" s="22">
        <v>7</v>
      </c>
      <c r="J51" s="20">
        <v>7</v>
      </c>
      <c r="K51" s="23">
        <v>3</v>
      </c>
      <c r="L51" s="20">
        <v>5</v>
      </c>
      <c r="M51" s="41">
        <v>4</v>
      </c>
      <c r="N51" s="72">
        <f t="shared" si="6"/>
        <v>5.5</v>
      </c>
      <c r="O51" s="20">
        <v>6</v>
      </c>
      <c r="P51" s="20">
        <v>3</v>
      </c>
      <c r="Q51" s="42">
        <v>5</v>
      </c>
      <c r="R51" s="20">
        <v>3</v>
      </c>
      <c r="S51" s="75">
        <f t="shared" si="7"/>
        <v>4.25</v>
      </c>
      <c r="T51" s="17">
        <v>4.2857142857142856</v>
      </c>
      <c r="U51" s="17">
        <v>7</v>
      </c>
      <c r="V51" s="22">
        <v>6</v>
      </c>
      <c r="W51" s="20">
        <v>6</v>
      </c>
      <c r="X51" s="23">
        <v>5</v>
      </c>
      <c r="Y51" s="40">
        <v>4.666666666666667</v>
      </c>
      <c r="Z51" s="41">
        <v>4.5</v>
      </c>
      <c r="AA51" s="20">
        <v>7</v>
      </c>
      <c r="AB51" s="20">
        <v>2</v>
      </c>
      <c r="AC51" s="42">
        <v>5</v>
      </c>
      <c r="AD51" s="20">
        <v>5</v>
      </c>
      <c r="AE51" s="74">
        <f t="shared" si="9"/>
        <v>4.75</v>
      </c>
      <c r="AF51" s="17">
        <v>4.0914285714285716</v>
      </c>
      <c r="AG51" s="17">
        <v>7</v>
      </c>
      <c r="AH51" s="44">
        <v>3</v>
      </c>
      <c r="AI51" s="44">
        <v>6</v>
      </c>
      <c r="AJ51" s="44">
        <v>4</v>
      </c>
      <c r="AK51" s="40">
        <v>4.666666666666667</v>
      </c>
      <c r="AL51" s="41">
        <v>3.5</v>
      </c>
      <c r="AM51" s="20">
        <v>7</v>
      </c>
      <c r="AN51" s="20">
        <v>3</v>
      </c>
      <c r="AO51" s="42">
        <v>5</v>
      </c>
      <c r="AP51" s="20">
        <v>4</v>
      </c>
      <c r="AQ51" s="74">
        <f>AVERAGE(AM51,AN51,AO51,AP51)</f>
        <v>4.75</v>
      </c>
      <c r="AR51" s="17">
        <v>5.0842857142857145</v>
      </c>
      <c r="AS51" s="17">
        <v>7</v>
      </c>
      <c r="AT51" s="22">
        <v>8</v>
      </c>
      <c r="AU51" s="20">
        <v>7</v>
      </c>
      <c r="AV51" s="23">
        <v>4</v>
      </c>
      <c r="AW51" s="40">
        <v>5.666666666666667</v>
      </c>
      <c r="AX51" s="41">
        <v>4.5</v>
      </c>
      <c r="AY51" s="20">
        <v>8</v>
      </c>
      <c r="AZ51" s="20">
        <v>3</v>
      </c>
      <c r="BA51" s="42">
        <v>7</v>
      </c>
      <c r="BB51" s="20">
        <v>6</v>
      </c>
      <c r="BC51" s="74">
        <f t="shared" si="8"/>
        <v>6</v>
      </c>
      <c r="BD51" s="77">
        <v>5.677142857142857</v>
      </c>
      <c r="BE51" s="77">
        <v>7</v>
      </c>
      <c r="BF51" s="44">
        <v>5</v>
      </c>
      <c r="BG51" s="44">
        <v>6</v>
      </c>
      <c r="BH51" s="44">
        <v>5</v>
      </c>
      <c r="BI51" s="40">
        <v>4.333333333333333</v>
      </c>
      <c r="BJ51" s="41">
        <v>3</v>
      </c>
    </row>
    <row r="52" spans="1:62" x14ac:dyDescent="0.15">
      <c r="A52" s="52">
        <v>170</v>
      </c>
      <c r="B52" s="57">
        <v>-1</v>
      </c>
      <c r="C52" s="58">
        <v>1</v>
      </c>
      <c r="D52" s="20">
        <v>8</v>
      </c>
      <c r="E52" s="20">
        <v>0</v>
      </c>
      <c r="F52" s="46">
        <v>3</v>
      </c>
      <c r="G52" s="20">
        <v>2</v>
      </c>
      <c r="H52" s="74">
        <f t="shared" si="11"/>
        <v>3.25</v>
      </c>
      <c r="I52" s="22">
        <v>5</v>
      </c>
      <c r="J52" s="20">
        <v>2</v>
      </c>
      <c r="K52" s="23">
        <v>1</v>
      </c>
      <c r="L52" s="20">
        <v>3</v>
      </c>
      <c r="M52" s="41">
        <v>2.25</v>
      </c>
      <c r="N52" s="72">
        <f t="shared" si="6"/>
        <v>2.5</v>
      </c>
      <c r="O52" s="20">
        <v>7</v>
      </c>
      <c r="P52" s="20">
        <v>0</v>
      </c>
      <c r="Q52" s="42">
        <v>2</v>
      </c>
      <c r="R52" s="20">
        <v>3</v>
      </c>
      <c r="S52" s="75">
        <f t="shared" si="7"/>
        <v>3</v>
      </c>
      <c r="T52" s="17">
        <v>4.0460000000000003</v>
      </c>
      <c r="U52" s="17">
        <v>5</v>
      </c>
      <c r="V52" s="22">
        <v>3</v>
      </c>
      <c r="W52" s="20">
        <v>4</v>
      </c>
      <c r="X52" s="23">
        <v>0</v>
      </c>
      <c r="Y52" s="40">
        <v>3</v>
      </c>
      <c r="Z52" s="41">
        <v>1.5</v>
      </c>
      <c r="AA52" s="20">
        <v>6</v>
      </c>
      <c r="AB52" s="20">
        <v>0</v>
      </c>
      <c r="AC52" s="42">
        <v>4</v>
      </c>
      <c r="AD52" s="20">
        <v>2</v>
      </c>
      <c r="AE52" s="74">
        <f t="shared" si="9"/>
        <v>3</v>
      </c>
      <c r="AF52" s="17">
        <v>4.4040000000000008</v>
      </c>
      <c r="AG52" s="17">
        <v>5</v>
      </c>
      <c r="AH52" s="44">
        <v>1</v>
      </c>
      <c r="AI52" s="44">
        <v>3</v>
      </c>
      <c r="AJ52" s="44">
        <v>4</v>
      </c>
      <c r="AK52" s="40">
        <v>4.666666666666667</v>
      </c>
      <c r="AL52" s="41">
        <v>1.75</v>
      </c>
      <c r="AM52" s="20">
        <v>7</v>
      </c>
      <c r="AN52" s="20">
        <v>0</v>
      </c>
      <c r="AO52" s="42">
        <v>3</v>
      </c>
      <c r="AP52" s="20">
        <v>1</v>
      </c>
      <c r="AQ52" s="74">
        <f>AVERAGE(AM52,AN52,AO52,AP52)</f>
        <v>2.75</v>
      </c>
      <c r="AR52" s="17">
        <v>5.218</v>
      </c>
      <c r="AS52" s="17">
        <v>5</v>
      </c>
      <c r="AT52" s="22">
        <v>2</v>
      </c>
      <c r="AU52" s="20">
        <v>4</v>
      </c>
      <c r="AV52" s="23">
        <v>3</v>
      </c>
      <c r="AW52" s="40">
        <v>4.333333333333333</v>
      </c>
      <c r="AX52" s="41">
        <v>2</v>
      </c>
      <c r="AY52" s="20">
        <v>9</v>
      </c>
      <c r="AZ52" s="20">
        <v>0</v>
      </c>
      <c r="BA52" s="42">
        <v>2</v>
      </c>
      <c r="BB52" s="20">
        <v>2</v>
      </c>
      <c r="BC52" s="74">
        <f t="shared" si="8"/>
        <v>3.25</v>
      </c>
      <c r="BD52" s="77">
        <v>6.9259999999999993</v>
      </c>
      <c r="BE52" s="77">
        <v>5</v>
      </c>
      <c r="BF52" s="44">
        <v>3</v>
      </c>
      <c r="BG52" s="44">
        <v>5</v>
      </c>
      <c r="BH52" s="44">
        <v>2</v>
      </c>
      <c r="BI52" s="40">
        <v>4.333333333333333</v>
      </c>
      <c r="BJ52" s="41">
        <v>2.5</v>
      </c>
    </row>
    <row r="53" spans="1:62" x14ac:dyDescent="0.15">
      <c r="A53" s="52">
        <v>172</v>
      </c>
      <c r="B53" s="57">
        <v>1</v>
      </c>
      <c r="C53" s="58">
        <v>1</v>
      </c>
      <c r="D53" s="20">
        <v>5</v>
      </c>
      <c r="E53" s="20">
        <v>0</v>
      </c>
      <c r="F53" s="46">
        <v>2</v>
      </c>
      <c r="G53" s="20">
        <v>0</v>
      </c>
      <c r="H53" s="74">
        <f t="shared" si="11"/>
        <v>1.75</v>
      </c>
      <c r="I53" s="22">
        <v>6</v>
      </c>
      <c r="J53" s="20">
        <v>6</v>
      </c>
      <c r="K53" s="23">
        <v>8</v>
      </c>
      <c r="L53" s="20">
        <v>4.333333333333333</v>
      </c>
      <c r="M53" s="41">
        <v>6</v>
      </c>
      <c r="N53" s="72">
        <f t="shared" si="6"/>
        <v>1.5</v>
      </c>
      <c r="O53" s="20">
        <v>5</v>
      </c>
      <c r="P53" s="20">
        <v>0</v>
      </c>
      <c r="Q53" s="42">
        <v>1</v>
      </c>
      <c r="R53" s="20">
        <v>4</v>
      </c>
      <c r="S53" s="75">
        <f t="shared" si="7"/>
        <v>2.5</v>
      </c>
      <c r="T53" s="17">
        <v>1.6</v>
      </c>
      <c r="U53" s="17">
        <v>5</v>
      </c>
      <c r="V53" s="22">
        <v>2</v>
      </c>
      <c r="W53" s="20">
        <v>2</v>
      </c>
      <c r="X53" s="23">
        <v>4</v>
      </c>
      <c r="Y53" s="40">
        <v>1.3333333333333333</v>
      </c>
      <c r="Z53" s="41">
        <v>2.5</v>
      </c>
      <c r="AA53" s="20">
        <v>2</v>
      </c>
      <c r="AB53" s="20">
        <v>0</v>
      </c>
      <c r="AC53" s="42">
        <v>0</v>
      </c>
      <c r="AD53" s="20">
        <v>0</v>
      </c>
      <c r="AE53" s="74">
        <f t="shared" si="9"/>
        <v>0.5</v>
      </c>
      <c r="AF53" s="17">
        <v>3.1428571428571431E-2</v>
      </c>
      <c r="AG53" s="17">
        <v>7</v>
      </c>
      <c r="AH53" s="44">
        <v>2</v>
      </c>
      <c r="AI53" s="44">
        <v>2</v>
      </c>
      <c r="AJ53" s="44">
        <v>2</v>
      </c>
      <c r="AK53" s="40">
        <v>1.6666666666666667</v>
      </c>
      <c r="AL53" s="41">
        <v>2</v>
      </c>
      <c r="AM53" s="20">
        <v>2</v>
      </c>
      <c r="AN53" s="20">
        <v>0</v>
      </c>
      <c r="AO53" s="42">
        <v>0</v>
      </c>
      <c r="AP53" s="20">
        <v>0</v>
      </c>
      <c r="AQ53" s="74">
        <f>AVERAGE(AM53,AN53,AO53,AP53)</f>
        <v>0.5</v>
      </c>
      <c r="AR53" s="17">
        <v>4.7142857142857139E-2</v>
      </c>
      <c r="AS53" s="17">
        <v>7</v>
      </c>
      <c r="AT53" s="22">
        <v>0</v>
      </c>
      <c r="AU53" s="20">
        <v>1</v>
      </c>
      <c r="AV53" s="23">
        <v>1</v>
      </c>
      <c r="AW53" s="40">
        <v>0.66666666666666663</v>
      </c>
      <c r="AX53" s="41">
        <v>0.25</v>
      </c>
      <c r="AY53" s="20">
        <v>1</v>
      </c>
      <c r="AZ53" s="20">
        <v>0</v>
      </c>
      <c r="BA53" s="42">
        <v>0</v>
      </c>
      <c r="BB53" s="20">
        <v>0</v>
      </c>
      <c r="BC53" s="74">
        <f t="shared" si="8"/>
        <v>0.25</v>
      </c>
      <c r="BD53" s="77">
        <v>1.8333333333333333E-2</v>
      </c>
      <c r="BE53" s="77">
        <v>6</v>
      </c>
      <c r="BF53" s="44">
        <v>0</v>
      </c>
      <c r="BG53" s="44">
        <v>0</v>
      </c>
      <c r="BH53" s="44">
        <v>0</v>
      </c>
      <c r="BI53" s="40">
        <v>0</v>
      </c>
      <c r="BJ53" s="41">
        <v>0</v>
      </c>
    </row>
    <row r="54" spans="1:62" x14ac:dyDescent="0.15">
      <c r="A54" s="54">
        <v>173</v>
      </c>
      <c r="B54" s="61">
        <v>-1</v>
      </c>
      <c r="C54" s="62">
        <v>1</v>
      </c>
      <c r="D54" s="20">
        <v>8</v>
      </c>
      <c r="E54" s="20">
        <v>3</v>
      </c>
      <c r="F54" s="42">
        <v>4</v>
      </c>
      <c r="G54" s="20">
        <v>3</v>
      </c>
      <c r="H54" s="74">
        <f t="shared" si="11"/>
        <v>4.5</v>
      </c>
      <c r="I54" s="22">
        <v>6</v>
      </c>
      <c r="J54" s="20">
        <v>5</v>
      </c>
      <c r="K54" s="23">
        <v>6</v>
      </c>
      <c r="L54" s="20">
        <v>4.666666666666667</v>
      </c>
      <c r="M54" s="41">
        <v>4.5</v>
      </c>
      <c r="N54" s="72">
        <f t="shared" si="6"/>
        <v>4.5</v>
      </c>
      <c r="O54" s="20">
        <v>9</v>
      </c>
      <c r="P54" s="20">
        <v>1</v>
      </c>
      <c r="Q54" s="42">
        <v>5</v>
      </c>
      <c r="R54" s="20">
        <v>3</v>
      </c>
      <c r="S54" s="75">
        <f t="shared" si="7"/>
        <v>4.5</v>
      </c>
      <c r="T54" s="17">
        <v>3.7571428571428571</v>
      </c>
      <c r="U54" s="17">
        <v>7</v>
      </c>
      <c r="V54" s="22">
        <v>4</v>
      </c>
      <c r="W54" s="20">
        <v>4</v>
      </c>
      <c r="X54" s="23">
        <v>7</v>
      </c>
      <c r="Y54" s="40">
        <v>3</v>
      </c>
      <c r="Z54" s="41">
        <v>3.5</v>
      </c>
      <c r="AA54" s="20">
        <v>6</v>
      </c>
      <c r="AB54" s="20">
        <v>5</v>
      </c>
      <c r="AC54" s="42">
        <v>5</v>
      </c>
      <c r="AD54" s="20">
        <v>5</v>
      </c>
      <c r="AE54" s="74">
        <f t="shared" si="9"/>
        <v>5.25</v>
      </c>
      <c r="AF54" s="17">
        <v>2.8928571428571428</v>
      </c>
      <c r="AG54" s="17">
        <v>7</v>
      </c>
      <c r="AH54" s="44">
        <v>4</v>
      </c>
      <c r="AI54" s="44">
        <v>3</v>
      </c>
      <c r="AJ54" s="44">
        <v>2</v>
      </c>
      <c r="AK54" s="40">
        <v>2.3333333333333335</v>
      </c>
      <c r="AL54" s="41">
        <v>3.5</v>
      </c>
      <c r="AM54" s="20">
        <v>7</v>
      </c>
      <c r="AN54" s="20">
        <v>2</v>
      </c>
      <c r="AO54" s="42">
        <v>4</v>
      </c>
      <c r="AP54" s="20">
        <v>3</v>
      </c>
      <c r="AQ54" s="74">
        <f>AVERAGE(AM54,AN54,AO54,AP54)</f>
        <v>4</v>
      </c>
      <c r="AR54" s="17">
        <v>3.0185714285714291</v>
      </c>
      <c r="AS54" s="17">
        <v>7</v>
      </c>
      <c r="AT54" s="22">
        <v>3</v>
      </c>
      <c r="AU54" s="20">
        <v>2</v>
      </c>
      <c r="AV54" s="23">
        <v>4</v>
      </c>
      <c r="AW54" s="40">
        <v>1.6666666666666667</v>
      </c>
      <c r="AX54" s="41">
        <v>2.25</v>
      </c>
      <c r="AY54" s="20">
        <v>8</v>
      </c>
      <c r="AZ54" s="20">
        <v>1</v>
      </c>
      <c r="BA54" s="42">
        <v>4</v>
      </c>
      <c r="BB54" s="20">
        <v>4</v>
      </c>
      <c r="BC54" s="74">
        <f t="shared" si="8"/>
        <v>4.25</v>
      </c>
      <c r="BD54" s="77">
        <v>3.3000000000000003</v>
      </c>
      <c r="BE54" s="77">
        <v>6</v>
      </c>
      <c r="BF54" s="44">
        <v>5</v>
      </c>
      <c r="BG54" s="44">
        <v>3</v>
      </c>
      <c r="BH54" s="44">
        <v>5</v>
      </c>
      <c r="BI54" s="40">
        <v>3</v>
      </c>
      <c r="BJ54" s="41">
        <v>3.75</v>
      </c>
    </row>
    <row r="55" spans="1:62" x14ac:dyDescent="0.15">
      <c r="A55" s="52">
        <v>174</v>
      </c>
      <c r="B55" s="57">
        <v>1</v>
      </c>
      <c r="C55" s="58">
        <v>1</v>
      </c>
      <c r="D55" s="20">
        <v>6</v>
      </c>
      <c r="E55" s="20">
        <v>1</v>
      </c>
      <c r="F55" s="46">
        <v>3</v>
      </c>
      <c r="G55" s="20">
        <v>3</v>
      </c>
      <c r="H55" s="74">
        <f t="shared" si="11"/>
        <v>3.25</v>
      </c>
      <c r="I55" s="22">
        <v>6</v>
      </c>
      <c r="J55" s="20">
        <v>5</v>
      </c>
      <c r="K55" s="23">
        <v>4</v>
      </c>
      <c r="L55" s="20">
        <v>4.666666666666667</v>
      </c>
      <c r="M55" s="41">
        <v>3.5</v>
      </c>
      <c r="N55" s="72">
        <f t="shared" si="6"/>
        <v>2</v>
      </c>
      <c r="O55" s="20">
        <v>4</v>
      </c>
      <c r="P55" s="20">
        <v>0</v>
      </c>
      <c r="Q55" s="42">
        <v>1</v>
      </c>
      <c r="R55" s="20">
        <v>1</v>
      </c>
      <c r="S55" s="75">
        <f t="shared" si="7"/>
        <v>1.5</v>
      </c>
      <c r="T55" s="17">
        <v>1.0449999999999999</v>
      </c>
      <c r="U55" s="17">
        <v>6</v>
      </c>
      <c r="V55" s="22">
        <v>3</v>
      </c>
      <c r="W55" s="20">
        <v>3</v>
      </c>
      <c r="X55" s="23">
        <v>0</v>
      </c>
      <c r="Y55" s="40">
        <v>1.6666666666666667</v>
      </c>
      <c r="Z55" s="41">
        <v>1</v>
      </c>
      <c r="AA55" s="20">
        <v>1</v>
      </c>
      <c r="AB55" s="20">
        <v>0</v>
      </c>
      <c r="AC55" s="42">
        <v>0</v>
      </c>
      <c r="AD55" s="20">
        <v>0</v>
      </c>
      <c r="AE55" s="74">
        <f t="shared" si="9"/>
        <v>0.25</v>
      </c>
      <c r="AF55" s="17">
        <v>8.199999999999999E-2</v>
      </c>
      <c r="AG55" s="17">
        <v>5</v>
      </c>
      <c r="AH55" s="44">
        <v>0</v>
      </c>
      <c r="AI55" s="44">
        <v>0</v>
      </c>
      <c r="AJ55" s="44">
        <v>0</v>
      </c>
      <c r="AK55" s="40">
        <v>0</v>
      </c>
      <c r="AL55" s="41">
        <v>0.25</v>
      </c>
      <c r="AM55" s="20">
        <v>3</v>
      </c>
      <c r="AN55" s="20">
        <v>0</v>
      </c>
      <c r="AO55" s="42">
        <v>1</v>
      </c>
      <c r="AP55" s="20">
        <v>0</v>
      </c>
      <c r="AQ55" s="74">
        <f>AVERAGE(AM55,AN55,AO55,AP55)</f>
        <v>1</v>
      </c>
      <c r="AR55" s="17">
        <v>2.2857142857142857E-2</v>
      </c>
      <c r="AS55" s="17">
        <v>7</v>
      </c>
      <c r="AT55" s="22">
        <v>0</v>
      </c>
      <c r="AU55" s="20">
        <v>0</v>
      </c>
      <c r="AV55" s="23">
        <v>0</v>
      </c>
      <c r="AW55" s="40">
        <v>0</v>
      </c>
      <c r="AX55" s="41">
        <v>0</v>
      </c>
      <c r="AY55" s="20">
        <v>1</v>
      </c>
      <c r="AZ55" s="20">
        <v>0</v>
      </c>
      <c r="BA55" s="42">
        <v>0</v>
      </c>
      <c r="BB55" s="20">
        <v>0</v>
      </c>
      <c r="BC55" s="74">
        <f t="shared" si="8"/>
        <v>0.25</v>
      </c>
      <c r="BD55" s="77">
        <v>0</v>
      </c>
      <c r="BE55" s="77">
        <v>7</v>
      </c>
      <c r="BF55" s="44">
        <v>0</v>
      </c>
      <c r="BG55" s="44">
        <v>0</v>
      </c>
      <c r="BH55" s="44">
        <v>0</v>
      </c>
      <c r="BI55" s="40">
        <v>0</v>
      </c>
      <c r="BJ55" s="41">
        <v>0</v>
      </c>
    </row>
    <row r="56" spans="1:62" x14ac:dyDescent="0.15">
      <c r="A56" s="52">
        <v>175</v>
      </c>
      <c r="B56" s="57">
        <v>1</v>
      </c>
      <c r="C56" s="58">
        <v>1</v>
      </c>
      <c r="D56" s="20">
        <v>4</v>
      </c>
      <c r="E56" s="20">
        <v>0</v>
      </c>
      <c r="F56" s="42">
        <v>5</v>
      </c>
      <c r="G56" s="20">
        <v>2</v>
      </c>
      <c r="H56" s="74">
        <f t="shared" si="11"/>
        <v>2.75</v>
      </c>
      <c r="I56" s="22">
        <v>3</v>
      </c>
      <c r="J56" s="20">
        <v>3</v>
      </c>
      <c r="K56" s="23">
        <v>3</v>
      </c>
      <c r="L56" s="20">
        <v>3</v>
      </c>
      <c r="M56" s="41">
        <v>4</v>
      </c>
      <c r="N56" s="72">
        <f t="shared" si="6"/>
        <v>3.5</v>
      </c>
      <c r="O56" s="20">
        <v>4</v>
      </c>
      <c r="P56" s="20">
        <v>1</v>
      </c>
      <c r="Q56" s="42">
        <v>2</v>
      </c>
      <c r="R56" s="20">
        <v>1</v>
      </c>
      <c r="S56" s="75">
        <f t="shared" si="7"/>
        <v>2</v>
      </c>
      <c r="T56" s="17">
        <v>0.68142857142857149</v>
      </c>
      <c r="U56" s="17">
        <v>7</v>
      </c>
      <c r="V56" s="22">
        <v>1</v>
      </c>
      <c r="W56" s="20">
        <v>1</v>
      </c>
      <c r="X56" s="23">
        <v>2</v>
      </c>
      <c r="Y56" s="40">
        <v>1</v>
      </c>
      <c r="Z56" s="41">
        <v>1.25</v>
      </c>
      <c r="AA56" s="20">
        <v>4</v>
      </c>
      <c r="AB56" s="20">
        <v>1</v>
      </c>
      <c r="AC56" s="42">
        <v>3</v>
      </c>
      <c r="AD56" s="20">
        <v>2</v>
      </c>
      <c r="AE56" s="74">
        <f t="shared" si="9"/>
        <v>2.5</v>
      </c>
      <c r="AF56" s="17">
        <v>2.0233333333333334</v>
      </c>
      <c r="AG56" s="17">
        <v>3</v>
      </c>
      <c r="AH56" s="44">
        <v>3</v>
      </c>
      <c r="AI56" s="44">
        <v>5</v>
      </c>
      <c r="AJ56" s="44">
        <v>2</v>
      </c>
      <c r="AK56" s="40">
        <v>2.3333333333333335</v>
      </c>
      <c r="AL56" s="41">
        <v>2.75</v>
      </c>
      <c r="AM56" s="20">
        <v>7</v>
      </c>
      <c r="AN56" s="20">
        <v>1</v>
      </c>
      <c r="AO56" s="42">
        <v>3</v>
      </c>
      <c r="AP56" s="20">
        <v>4</v>
      </c>
      <c r="AQ56" s="74">
        <f>AVERAGE(AM56,AN56,AO56,AP56)</f>
        <v>3.75</v>
      </c>
      <c r="AR56" s="17">
        <v>1.1533333333333333</v>
      </c>
      <c r="AS56" s="17">
        <v>6</v>
      </c>
      <c r="AT56" s="22">
        <v>5</v>
      </c>
      <c r="AU56" s="20">
        <v>3</v>
      </c>
      <c r="AV56" s="23">
        <v>3</v>
      </c>
      <c r="AW56" s="40">
        <v>2.3333333333333335</v>
      </c>
      <c r="AX56" s="41">
        <v>3.75</v>
      </c>
      <c r="AY56" s="20">
        <v>5</v>
      </c>
      <c r="AZ56" s="20">
        <v>1</v>
      </c>
      <c r="BA56" s="42">
        <v>3</v>
      </c>
      <c r="BB56" s="20">
        <v>2</v>
      </c>
      <c r="BC56" s="74">
        <f t="shared" si="8"/>
        <v>2.75</v>
      </c>
      <c r="BD56" s="77">
        <v>1.988</v>
      </c>
      <c r="BE56" s="77">
        <v>5</v>
      </c>
      <c r="BF56" s="44">
        <v>3</v>
      </c>
      <c r="BG56" s="44">
        <v>3</v>
      </c>
      <c r="BH56" s="44">
        <v>2</v>
      </c>
      <c r="BI56" s="40">
        <v>2.6666666666666665</v>
      </c>
      <c r="BJ56" s="41">
        <v>3.25</v>
      </c>
    </row>
    <row r="57" spans="1:62" x14ac:dyDescent="0.15">
      <c r="A57" s="36">
        <v>177</v>
      </c>
      <c r="B57" s="57">
        <v>-1</v>
      </c>
      <c r="C57" s="58">
        <v>1</v>
      </c>
      <c r="D57" s="20">
        <v>8</v>
      </c>
      <c r="E57" s="20">
        <v>2</v>
      </c>
      <c r="F57" s="42">
        <v>4</v>
      </c>
      <c r="G57" s="20">
        <v>6</v>
      </c>
      <c r="H57" s="74">
        <f t="shared" si="11"/>
        <v>5</v>
      </c>
      <c r="I57" s="22">
        <v>4</v>
      </c>
      <c r="J57" s="20">
        <v>4</v>
      </c>
      <c r="K57" s="23">
        <v>4</v>
      </c>
      <c r="L57" s="20">
        <v>3.3333333333333335</v>
      </c>
      <c r="M57" s="41">
        <v>4.75</v>
      </c>
      <c r="N57" s="72">
        <f t="shared" si="6"/>
        <v>4.1749999999999998</v>
      </c>
      <c r="O57" s="17">
        <v>7.37</v>
      </c>
      <c r="P57" s="17">
        <v>1.36</v>
      </c>
      <c r="Q57" s="30">
        <v>4.3499999999999996</v>
      </c>
      <c r="R57" s="17">
        <v>5.93</v>
      </c>
      <c r="S57" s="75">
        <f t="shared" si="7"/>
        <v>4.7524999999999995</v>
      </c>
      <c r="T57" s="17">
        <v>4.54</v>
      </c>
      <c r="U57" s="17">
        <v>7</v>
      </c>
      <c r="V57" s="22" t="s">
        <v>155</v>
      </c>
      <c r="W57" s="20" t="s">
        <v>155</v>
      </c>
      <c r="X57" s="23" t="s">
        <v>155</v>
      </c>
      <c r="Y57" s="40" t="s">
        <v>155</v>
      </c>
      <c r="Z57" s="41" t="s">
        <v>155</v>
      </c>
      <c r="AA57" s="20">
        <v>7</v>
      </c>
      <c r="AB57" s="20">
        <v>2</v>
      </c>
      <c r="AC57" s="42">
        <v>5</v>
      </c>
      <c r="AD57" s="20">
        <v>6</v>
      </c>
      <c r="AE57" s="74">
        <f t="shared" si="9"/>
        <v>5</v>
      </c>
      <c r="AF57" s="17">
        <v>5.4816666666666665</v>
      </c>
      <c r="AG57" s="17">
        <v>6</v>
      </c>
      <c r="AH57" s="44">
        <v>3</v>
      </c>
      <c r="AI57" s="44">
        <v>4</v>
      </c>
      <c r="AJ57" s="44">
        <v>3</v>
      </c>
      <c r="AK57" s="40">
        <v>2.6666666666666665</v>
      </c>
      <c r="AL57" s="41">
        <v>3.5</v>
      </c>
      <c r="AM57" s="20">
        <v>7</v>
      </c>
      <c r="AN57" s="20">
        <v>3</v>
      </c>
      <c r="AO57" s="42">
        <v>5</v>
      </c>
      <c r="AP57" s="20">
        <v>4</v>
      </c>
      <c r="AQ57" s="74">
        <f>AVERAGE(AM57,AN57,AO57,AP57)</f>
        <v>4.75</v>
      </c>
      <c r="AR57" s="17">
        <v>6.5250000000000012</v>
      </c>
      <c r="AS57" s="17">
        <v>6</v>
      </c>
      <c r="AT57" s="22">
        <v>3</v>
      </c>
      <c r="AU57" s="20">
        <v>4</v>
      </c>
      <c r="AV57" s="23">
        <v>4</v>
      </c>
      <c r="AW57" s="40">
        <v>2</v>
      </c>
      <c r="AX57" s="41">
        <v>3.25</v>
      </c>
      <c r="AY57" s="20">
        <v>6</v>
      </c>
      <c r="AZ57" s="20">
        <v>3</v>
      </c>
      <c r="BA57" s="42">
        <v>4</v>
      </c>
      <c r="BB57" s="20">
        <v>4</v>
      </c>
      <c r="BC57" s="74">
        <f t="shared" si="8"/>
        <v>4.25</v>
      </c>
      <c r="BD57" s="77">
        <v>4.7219999999999995</v>
      </c>
      <c r="BE57" s="77">
        <v>5</v>
      </c>
      <c r="BF57" s="44">
        <v>2</v>
      </c>
      <c r="BG57" s="44">
        <v>3</v>
      </c>
      <c r="BH57" s="44">
        <v>1</v>
      </c>
      <c r="BI57" s="40">
        <v>1.3333333333333333</v>
      </c>
      <c r="BJ57" s="41">
        <v>2.25</v>
      </c>
    </row>
    <row r="58" spans="1:62" x14ac:dyDescent="0.15">
      <c r="A58" s="52">
        <v>178</v>
      </c>
      <c r="B58" s="57">
        <v>-1</v>
      </c>
      <c r="C58" s="58">
        <v>1</v>
      </c>
      <c r="D58" s="20">
        <v>7</v>
      </c>
      <c r="E58" s="20">
        <v>3</v>
      </c>
      <c r="F58" s="42">
        <v>5</v>
      </c>
      <c r="G58" s="20">
        <v>6</v>
      </c>
      <c r="H58" s="74">
        <f t="shared" si="11"/>
        <v>5.25</v>
      </c>
      <c r="I58" s="22">
        <v>9</v>
      </c>
      <c r="J58" s="20">
        <v>7</v>
      </c>
      <c r="K58" s="23">
        <v>5</v>
      </c>
      <c r="L58" s="20">
        <v>5.333333333333333</v>
      </c>
      <c r="M58" s="41">
        <v>7</v>
      </c>
      <c r="N58" s="72">
        <f t="shared" si="6"/>
        <v>5.5</v>
      </c>
      <c r="O58" s="20">
        <v>7</v>
      </c>
      <c r="P58" s="20">
        <v>4</v>
      </c>
      <c r="Q58" s="42">
        <v>6</v>
      </c>
      <c r="R58" s="20">
        <v>6</v>
      </c>
      <c r="S58" s="75">
        <f t="shared" si="7"/>
        <v>5.75</v>
      </c>
      <c r="T58" s="86" t="s">
        <v>155</v>
      </c>
      <c r="U58" s="86">
        <v>0</v>
      </c>
      <c r="V58" s="22">
        <v>6</v>
      </c>
      <c r="W58" s="20">
        <v>5</v>
      </c>
      <c r="X58" s="23">
        <v>7</v>
      </c>
      <c r="Y58" s="40">
        <v>6.333333333333333</v>
      </c>
      <c r="Z58" s="41">
        <v>6</v>
      </c>
      <c r="AA58" s="20">
        <v>8</v>
      </c>
      <c r="AB58" s="20">
        <v>4</v>
      </c>
      <c r="AC58" s="42">
        <v>6</v>
      </c>
      <c r="AD58" s="20">
        <v>7</v>
      </c>
      <c r="AE58" s="74">
        <f t="shared" si="9"/>
        <v>6.25</v>
      </c>
      <c r="AF58" s="17">
        <v>7.16</v>
      </c>
      <c r="AG58" s="17">
        <v>1</v>
      </c>
      <c r="AH58" s="44">
        <v>8</v>
      </c>
      <c r="AI58" s="44">
        <v>8</v>
      </c>
      <c r="AJ58" s="44">
        <v>7</v>
      </c>
      <c r="AK58" s="40">
        <v>7</v>
      </c>
      <c r="AL58" s="41">
        <v>7.75</v>
      </c>
      <c r="AM58" s="20">
        <v>7</v>
      </c>
      <c r="AN58" s="20">
        <v>5</v>
      </c>
      <c r="AO58" s="42">
        <v>5</v>
      </c>
      <c r="AP58" s="20">
        <v>5</v>
      </c>
      <c r="AQ58" s="74">
        <f>AVERAGE(AM58,AN58,AO58,AP58)</f>
        <v>5.5</v>
      </c>
      <c r="AR58" s="17">
        <v>5.77</v>
      </c>
      <c r="AS58" s="17">
        <v>4</v>
      </c>
      <c r="AT58" s="22">
        <v>6</v>
      </c>
      <c r="AU58" s="20">
        <v>8</v>
      </c>
      <c r="AV58" s="23">
        <v>8</v>
      </c>
      <c r="AW58" s="40">
        <v>5</v>
      </c>
      <c r="AX58" s="41">
        <v>5.25</v>
      </c>
      <c r="AY58" s="20">
        <v>7</v>
      </c>
      <c r="AZ58" s="20">
        <v>5</v>
      </c>
      <c r="BA58" s="42">
        <v>6</v>
      </c>
      <c r="BB58" s="20">
        <v>6</v>
      </c>
      <c r="BC58" s="74">
        <f t="shared" si="8"/>
        <v>6</v>
      </c>
      <c r="BD58" s="77">
        <v>6.3620000000000001</v>
      </c>
      <c r="BE58" s="77">
        <v>5</v>
      </c>
      <c r="BF58" s="44">
        <v>5</v>
      </c>
      <c r="BG58" s="44">
        <v>7</v>
      </c>
      <c r="BH58" s="44">
        <v>6</v>
      </c>
      <c r="BI58" s="40">
        <v>6.333333333333333</v>
      </c>
      <c r="BJ58" s="41">
        <v>5.25</v>
      </c>
    </row>
    <row r="59" spans="1:62" x14ac:dyDescent="0.15">
      <c r="A59" s="52">
        <v>179</v>
      </c>
      <c r="B59" s="57">
        <v>1</v>
      </c>
      <c r="C59" s="58">
        <v>1</v>
      </c>
      <c r="D59" s="20">
        <v>4</v>
      </c>
      <c r="E59" s="20">
        <v>2</v>
      </c>
      <c r="F59" s="46">
        <v>3</v>
      </c>
      <c r="G59" s="20">
        <v>2</v>
      </c>
      <c r="H59" s="74">
        <f t="shared" si="11"/>
        <v>2.75</v>
      </c>
      <c r="I59" s="22">
        <v>3</v>
      </c>
      <c r="J59" s="20">
        <v>3</v>
      </c>
      <c r="K59" s="23">
        <v>1</v>
      </c>
      <c r="L59" s="20">
        <v>1.6666666666666667</v>
      </c>
      <c r="M59" s="41">
        <v>2.25</v>
      </c>
      <c r="N59" s="72">
        <f t="shared" si="6"/>
        <v>3</v>
      </c>
      <c r="O59" s="20">
        <v>5</v>
      </c>
      <c r="P59" s="20">
        <v>2</v>
      </c>
      <c r="Q59" s="42">
        <v>3</v>
      </c>
      <c r="R59" s="20">
        <v>4</v>
      </c>
      <c r="S59" s="75">
        <f t="shared" si="7"/>
        <v>3.5</v>
      </c>
      <c r="T59" s="17">
        <v>2.17</v>
      </c>
      <c r="U59" s="17">
        <v>4</v>
      </c>
      <c r="V59" s="22">
        <v>1</v>
      </c>
      <c r="W59" s="20">
        <v>2</v>
      </c>
      <c r="X59" s="23">
        <v>2</v>
      </c>
      <c r="Y59" s="40">
        <v>1.6666666666666667</v>
      </c>
      <c r="Z59" s="41">
        <v>0.75</v>
      </c>
      <c r="AA59" s="20">
        <v>3</v>
      </c>
      <c r="AB59" s="20">
        <v>1</v>
      </c>
      <c r="AC59" s="42">
        <v>2</v>
      </c>
      <c r="AD59" s="20">
        <v>1</v>
      </c>
      <c r="AE59" s="74">
        <f t="shared" si="9"/>
        <v>1.75</v>
      </c>
      <c r="AF59" s="17">
        <v>1.9375</v>
      </c>
      <c r="AG59" s="17">
        <v>4</v>
      </c>
      <c r="AH59" s="44">
        <v>0</v>
      </c>
      <c r="AI59" s="44">
        <v>1</v>
      </c>
      <c r="AJ59" s="44">
        <v>0</v>
      </c>
      <c r="AK59" s="40">
        <v>0.66666666666666663</v>
      </c>
      <c r="AL59" s="41">
        <v>0</v>
      </c>
      <c r="AM59" s="20">
        <v>3</v>
      </c>
      <c r="AN59" s="20">
        <v>2</v>
      </c>
      <c r="AO59" s="42">
        <v>2</v>
      </c>
      <c r="AP59" s="20">
        <v>4</v>
      </c>
      <c r="AQ59" s="74">
        <f>AVERAGE(AM59,AN59,AO59,AP59)</f>
        <v>2.75</v>
      </c>
      <c r="AR59" s="17">
        <v>2.3566666666666669</v>
      </c>
      <c r="AS59" s="17">
        <v>3</v>
      </c>
      <c r="AT59" s="22">
        <v>0</v>
      </c>
      <c r="AU59" s="20">
        <v>2</v>
      </c>
      <c r="AV59" s="23">
        <v>0</v>
      </c>
      <c r="AW59" s="40">
        <v>1.3333333333333333</v>
      </c>
      <c r="AX59" s="41">
        <v>0</v>
      </c>
      <c r="AY59" s="20">
        <v>4</v>
      </c>
      <c r="AZ59" s="20">
        <v>0</v>
      </c>
      <c r="BA59" s="42">
        <v>1</v>
      </c>
      <c r="BB59" s="20">
        <v>0</v>
      </c>
      <c r="BC59" s="74">
        <f t="shared" si="8"/>
        <v>1.25</v>
      </c>
      <c r="BD59" s="77" t="s">
        <v>155</v>
      </c>
      <c r="BE59" s="77">
        <v>0</v>
      </c>
      <c r="BF59" s="44">
        <v>0</v>
      </c>
      <c r="BG59" s="44">
        <v>1</v>
      </c>
      <c r="BH59" s="44">
        <v>0</v>
      </c>
      <c r="BI59" s="40">
        <v>0.33333333333333331</v>
      </c>
      <c r="BJ59" s="41">
        <v>0</v>
      </c>
    </row>
    <row r="60" spans="1:62" s="21" customFormat="1" ht="17" thickBot="1" x14ac:dyDescent="0.2">
      <c r="A60" s="52">
        <v>180</v>
      </c>
      <c r="B60" s="57">
        <v>-1</v>
      </c>
      <c r="C60" s="58">
        <v>1</v>
      </c>
      <c r="D60" s="20" t="s">
        <v>155</v>
      </c>
      <c r="E60" s="20" t="s">
        <v>155</v>
      </c>
      <c r="F60" s="42" t="s">
        <v>155</v>
      </c>
      <c r="G60" s="20" t="s">
        <v>155</v>
      </c>
      <c r="H60" s="74" t="s">
        <v>155</v>
      </c>
      <c r="I60" s="22" t="s">
        <v>155</v>
      </c>
      <c r="J60" s="20" t="s">
        <v>155</v>
      </c>
      <c r="K60" s="23" t="s">
        <v>155</v>
      </c>
      <c r="L60" s="20" t="s">
        <v>155</v>
      </c>
      <c r="M60" s="41" t="s">
        <v>155</v>
      </c>
      <c r="N60" s="72">
        <f t="shared" si="6"/>
        <v>6</v>
      </c>
      <c r="O60" s="20">
        <v>8</v>
      </c>
      <c r="P60" s="20">
        <v>4</v>
      </c>
      <c r="Q60" s="42">
        <v>6</v>
      </c>
      <c r="R60" s="20">
        <v>6</v>
      </c>
      <c r="S60" s="75">
        <f t="shared" si="7"/>
        <v>6</v>
      </c>
      <c r="T60" s="83">
        <v>4.4933333333333332</v>
      </c>
      <c r="U60" s="83">
        <v>3</v>
      </c>
      <c r="V60" s="22">
        <v>8</v>
      </c>
      <c r="W60" s="20">
        <v>8</v>
      </c>
      <c r="X60" s="23">
        <v>8</v>
      </c>
      <c r="Y60" s="40">
        <v>6.333333333333333</v>
      </c>
      <c r="Z60" s="41">
        <v>8</v>
      </c>
      <c r="AA60" s="20">
        <v>8</v>
      </c>
      <c r="AB60" s="20">
        <v>5</v>
      </c>
      <c r="AC60" s="42">
        <v>7</v>
      </c>
      <c r="AD60" s="20">
        <v>7</v>
      </c>
      <c r="AE60" s="74">
        <f t="shared" si="9"/>
        <v>6.75</v>
      </c>
      <c r="AF60" s="17">
        <v>4.8733333333333331</v>
      </c>
      <c r="AG60" s="17">
        <v>6</v>
      </c>
      <c r="AH60" s="44">
        <v>6</v>
      </c>
      <c r="AI60" s="44">
        <v>7</v>
      </c>
      <c r="AJ60" s="44">
        <v>9</v>
      </c>
      <c r="AK60" s="40">
        <v>6.333333333333333</v>
      </c>
      <c r="AL60" s="41">
        <v>7.5</v>
      </c>
      <c r="AM60" s="44">
        <v>9</v>
      </c>
      <c r="AN60" s="44">
        <v>3</v>
      </c>
      <c r="AO60" s="45">
        <v>6</v>
      </c>
      <c r="AP60" s="44">
        <v>7</v>
      </c>
      <c r="AQ60" s="74">
        <f>AVERAGE(AM60,AN60,AO60,AP60)</f>
        <v>6.25</v>
      </c>
      <c r="AR60" s="17">
        <v>4.9249999999999998</v>
      </c>
      <c r="AS60" s="17">
        <v>4</v>
      </c>
      <c r="AT60" s="22">
        <v>6</v>
      </c>
      <c r="AU60" s="20">
        <v>7</v>
      </c>
      <c r="AV60" s="23">
        <v>8</v>
      </c>
      <c r="AW60" s="17">
        <v>6.333333333333333</v>
      </c>
      <c r="AX60" s="18">
        <v>6.5</v>
      </c>
      <c r="AY60" s="20">
        <v>8</v>
      </c>
      <c r="AZ60" s="20">
        <v>4</v>
      </c>
      <c r="BA60" s="42">
        <v>6</v>
      </c>
      <c r="BB60" s="20">
        <v>7</v>
      </c>
      <c r="BC60" s="74">
        <f t="shared" si="8"/>
        <v>6.25</v>
      </c>
      <c r="BD60" s="77">
        <v>4.7880000000000003</v>
      </c>
      <c r="BE60" s="77">
        <v>5</v>
      </c>
      <c r="BF60" s="44">
        <v>7</v>
      </c>
      <c r="BG60" s="44">
        <v>8</v>
      </c>
      <c r="BH60" s="44">
        <v>9</v>
      </c>
      <c r="BI60" s="40">
        <v>6.333333333333333</v>
      </c>
      <c r="BJ60" s="41">
        <v>7.5</v>
      </c>
    </row>
    <row r="61" spans="1:62" ht="17" thickTop="1" x14ac:dyDescent="0.15">
      <c r="A61" s="52">
        <v>181</v>
      </c>
      <c r="B61" s="57">
        <v>1</v>
      </c>
      <c r="C61" s="58">
        <v>1</v>
      </c>
      <c r="D61" s="20">
        <v>7</v>
      </c>
      <c r="E61" s="20">
        <v>3</v>
      </c>
      <c r="F61" s="42">
        <v>5</v>
      </c>
      <c r="G61" s="20">
        <v>4</v>
      </c>
      <c r="H61" s="74">
        <f>AVERAGE(D61:G61)</f>
        <v>4.75</v>
      </c>
      <c r="I61" s="22">
        <v>4</v>
      </c>
      <c r="J61" s="20">
        <v>6</v>
      </c>
      <c r="K61" s="23">
        <v>3</v>
      </c>
      <c r="L61" s="20">
        <v>4.333333333333333</v>
      </c>
      <c r="M61" s="41">
        <v>4</v>
      </c>
      <c r="N61" s="72">
        <f t="shared" si="6"/>
        <v>5</v>
      </c>
      <c r="O61" s="20">
        <v>7</v>
      </c>
      <c r="P61" s="20">
        <v>3</v>
      </c>
      <c r="Q61" s="42">
        <v>5</v>
      </c>
      <c r="R61" s="20">
        <v>5</v>
      </c>
      <c r="S61" s="75">
        <f t="shared" si="7"/>
        <v>5</v>
      </c>
      <c r="T61" s="17">
        <v>5.53</v>
      </c>
      <c r="U61" s="17">
        <v>1</v>
      </c>
      <c r="V61" s="22">
        <v>5</v>
      </c>
      <c r="W61" s="20">
        <v>6</v>
      </c>
      <c r="X61" s="23">
        <v>3</v>
      </c>
      <c r="Y61" s="40">
        <v>4</v>
      </c>
      <c r="Z61" s="41">
        <v>4.25</v>
      </c>
      <c r="AA61" s="20">
        <v>3</v>
      </c>
      <c r="AB61" s="20">
        <v>1</v>
      </c>
      <c r="AC61" s="42">
        <v>3</v>
      </c>
      <c r="AD61" s="20">
        <v>2</v>
      </c>
      <c r="AE61" s="74">
        <f t="shared" si="9"/>
        <v>2.25</v>
      </c>
      <c r="AF61" s="17">
        <v>1.9319999999999999</v>
      </c>
      <c r="AG61" s="17">
        <v>5</v>
      </c>
      <c r="AH61" s="44">
        <v>3</v>
      </c>
      <c r="AI61" s="44">
        <v>4</v>
      </c>
      <c r="AJ61" s="44">
        <v>3</v>
      </c>
      <c r="AK61" s="40">
        <v>2.6666666666666665</v>
      </c>
      <c r="AL61" s="41">
        <v>3</v>
      </c>
      <c r="AM61" s="20">
        <v>6</v>
      </c>
      <c r="AN61" s="20">
        <v>0</v>
      </c>
      <c r="AO61" s="42">
        <v>2</v>
      </c>
      <c r="AP61" s="20">
        <v>1</v>
      </c>
      <c r="AQ61" s="74">
        <f>AVERAGE(AM61,AN61,AO61,AP61)</f>
        <v>2.25</v>
      </c>
      <c r="AR61" s="17">
        <v>0.376</v>
      </c>
      <c r="AS61" s="17">
        <v>5</v>
      </c>
      <c r="AT61" s="22">
        <v>0</v>
      </c>
      <c r="AU61" s="20">
        <v>1</v>
      </c>
      <c r="AV61" s="23">
        <v>2</v>
      </c>
      <c r="AW61" s="40">
        <v>0.66666666666666663</v>
      </c>
      <c r="AX61" s="41">
        <v>0.75</v>
      </c>
      <c r="AY61" s="20">
        <v>6</v>
      </c>
      <c r="AZ61" s="20">
        <v>1</v>
      </c>
      <c r="BA61" s="42">
        <v>2</v>
      </c>
      <c r="BB61" s="20">
        <v>2</v>
      </c>
      <c r="BC61" s="74">
        <f t="shared" si="8"/>
        <v>2.75</v>
      </c>
      <c r="BD61" s="77">
        <v>0.22000000000000003</v>
      </c>
      <c r="BE61" s="77">
        <v>5</v>
      </c>
      <c r="BF61" s="44">
        <v>1</v>
      </c>
      <c r="BG61" s="44">
        <v>2</v>
      </c>
      <c r="BH61" s="44">
        <v>4</v>
      </c>
      <c r="BI61" s="40">
        <v>1.3333333333333333</v>
      </c>
      <c r="BJ61" s="41">
        <v>1.75</v>
      </c>
    </row>
    <row r="62" spans="1:62" ht="17" thickBot="1" x14ac:dyDescent="0.2">
      <c r="A62" s="52">
        <v>182</v>
      </c>
      <c r="B62" s="57">
        <v>1</v>
      </c>
      <c r="C62" s="58">
        <v>1</v>
      </c>
      <c r="D62" s="20">
        <v>5</v>
      </c>
      <c r="E62" s="20">
        <v>1</v>
      </c>
      <c r="F62" s="46">
        <v>3</v>
      </c>
      <c r="G62" s="20">
        <v>1</v>
      </c>
      <c r="H62" s="74">
        <f>AVERAGE(D62:G62)</f>
        <v>2.5</v>
      </c>
      <c r="I62" s="169">
        <v>4</v>
      </c>
      <c r="J62" s="19">
        <v>3</v>
      </c>
      <c r="K62" s="170">
        <v>1</v>
      </c>
      <c r="L62" s="20">
        <v>3.3333333333333335</v>
      </c>
      <c r="M62" s="41">
        <v>2.25</v>
      </c>
      <c r="N62" s="72">
        <f t="shared" si="6"/>
        <v>3.5</v>
      </c>
      <c r="O62" s="20">
        <v>4</v>
      </c>
      <c r="P62" s="20">
        <v>6</v>
      </c>
      <c r="Q62" s="42">
        <v>4</v>
      </c>
      <c r="R62" s="20">
        <v>3</v>
      </c>
      <c r="S62" s="75">
        <f t="shared" si="7"/>
        <v>4.25</v>
      </c>
      <c r="T62" s="86" t="s">
        <v>155</v>
      </c>
      <c r="U62" s="86">
        <v>0</v>
      </c>
      <c r="V62" s="169">
        <v>3</v>
      </c>
      <c r="W62" s="19">
        <v>3</v>
      </c>
      <c r="X62" s="170">
        <v>6</v>
      </c>
      <c r="Y62" s="40">
        <v>3</v>
      </c>
      <c r="Z62" s="41">
        <v>4</v>
      </c>
      <c r="AA62" s="20">
        <v>3</v>
      </c>
      <c r="AB62" s="20">
        <v>1</v>
      </c>
      <c r="AC62" s="42">
        <v>2</v>
      </c>
      <c r="AD62" s="20">
        <v>0</v>
      </c>
      <c r="AE62" s="74">
        <f t="shared" si="9"/>
        <v>1.5</v>
      </c>
      <c r="AF62" s="17">
        <v>1.75</v>
      </c>
      <c r="AG62" s="17">
        <v>4</v>
      </c>
      <c r="AH62" s="44">
        <v>0</v>
      </c>
      <c r="AI62" s="44">
        <v>0</v>
      </c>
      <c r="AJ62" s="44">
        <v>2</v>
      </c>
      <c r="AK62" s="40">
        <v>0.33333333333333331</v>
      </c>
      <c r="AL62" s="41">
        <v>0.5</v>
      </c>
      <c r="AM62" s="20">
        <v>3</v>
      </c>
      <c r="AN62" s="20">
        <v>0</v>
      </c>
      <c r="AO62" s="42">
        <v>2</v>
      </c>
      <c r="AP62" s="20">
        <v>1</v>
      </c>
      <c r="AQ62" s="74">
        <f>AVERAGE(AM62,AN62,AO62,AP62)</f>
        <v>1.5</v>
      </c>
      <c r="AR62" s="17">
        <v>0.46750000000000003</v>
      </c>
      <c r="AS62" s="17">
        <v>4</v>
      </c>
      <c r="AT62" s="169">
        <v>2</v>
      </c>
      <c r="AU62" s="19">
        <v>1</v>
      </c>
      <c r="AV62" s="170">
        <v>2</v>
      </c>
      <c r="AW62" s="40">
        <v>0.66666666666666663</v>
      </c>
      <c r="AX62" s="41">
        <v>1.75</v>
      </c>
      <c r="AY62" s="20">
        <v>3</v>
      </c>
      <c r="AZ62" s="20">
        <v>1</v>
      </c>
      <c r="BA62" s="42">
        <v>2</v>
      </c>
      <c r="BB62" s="20">
        <v>1</v>
      </c>
      <c r="BC62" s="74">
        <f t="shared" si="8"/>
        <v>1.75</v>
      </c>
      <c r="BD62" s="77">
        <v>0.39428571428571424</v>
      </c>
      <c r="BE62" s="77">
        <v>7</v>
      </c>
      <c r="BF62" s="44">
        <v>1</v>
      </c>
      <c r="BG62" s="44">
        <v>2</v>
      </c>
      <c r="BH62" s="44">
        <v>2</v>
      </c>
      <c r="BI62" s="40">
        <v>1.3333333333333333</v>
      </c>
      <c r="BJ62" s="41">
        <v>1</v>
      </c>
    </row>
  </sheetData>
  <conditionalFormatting sqref="C1:C62">
    <cfRule type="cellIs" dxfId="5" priority="14" operator="equal">
      <formula>0</formula>
    </cfRule>
  </conditionalFormatting>
  <conditionalFormatting sqref="T2:T62">
    <cfRule type="containsText" dxfId="4" priority="7" operator="containsText" text="NaN">
      <formula>NOT(ISERROR(SEARCH("NaN",T2)))</formula>
    </cfRule>
  </conditionalFormatting>
  <conditionalFormatting sqref="AF2:AF62">
    <cfRule type="containsText" dxfId="3" priority="6" operator="containsText" text="NaN">
      <formula>NOT(ISERROR(SEARCH("NaN",AF2)))</formula>
    </cfRule>
  </conditionalFormatting>
  <conditionalFormatting sqref="AR2:AR62">
    <cfRule type="containsText" dxfId="1" priority="5" operator="containsText" text="NaN">
      <formula>NOT(ISERROR(SEARCH("NaN",AR2)))</formula>
    </cfRule>
  </conditionalFormatting>
  <conditionalFormatting sqref="BD2:BD62">
    <cfRule type="containsText" dxfId="0" priority="4" operator="containsText" text="NaN">
      <formula>NOT(ISERROR(SEARCH("NaN",BD2)))</formula>
    </cfRule>
  </conditionalFormatting>
  <pageMargins left="0.7" right="0.7" top="0.75" bottom="0.75" header="0.3" footer="0.3"/>
  <pageSetup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948-3BE2-0A4D-B095-FED8A49FD414}">
  <sheetPr>
    <tabColor rgb="FF00B050"/>
  </sheetPr>
  <dimension ref="A1:F62"/>
  <sheetViews>
    <sheetView topLeftCell="A46" workbookViewId="0">
      <selection activeCell="K19" sqref="K19:K20"/>
    </sheetView>
  </sheetViews>
  <sheetFormatPr baseColWidth="10" defaultColWidth="11" defaultRowHeight="14" x14ac:dyDescent="0.15"/>
  <cols>
    <col min="1" max="1" width="16.83203125" style="2" customWidth="1"/>
    <col min="2" max="2" width="11" style="48"/>
    <col min="3" max="3" width="11" style="50"/>
    <col min="4" max="4" width="11" style="48"/>
    <col min="5" max="6" width="11" style="50"/>
    <col min="7" max="16384" width="11" style="3"/>
  </cols>
  <sheetData>
    <row r="1" spans="1:6" s="8" customFormat="1" ht="15" thickBot="1" x14ac:dyDescent="0.2">
      <c r="A1" s="7" t="s">
        <v>6</v>
      </c>
      <c r="B1" s="47" t="s">
        <v>116</v>
      </c>
      <c r="C1" s="49" t="s">
        <v>183</v>
      </c>
      <c r="D1" s="47" t="s">
        <v>184</v>
      </c>
      <c r="E1" s="49" t="s">
        <v>185</v>
      </c>
      <c r="F1" s="49" t="s">
        <v>186</v>
      </c>
    </row>
    <row r="2" spans="1:6" x14ac:dyDescent="0.15">
      <c r="A2" s="13">
        <v>101</v>
      </c>
      <c r="B2" s="48">
        <v>22</v>
      </c>
      <c r="C2" s="50">
        <v>27</v>
      </c>
      <c r="D2" s="48">
        <v>15</v>
      </c>
      <c r="E2" s="50" t="s">
        <v>155</v>
      </c>
      <c r="F2" s="34">
        <v>42</v>
      </c>
    </row>
    <row r="3" spans="1:6" ht="15" customHeight="1" x14ac:dyDescent="0.15">
      <c r="A3" s="13">
        <v>102</v>
      </c>
      <c r="B3" s="48">
        <v>23</v>
      </c>
      <c r="C3" s="50">
        <v>18</v>
      </c>
      <c r="D3" s="48">
        <v>26</v>
      </c>
      <c r="E3" s="50">
        <v>18</v>
      </c>
      <c r="F3" s="50">
        <v>34</v>
      </c>
    </row>
    <row r="4" spans="1:6" x14ac:dyDescent="0.15">
      <c r="A4" s="14">
        <v>103</v>
      </c>
      <c r="B4" s="48">
        <v>31</v>
      </c>
      <c r="C4" s="50">
        <v>26</v>
      </c>
      <c r="D4" s="48" t="s">
        <v>155</v>
      </c>
      <c r="E4" s="50" t="s">
        <v>155</v>
      </c>
      <c r="F4" s="50" t="s">
        <v>155</v>
      </c>
    </row>
    <row r="5" spans="1:6" x14ac:dyDescent="0.15">
      <c r="A5" s="13">
        <v>104</v>
      </c>
      <c r="B5" s="48">
        <v>13</v>
      </c>
      <c r="C5" s="50" t="s">
        <v>155</v>
      </c>
      <c r="D5" s="48">
        <v>11</v>
      </c>
      <c r="E5" s="50">
        <v>10</v>
      </c>
      <c r="F5" s="50">
        <v>25</v>
      </c>
    </row>
    <row r="6" spans="1:6" x14ac:dyDescent="0.15">
      <c r="A6" s="13">
        <v>105</v>
      </c>
      <c r="B6" s="48">
        <v>19</v>
      </c>
      <c r="C6" s="50">
        <v>30</v>
      </c>
      <c r="D6" s="48">
        <v>20</v>
      </c>
      <c r="E6" s="50">
        <v>20</v>
      </c>
      <c r="F6" s="34">
        <v>48.5</v>
      </c>
    </row>
    <row r="7" spans="1:6" x14ac:dyDescent="0.15">
      <c r="A7" s="13">
        <v>106</v>
      </c>
      <c r="B7" s="48">
        <v>4</v>
      </c>
      <c r="C7" s="50">
        <v>9</v>
      </c>
      <c r="D7" s="48">
        <v>11</v>
      </c>
      <c r="E7" s="50">
        <v>12</v>
      </c>
      <c r="F7" s="50">
        <v>25</v>
      </c>
    </row>
    <row r="8" spans="1:6" x14ac:dyDescent="0.15">
      <c r="A8" s="13">
        <v>107</v>
      </c>
      <c r="B8" s="48">
        <v>8</v>
      </c>
      <c r="C8" s="50">
        <v>2</v>
      </c>
      <c r="D8" s="48">
        <v>6</v>
      </c>
      <c r="E8" s="50">
        <v>3</v>
      </c>
      <c r="F8" s="50">
        <v>3</v>
      </c>
    </row>
    <row r="9" spans="1:6" x14ac:dyDescent="0.15">
      <c r="A9" s="13">
        <v>108</v>
      </c>
      <c r="B9" s="48" t="s">
        <v>155</v>
      </c>
      <c r="C9" s="50">
        <v>17</v>
      </c>
      <c r="D9" s="48" t="s">
        <v>155</v>
      </c>
      <c r="E9" s="50">
        <v>20</v>
      </c>
      <c r="F9" s="34">
        <v>43.833333333333336</v>
      </c>
    </row>
    <row r="10" spans="1:6" x14ac:dyDescent="0.15">
      <c r="A10" s="13">
        <v>109</v>
      </c>
      <c r="B10" s="48">
        <v>19</v>
      </c>
      <c r="C10" s="50">
        <v>22</v>
      </c>
      <c r="D10" s="48">
        <v>14</v>
      </c>
      <c r="E10" s="50">
        <v>15</v>
      </c>
      <c r="F10" s="50">
        <v>35</v>
      </c>
    </row>
    <row r="11" spans="1:6" x14ac:dyDescent="0.15">
      <c r="A11" s="13">
        <v>110</v>
      </c>
      <c r="B11" s="48">
        <v>19</v>
      </c>
      <c r="C11" s="50">
        <v>22</v>
      </c>
      <c r="D11" s="48">
        <v>22</v>
      </c>
      <c r="E11" s="50">
        <v>18</v>
      </c>
      <c r="F11" s="34">
        <v>44.666666666666664</v>
      </c>
    </row>
    <row r="12" spans="1:6" x14ac:dyDescent="0.15">
      <c r="A12" s="13">
        <v>115</v>
      </c>
      <c r="B12" s="48">
        <v>11</v>
      </c>
      <c r="C12" s="50">
        <v>17</v>
      </c>
      <c r="D12" s="48">
        <v>13</v>
      </c>
      <c r="E12" s="50">
        <v>6</v>
      </c>
      <c r="F12" s="50">
        <v>5</v>
      </c>
    </row>
    <row r="13" spans="1:6" x14ac:dyDescent="0.15">
      <c r="A13" s="13">
        <v>116</v>
      </c>
      <c r="B13" s="48">
        <v>19</v>
      </c>
      <c r="C13" s="50">
        <v>17</v>
      </c>
      <c r="D13" s="48">
        <v>8</v>
      </c>
      <c r="E13" s="50">
        <v>11</v>
      </c>
      <c r="F13" s="50">
        <v>34</v>
      </c>
    </row>
    <row r="14" spans="1:6" x14ac:dyDescent="0.15">
      <c r="A14" s="13">
        <v>118</v>
      </c>
      <c r="B14" s="48">
        <v>21</v>
      </c>
      <c r="C14" s="50">
        <v>21</v>
      </c>
      <c r="D14" s="48">
        <v>23</v>
      </c>
      <c r="E14" s="50">
        <v>18</v>
      </c>
      <c r="F14" s="50">
        <v>19</v>
      </c>
    </row>
    <row r="15" spans="1:6" x14ac:dyDescent="0.15">
      <c r="A15" s="13">
        <v>120</v>
      </c>
      <c r="B15" s="48">
        <v>36</v>
      </c>
      <c r="C15" s="51">
        <v>23</v>
      </c>
      <c r="D15" s="48" t="s">
        <v>155</v>
      </c>
      <c r="E15" s="50">
        <v>28</v>
      </c>
      <c r="F15" s="50">
        <v>17</v>
      </c>
    </row>
    <row r="16" spans="1:6" x14ac:dyDescent="0.15">
      <c r="A16" s="15">
        <v>121</v>
      </c>
      <c r="B16" s="48">
        <v>50</v>
      </c>
      <c r="C16" s="50" t="s">
        <v>155</v>
      </c>
      <c r="D16" s="48">
        <v>24</v>
      </c>
      <c r="E16" s="50">
        <v>13</v>
      </c>
      <c r="F16" s="50">
        <v>18</v>
      </c>
    </row>
    <row r="17" spans="1:6" x14ac:dyDescent="0.15">
      <c r="A17" s="13">
        <v>123</v>
      </c>
      <c r="B17" s="48">
        <v>34</v>
      </c>
      <c r="C17" s="50" t="s">
        <v>155</v>
      </c>
      <c r="D17" s="48">
        <v>15</v>
      </c>
      <c r="E17" s="50">
        <v>18</v>
      </c>
      <c r="F17" s="50">
        <v>22</v>
      </c>
    </row>
    <row r="18" spans="1:6" x14ac:dyDescent="0.15">
      <c r="A18" s="13">
        <v>125</v>
      </c>
      <c r="B18" s="48" t="s">
        <v>155</v>
      </c>
      <c r="C18" s="51">
        <v>28</v>
      </c>
      <c r="D18" s="48">
        <v>12</v>
      </c>
      <c r="E18" s="50">
        <v>5</v>
      </c>
      <c r="F18" s="50">
        <v>19</v>
      </c>
    </row>
    <row r="19" spans="1:6" x14ac:dyDescent="0.15">
      <c r="A19" s="13">
        <v>126</v>
      </c>
      <c r="B19" s="48" t="s">
        <v>155</v>
      </c>
      <c r="C19" s="50">
        <v>5</v>
      </c>
      <c r="D19" s="48">
        <v>14</v>
      </c>
      <c r="E19" s="50">
        <v>8</v>
      </c>
      <c r="F19" s="50">
        <v>7</v>
      </c>
    </row>
    <row r="20" spans="1:6" s="76" customFormat="1" x14ac:dyDescent="0.15">
      <c r="A20" s="87">
        <v>127</v>
      </c>
      <c r="B20" s="88" t="s">
        <v>155</v>
      </c>
      <c r="C20" s="88">
        <v>29</v>
      </c>
      <c r="D20" s="88" t="s">
        <v>155</v>
      </c>
      <c r="E20" s="88">
        <v>18</v>
      </c>
      <c r="F20" s="88">
        <v>17</v>
      </c>
    </row>
    <row r="21" spans="1:6" x14ac:dyDescent="0.15">
      <c r="A21" s="13">
        <v>128</v>
      </c>
      <c r="B21" s="48">
        <v>28</v>
      </c>
      <c r="C21" s="50">
        <v>16</v>
      </c>
      <c r="D21" s="48">
        <v>12</v>
      </c>
      <c r="E21" s="50">
        <v>9</v>
      </c>
      <c r="F21" s="50">
        <v>7</v>
      </c>
    </row>
    <row r="22" spans="1:6" x14ac:dyDescent="0.15">
      <c r="A22" s="13">
        <v>129</v>
      </c>
      <c r="B22" s="48">
        <v>16</v>
      </c>
      <c r="C22" s="50">
        <v>5</v>
      </c>
      <c r="D22" s="48">
        <v>7</v>
      </c>
      <c r="E22" s="50">
        <v>2</v>
      </c>
      <c r="F22" s="50">
        <v>4</v>
      </c>
    </row>
    <row r="23" spans="1:6" x14ac:dyDescent="0.15">
      <c r="A23" s="16">
        <v>130</v>
      </c>
      <c r="B23" s="48" t="s">
        <v>155</v>
      </c>
      <c r="C23" s="50" t="s">
        <v>155</v>
      </c>
      <c r="D23" s="48" t="s">
        <v>155</v>
      </c>
      <c r="E23" s="50">
        <v>5</v>
      </c>
      <c r="F23" s="50">
        <v>7</v>
      </c>
    </row>
    <row r="24" spans="1:6" x14ac:dyDescent="0.15">
      <c r="A24" s="13">
        <v>132</v>
      </c>
      <c r="B24" s="48">
        <v>28</v>
      </c>
      <c r="C24" s="50" t="s">
        <v>155</v>
      </c>
      <c r="D24" s="48">
        <v>21</v>
      </c>
      <c r="E24" s="50">
        <v>27</v>
      </c>
      <c r="F24" s="50">
        <v>18</v>
      </c>
    </row>
    <row r="25" spans="1:6" x14ac:dyDescent="0.15">
      <c r="A25" s="13">
        <v>133</v>
      </c>
      <c r="B25" s="48" t="s">
        <v>155</v>
      </c>
      <c r="C25" s="50">
        <v>18</v>
      </c>
      <c r="D25" s="48">
        <v>10</v>
      </c>
      <c r="E25" s="50">
        <v>29</v>
      </c>
      <c r="F25" s="50">
        <v>25</v>
      </c>
    </row>
    <row r="26" spans="1:6" x14ac:dyDescent="0.15">
      <c r="A26" s="13">
        <v>134</v>
      </c>
      <c r="B26" s="48">
        <v>10</v>
      </c>
      <c r="C26" s="50">
        <v>5</v>
      </c>
      <c r="D26" s="48">
        <v>6</v>
      </c>
      <c r="E26" s="50">
        <v>5</v>
      </c>
      <c r="F26" s="50">
        <v>3</v>
      </c>
    </row>
    <row r="27" spans="1:6" x14ac:dyDescent="0.15">
      <c r="A27" s="13">
        <v>135</v>
      </c>
      <c r="B27" s="48">
        <v>31</v>
      </c>
      <c r="C27" s="50">
        <v>18</v>
      </c>
      <c r="D27" s="48">
        <v>23</v>
      </c>
      <c r="E27" s="50">
        <v>23</v>
      </c>
      <c r="F27" s="50">
        <v>9</v>
      </c>
    </row>
    <row r="28" spans="1:6" x14ac:dyDescent="0.15">
      <c r="A28" s="16">
        <v>136</v>
      </c>
      <c r="B28" s="48">
        <v>6</v>
      </c>
      <c r="C28" s="50">
        <v>3</v>
      </c>
      <c r="D28" s="48">
        <v>5</v>
      </c>
      <c r="E28" s="50">
        <v>7</v>
      </c>
      <c r="F28" s="50">
        <v>4</v>
      </c>
    </row>
    <row r="29" spans="1:6" x14ac:dyDescent="0.15">
      <c r="A29" s="13">
        <v>137</v>
      </c>
      <c r="B29" s="48">
        <v>17</v>
      </c>
      <c r="C29" s="50">
        <v>10</v>
      </c>
      <c r="D29" s="48">
        <v>5</v>
      </c>
      <c r="E29" s="50">
        <v>5</v>
      </c>
      <c r="F29" s="50">
        <v>4</v>
      </c>
    </row>
    <row r="30" spans="1:6" x14ac:dyDescent="0.15">
      <c r="A30" s="13">
        <v>140</v>
      </c>
      <c r="B30" s="48" t="s">
        <v>155</v>
      </c>
      <c r="C30" s="50">
        <v>23</v>
      </c>
      <c r="D30" s="48">
        <v>21</v>
      </c>
      <c r="E30" s="50">
        <v>12</v>
      </c>
      <c r="F30" s="50">
        <v>15</v>
      </c>
    </row>
    <row r="31" spans="1:6" x14ac:dyDescent="0.15">
      <c r="A31" s="15">
        <v>141</v>
      </c>
      <c r="B31" s="48">
        <v>25</v>
      </c>
      <c r="C31" s="50">
        <v>17</v>
      </c>
      <c r="D31" s="48">
        <v>19</v>
      </c>
      <c r="E31" s="50">
        <v>12</v>
      </c>
      <c r="F31" s="50">
        <v>4</v>
      </c>
    </row>
    <row r="32" spans="1:6" x14ac:dyDescent="0.15">
      <c r="A32" s="13">
        <v>142</v>
      </c>
      <c r="B32" s="48">
        <v>33</v>
      </c>
      <c r="C32" s="50">
        <v>27</v>
      </c>
      <c r="D32" s="48">
        <v>40</v>
      </c>
      <c r="E32" s="50">
        <v>26</v>
      </c>
      <c r="F32" s="50">
        <v>20</v>
      </c>
    </row>
    <row r="33" spans="1:6" ht="15" customHeight="1" x14ac:dyDescent="0.15">
      <c r="A33" s="13">
        <v>143</v>
      </c>
      <c r="B33" s="48">
        <v>16</v>
      </c>
      <c r="C33" s="50">
        <v>7</v>
      </c>
      <c r="D33" s="48">
        <v>21</v>
      </c>
      <c r="E33" s="50">
        <v>7</v>
      </c>
      <c r="F33" s="50">
        <v>10</v>
      </c>
    </row>
    <row r="34" spans="1:6" x14ac:dyDescent="0.15">
      <c r="A34" s="14">
        <v>144</v>
      </c>
      <c r="B34" s="48">
        <v>30</v>
      </c>
      <c r="C34" s="50" t="s">
        <v>155</v>
      </c>
      <c r="D34" s="48">
        <v>33</v>
      </c>
      <c r="E34" s="50" t="s">
        <v>155</v>
      </c>
      <c r="F34" s="50" t="s">
        <v>155</v>
      </c>
    </row>
    <row r="35" spans="1:6" x14ac:dyDescent="0.15">
      <c r="A35" s="13">
        <v>145</v>
      </c>
      <c r="B35" s="48">
        <v>10</v>
      </c>
      <c r="C35" s="50">
        <v>9</v>
      </c>
      <c r="D35" s="48">
        <v>9</v>
      </c>
      <c r="E35" s="50">
        <v>6</v>
      </c>
      <c r="F35" s="50">
        <v>8</v>
      </c>
    </row>
    <row r="36" spans="1:6" x14ac:dyDescent="0.15">
      <c r="A36" s="13">
        <v>146</v>
      </c>
      <c r="B36" s="48">
        <v>35</v>
      </c>
      <c r="C36" s="50">
        <v>27</v>
      </c>
      <c r="D36" s="48">
        <v>12</v>
      </c>
      <c r="E36" s="50">
        <v>16</v>
      </c>
      <c r="F36" s="50">
        <v>10</v>
      </c>
    </row>
    <row r="37" spans="1:6" x14ac:dyDescent="0.15">
      <c r="A37" s="13">
        <v>148</v>
      </c>
      <c r="B37" s="48" t="s">
        <v>155</v>
      </c>
      <c r="C37" s="50">
        <v>37</v>
      </c>
      <c r="D37" s="48">
        <v>35</v>
      </c>
      <c r="E37" s="50">
        <v>34</v>
      </c>
      <c r="F37" s="50">
        <v>31</v>
      </c>
    </row>
    <row r="38" spans="1:6" x14ac:dyDescent="0.15">
      <c r="A38" s="13">
        <v>150</v>
      </c>
      <c r="B38" s="48">
        <v>25</v>
      </c>
      <c r="C38" s="50">
        <v>15</v>
      </c>
      <c r="D38" s="48">
        <v>7</v>
      </c>
      <c r="E38" s="50">
        <v>7</v>
      </c>
      <c r="F38" s="50">
        <v>2</v>
      </c>
    </row>
    <row r="39" spans="1:6" x14ac:dyDescent="0.15">
      <c r="A39" s="13">
        <v>152</v>
      </c>
      <c r="B39" s="48">
        <v>21</v>
      </c>
      <c r="C39" s="50" t="s">
        <v>155</v>
      </c>
      <c r="D39" s="48">
        <v>26</v>
      </c>
      <c r="E39" s="50">
        <v>9</v>
      </c>
      <c r="F39" s="50">
        <v>0</v>
      </c>
    </row>
    <row r="40" spans="1:6" ht="14" customHeight="1" x14ac:dyDescent="0.15">
      <c r="A40" s="13">
        <v>155</v>
      </c>
      <c r="B40" s="48">
        <v>13</v>
      </c>
      <c r="C40" s="50">
        <v>14</v>
      </c>
      <c r="D40" s="48">
        <v>4</v>
      </c>
      <c r="E40" s="50">
        <v>9</v>
      </c>
      <c r="F40" s="50">
        <v>3</v>
      </c>
    </row>
    <row r="41" spans="1:6" ht="15" customHeight="1" x14ac:dyDescent="0.15">
      <c r="A41" s="13">
        <v>156</v>
      </c>
      <c r="B41" s="48">
        <v>23</v>
      </c>
      <c r="C41" s="50" t="s">
        <v>155</v>
      </c>
      <c r="D41" s="48">
        <v>26</v>
      </c>
      <c r="E41" s="50">
        <v>22</v>
      </c>
      <c r="F41" s="50">
        <v>23</v>
      </c>
    </row>
    <row r="42" spans="1:6" ht="17" customHeight="1" x14ac:dyDescent="0.15">
      <c r="A42" s="13">
        <v>158</v>
      </c>
      <c r="B42" s="48">
        <v>33</v>
      </c>
      <c r="C42" s="50">
        <v>21</v>
      </c>
      <c r="D42" s="48">
        <v>22</v>
      </c>
      <c r="E42" s="50">
        <v>22</v>
      </c>
      <c r="F42" s="50">
        <v>23</v>
      </c>
    </row>
    <row r="43" spans="1:6" ht="19" customHeight="1" x14ac:dyDescent="0.15">
      <c r="A43" s="15">
        <v>159</v>
      </c>
      <c r="B43" s="48">
        <v>15</v>
      </c>
      <c r="C43" s="50">
        <v>4</v>
      </c>
      <c r="D43" s="48">
        <v>10</v>
      </c>
      <c r="E43" s="50">
        <v>6</v>
      </c>
      <c r="F43" s="50">
        <v>4</v>
      </c>
    </row>
    <row r="44" spans="1:6" x14ac:dyDescent="0.15">
      <c r="A44" s="13">
        <v>161</v>
      </c>
      <c r="B44" s="48">
        <v>26</v>
      </c>
      <c r="C44" s="50">
        <v>20</v>
      </c>
      <c r="D44" s="48">
        <v>5</v>
      </c>
      <c r="E44" s="50">
        <v>9</v>
      </c>
      <c r="F44" s="50">
        <v>1</v>
      </c>
    </row>
    <row r="45" spans="1:6" x14ac:dyDescent="0.15">
      <c r="A45" s="13">
        <v>162</v>
      </c>
      <c r="B45" s="48" t="s">
        <v>155</v>
      </c>
      <c r="C45" s="50">
        <v>8</v>
      </c>
      <c r="D45" s="48">
        <v>13</v>
      </c>
      <c r="E45" s="50">
        <v>4</v>
      </c>
      <c r="F45" s="50">
        <v>11</v>
      </c>
    </row>
    <row r="46" spans="1:6" x14ac:dyDescent="0.15">
      <c r="A46" s="13">
        <v>163</v>
      </c>
      <c r="B46" s="48">
        <v>14</v>
      </c>
      <c r="C46" s="50">
        <v>11</v>
      </c>
      <c r="D46" s="48">
        <v>5</v>
      </c>
      <c r="E46" s="50">
        <v>4</v>
      </c>
      <c r="F46" s="50">
        <v>7</v>
      </c>
    </row>
    <row r="47" spans="1:6" x14ac:dyDescent="0.15">
      <c r="A47" s="13">
        <v>164</v>
      </c>
      <c r="B47" s="48">
        <v>19</v>
      </c>
      <c r="C47" s="50">
        <v>16</v>
      </c>
      <c r="D47" s="48">
        <v>6</v>
      </c>
      <c r="E47" s="50">
        <v>2</v>
      </c>
      <c r="F47" s="50">
        <v>1</v>
      </c>
    </row>
    <row r="48" spans="1:6" x14ac:dyDescent="0.15">
      <c r="A48" s="13">
        <v>166</v>
      </c>
      <c r="B48" s="48">
        <v>17</v>
      </c>
      <c r="C48" s="50">
        <v>18</v>
      </c>
      <c r="D48" s="48">
        <v>13</v>
      </c>
      <c r="E48" s="50">
        <v>11</v>
      </c>
      <c r="F48" s="50">
        <v>6</v>
      </c>
    </row>
    <row r="49" spans="1:6" x14ac:dyDescent="0.15">
      <c r="A49" s="13">
        <v>167</v>
      </c>
      <c r="B49" s="48">
        <v>20</v>
      </c>
      <c r="C49" s="50">
        <v>15</v>
      </c>
      <c r="D49" s="48">
        <v>8</v>
      </c>
      <c r="E49" s="50">
        <v>4</v>
      </c>
      <c r="F49" s="50">
        <v>1</v>
      </c>
    </row>
    <row r="50" spans="1:6" x14ac:dyDescent="0.15">
      <c r="A50" s="15">
        <v>168</v>
      </c>
      <c r="B50" s="48">
        <v>30</v>
      </c>
      <c r="C50" s="50">
        <v>27</v>
      </c>
      <c r="D50" s="48">
        <v>29</v>
      </c>
      <c r="E50" s="50">
        <v>41</v>
      </c>
      <c r="F50" s="50">
        <v>31</v>
      </c>
    </row>
    <row r="51" spans="1:6" x14ac:dyDescent="0.15">
      <c r="A51" s="13">
        <v>169</v>
      </c>
      <c r="B51" s="48">
        <v>46</v>
      </c>
      <c r="C51" s="50">
        <v>36</v>
      </c>
      <c r="D51" s="48">
        <v>38</v>
      </c>
      <c r="E51" s="50">
        <v>28</v>
      </c>
      <c r="F51" s="50">
        <v>31</v>
      </c>
    </row>
    <row r="52" spans="1:6" x14ac:dyDescent="0.15">
      <c r="A52" s="13">
        <v>170</v>
      </c>
      <c r="B52" s="48">
        <v>21</v>
      </c>
      <c r="C52" s="50">
        <v>20</v>
      </c>
      <c r="D52" s="48">
        <v>20</v>
      </c>
      <c r="E52" s="50">
        <v>24</v>
      </c>
      <c r="F52" s="50">
        <v>23</v>
      </c>
    </row>
    <row r="53" spans="1:6" x14ac:dyDescent="0.15">
      <c r="A53" s="13">
        <v>172</v>
      </c>
      <c r="B53" s="48">
        <v>19</v>
      </c>
      <c r="C53" s="50">
        <v>17</v>
      </c>
      <c r="D53" s="48">
        <v>11</v>
      </c>
      <c r="E53" s="50">
        <v>5</v>
      </c>
      <c r="F53" s="50">
        <v>4</v>
      </c>
    </row>
    <row r="54" spans="1:6" x14ac:dyDescent="0.15">
      <c r="A54" s="15">
        <v>173</v>
      </c>
      <c r="B54" s="48">
        <v>15</v>
      </c>
      <c r="C54" s="51">
        <v>17</v>
      </c>
      <c r="D54" s="48">
        <v>5</v>
      </c>
      <c r="E54" s="50">
        <v>4</v>
      </c>
      <c r="F54" s="50">
        <v>4</v>
      </c>
    </row>
    <row r="55" spans="1:6" x14ac:dyDescent="0.15">
      <c r="A55" s="13">
        <v>174</v>
      </c>
      <c r="B55" s="48">
        <v>31</v>
      </c>
      <c r="C55" s="50">
        <v>20</v>
      </c>
      <c r="D55" s="48">
        <v>3</v>
      </c>
      <c r="E55" s="50">
        <v>2</v>
      </c>
      <c r="F55" s="50">
        <v>2</v>
      </c>
    </row>
    <row r="56" spans="1:6" x14ac:dyDescent="0.15">
      <c r="A56" s="13">
        <v>175</v>
      </c>
      <c r="B56" s="48">
        <v>18</v>
      </c>
      <c r="C56" s="50">
        <v>10</v>
      </c>
      <c r="D56" s="48">
        <v>11</v>
      </c>
      <c r="E56" s="50">
        <v>11</v>
      </c>
      <c r="F56" s="50">
        <v>7</v>
      </c>
    </row>
    <row r="57" spans="1:6" x14ac:dyDescent="0.15">
      <c r="A57" s="13">
        <v>177</v>
      </c>
      <c r="B57" s="48">
        <v>15</v>
      </c>
      <c r="C57" s="50" t="s">
        <v>155</v>
      </c>
      <c r="D57" s="48">
        <v>17</v>
      </c>
      <c r="E57" s="50">
        <v>15</v>
      </c>
      <c r="F57" s="50">
        <v>12</v>
      </c>
    </row>
    <row r="58" spans="1:6" x14ac:dyDescent="0.15">
      <c r="A58" s="13">
        <v>178</v>
      </c>
      <c r="B58" s="48">
        <v>39</v>
      </c>
      <c r="C58" s="50">
        <v>46</v>
      </c>
      <c r="D58" s="48">
        <v>45</v>
      </c>
      <c r="E58" s="50">
        <v>46</v>
      </c>
      <c r="F58" s="50">
        <v>44</v>
      </c>
    </row>
    <row r="59" spans="1:6" x14ac:dyDescent="0.15">
      <c r="A59" s="13">
        <v>179</v>
      </c>
      <c r="B59" s="48">
        <v>17</v>
      </c>
      <c r="C59" s="50">
        <v>11</v>
      </c>
      <c r="D59" s="48">
        <v>9</v>
      </c>
      <c r="E59" s="50">
        <v>2</v>
      </c>
      <c r="F59" s="50">
        <v>5</v>
      </c>
    </row>
    <row r="60" spans="1:6" x14ac:dyDescent="0.15">
      <c r="A60" s="13">
        <v>180</v>
      </c>
      <c r="B60" s="48" t="s">
        <v>155</v>
      </c>
      <c r="C60" s="50">
        <v>20</v>
      </c>
      <c r="D60" s="48">
        <v>30</v>
      </c>
      <c r="E60" s="50">
        <v>32</v>
      </c>
      <c r="F60" s="50">
        <v>22</v>
      </c>
    </row>
    <row r="61" spans="1:6" x14ac:dyDescent="0.15">
      <c r="A61" s="13">
        <v>181</v>
      </c>
      <c r="B61" s="48">
        <v>35</v>
      </c>
      <c r="C61" s="50">
        <v>29</v>
      </c>
      <c r="D61" s="48">
        <v>22</v>
      </c>
      <c r="E61" s="50">
        <v>2</v>
      </c>
      <c r="F61" s="50">
        <v>8</v>
      </c>
    </row>
    <row r="62" spans="1:6" x14ac:dyDescent="0.15">
      <c r="A62" s="13">
        <v>182</v>
      </c>
      <c r="B62" s="48">
        <v>9</v>
      </c>
      <c r="C62" s="50">
        <v>10</v>
      </c>
      <c r="D62" s="48">
        <v>8</v>
      </c>
      <c r="E62" s="50">
        <v>6</v>
      </c>
      <c r="F62" s="50">
        <v>3</v>
      </c>
    </row>
  </sheetData>
  <pageMargins left="0.7" right="0.7" top="0.75" bottom="0.75" header="0.3" footer="0.3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AE58-B6CC-FF43-B0D3-B7071C597AEE}">
  <sheetPr>
    <tabColor rgb="FF7030A0"/>
  </sheetPr>
  <dimension ref="A1:K62"/>
  <sheetViews>
    <sheetView workbookViewId="0">
      <pane xSplit="1780" ySplit="740" activePane="bottomRight"/>
      <selection sqref="A1:A1048576"/>
      <selection pane="topRight" activeCell="H1" sqref="H1:AE1048576"/>
      <selection pane="bottomLeft" activeCell="A20" sqref="A20:XFD20"/>
      <selection pane="bottomRight" activeCell="L43" sqref="L43"/>
    </sheetView>
  </sheetViews>
  <sheetFormatPr baseColWidth="10" defaultColWidth="11" defaultRowHeight="14" x14ac:dyDescent="0.15"/>
  <cols>
    <col min="1" max="1" width="11" style="2"/>
    <col min="2" max="2" width="11" style="5"/>
    <col min="3" max="6" width="11" style="3"/>
    <col min="7" max="7" width="11" style="6"/>
    <col min="8" max="16384" width="11" style="3"/>
  </cols>
  <sheetData>
    <row r="1" spans="1:11" s="8" customFormat="1" ht="15" thickBot="1" x14ac:dyDescent="0.2">
      <c r="A1" s="7" t="s">
        <v>6</v>
      </c>
      <c r="B1" s="9" t="s">
        <v>163</v>
      </c>
      <c r="C1" s="8" t="s">
        <v>164</v>
      </c>
      <c r="D1" s="8" t="s">
        <v>165</v>
      </c>
      <c r="E1" s="8" t="s">
        <v>231</v>
      </c>
      <c r="F1" s="8" t="s">
        <v>166</v>
      </c>
      <c r="G1" s="10" t="s">
        <v>167</v>
      </c>
    </row>
    <row r="2" spans="1:11" ht="16" x14ac:dyDescent="0.2">
      <c r="A2" s="13">
        <v>101</v>
      </c>
      <c r="B2" s="5">
        <v>24</v>
      </c>
      <c r="C2" s="3">
        <v>23</v>
      </c>
      <c r="D2" s="34" t="s">
        <v>155</v>
      </c>
      <c r="E2" s="3">
        <v>23</v>
      </c>
      <c r="F2" s="33" t="s">
        <v>155</v>
      </c>
      <c r="G2" s="43" t="s">
        <v>155</v>
      </c>
      <c r="H2"/>
      <c r="I2"/>
      <c r="J2"/>
      <c r="K2"/>
    </row>
    <row r="3" spans="1:11" ht="16" x14ac:dyDescent="0.2">
      <c r="A3" s="13">
        <v>102</v>
      </c>
      <c r="B3" s="5">
        <v>24</v>
      </c>
      <c r="C3" s="3">
        <v>21</v>
      </c>
      <c r="D3" s="3">
        <v>26</v>
      </c>
      <c r="E3" s="3">
        <v>23</v>
      </c>
      <c r="F3" s="3">
        <v>12</v>
      </c>
      <c r="G3" s="6">
        <v>11</v>
      </c>
      <c r="H3"/>
      <c r="I3"/>
      <c r="J3"/>
      <c r="K3"/>
    </row>
    <row r="4" spans="1:11" ht="16" x14ac:dyDescent="0.2">
      <c r="A4" s="14">
        <v>103</v>
      </c>
      <c r="B4" s="5">
        <v>31</v>
      </c>
      <c r="C4" s="3">
        <v>29</v>
      </c>
      <c r="D4" s="3" t="s">
        <v>155</v>
      </c>
      <c r="E4" s="3" t="s">
        <v>155</v>
      </c>
      <c r="F4" s="3" t="s">
        <v>155</v>
      </c>
      <c r="G4" s="6" t="s">
        <v>155</v>
      </c>
      <c r="H4"/>
      <c r="I4"/>
      <c r="J4"/>
      <c r="K4"/>
    </row>
    <row r="5" spans="1:11" ht="16" x14ac:dyDescent="0.2">
      <c r="A5" s="13">
        <v>104</v>
      </c>
      <c r="B5" s="5">
        <v>34</v>
      </c>
      <c r="C5" s="33" t="s">
        <v>155</v>
      </c>
      <c r="D5" s="3">
        <v>21</v>
      </c>
      <c r="E5" s="3">
        <v>22</v>
      </c>
      <c r="F5" s="3">
        <v>17</v>
      </c>
      <c r="G5" s="6">
        <v>13</v>
      </c>
      <c r="H5"/>
      <c r="I5"/>
      <c r="J5"/>
      <c r="K5"/>
    </row>
    <row r="6" spans="1:11" ht="16" x14ac:dyDescent="0.2">
      <c r="A6" s="13">
        <v>105</v>
      </c>
      <c r="B6" s="5">
        <v>30</v>
      </c>
      <c r="C6" s="3">
        <v>24</v>
      </c>
      <c r="D6" s="3">
        <v>28</v>
      </c>
      <c r="E6" s="3">
        <v>20</v>
      </c>
      <c r="F6" s="3">
        <v>20</v>
      </c>
      <c r="G6" s="6">
        <v>15</v>
      </c>
      <c r="H6"/>
      <c r="I6"/>
      <c r="J6"/>
      <c r="K6"/>
    </row>
    <row r="7" spans="1:11" ht="16" x14ac:dyDescent="0.2">
      <c r="A7" s="13">
        <v>106</v>
      </c>
      <c r="B7" s="5">
        <v>27.5</v>
      </c>
      <c r="C7" s="3">
        <v>25</v>
      </c>
      <c r="D7" s="3">
        <v>23</v>
      </c>
      <c r="E7" s="3">
        <v>24</v>
      </c>
      <c r="F7" s="3" t="s">
        <v>155</v>
      </c>
      <c r="G7" s="6" t="s">
        <v>155</v>
      </c>
      <c r="H7"/>
      <c r="I7"/>
      <c r="J7"/>
      <c r="K7"/>
    </row>
    <row r="8" spans="1:11" ht="16" x14ac:dyDescent="0.2">
      <c r="A8" s="13">
        <v>107</v>
      </c>
      <c r="B8" s="5">
        <v>27</v>
      </c>
      <c r="C8" s="3">
        <v>27</v>
      </c>
      <c r="D8" s="3">
        <v>24</v>
      </c>
      <c r="E8" s="3">
        <v>28</v>
      </c>
      <c r="F8" s="3" t="s">
        <v>155</v>
      </c>
      <c r="G8" s="6" t="s">
        <v>155</v>
      </c>
      <c r="H8"/>
      <c r="I8"/>
      <c r="J8"/>
      <c r="K8"/>
    </row>
    <row r="9" spans="1:11" ht="16" x14ac:dyDescent="0.2">
      <c r="A9" s="13">
        <v>108</v>
      </c>
      <c r="B9" s="34" t="s">
        <v>155</v>
      </c>
      <c r="C9" s="3">
        <v>23</v>
      </c>
      <c r="D9" s="3">
        <v>20</v>
      </c>
      <c r="E9" s="3">
        <v>26</v>
      </c>
      <c r="F9" s="3" t="s">
        <v>155</v>
      </c>
      <c r="G9" s="6" t="s">
        <v>155</v>
      </c>
      <c r="H9"/>
      <c r="I9"/>
      <c r="J9"/>
      <c r="K9"/>
    </row>
    <row r="10" spans="1:11" ht="16" x14ac:dyDescent="0.2">
      <c r="A10" s="13">
        <v>109</v>
      </c>
      <c r="B10" s="5">
        <v>33</v>
      </c>
      <c r="C10" s="3">
        <v>30</v>
      </c>
      <c r="D10" s="3">
        <v>30</v>
      </c>
      <c r="E10" s="3">
        <v>25</v>
      </c>
      <c r="F10" s="3" t="s">
        <v>155</v>
      </c>
      <c r="G10" s="6" t="s">
        <v>155</v>
      </c>
      <c r="H10"/>
      <c r="I10"/>
      <c r="J10"/>
      <c r="K10"/>
    </row>
    <row r="11" spans="1:11" ht="16" x14ac:dyDescent="0.2">
      <c r="A11" s="13">
        <v>110</v>
      </c>
      <c r="B11" s="5">
        <v>24</v>
      </c>
      <c r="C11" s="3">
        <v>23</v>
      </c>
      <c r="D11" s="3">
        <v>22</v>
      </c>
      <c r="E11" s="3">
        <v>17</v>
      </c>
      <c r="F11" s="3">
        <v>11</v>
      </c>
      <c r="G11" s="6">
        <v>18</v>
      </c>
      <c r="H11"/>
      <c r="I11"/>
      <c r="J11"/>
      <c r="K11"/>
    </row>
    <row r="12" spans="1:11" ht="16" x14ac:dyDescent="0.2">
      <c r="A12" s="13">
        <v>115</v>
      </c>
      <c r="B12" s="5">
        <v>31.625</v>
      </c>
      <c r="C12" s="3">
        <v>21</v>
      </c>
      <c r="D12" s="3">
        <v>25.3</v>
      </c>
      <c r="E12" s="3">
        <v>20.777777777777779</v>
      </c>
      <c r="F12" s="3" t="s">
        <v>155</v>
      </c>
      <c r="G12" s="6" t="s">
        <v>155</v>
      </c>
      <c r="H12"/>
      <c r="I12"/>
      <c r="J12"/>
      <c r="K12"/>
    </row>
    <row r="13" spans="1:11" ht="16" x14ac:dyDescent="0.2">
      <c r="A13" s="13">
        <v>116</v>
      </c>
      <c r="B13" s="5">
        <v>25</v>
      </c>
      <c r="C13" s="3">
        <v>28</v>
      </c>
      <c r="D13" s="3">
        <v>22</v>
      </c>
      <c r="E13" s="3">
        <v>19</v>
      </c>
      <c r="F13" s="3" t="s">
        <v>155</v>
      </c>
      <c r="G13" s="6">
        <v>11</v>
      </c>
      <c r="H13"/>
      <c r="I13"/>
      <c r="J13"/>
      <c r="K13"/>
    </row>
    <row r="14" spans="1:11" ht="16" x14ac:dyDescent="0.2">
      <c r="A14" s="13">
        <v>118</v>
      </c>
      <c r="B14" s="5">
        <v>32</v>
      </c>
      <c r="C14" s="3">
        <v>38</v>
      </c>
      <c r="D14" s="3">
        <v>31</v>
      </c>
      <c r="E14" s="3">
        <v>30</v>
      </c>
      <c r="F14" s="3" t="s">
        <v>155</v>
      </c>
      <c r="G14" s="6" t="s">
        <v>155</v>
      </c>
      <c r="H14"/>
      <c r="I14"/>
      <c r="J14"/>
      <c r="K14"/>
    </row>
    <row r="15" spans="1:11" ht="16" x14ac:dyDescent="0.2">
      <c r="A15" s="13">
        <v>120</v>
      </c>
      <c r="B15" s="5">
        <v>24.2</v>
      </c>
      <c r="C15" s="3">
        <v>23.1</v>
      </c>
      <c r="D15" s="3">
        <v>19</v>
      </c>
      <c r="E15" s="3">
        <v>20</v>
      </c>
      <c r="F15" s="3" t="s">
        <v>155</v>
      </c>
      <c r="G15" s="6" t="s">
        <v>155</v>
      </c>
      <c r="H15"/>
      <c r="I15"/>
      <c r="J15"/>
      <c r="K15"/>
    </row>
    <row r="16" spans="1:11" ht="16" x14ac:dyDescent="0.2">
      <c r="A16" s="15">
        <v>121</v>
      </c>
      <c r="B16" s="5">
        <v>34</v>
      </c>
      <c r="C16" s="33" t="s">
        <v>155</v>
      </c>
      <c r="D16" s="3">
        <v>29</v>
      </c>
      <c r="E16" s="3">
        <v>24</v>
      </c>
      <c r="F16" s="3" t="s">
        <v>155</v>
      </c>
      <c r="G16" s="6" t="s">
        <v>155</v>
      </c>
      <c r="H16"/>
      <c r="I16"/>
      <c r="J16"/>
      <c r="K16"/>
    </row>
    <row r="17" spans="1:11" ht="16" x14ac:dyDescent="0.2">
      <c r="A17" s="13">
        <v>123</v>
      </c>
      <c r="B17" s="5">
        <v>28</v>
      </c>
      <c r="C17" s="3" t="s">
        <v>155</v>
      </c>
      <c r="D17" s="3">
        <v>23.1</v>
      </c>
      <c r="E17" s="3">
        <v>27</v>
      </c>
      <c r="F17" s="3" t="s">
        <v>155</v>
      </c>
      <c r="G17" s="6" t="s">
        <v>155</v>
      </c>
      <c r="H17"/>
      <c r="I17"/>
      <c r="J17"/>
      <c r="K17"/>
    </row>
    <row r="18" spans="1:11" ht="16" x14ac:dyDescent="0.2">
      <c r="A18" s="13">
        <v>125</v>
      </c>
      <c r="B18" s="34" t="s">
        <v>155</v>
      </c>
      <c r="C18" s="3">
        <v>29</v>
      </c>
      <c r="D18" s="3">
        <v>21</v>
      </c>
      <c r="E18" s="3">
        <v>25</v>
      </c>
      <c r="F18" s="3">
        <v>22</v>
      </c>
      <c r="G18" s="6">
        <v>22</v>
      </c>
      <c r="H18"/>
      <c r="I18"/>
      <c r="J18"/>
      <c r="K18"/>
    </row>
    <row r="19" spans="1:11" ht="16" x14ac:dyDescent="0.2">
      <c r="A19" s="13">
        <v>126</v>
      </c>
      <c r="B19" s="34" t="s">
        <v>155</v>
      </c>
      <c r="C19" s="3">
        <v>24</v>
      </c>
      <c r="D19" s="3">
        <v>27</v>
      </c>
      <c r="E19" s="3">
        <v>25</v>
      </c>
      <c r="F19" s="3">
        <v>23</v>
      </c>
      <c r="G19" s="6">
        <v>17</v>
      </c>
      <c r="H19"/>
      <c r="I19"/>
      <c r="J19"/>
      <c r="K19"/>
    </row>
    <row r="20" spans="1:11" s="76" customFormat="1" ht="16" x14ac:dyDescent="0.2">
      <c r="A20" s="87">
        <v>127</v>
      </c>
      <c r="B20" s="88" t="s">
        <v>155</v>
      </c>
      <c r="C20" s="76">
        <v>33</v>
      </c>
      <c r="D20" s="76">
        <v>16</v>
      </c>
      <c r="E20" s="76">
        <v>18</v>
      </c>
      <c r="F20" s="76" t="s">
        <v>155</v>
      </c>
      <c r="G20" s="89" t="s">
        <v>155</v>
      </c>
      <c r="H20" s="90"/>
      <c r="I20" s="90"/>
      <c r="J20" s="90"/>
      <c r="K20" s="90"/>
    </row>
    <row r="21" spans="1:11" ht="16" x14ac:dyDescent="0.2">
      <c r="A21" s="13">
        <v>128</v>
      </c>
      <c r="B21" s="5">
        <v>30</v>
      </c>
      <c r="C21" s="3">
        <v>31</v>
      </c>
      <c r="D21" s="3">
        <v>20</v>
      </c>
      <c r="E21" s="3">
        <v>24</v>
      </c>
      <c r="F21" s="3" t="s">
        <v>155</v>
      </c>
      <c r="G21" s="6" t="s">
        <v>155</v>
      </c>
      <c r="H21"/>
      <c r="I21"/>
      <c r="J21"/>
      <c r="K21"/>
    </row>
    <row r="22" spans="1:11" ht="16" x14ac:dyDescent="0.2">
      <c r="A22" s="13">
        <v>129</v>
      </c>
      <c r="B22" s="5">
        <v>23.1</v>
      </c>
      <c r="C22" s="3">
        <v>25</v>
      </c>
      <c r="D22" s="3">
        <v>24</v>
      </c>
      <c r="E22" s="3">
        <v>26</v>
      </c>
      <c r="F22" s="3" t="s">
        <v>155</v>
      </c>
      <c r="G22" s="6" t="s">
        <v>155</v>
      </c>
      <c r="H22"/>
      <c r="I22"/>
      <c r="J22"/>
      <c r="K22"/>
    </row>
    <row r="23" spans="1:11" ht="16" x14ac:dyDescent="0.2">
      <c r="A23" s="16">
        <v>130</v>
      </c>
      <c r="B23" s="5" t="s">
        <v>155</v>
      </c>
      <c r="C23" s="3" t="s">
        <v>155</v>
      </c>
      <c r="D23" s="3">
        <v>24</v>
      </c>
      <c r="E23" s="3">
        <v>21</v>
      </c>
      <c r="F23" s="3" t="s">
        <v>155</v>
      </c>
      <c r="G23" s="6" t="s">
        <v>155</v>
      </c>
      <c r="H23"/>
      <c r="I23"/>
      <c r="J23"/>
      <c r="K23"/>
    </row>
    <row r="24" spans="1:11" ht="16" x14ac:dyDescent="0.2">
      <c r="A24" s="13">
        <v>132</v>
      </c>
      <c r="B24" s="5">
        <v>31</v>
      </c>
      <c r="C24" s="3" t="s">
        <v>155</v>
      </c>
      <c r="D24" s="3">
        <v>30</v>
      </c>
      <c r="E24" s="3">
        <v>28</v>
      </c>
      <c r="F24" s="3" t="s">
        <v>155</v>
      </c>
      <c r="G24" s="6" t="s">
        <v>155</v>
      </c>
      <c r="H24"/>
      <c r="I24"/>
      <c r="J24"/>
      <c r="K24"/>
    </row>
    <row r="25" spans="1:11" ht="16" x14ac:dyDescent="0.2">
      <c r="A25" s="13">
        <v>133</v>
      </c>
      <c r="B25" s="34" t="s">
        <v>155</v>
      </c>
      <c r="C25" s="3">
        <v>26</v>
      </c>
      <c r="D25" s="3">
        <v>25</v>
      </c>
      <c r="E25" s="3">
        <v>24</v>
      </c>
      <c r="F25" s="3">
        <v>23</v>
      </c>
      <c r="G25" s="6" t="s">
        <v>155</v>
      </c>
      <c r="H25"/>
      <c r="I25"/>
      <c r="J25"/>
      <c r="K25"/>
    </row>
    <row r="26" spans="1:11" ht="16" x14ac:dyDescent="0.2">
      <c r="A26" s="13">
        <v>134</v>
      </c>
      <c r="B26" s="5">
        <v>20.9</v>
      </c>
      <c r="C26" s="3">
        <v>23</v>
      </c>
      <c r="D26" s="3">
        <v>18.7</v>
      </c>
      <c r="E26" s="3">
        <v>18</v>
      </c>
      <c r="F26" s="3" t="s">
        <v>155</v>
      </c>
      <c r="G26" s="6" t="s">
        <v>155</v>
      </c>
      <c r="H26"/>
      <c r="I26"/>
      <c r="J26"/>
      <c r="K26"/>
    </row>
    <row r="27" spans="1:11" ht="16" x14ac:dyDescent="0.2">
      <c r="A27" s="13">
        <v>135</v>
      </c>
      <c r="B27" s="5">
        <v>33</v>
      </c>
      <c r="C27" s="3">
        <v>35</v>
      </c>
      <c r="D27" s="3">
        <v>26</v>
      </c>
      <c r="E27" s="3">
        <v>28</v>
      </c>
      <c r="F27" s="3" t="s">
        <v>155</v>
      </c>
      <c r="G27" s="6" t="s">
        <v>155</v>
      </c>
      <c r="H27"/>
      <c r="I27"/>
      <c r="J27"/>
      <c r="K27"/>
    </row>
    <row r="28" spans="1:11" ht="16" x14ac:dyDescent="0.2">
      <c r="A28" s="16">
        <v>136</v>
      </c>
      <c r="B28" s="5">
        <v>20</v>
      </c>
      <c r="C28" s="3">
        <v>14</v>
      </c>
      <c r="D28" s="3">
        <v>15</v>
      </c>
      <c r="E28" s="3">
        <v>12</v>
      </c>
      <c r="F28" s="3">
        <v>18</v>
      </c>
      <c r="G28" s="6">
        <v>20</v>
      </c>
      <c r="H28"/>
      <c r="I28"/>
      <c r="J28"/>
      <c r="K28"/>
    </row>
    <row r="29" spans="1:11" ht="16" x14ac:dyDescent="0.2">
      <c r="A29" s="13">
        <v>137</v>
      </c>
      <c r="B29" s="5">
        <v>26</v>
      </c>
      <c r="C29" s="3">
        <v>27</v>
      </c>
      <c r="D29" s="3">
        <v>20</v>
      </c>
      <c r="E29" s="3">
        <v>15</v>
      </c>
      <c r="F29" s="3" t="s">
        <v>155</v>
      </c>
      <c r="G29" s="6" t="s">
        <v>155</v>
      </c>
      <c r="H29"/>
      <c r="I29"/>
      <c r="J29"/>
      <c r="K29"/>
    </row>
    <row r="30" spans="1:11" ht="16" x14ac:dyDescent="0.2">
      <c r="A30" s="13">
        <v>140</v>
      </c>
      <c r="B30" s="5" t="s">
        <v>155</v>
      </c>
      <c r="C30" s="3">
        <v>28</v>
      </c>
      <c r="D30" s="3">
        <v>25</v>
      </c>
      <c r="E30" s="3">
        <v>30</v>
      </c>
      <c r="F30" s="3">
        <v>24</v>
      </c>
      <c r="G30" s="6">
        <v>25</v>
      </c>
      <c r="H30"/>
      <c r="I30"/>
      <c r="J30"/>
      <c r="K30"/>
    </row>
    <row r="31" spans="1:11" ht="16" x14ac:dyDescent="0.2">
      <c r="A31" s="15">
        <v>141</v>
      </c>
      <c r="B31" s="5">
        <v>28</v>
      </c>
      <c r="C31" s="3">
        <v>28</v>
      </c>
      <c r="D31" s="3">
        <v>26</v>
      </c>
      <c r="E31" s="3">
        <v>25</v>
      </c>
      <c r="F31" s="3" t="s">
        <v>155</v>
      </c>
      <c r="G31" s="6" t="s">
        <v>155</v>
      </c>
      <c r="H31"/>
      <c r="I31"/>
      <c r="J31"/>
      <c r="K31"/>
    </row>
    <row r="32" spans="1:11" ht="16" x14ac:dyDescent="0.2">
      <c r="A32" s="13">
        <v>142</v>
      </c>
      <c r="B32" s="5">
        <v>30.555555555555557</v>
      </c>
      <c r="C32" s="3">
        <v>30</v>
      </c>
      <c r="D32" s="3">
        <v>29</v>
      </c>
      <c r="E32" s="3">
        <v>29</v>
      </c>
      <c r="F32" s="3">
        <v>23</v>
      </c>
      <c r="G32" s="6">
        <v>20.9</v>
      </c>
      <c r="H32"/>
      <c r="I32"/>
      <c r="J32"/>
      <c r="K32"/>
    </row>
    <row r="33" spans="1:11" ht="16" x14ac:dyDescent="0.2">
      <c r="A33" s="13">
        <v>143</v>
      </c>
      <c r="B33" s="5">
        <v>19.8</v>
      </c>
      <c r="C33" s="3">
        <v>20.9</v>
      </c>
      <c r="D33" s="3">
        <v>19</v>
      </c>
      <c r="E33" s="3">
        <v>21</v>
      </c>
      <c r="F33" s="3" t="s">
        <v>155</v>
      </c>
      <c r="G33" s="6" t="s">
        <v>155</v>
      </c>
      <c r="H33"/>
      <c r="I33"/>
      <c r="J33"/>
      <c r="K33"/>
    </row>
    <row r="34" spans="1:11" ht="16" x14ac:dyDescent="0.2">
      <c r="A34" s="14">
        <v>144</v>
      </c>
      <c r="B34" s="5">
        <v>29</v>
      </c>
      <c r="C34" s="33" t="s">
        <v>155</v>
      </c>
      <c r="D34" s="3" t="s">
        <v>155</v>
      </c>
      <c r="E34" s="3" t="s">
        <v>155</v>
      </c>
      <c r="F34" s="3" t="s">
        <v>155</v>
      </c>
      <c r="G34" s="6" t="s">
        <v>155</v>
      </c>
      <c r="H34"/>
      <c r="I34"/>
      <c r="J34"/>
      <c r="K34"/>
    </row>
    <row r="35" spans="1:11" ht="16" x14ac:dyDescent="0.2">
      <c r="A35" s="13">
        <v>145</v>
      </c>
      <c r="B35" s="5">
        <v>27</v>
      </c>
      <c r="C35" s="3">
        <v>27</v>
      </c>
      <c r="D35" s="3">
        <v>25</v>
      </c>
      <c r="E35" s="3">
        <v>27</v>
      </c>
      <c r="F35" s="3" t="s">
        <v>155</v>
      </c>
      <c r="G35" s="6" t="s">
        <v>155</v>
      </c>
      <c r="H35"/>
      <c r="I35"/>
      <c r="J35"/>
      <c r="K35"/>
    </row>
    <row r="36" spans="1:11" ht="16" x14ac:dyDescent="0.2">
      <c r="A36" s="13">
        <v>146</v>
      </c>
      <c r="B36" s="5">
        <v>29.857142857142858</v>
      </c>
      <c r="C36" s="3">
        <v>24</v>
      </c>
      <c r="D36" s="3">
        <v>25</v>
      </c>
      <c r="E36" s="3">
        <v>21</v>
      </c>
      <c r="F36" s="3" t="s">
        <v>155</v>
      </c>
      <c r="G36" s="6" t="s">
        <v>155</v>
      </c>
      <c r="H36"/>
      <c r="I36"/>
      <c r="J36"/>
      <c r="K36"/>
    </row>
    <row r="37" spans="1:11" ht="16" x14ac:dyDescent="0.2">
      <c r="A37" s="13">
        <v>148</v>
      </c>
      <c r="B37" s="5" t="s">
        <v>155</v>
      </c>
      <c r="C37" s="3">
        <v>26</v>
      </c>
      <c r="D37" s="3">
        <v>23</v>
      </c>
      <c r="E37" s="3">
        <v>19</v>
      </c>
      <c r="F37" s="3" t="s">
        <v>155</v>
      </c>
      <c r="G37" s="6" t="s">
        <v>155</v>
      </c>
      <c r="H37"/>
      <c r="I37"/>
      <c r="J37"/>
      <c r="K37"/>
    </row>
    <row r="38" spans="1:11" ht="16" x14ac:dyDescent="0.2">
      <c r="A38" s="13">
        <v>150</v>
      </c>
      <c r="B38" s="5">
        <v>18</v>
      </c>
      <c r="C38" s="3">
        <v>19</v>
      </c>
      <c r="D38" s="3">
        <v>12</v>
      </c>
      <c r="E38" s="3">
        <v>12</v>
      </c>
      <c r="F38" s="3" t="s">
        <v>155</v>
      </c>
      <c r="G38" s="6" t="s">
        <v>155</v>
      </c>
      <c r="H38"/>
      <c r="I38"/>
      <c r="J38"/>
      <c r="K38"/>
    </row>
    <row r="39" spans="1:11" ht="16" x14ac:dyDescent="0.2">
      <c r="A39" s="13">
        <v>152</v>
      </c>
      <c r="B39" s="5">
        <v>29</v>
      </c>
      <c r="C39" s="3" t="s">
        <v>155</v>
      </c>
      <c r="D39" s="3">
        <v>23</v>
      </c>
      <c r="E39" s="3">
        <v>21</v>
      </c>
      <c r="F39" s="3" t="s">
        <v>155</v>
      </c>
      <c r="G39" s="6" t="s">
        <v>155</v>
      </c>
      <c r="H39"/>
      <c r="I39"/>
      <c r="J39"/>
      <c r="K39"/>
    </row>
    <row r="40" spans="1:11" ht="14" customHeight="1" x14ac:dyDescent="0.2">
      <c r="A40" s="13">
        <v>155</v>
      </c>
      <c r="B40" s="5">
        <v>31</v>
      </c>
      <c r="C40" s="3">
        <v>24</v>
      </c>
      <c r="D40" s="3">
        <v>20</v>
      </c>
      <c r="E40" s="3">
        <v>15</v>
      </c>
      <c r="F40" s="3" t="s">
        <v>155</v>
      </c>
      <c r="G40" s="6" t="s">
        <v>155</v>
      </c>
      <c r="H40"/>
      <c r="I40"/>
      <c r="J40"/>
      <c r="K40"/>
    </row>
    <row r="41" spans="1:11" ht="15" customHeight="1" x14ac:dyDescent="0.2">
      <c r="A41" s="13">
        <v>156</v>
      </c>
      <c r="B41" s="5">
        <v>30</v>
      </c>
      <c r="C41" s="33" t="s">
        <v>155</v>
      </c>
      <c r="D41" s="3">
        <v>27</v>
      </c>
      <c r="E41" s="3">
        <v>26</v>
      </c>
      <c r="F41" s="3" t="s">
        <v>155</v>
      </c>
      <c r="G41" s="6" t="s">
        <v>155</v>
      </c>
      <c r="H41"/>
      <c r="I41"/>
      <c r="J41"/>
      <c r="K41"/>
    </row>
    <row r="42" spans="1:11" ht="17" customHeight="1" x14ac:dyDescent="0.2">
      <c r="A42" s="13">
        <v>158</v>
      </c>
      <c r="B42" s="5">
        <v>30</v>
      </c>
      <c r="C42" s="3">
        <v>27</v>
      </c>
      <c r="D42" s="3">
        <v>31</v>
      </c>
      <c r="E42" s="3">
        <v>31</v>
      </c>
      <c r="F42" s="3">
        <v>21</v>
      </c>
      <c r="G42" s="6">
        <v>19</v>
      </c>
      <c r="H42"/>
      <c r="I42"/>
      <c r="J42"/>
      <c r="K42"/>
    </row>
    <row r="43" spans="1:11" ht="19" customHeight="1" x14ac:dyDescent="0.2">
      <c r="A43" s="15">
        <v>159</v>
      </c>
      <c r="B43" s="5">
        <v>24.75</v>
      </c>
      <c r="C43" s="3">
        <v>13</v>
      </c>
      <c r="D43" s="3">
        <v>15</v>
      </c>
      <c r="E43" s="33" t="s">
        <v>155</v>
      </c>
      <c r="F43" s="3" t="s">
        <v>155</v>
      </c>
      <c r="G43" s="6" t="s">
        <v>155</v>
      </c>
      <c r="H43"/>
      <c r="I43"/>
      <c r="J43"/>
      <c r="K43"/>
    </row>
    <row r="44" spans="1:11" ht="16" x14ac:dyDescent="0.2">
      <c r="A44" s="13">
        <v>161</v>
      </c>
      <c r="B44" s="5">
        <v>28</v>
      </c>
      <c r="C44" s="3">
        <v>29.7</v>
      </c>
      <c r="D44" s="3">
        <v>18</v>
      </c>
      <c r="E44" s="3">
        <v>21</v>
      </c>
      <c r="F44" s="3" t="s">
        <v>155</v>
      </c>
      <c r="G44" s="6" t="s">
        <v>155</v>
      </c>
      <c r="H44"/>
      <c r="I44"/>
      <c r="J44"/>
      <c r="K44"/>
    </row>
    <row r="45" spans="1:11" ht="16" x14ac:dyDescent="0.2">
      <c r="A45" s="13">
        <v>162</v>
      </c>
      <c r="B45" s="34" t="s">
        <v>155</v>
      </c>
      <c r="C45" s="3">
        <v>28</v>
      </c>
      <c r="D45" s="3">
        <v>31</v>
      </c>
      <c r="E45" s="3">
        <v>30</v>
      </c>
      <c r="F45" s="3" t="s">
        <v>155</v>
      </c>
      <c r="G45" s="6" t="s">
        <v>155</v>
      </c>
      <c r="H45"/>
      <c r="I45"/>
      <c r="J45"/>
      <c r="K45"/>
    </row>
    <row r="46" spans="1:11" ht="16" x14ac:dyDescent="0.2">
      <c r="A46" s="13">
        <v>163</v>
      </c>
      <c r="B46" s="34" t="s">
        <v>155</v>
      </c>
      <c r="C46" s="3">
        <v>16</v>
      </c>
      <c r="D46" s="3">
        <v>15</v>
      </c>
      <c r="E46" s="3">
        <v>20</v>
      </c>
      <c r="F46" s="3" t="s">
        <v>155</v>
      </c>
      <c r="G46" s="6" t="s">
        <v>155</v>
      </c>
      <c r="H46"/>
      <c r="I46"/>
      <c r="J46"/>
      <c r="K46"/>
    </row>
    <row r="47" spans="1:11" ht="16" x14ac:dyDescent="0.2">
      <c r="A47" s="13">
        <v>164</v>
      </c>
      <c r="B47" s="5">
        <v>23</v>
      </c>
      <c r="C47" s="3">
        <v>26</v>
      </c>
      <c r="D47" s="3">
        <v>14</v>
      </c>
      <c r="E47" s="3">
        <v>14</v>
      </c>
      <c r="F47" s="3" t="s">
        <v>155</v>
      </c>
      <c r="G47" s="6" t="s">
        <v>155</v>
      </c>
      <c r="H47"/>
      <c r="I47"/>
      <c r="J47"/>
      <c r="K47"/>
    </row>
    <row r="48" spans="1:11" ht="16" x14ac:dyDescent="0.2">
      <c r="A48" s="13">
        <v>166</v>
      </c>
      <c r="B48" s="5">
        <v>27</v>
      </c>
      <c r="C48" s="3">
        <v>27</v>
      </c>
      <c r="D48" s="3">
        <v>21</v>
      </c>
      <c r="E48" s="3">
        <v>24</v>
      </c>
      <c r="F48" s="3">
        <v>13</v>
      </c>
      <c r="G48" s="6">
        <v>13</v>
      </c>
      <c r="H48"/>
      <c r="I48"/>
      <c r="J48"/>
      <c r="K48"/>
    </row>
    <row r="49" spans="1:11" ht="16" x14ac:dyDescent="0.2">
      <c r="A49" s="13">
        <v>167</v>
      </c>
      <c r="B49" s="5">
        <v>25</v>
      </c>
      <c r="C49" s="3">
        <v>25</v>
      </c>
      <c r="D49" s="3">
        <v>11</v>
      </c>
      <c r="E49" s="3">
        <v>11</v>
      </c>
      <c r="F49" s="3" t="s">
        <v>155</v>
      </c>
      <c r="G49" s="6" t="s">
        <v>155</v>
      </c>
      <c r="H49"/>
      <c r="I49"/>
      <c r="J49"/>
      <c r="K49"/>
    </row>
    <row r="50" spans="1:11" ht="16" x14ac:dyDescent="0.2">
      <c r="A50" s="15">
        <v>168</v>
      </c>
      <c r="B50" s="5">
        <v>37</v>
      </c>
      <c r="C50" s="3">
        <v>30</v>
      </c>
      <c r="D50" s="3">
        <v>39</v>
      </c>
      <c r="E50" s="3">
        <v>38</v>
      </c>
      <c r="F50" s="3" t="s">
        <v>155</v>
      </c>
      <c r="G50" s="6" t="s">
        <v>155</v>
      </c>
      <c r="H50"/>
      <c r="I50"/>
      <c r="J50"/>
      <c r="K50"/>
    </row>
    <row r="51" spans="1:11" ht="16" x14ac:dyDescent="0.2">
      <c r="A51" s="13">
        <v>169</v>
      </c>
      <c r="B51" s="5">
        <v>30</v>
      </c>
      <c r="C51" s="3">
        <v>28</v>
      </c>
      <c r="D51" s="3">
        <v>30</v>
      </c>
      <c r="E51" s="3">
        <v>32</v>
      </c>
      <c r="F51" s="3">
        <v>28</v>
      </c>
      <c r="G51" s="6">
        <v>30</v>
      </c>
      <c r="H51"/>
      <c r="I51"/>
      <c r="J51"/>
      <c r="K51"/>
    </row>
    <row r="52" spans="1:11" ht="16" x14ac:dyDescent="0.2">
      <c r="A52" s="13">
        <v>170</v>
      </c>
      <c r="B52" s="5">
        <v>27.5</v>
      </c>
      <c r="C52" s="3">
        <v>31</v>
      </c>
      <c r="D52" s="3">
        <v>36</v>
      </c>
      <c r="E52" s="3">
        <v>32</v>
      </c>
      <c r="F52" s="3">
        <v>26</v>
      </c>
      <c r="G52" s="6">
        <v>25</v>
      </c>
      <c r="H52"/>
      <c r="I52"/>
      <c r="J52"/>
      <c r="K52"/>
    </row>
    <row r="53" spans="1:11" ht="16" x14ac:dyDescent="0.2">
      <c r="A53" s="13">
        <v>172</v>
      </c>
      <c r="B53" s="5">
        <v>28</v>
      </c>
      <c r="C53" s="3">
        <v>31</v>
      </c>
      <c r="D53" s="3">
        <v>21</v>
      </c>
      <c r="E53" s="3">
        <v>23</v>
      </c>
      <c r="F53" s="3" t="s">
        <v>155</v>
      </c>
      <c r="G53" s="6" t="s">
        <v>155</v>
      </c>
      <c r="H53"/>
      <c r="I53"/>
      <c r="J53"/>
      <c r="K53"/>
    </row>
    <row r="54" spans="1:11" ht="16" x14ac:dyDescent="0.2">
      <c r="A54" s="15">
        <v>173</v>
      </c>
      <c r="B54" s="5">
        <v>18.7</v>
      </c>
      <c r="C54" s="3">
        <v>13</v>
      </c>
      <c r="D54" s="3">
        <v>15</v>
      </c>
      <c r="E54" s="3">
        <v>15</v>
      </c>
      <c r="F54" s="3" t="s">
        <v>155</v>
      </c>
      <c r="G54" s="6" t="s">
        <v>155</v>
      </c>
      <c r="H54"/>
      <c r="I54"/>
      <c r="J54"/>
      <c r="K54"/>
    </row>
    <row r="55" spans="1:11" ht="16" x14ac:dyDescent="0.2">
      <c r="A55" s="13">
        <v>174</v>
      </c>
      <c r="B55" s="5">
        <v>37</v>
      </c>
      <c r="C55" s="3">
        <v>35</v>
      </c>
      <c r="D55" s="3">
        <v>19</v>
      </c>
      <c r="E55" s="3">
        <v>12</v>
      </c>
      <c r="F55" s="3" t="s">
        <v>155</v>
      </c>
      <c r="G55" s="6" t="s">
        <v>155</v>
      </c>
      <c r="H55"/>
      <c r="I55"/>
      <c r="J55"/>
      <c r="K55"/>
    </row>
    <row r="56" spans="1:11" ht="16" x14ac:dyDescent="0.2">
      <c r="A56" s="13">
        <v>175</v>
      </c>
      <c r="B56" s="5">
        <v>24</v>
      </c>
      <c r="C56" s="3">
        <v>24</v>
      </c>
      <c r="D56" s="3">
        <v>23</v>
      </c>
      <c r="E56" s="3">
        <v>23</v>
      </c>
      <c r="F56" s="3" t="s">
        <v>155</v>
      </c>
      <c r="G56" s="6" t="s">
        <v>155</v>
      </c>
      <c r="H56"/>
      <c r="I56"/>
      <c r="J56"/>
      <c r="K56"/>
    </row>
    <row r="57" spans="1:11" ht="16" x14ac:dyDescent="0.2">
      <c r="A57" s="13">
        <v>177</v>
      </c>
      <c r="B57" s="5">
        <v>28</v>
      </c>
      <c r="C57" s="3" t="s">
        <v>155</v>
      </c>
      <c r="D57" s="3">
        <v>26</v>
      </c>
      <c r="E57" s="3">
        <v>25</v>
      </c>
      <c r="F57" s="3">
        <v>24</v>
      </c>
      <c r="G57" s="6">
        <v>24</v>
      </c>
      <c r="H57"/>
      <c r="I57"/>
      <c r="J57"/>
      <c r="K57"/>
    </row>
    <row r="58" spans="1:11" ht="16" x14ac:dyDescent="0.2">
      <c r="A58" s="13">
        <v>178</v>
      </c>
      <c r="B58" s="5">
        <v>40</v>
      </c>
      <c r="C58" s="3">
        <v>39</v>
      </c>
      <c r="D58" s="3">
        <v>36.142857142857139</v>
      </c>
      <c r="E58" s="3">
        <v>32</v>
      </c>
      <c r="F58" s="3">
        <v>27.5</v>
      </c>
      <c r="G58" s="6">
        <v>29.333333333333336</v>
      </c>
      <c r="H58"/>
      <c r="I58"/>
      <c r="J58"/>
      <c r="K58"/>
    </row>
    <row r="59" spans="1:11" ht="16" x14ac:dyDescent="0.2">
      <c r="A59" s="13">
        <v>179</v>
      </c>
      <c r="B59" s="5">
        <v>27.5</v>
      </c>
      <c r="C59" s="3">
        <v>22</v>
      </c>
      <c r="D59" s="3">
        <v>19</v>
      </c>
      <c r="E59" s="3">
        <v>24</v>
      </c>
      <c r="F59" s="3" t="s">
        <v>155</v>
      </c>
      <c r="G59" s="6" t="s">
        <v>155</v>
      </c>
      <c r="H59"/>
      <c r="I59"/>
      <c r="J59"/>
      <c r="K59"/>
    </row>
    <row r="60" spans="1:11" ht="16" x14ac:dyDescent="0.2">
      <c r="A60" s="13">
        <v>180</v>
      </c>
      <c r="B60" s="34" t="s">
        <v>155</v>
      </c>
      <c r="C60" s="3">
        <v>30</v>
      </c>
      <c r="D60" s="3">
        <v>30</v>
      </c>
      <c r="E60" s="3">
        <v>31</v>
      </c>
      <c r="F60" s="3" t="s">
        <v>155</v>
      </c>
      <c r="G60" s="6">
        <v>24</v>
      </c>
      <c r="H60"/>
      <c r="I60"/>
      <c r="J60"/>
      <c r="K60"/>
    </row>
    <row r="61" spans="1:11" ht="16" x14ac:dyDescent="0.2">
      <c r="A61" s="13">
        <v>181</v>
      </c>
      <c r="B61" s="5">
        <v>32</v>
      </c>
      <c r="C61" s="3">
        <v>34</v>
      </c>
      <c r="D61" s="3">
        <v>25</v>
      </c>
      <c r="E61" s="3">
        <v>15</v>
      </c>
      <c r="F61" s="3" t="s">
        <v>155</v>
      </c>
      <c r="G61" s="6" t="s">
        <v>155</v>
      </c>
      <c r="H61"/>
      <c r="I61"/>
      <c r="J61"/>
      <c r="K61"/>
    </row>
    <row r="62" spans="1:11" ht="16" x14ac:dyDescent="0.2">
      <c r="A62" s="13">
        <v>182</v>
      </c>
      <c r="B62" s="5">
        <v>25</v>
      </c>
      <c r="C62" s="3">
        <v>18</v>
      </c>
      <c r="D62" s="3">
        <v>22</v>
      </c>
      <c r="E62" s="3">
        <v>23</v>
      </c>
      <c r="F62" s="3" t="s">
        <v>155</v>
      </c>
      <c r="G62" s="6" t="s">
        <v>155</v>
      </c>
      <c r="H62"/>
      <c r="I62"/>
      <c r="J62"/>
      <c r="K62"/>
    </row>
  </sheetData>
  <pageMargins left="0.7" right="0.7" top="0.75" bottom="0.75" header="0.3" footer="0.3"/>
  <pageSetup orientation="portrait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E6C5-FBDE-4344-860F-C452C606B8EC}">
  <sheetPr>
    <tabColor theme="7" tint="0.39997558519241921"/>
  </sheetPr>
  <dimension ref="A1:P62"/>
  <sheetViews>
    <sheetView zoomScale="81" workbookViewId="0">
      <selection activeCell="Z55" sqref="Z55"/>
    </sheetView>
  </sheetViews>
  <sheetFormatPr baseColWidth="10" defaultColWidth="11" defaultRowHeight="16" x14ac:dyDescent="0.2"/>
  <cols>
    <col min="1" max="1" width="11" style="2"/>
    <col min="7" max="7" width="11" style="5"/>
    <col min="8" max="8" width="11" style="3"/>
    <col min="9" max="9" width="11" style="5"/>
    <col min="10" max="10" width="11" style="3"/>
    <col min="11" max="11" width="11" style="5"/>
    <col min="12" max="12" width="11" style="3"/>
    <col min="13" max="13" width="11" style="5"/>
    <col min="14" max="14" width="11" style="3"/>
    <col min="15" max="15" width="11" style="5"/>
    <col min="16" max="16384" width="11" style="3"/>
  </cols>
  <sheetData>
    <row r="1" spans="1:16" s="8" customFormat="1" ht="15" thickBot="1" x14ac:dyDescent="0.2">
      <c r="A1" s="7" t="s">
        <v>6</v>
      </c>
      <c r="B1" s="9" t="s">
        <v>168</v>
      </c>
      <c r="C1" s="9" t="s">
        <v>169</v>
      </c>
      <c r="D1" s="9" t="s">
        <v>170</v>
      </c>
      <c r="E1" s="9" t="s">
        <v>171</v>
      </c>
      <c r="F1" s="9" t="s">
        <v>172</v>
      </c>
      <c r="G1" s="9" t="s">
        <v>173</v>
      </c>
      <c r="H1" s="8" t="s">
        <v>174</v>
      </c>
      <c r="I1" s="9" t="s">
        <v>175</v>
      </c>
      <c r="J1" s="8" t="s">
        <v>176</v>
      </c>
      <c r="K1" s="9" t="s">
        <v>177</v>
      </c>
      <c r="L1" s="8" t="s">
        <v>178</v>
      </c>
      <c r="M1" s="9" t="s">
        <v>179</v>
      </c>
      <c r="N1" s="8" t="s">
        <v>180</v>
      </c>
      <c r="O1" s="9" t="s">
        <v>181</v>
      </c>
      <c r="P1" s="8" t="s">
        <v>182</v>
      </c>
    </row>
    <row r="2" spans="1:16" x14ac:dyDescent="0.2">
      <c r="A2" s="13">
        <v>101</v>
      </c>
      <c r="B2">
        <v>13</v>
      </c>
      <c r="C2">
        <v>8</v>
      </c>
      <c r="D2">
        <v>8</v>
      </c>
      <c r="E2" s="35" t="s">
        <v>155</v>
      </c>
      <c r="F2">
        <v>7</v>
      </c>
      <c r="G2" s="5">
        <v>51.09713</v>
      </c>
      <c r="H2" s="3">
        <v>55.38852</v>
      </c>
      <c r="I2" s="5">
        <v>50.811010000000003</v>
      </c>
      <c r="J2" s="3">
        <v>43.420699999999997</v>
      </c>
      <c r="K2" s="5">
        <v>52.271140000000003</v>
      </c>
      <c r="L2" s="3">
        <v>47.814070000000001</v>
      </c>
      <c r="M2" s="5" t="s">
        <v>155</v>
      </c>
      <c r="N2" s="3" t="s">
        <v>155</v>
      </c>
      <c r="O2" s="5">
        <v>44.906010000000002</v>
      </c>
      <c r="P2" s="3">
        <v>58.687950000000001</v>
      </c>
    </row>
    <row r="3" spans="1:16" x14ac:dyDescent="0.2">
      <c r="A3" s="13">
        <v>102</v>
      </c>
      <c r="B3">
        <v>4</v>
      </c>
      <c r="C3">
        <v>6</v>
      </c>
      <c r="D3">
        <v>5</v>
      </c>
      <c r="E3">
        <v>10</v>
      </c>
      <c r="F3">
        <v>2</v>
      </c>
      <c r="G3" s="5">
        <v>57.918400000000005</v>
      </c>
      <c r="H3" s="3">
        <v>39.851019999999998</v>
      </c>
      <c r="I3" s="5">
        <v>51.01493</v>
      </c>
      <c r="J3" s="3">
        <v>45.586640000000003</v>
      </c>
      <c r="K3" s="5">
        <v>48.980460000000001</v>
      </c>
      <c r="L3" s="3">
        <v>53.533659999999998</v>
      </c>
      <c r="M3" s="5">
        <v>54.718890000000002</v>
      </c>
      <c r="N3" s="3">
        <v>49.224029999999999</v>
      </c>
      <c r="O3" s="5">
        <v>54.188000000000002</v>
      </c>
      <c r="P3" s="3">
        <v>53.083089999999999</v>
      </c>
    </row>
    <row r="4" spans="1:16" x14ac:dyDescent="0.2">
      <c r="A4" s="14">
        <v>103</v>
      </c>
      <c r="B4">
        <v>12</v>
      </c>
      <c r="C4">
        <v>8</v>
      </c>
      <c r="D4" t="s">
        <v>155</v>
      </c>
      <c r="E4" t="s">
        <v>155</v>
      </c>
      <c r="F4" t="s">
        <v>155</v>
      </c>
      <c r="G4" s="5">
        <v>53.186370000000004</v>
      </c>
      <c r="H4" s="3">
        <v>38.48066</v>
      </c>
      <c r="I4" s="5">
        <v>50.766820000000003</v>
      </c>
      <c r="J4" s="3">
        <v>32.004260000000002</v>
      </c>
      <c r="K4" s="5" t="s">
        <v>155</v>
      </c>
      <c r="L4" s="3" t="s">
        <v>155</v>
      </c>
      <c r="M4" s="5" t="s">
        <v>155</v>
      </c>
      <c r="N4" s="3" t="s">
        <v>155</v>
      </c>
      <c r="O4" s="5" t="s">
        <v>155</v>
      </c>
      <c r="P4" s="3" t="s">
        <v>155</v>
      </c>
    </row>
    <row r="5" spans="1:16" x14ac:dyDescent="0.2">
      <c r="A5" s="13">
        <v>104</v>
      </c>
      <c r="B5">
        <v>6</v>
      </c>
      <c r="C5" s="35" t="s">
        <v>155</v>
      </c>
      <c r="D5">
        <v>1</v>
      </c>
      <c r="E5">
        <v>7</v>
      </c>
      <c r="F5">
        <v>8</v>
      </c>
      <c r="G5" s="5">
        <v>43.187150000000003</v>
      </c>
      <c r="H5" s="3">
        <v>52.66827</v>
      </c>
      <c r="I5" s="5" t="s">
        <v>155</v>
      </c>
      <c r="J5" s="3" t="s">
        <v>155</v>
      </c>
      <c r="K5" s="5">
        <v>49.696109999999997</v>
      </c>
      <c r="L5" s="3">
        <v>40.046199999999999</v>
      </c>
      <c r="M5" s="5">
        <v>54.174379999999999</v>
      </c>
      <c r="N5" s="3">
        <v>46.967950000000002</v>
      </c>
      <c r="O5" s="5">
        <v>57.939390000000003</v>
      </c>
      <c r="P5" s="3">
        <v>40.872439999999997</v>
      </c>
    </row>
    <row r="6" spans="1:16" x14ac:dyDescent="0.2">
      <c r="A6" s="13">
        <v>105</v>
      </c>
      <c r="B6">
        <v>12</v>
      </c>
      <c r="C6">
        <v>11</v>
      </c>
      <c r="D6">
        <v>12</v>
      </c>
      <c r="E6">
        <v>9</v>
      </c>
      <c r="F6">
        <v>10</v>
      </c>
      <c r="G6" s="5">
        <v>46.588769999999997</v>
      </c>
      <c r="H6" s="3">
        <v>40.583820000000003</v>
      </c>
      <c r="I6" s="5">
        <v>60.193830000000005</v>
      </c>
      <c r="J6" s="3">
        <v>33.559139999999999</v>
      </c>
      <c r="K6" s="5">
        <v>55.370735000000003</v>
      </c>
      <c r="L6" s="3">
        <v>26.969160000000002</v>
      </c>
      <c r="M6" s="5">
        <v>53.670840000000005</v>
      </c>
      <c r="N6" s="3">
        <v>37.441609999999997</v>
      </c>
      <c r="O6" s="5">
        <v>53.869450000000001</v>
      </c>
      <c r="P6" s="3">
        <v>36.677970000000002</v>
      </c>
    </row>
    <row r="7" spans="1:16" x14ac:dyDescent="0.2">
      <c r="A7" s="13">
        <v>106</v>
      </c>
      <c r="B7">
        <v>11</v>
      </c>
      <c r="C7">
        <v>12</v>
      </c>
      <c r="D7">
        <v>8</v>
      </c>
      <c r="E7">
        <v>13</v>
      </c>
      <c r="F7">
        <v>12</v>
      </c>
      <c r="G7" s="5">
        <v>44.923360000000002</v>
      </c>
      <c r="H7" s="3">
        <v>38.3767</v>
      </c>
      <c r="I7" s="5">
        <v>45.621170000000006</v>
      </c>
      <c r="J7" s="3">
        <v>38.607339999999994</v>
      </c>
      <c r="K7" s="5">
        <v>44.653179999999999</v>
      </c>
      <c r="L7" s="3">
        <v>44.305669999999999</v>
      </c>
      <c r="M7" s="5">
        <v>53.268050000000002</v>
      </c>
      <c r="N7" s="3">
        <v>51.279699999999998</v>
      </c>
      <c r="O7" s="5">
        <v>45.621170000000006</v>
      </c>
      <c r="P7" s="3">
        <v>38.607339999999994</v>
      </c>
    </row>
    <row r="8" spans="1:16" x14ac:dyDescent="0.2">
      <c r="A8" s="13">
        <v>107</v>
      </c>
      <c r="B8">
        <v>9</v>
      </c>
      <c r="C8">
        <v>6</v>
      </c>
      <c r="D8">
        <v>7</v>
      </c>
      <c r="E8">
        <v>4</v>
      </c>
      <c r="F8">
        <v>5</v>
      </c>
      <c r="G8" s="5">
        <v>55.193519999999999</v>
      </c>
      <c r="H8" s="3">
        <v>50.8703</v>
      </c>
      <c r="I8" s="5">
        <v>55.191490000000002</v>
      </c>
      <c r="J8" s="3">
        <v>55.136560000000003</v>
      </c>
      <c r="K8" s="5">
        <v>54.716860000000004</v>
      </c>
      <c r="L8" s="3">
        <v>53.490290000000002</v>
      </c>
      <c r="M8" s="5">
        <v>55.893240000000006</v>
      </c>
      <c r="N8" s="3">
        <v>52.987629999999996</v>
      </c>
      <c r="O8" s="5">
        <v>56.424130000000005</v>
      </c>
      <c r="P8" s="3">
        <v>49.128569999999996</v>
      </c>
    </row>
    <row r="9" spans="1:16" x14ac:dyDescent="0.2">
      <c r="A9" s="13">
        <v>108</v>
      </c>
      <c r="B9" t="s">
        <v>155</v>
      </c>
      <c r="C9">
        <v>12</v>
      </c>
      <c r="D9" t="s">
        <v>155</v>
      </c>
      <c r="E9">
        <v>11</v>
      </c>
      <c r="F9">
        <v>12</v>
      </c>
      <c r="G9" s="5" t="s">
        <v>155</v>
      </c>
      <c r="H9" s="3" t="s">
        <v>155</v>
      </c>
      <c r="I9" s="5">
        <v>34.958340000000007</v>
      </c>
      <c r="J9" s="3">
        <v>54.503839999999997</v>
      </c>
      <c r="K9" s="5" t="s">
        <v>155</v>
      </c>
      <c r="L9" s="3" t="s">
        <v>155</v>
      </c>
      <c r="M9" s="5">
        <v>47.672449999999998</v>
      </c>
      <c r="N9" s="3">
        <v>47.321939999999998</v>
      </c>
      <c r="O9" s="5">
        <v>42.62961</v>
      </c>
      <c r="P9" s="3">
        <v>50.637889999999999</v>
      </c>
    </row>
    <row r="10" spans="1:16" x14ac:dyDescent="0.2">
      <c r="A10" s="13">
        <v>109</v>
      </c>
      <c r="B10">
        <v>11</v>
      </c>
      <c r="C10">
        <v>12</v>
      </c>
      <c r="D10">
        <v>10</v>
      </c>
      <c r="E10">
        <v>9</v>
      </c>
      <c r="F10">
        <v>12</v>
      </c>
      <c r="G10" s="5">
        <v>51.747500000000002</v>
      </c>
      <c r="H10" s="3">
        <v>45.279690000000002</v>
      </c>
      <c r="I10" s="5">
        <v>46.400869999999998</v>
      </c>
      <c r="J10" s="3">
        <v>49.099890000000002</v>
      </c>
      <c r="K10" s="5">
        <v>43.728030000000004</v>
      </c>
      <c r="L10" s="3">
        <v>47.218869999999995</v>
      </c>
      <c r="M10" s="5">
        <v>49.197180000000003</v>
      </c>
      <c r="N10" s="3">
        <v>44.99371</v>
      </c>
      <c r="O10" s="5">
        <v>42.602879999999999</v>
      </c>
      <c r="P10" s="3">
        <v>46.701569999999997</v>
      </c>
    </row>
    <row r="11" spans="1:16" x14ac:dyDescent="0.2">
      <c r="A11" s="13">
        <v>110</v>
      </c>
      <c r="B11">
        <v>8</v>
      </c>
      <c r="C11">
        <v>6</v>
      </c>
      <c r="D11">
        <v>7</v>
      </c>
      <c r="E11">
        <v>7</v>
      </c>
      <c r="F11">
        <v>7</v>
      </c>
      <c r="G11" s="5">
        <v>60.821270000000005</v>
      </c>
      <c r="H11" s="3">
        <v>37.351780000000005</v>
      </c>
      <c r="I11" s="5">
        <v>62.846380000000003</v>
      </c>
      <c r="J11" s="3">
        <v>34.30218</v>
      </c>
      <c r="K11" s="5">
        <v>62.167460000000005</v>
      </c>
      <c r="L11" s="3">
        <v>30.899190000000001</v>
      </c>
      <c r="M11" s="5">
        <v>57.231570000000005</v>
      </c>
      <c r="N11" s="3">
        <v>55.92841</v>
      </c>
      <c r="O11" s="5">
        <v>54.477770000000007</v>
      </c>
      <c r="P11" s="3">
        <v>55.647880000000001</v>
      </c>
    </row>
    <row r="12" spans="1:16" x14ac:dyDescent="0.2">
      <c r="A12" s="13">
        <v>115</v>
      </c>
      <c r="B12">
        <v>10</v>
      </c>
      <c r="C12">
        <v>13</v>
      </c>
      <c r="D12">
        <v>2</v>
      </c>
      <c r="E12">
        <v>7</v>
      </c>
      <c r="F12">
        <v>7</v>
      </c>
      <c r="G12" s="5">
        <v>48.215130000000002</v>
      </c>
      <c r="H12" s="3">
        <v>43.163429999999998</v>
      </c>
      <c r="I12" s="5">
        <v>51.9559</v>
      </c>
      <c r="J12" s="3">
        <v>41.164230000000003</v>
      </c>
      <c r="K12" s="5">
        <v>46.591340000000002</v>
      </c>
      <c r="L12" s="3">
        <v>53.690159999999999</v>
      </c>
      <c r="M12" s="5">
        <v>50.694449999999996</v>
      </c>
      <c r="N12" s="3">
        <v>30.248509999999996</v>
      </c>
      <c r="O12" s="5">
        <v>60.666430000000005</v>
      </c>
      <c r="P12" s="3">
        <v>39.471670000000003</v>
      </c>
    </row>
    <row r="13" spans="1:16" x14ac:dyDescent="0.2">
      <c r="A13" s="13">
        <v>116</v>
      </c>
      <c r="B13">
        <v>3</v>
      </c>
      <c r="C13">
        <v>4</v>
      </c>
      <c r="D13">
        <v>7</v>
      </c>
      <c r="E13">
        <v>5</v>
      </c>
      <c r="F13">
        <v>6</v>
      </c>
      <c r="G13" s="5">
        <v>57.231570000000005</v>
      </c>
      <c r="H13" s="3">
        <v>55.92841</v>
      </c>
      <c r="I13" s="5">
        <v>57.231570000000005</v>
      </c>
      <c r="J13" s="3">
        <v>55.92841</v>
      </c>
      <c r="K13" s="5">
        <v>57.900090000000006</v>
      </c>
      <c r="L13" s="3">
        <v>44.784199999999998</v>
      </c>
      <c r="M13" s="5">
        <v>58.043700000000001</v>
      </c>
      <c r="N13" s="3">
        <v>50.640519999999995</v>
      </c>
      <c r="O13" s="5">
        <v>59.55386</v>
      </c>
      <c r="P13" s="3">
        <v>48.370480000000001</v>
      </c>
    </row>
    <row r="14" spans="1:16" x14ac:dyDescent="0.2">
      <c r="A14" s="13">
        <v>118</v>
      </c>
      <c r="B14">
        <v>12</v>
      </c>
      <c r="C14">
        <v>12</v>
      </c>
      <c r="D14">
        <v>12</v>
      </c>
      <c r="E14">
        <v>12</v>
      </c>
      <c r="F14">
        <v>9</v>
      </c>
      <c r="G14" s="5">
        <v>45.973100000000002</v>
      </c>
      <c r="H14" s="3">
        <v>46.187569999999994</v>
      </c>
      <c r="I14" s="5">
        <v>54.692310000000006</v>
      </c>
      <c r="J14" s="3">
        <v>45.666649999999997</v>
      </c>
      <c r="K14" s="5">
        <v>41.061850000000007</v>
      </c>
      <c r="L14" s="3">
        <v>44.419510000000002</v>
      </c>
      <c r="M14" s="5">
        <v>47.766694999999999</v>
      </c>
      <c r="N14" s="3">
        <v>40.678159999999998</v>
      </c>
      <c r="O14" s="5">
        <v>47.349519999999998</v>
      </c>
      <c r="P14" s="3">
        <v>54.19791</v>
      </c>
    </row>
    <row r="15" spans="1:16" x14ac:dyDescent="0.2">
      <c r="A15" s="13">
        <v>120</v>
      </c>
      <c r="B15">
        <v>11</v>
      </c>
      <c r="C15">
        <v>14</v>
      </c>
      <c r="D15" t="s">
        <v>155</v>
      </c>
      <c r="E15">
        <v>11</v>
      </c>
      <c r="F15">
        <v>9</v>
      </c>
      <c r="G15" s="5">
        <v>47.222930000000005</v>
      </c>
      <c r="H15" s="3">
        <v>45.171289999999999</v>
      </c>
      <c r="I15" s="5">
        <v>60.90025</v>
      </c>
      <c r="J15" s="3">
        <v>25.226500000000001</v>
      </c>
      <c r="K15" s="5" t="s">
        <v>155</v>
      </c>
      <c r="L15" s="3" t="s">
        <v>155</v>
      </c>
      <c r="M15" s="5">
        <v>48.950620000000001</v>
      </c>
      <c r="N15" s="3">
        <v>34.30547</v>
      </c>
      <c r="O15" s="5">
        <v>50.241645000000005</v>
      </c>
      <c r="P15" s="3">
        <v>26.759999999999998</v>
      </c>
    </row>
    <row r="16" spans="1:16" x14ac:dyDescent="0.2">
      <c r="A16" s="15">
        <v>121</v>
      </c>
      <c r="B16">
        <v>17</v>
      </c>
      <c r="C16" s="35" t="s">
        <v>155</v>
      </c>
      <c r="D16">
        <v>20</v>
      </c>
      <c r="E16">
        <v>16</v>
      </c>
      <c r="F16">
        <v>16</v>
      </c>
      <c r="G16" s="5">
        <v>46.429415000000006</v>
      </c>
      <c r="H16" s="3">
        <v>28.334220000000002</v>
      </c>
      <c r="I16" s="5" t="s">
        <v>155</v>
      </c>
      <c r="J16" s="3" t="s">
        <v>155</v>
      </c>
      <c r="K16" s="5">
        <v>41.915495000000007</v>
      </c>
      <c r="L16" s="3">
        <v>31.7988</v>
      </c>
      <c r="M16" s="5">
        <v>46.660420000000002</v>
      </c>
      <c r="N16" s="3">
        <v>46.673069999999996</v>
      </c>
      <c r="O16" s="5">
        <v>52.847820000000006</v>
      </c>
      <c r="P16" s="3">
        <v>34.462629999999997</v>
      </c>
    </row>
    <row r="17" spans="1:16" x14ac:dyDescent="0.2">
      <c r="A17" s="13">
        <v>123</v>
      </c>
      <c r="B17">
        <v>10</v>
      </c>
      <c r="C17" t="s">
        <v>155</v>
      </c>
      <c r="D17">
        <v>8</v>
      </c>
      <c r="E17">
        <v>10</v>
      </c>
      <c r="F17">
        <v>9</v>
      </c>
      <c r="G17" s="5">
        <v>42.95729</v>
      </c>
      <c r="H17" s="3">
        <v>44.787639999999996</v>
      </c>
      <c r="I17" s="5" t="s">
        <v>155</v>
      </c>
      <c r="J17" s="3" t="s">
        <v>155</v>
      </c>
      <c r="K17" s="5">
        <v>51.754170000000002</v>
      </c>
      <c r="L17" s="3">
        <v>51.861719999999998</v>
      </c>
      <c r="M17" s="5">
        <v>55.840520000000005</v>
      </c>
      <c r="N17" s="3">
        <v>41.904139999999998</v>
      </c>
      <c r="O17" s="5">
        <v>54.135280000000002</v>
      </c>
      <c r="P17" s="3">
        <v>41.999600000000001</v>
      </c>
    </row>
    <row r="18" spans="1:16" x14ac:dyDescent="0.2">
      <c r="A18" s="13">
        <v>125</v>
      </c>
      <c r="B18" s="35" t="s">
        <v>155</v>
      </c>
      <c r="C18">
        <v>8</v>
      </c>
      <c r="D18">
        <v>8</v>
      </c>
      <c r="E18">
        <v>5</v>
      </c>
      <c r="F18">
        <v>6</v>
      </c>
      <c r="G18" s="5" t="s">
        <v>155</v>
      </c>
      <c r="H18" s="3" t="s">
        <v>155</v>
      </c>
      <c r="I18" s="5">
        <v>53.906110000000005</v>
      </c>
      <c r="J18" s="3">
        <v>54.783609999999996</v>
      </c>
      <c r="K18" s="5">
        <v>42.02216</v>
      </c>
      <c r="L18" s="3">
        <v>59.666829999999997</v>
      </c>
      <c r="M18" s="5">
        <v>56.023230000000005</v>
      </c>
      <c r="N18" s="3">
        <v>52.728809999999996</v>
      </c>
      <c r="O18" s="5">
        <v>52.7654</v>
      </c>
      <c r="P18" s="3">
        <v>59.258139999999997</v>
      </c>
    </row>
    <row r="19" spans="1:16" x14ac:dyDescent="0.2">
      <c r="A19" s="13">
        <v>126</v>
      </c>
      <c r="B19" s="35" t="s">
        <v>155</v>
      </c>
      <c r="C19">
        <v>9</v>
      </c>
      <c r="D19">
        <v>12</v>
      </c>
      <c r="E19">
        <v>11</v>
      </c>
      <c r="F19">
        <v>10</v>
      </c>
      <c r="G19" s="5" t="s">
        <v>155</v>
      </c>
      <c r="H19" s="3" t="s">
        <v>155</v>
      </c>
      <c r="I19" s="5">
        <v>55.316990000000004</v>
      </c>
      <c r="J19" s="3">
        <v>39.519669999999998</v>
      </c>
      <c r="K19" s="5">
        <v>57.301190000000005</v>
      </c>
      <c r="L19" s="3">
        <v>34.835709999999999</v>
      </c>
      <c r="M19" s="5">
        <v>53.72569</v>
      </c>
      <c r="N19" s="3">
        <v>43.278390000000002</v>
      </c>
      <c r="O19" s="5">
        <v>51.936630000000001</v>
      </c>
      <c r="P19" s="3">
        <v>47.361639999999994</v>
      </c>
    </row>
    <row r="20" spans="1:16" s="76" customFormat="1" x14ac:dyDescent="0.2">
      <c r="A20" s="87">
        <v>127</v>
      </c>
      <c r="B20" s="90" t="s">
        <v>155</v>
      </c>
      <c r="C20" s="90">
        <v>34</v>
      </c>
      <c r="D20" s="90" t="s">
        <v>155</v>
      </c>
      <c r="E20" s="90">
        <v>4</v>
      </c>
      <c r="F20" s="90">
        <v>3</v>
      </c>
      <c r="G20" s="88" t="s">
        <v>155</v>
      </c>
      <c r="H20" s="76" t="s">
        <v>155</v>
      </c>
      <c r="I20" s="88">
        <v>46.60669</v>
      </c>
      <c r="J20" s="76">
        <v>43.249519999999997</v>
      </c>
      <c r="K20" s="88" t="s">
        <v>155</v>
      </c>
      <c r="L20" s="76" t="s">
        <v>155</v>
      </c>
      <c r="M20" s="88">
        <v>57.438020000000002</v>
      </c>
      <c r="N20" s="76">
        <v>44.462530000000001</v>
      </c>
      <c r="O20" s="88">
        <v>61.576690000000006</v>
      </c>
      <c r="P20" s="76">
        <v>32.555909999999997</v>
      </c>
    </row>
    <row r="21" spans="1:16" x14ac:dyDescent="0.2">
      <c r="A21" s="13">
        <v>128</v>
      </c>
      <c r="B21">
        <v>13</v>
      </c>
      <c r="C21">
        <v>12</v>
      </c>
      <c r="D21">
        <v>10</v>
      </c>
      <c r="E21">
        <v>8</v>
      </c>
      <c r="F21">
        <v>7</v>
      </c>
      <c r="G21" s="5">
        <v>45.308309999999999</v>
      </c>
      <c r="H21" s="3">
        <v>38.256709999999998</v>
      </c>
      <c r="I21" s="5">
        <v>41.12039</v>
      </c>
      <c r="J21" s="3">
        <v>42.755740000000003</v>
      </c>
      <c r="K21" s="5">
        <v>50.077390000000001</v>
      </c>
      <c r="L21" s="3">
        <v>47.672359999999998</v>
      </c>
      <c r="M21" s="5">
        <v>45.329320000000003</v>
      </c>
      <c r="N21" s="3">
        <v>46.195790000000002</v>
      </c>
      <c r="O21" s="5">
        <v>60.384300000000003</v>
      </c>
      <c r="P21" s="3">
        <v>38.149409999999996</v>
      </c>
    </row>
    <row r="22" spans="1:16" x14ac:dyDescent="0.2">
      <c r="A22" s="13">
        <v>129</v>
      </c>
      <c r="B22">
        <v>3</v>
      </c>
      <c r="C22">
        <v>2</v>
      </c>
      <c r="D22">
        <v>1</v>
      </c>
      <c r="E22">
        <v>2</v>
      </c>
      <c r="F22">
        <v>1</v>
      </c>
      <c r="G22" s="5">
        <v>50.505760000000002</v>
      </c>
      <c r="H22" s="3">
        <v>54.398489999999995</v>
      </c>
      <c r="I22" s="5">
        <v>50.862440000000007</v>
      </c>
      <c r="J22" s="3">
        <v>54.69267</v>
      </c>
      <c r="K22" s="5">
        <v>52.457300000000004</v>
      </c>
      <c r="L22" s="3">
        <v>57.736170000000001</v>
      </c>
      <c r="M22" s="5">
        <v>55.912850000000006</v>
      </c>
      <c r="N22" s="3">
        <v>55.86777</v>
      </c>
      <c r="O22" s="5">
        <v>55.912850000000006</v>
      </c>
      <c r="P22" s="3">
        <v>55.86777</v>
      </c>
    </row>
    <row r="23" spans="1:16" x14ac:dyDescent="0.2">
      <c r="A23" s="16">
        <v>130</v>
      </c>
      <c r="B23" t="s">
        <v>155</v>
      </c>
      <c r="C23" t="s">
        <v>155</v>
      </c>
      <c r="D23" t="s">
        <v>155</v>
      </c>
      <c r="E23">
        <v>5</v>
      </c>
      <c r="F23">
        <v>5</v>
      </c>
      <c r="G23" s="5" t="s">
        <v>155</v>
      </c>
      <c r="H23" s="3" t="s">
        <v>155</v>
      </c>
      <c r="I23" s="5" t="s">
        <v>155</v>
      </c>
      <c r="J23" s="3" t="s">
        <v>155</v>
      </c>
      <c r="K23" s="5" t="s">
        <v>155</v>
      </c>
      <c r="L23" s="3" t="s">
        <v>155</v>
      </c>
      <c r="M23" s="5">
        <v>61.83361</v>
      </c>
      <c r="N23" s="3">
        <v>24.925440000000002</v>
      </c>
      <c r="O23" s="5">
        <v>58.04551</v>
      </c>
      <c r="P23" s="3">
        <v>27.740949999999998</v>
      </c>
    </row>
    <row r="24" spans="1:16" x14ac:dyDescent="0.2">
      <c r="A24" s="13">
        <v>132</v>
      </c>
      <c r="B24">
        <v>6</v>
      </c>
      <c r="C24" t="s">
        <v>155</v>
      </c>
      <c r="D24">
        <v>7</v>
      </c>
      <c r="E24">
        <v>9</v>
      </c>
      <c r="F24">
        <v>7</v>
      </c>
      <c r="G24" s="5">
        <v>58.343180000000004</v>
      </c>
      <c r="H24" s="3">
        <v>37.428449999999998</v>
      </c>
      <c r="I24" s="5" t="s">
        <v>155</v>
      </c>
      <c r="J24" s="3" t="s">
        <v>155</v>
      </c>
      <c r="K24" s="5">
        <v>44.004220000000004</v>
      </c>
      <c r="L24" s="3">
        <v>52.323880000000003</v>
      </c>
      <c r="M24" s="5">
        <v>42.020760000000003</v>
      </c>
      <c r="N24" s="3">
        <v>51.580590000000001</v>
      </c>
      <c r="O24" s="5">
        <v>41.999769999999998</v>
      </c>
      <c r="P24" s="3">
        <v>50.559169999999995</v>
      </c>
    </row>
    <row r="25" spans="1:16" x14ac:dyDescent="0.2">
      <c r="A25" s="13">
        <v>133</v>
      </c>
      <c r="B25" t="s">
        <v>155</v>
      </c>
      <c r="C25">
        <v>14</v>
      </c>
      <c r="D25">
        <v>14</v>
      </c>
      <c r="E25">
        <v>11</v>
      </c>
      <c r="F25">
        <v>13</v>
      </c>
      <c r="G25" s="5" t="s">
        <v>155</v>
      </c>
      <c r="H25" s="3" t="s">
        <v>155</v>
      </c>
      <c r="I25" s="5">
        <v>57.931870000000004</v>
      </c>
      <c r="J25" s="3">
        <v>22.137099999999997</v>
      </c>
      <c r="K25" s="5">
        <v>54.401205000000004</v>
      </c>
      <c r="L25" s="3">
        <v>20.824750000000002</v>
      </c>
      <c r="M25" s="5">
        <v>54.61054</v>
      </c>
      <c r="N25" s="3">
        <v>24.58954</v>
      </c>
      <c r="O25" s="5">
        <v>45.947990000000004</v>
      </c>
      <c r="P25" s="3">
        <v>22.819850000000002</v>
      </c>
    </row>
    <row r="26" spans="1:16" x14ac:dyDescent="0.2">
      <c r="A26" s="13">
        <v>134</v>
      </c>
      <c r="B26">
        <v>8</v>
      </c>
      <c r="C26">
        <v>7</v>
      </c>
      <c r="D26">
        <v>7</v>
      </c>
      <c r="E26">
        <v>6</v>
      </c>
      <c r="F26">
        <v>7</v>
      </c>
      <c r="G26" s="5">
        <v>60.240690000000001</v>
      </c>
      <c r="H26" s="3">
        <v>32.293089999999999</v>
      </c>
      <c r="I26" s="5">
        <v>60.893550000000005</v>
      </c>
      <c r="J26" s="3">
        <v>35.676469999999995</v>
      </c>
      <c r="K26" s="5">
        <v>56.023230000000005</v>
      </c>
      <c r="L26" s="3">
        <v>52.728809999999996</v>
      </c>
      <c r="M26" s="5">
        <v>54.90936</v>
      </c>
      <c r="N26" s="3">
        <v>53.814300000000003</v>
      </c>
      <c r="O26" s="5">
        <v>56.724980000000002</v>
      </c>
      <c r="P26" s="3">
        <v>50.579880000000003</v>
      </c>
    </row>
    <row r="27" spans="1:16" x14ac:dyDescent="0.2">
      <c r="A27" s="13">
        <v>135</v>
      </c>
      <c r="B27">
        <v>17</v>
      </c>
      <c r="C27">
        <v>16</v>
      </c>
      <c r="D27">
        <v>15</v>
      </c>
      <c r="E27">
        <v>13</v>
      </c>
      <c r="F27">
        <v>12</v>
      </c>
      <c r="G27" s="5">
        <v>41.829419999999999</v>
      </c>
      <c r="H27" s="3">
        <v>56.320039999999999</v>
      </c>
      <c r="I27" s="5">
        <v>46.628160000000001</v>
      </c>
      <c r="J27" s="3">
        <v>53.466700000000003</v>
      </c>
      <c r="K27" s="5">
        <v>45.758130000000001</v>
      </c>
      <c r="L27" s="3">
        <v>39.025759999999998</v>
      </c>
      <c r="M27" s="5">
        <v>44.717680000000001</v>
      </c>
      <c r="N27" s="3">
        <v>47.052080000000004</v>
      </c>
      <c r="O27" s="5">
        <v>50.906660000000002</v>
      </c>
      <c r="P27" s="3">
        <v>50.798249999999996</v>
      </c>
    </row>
    <row r="28" spans="1:16" x14ac:dyDescent="0.2">
      <c r="A28" s="16">
        <v>136</v>
      </c>
      <c r="B28">
        <v>7</v>
      </c>
      <c r="C28">
        <v>8</v>
      </c>
      <c r="D28">
        <v>9</v>
      </c>
      <c r="E28">
        <v>14</v>
      </c>
      <c r="F28">
        <v>8</v>
      </c>
      <c r="G28" s="5">
        <v>36.72204</v>
      </c>
      <c r="H28" s="3">
        <v>52.7988</v>
      </c>
      <c r="I28" s="5">
        <v>41.328420000000008</v>
      </c>
      <c r="J28" s="3">
        <v>39.765119999999996</v>
      </c>
      <c r="K28" s="5">
        <v>40.322900000000004</v>
      </c>
      <c r="L28" s="3">
        <v>41.977909999999994</v>
      </c>
      <c r="M28" s="5">
        <v>40.322900000000004</v>
      </c>
      <c r="N28" s="3">
        <v>41.977909999999994</v>
      </c>
      <c r="O28" s="5">
        <v>45.84037</v>
      </c>
      <c r="P28" s="3">
        <v>40.308229999999995</v>
      </c>
    </row>
    <row r="29" spans="1:16" x14ac:dyDescent="0.2">
      <c r="A29" s="13">
        <v>137</v>
      </c>
      <c r="B29">
        <v>12</v>
      </c>
      <c r="C29">
        <v>11</v>
      </c>
      <c r="D29">
        <v>7</v>
      </c>
      <c r="E29">
        <v>5</v>
      </c>
      <c r="F29">
        <v>4</v>
      </c>
      <c r="G29" s="5">
        <v>56.62059</v>
      </c>
      <c r="H29" s="3">
        <v>52.058239999999998</v>
      </c>
      <c r="I29" s="5">
        <v>48.838740000000001</v>
      </c>
      <c r="J29" s="3">
        <v>55.17765</v>
      </c>
      <c r="K29" s="5">
        <v>57.76446</v>
      </c>
      <c r="L29" s="3">
        <v>53.71002</v>
      </c>
      <c r="M29" s="5">
        <v>57.341950000000004</v>
      </c>
      <c r="N29" s="3">
        <v>52.789450000000002</v>
      </c>
      <c r="O29" s="5">
        <v>56.819690000000001</v>
      </c>
      <c r="P29" s="3">
        <v>57.887749999999997</v>
      </c>
    </row>
    <row r="30" spans="1:16" x14ac:dyDescent="0.2">
      <c r="A30" s="13">
        <v>140</v>
      </c>
      <c r="B30" t="s">
        <v>155</v>
      </c>
      <c r="C30">
        <v>13</v>
      </c>
      <c r="D30">
        <v>14</v>
      </c>
      <c r="E30">
        <v>14</v>
      </c>
      <c r="F30">
        <v>13</v>
      </c>
      <c r="G30" s="5" t="s">
        <v>155</v>
      </c>
      <c r="H30" s="3" t="s">
        <v>155</v>
      </c>
      <c r="I30" s="5">
        <v>63.157355000000003</v>
      </c>
      <c r="J30" s="3">
        <v>23.516080000000002</v>
      </c>
      <c r="K30" s="5">
        <v>59.745340000000006</v>
      </c>
      <c r="L30" s="3">
        <v>27.148520000000005</v>
      </c>
      <c r="M30" s="5">
        <v>57.526540000000004</v>
      </c>
      <c r="N30" s="3">
        <v>28.791370000000001</v>
      </c>
      <c r="O30" s="5">
        <v>56.9863</v>
      </c>
      <c r="P30" s="3">
        <v>22.122279999999996</v>
      </c>
    </row>
    <row r="31" spans="1:16" x14ac:dyDescent="0.2">
      <c r="A31" s="15">
        <v>141</v>
      </c>
      <c r="B31">
        <v>16</v>
      </c>
      <c r="C31">
        <v>16</v>
      </c>
      <c r="D31">
        <v>7</v>
      </c>
      <c r="E31">
        <v>9</v>
      </c>
      <c r="F31">
        <v>10</v>
      </c>
      <c r="G31" s="5">
        <v>38.679079999999999</v>
      </c>
      <c r="H31" s="3">
        <v>45.778099999999995</v>
      </c>
      <c r="I31" s="5">
        <v>42.572740000000003</v>
      </c>
      <c r="J31" s="3">
        <v>39.687739999999998</v>
      </c>
      <c r="K31" s="5">
        <v>44.604510000000005</v>
      </c>
      <c r="L31" s="3">
        <v>57.508330000000001</v>
      </c>
      <c r="M31" s="5">
        <v>40.663730000000001</v>
      </c>
      <c r="N31" s="3">
        <v>50.345269999999999</v>
      </c>
      <c r="O31" s="5">
        <v>51.150930000000002</v>
      </c>
      <c r="P31" s="3">
        <v>53.334499999999998</v>
      </c>
    </row>
    <row r="32" spans="1:16" x14ac:dyDescent="0.2">
      <c r="A32" s="13">
        <v>142</v>
      </c>
      <c r="B32">
        <v>18</v>
      </c>
      <c r="C32">
        <v>12</v>
      </c>
      <c r="D32">
        <v>13</v>
      </c>
      <c r="E32">
        <v>4</v>
      </c>
      <c r="F32">
        <v>8</v>
      </c>
      <c r="G32" s="5">
        <v>58.15005</v>
      </c>
      <c r="H32" s="3">
        <v>23.29213</v>
      </c>
      <c r="I32" s="5">
        <v>49.226115</v>
      </c>
      <c r="J32" s="3">
        <v>31.565980000000003</v>
      </c>
      <c r="K32" s="5">
        <v>43.728290000000008</v>
      </c>
      <c r="L32" s="3">
        <v>35.796340000000001</v>
      </c>
      <c r="M32" s="5">
        <v>54.024290000000001</v>
      </c>
      <c r="N32" s="3">
        <v>41.376300000000001</v>
      </c>
      <c r="O32" s="5">
        <v>57.026415</v>
      </c>
      <c r="P32" s="3">
        <v>29.642409999999998</v>
      </c>
    </row>
    <row r="33" spans="1:16" x14ac:dyDescent="0.2">
      <c r="A33" s="13">
        <v>143</v>
      </c>
      <c r="B33">
        <v>13</v>
      </c>
      <c r="C33">
        <v>11</v>
      </c>
      <c r="D33">
        <v>12</v>
      </c>
      <c r="E33">
        <v>8</v>
      </c>
      <c r="F33">
        <v>5</v>
      </c>
      <c r="G33" s="5">
        <v>44.423480000000005</v>
      </c>
      <c r="H33" s="3">
        <v>51.038669999999996</v>
      </c>
      <c r="I33" s="5">
        <v>44.423480000000005</v>
      </c>
      <c r="J33" s="3">
        <v>51.038669999999996</v>
      </c>
      <c r="K33" s="5">
        <v>54.603530000000006</v>
      </c>
      <c r="L33" s="3">
        <v>44.791469999999997</v>
      </c>
      <c r="M33" s="5">
        <v>54.021450000000002</v>
      </c>
      <c r="N33" s="3">
        <v>46.041129999999995</v>
      </c>
      <c r="O33" s="5">
        <v>60.032060000000001</v>
      </c>
      <c r="P33" s="3">
        <v>32.263500000000001</v>
      </c>
    </row>
    <row r="34" spans="1:16" x14ac:dyDescent="0.2">
      <c r="A34" s="14">
        <v>144</v>
      </c>
      <c r="B34">
        <v>9</v>
      </c>
      <c r="C34" t="s">
        <v>155</v>
      </c>
      <c r="D34" s="35">
        <v>10</v>
      </c>
      <c r="E34" t="s">
        <v>155</v>
      </c>
      <c r="F34" t="s">
        <v>155</v>
      </c>
      <c r="G34" s="5">
        <v>47.845620000000004</v>
      </c>
      <c r="H34" s="3">
        <v>29.278459999999999</v>
      </c>
      <c r="I34" s="5" t="s">
        <v>155</v>
      </c>
      <c r="J34" s="3" t="s">
        <v>155</v>
      </c>
      <c r="K34" s="5">
        <v>46.52946</v>
      </c>
      <c r="L34" s="3">
        <v>28.03857</v>
      </c>
      <c r="M34" s="5" t="s">
        <v>155</v>
      </c>
      <c r="N34" s="3" t="s">
        <v>155</v>
      </c>
      <c r="O34" s="5" t="s">
        <v>155</v>
      </c>
      <c r="P34" s="3" t="s">
        <v>155</v>
      </c>
    </row>
    <row r="35" spans="1:16" x14ac:dyDescent="0.2">
      <c r="A35" s="13">
        <v>145</v>
      </c>
      <c r="B35">
        <v>10</v>
      </c>
      <c r="C35">
        <v>8</v>
      </c>
      <c r="D35">
        <v>9</v>
      </c>
      <c r="E35">
        <v>9</v>
      </c>
      <c r="F35">
        <v>9</v>
      </c>
      <c r="G35" s="5">
        <v>54.188000000000002</v>
      </c>
      <c r="H35" s="3">
        <v>53.083089999999999</v>
      </c>
      <c r="I35" s="5">
        <v>56.614600000000003</v>
      </c>
      <c r="J35" s="3">
        <v>53.71884</v>
      </c>
      <c r="K35" s="5">
        <v>51.017120000000006</v>
      </c>
      <c r="L35" s="3">
        <v>56.76482</v>
      </c>
      <c r="M35" s="5">
        <v>60.66377</v>
      </c>
      <c r="N35" s="3">
        <v>44.67933</v>
      </c>
      <c r="O35" s="5">
        <v>55.500970000000002</v>
      </c>
      <c r="P35" s="3">
        <v>57.827109999999998</v>
      </c>
    </row>
    <row r="36" spans="1:16" x14ac:dyDescent="0.2">
      <c r="A36" s="13">
        <v>146</v>
      </c>
      <c r="B36">
        <v>10</v>
      </c>
      <c r="C36">
        <v>13</v>
      </c>
      <c r="D36">
        <v>8</v>
      </c>
      <c r="E36">
        <v>12</v>
      </c>
      <c r="F36">
        <v>8</v>
      </c>
      <c r="G36" s="5">
        <v>61.16695</v>
      </c>
      <c r="H36" s="3">
        <v>14.343859999999999</v>
      </c>
      <c r="I36" s="5">
        <v>59.864890000000003</v>
      </c>
      <c r="J36" s="3">
        <v>16.030889999999999</v>
      </c>
      <c r="K36" s="5">
        <v>58.218699999999998</v>
      </c>
      <c r="L36" s="3">
        <v>15.587060000000001</v>
      </c>
      <c r="M36" s="5">
        <v>62.038575000000002</v>
      </c>
      <c r="N36" s="3">
        <v>23.32779</v>
      </c>
      <c r="O36" s="5">
        <v>63.286025000000002</v>
      </c>
      <c r="P36" s="3">
        <v>20.308550000000004</v>
      </c>
    </row>
    <row r="37" spans="1:16" x14ac:dyDescent="0.2">
      <c r="A37" s="13">
        <v>148</v>
      </c>
      <c r="B37" s="35" t="s">
        <v>155</v>
      </c>
      <c r="C37">
        <v>10</v>
      </c>
      <c r="D37">
        <v>10</v>
      </c>
      <c r="E37">
        <v>7</v>
      </c>
      <c r="F37">
        <v>8</v>
      </c>
      <c r="G37" s="5" t="s">
        <v>155</v>
      </c>
      <c r="H37" s="3" t="s">
        <v>155</v>
      </c>
      <c r="I37" s="5">
        <v>50.757145000000001</v>
      </c>
      <c r="J37" s="3">
        <v>35.623759999999997</v>
      </c>
      <c r="K37" s="5">
        <v>61.473560000000006</v>
      </c>
      <c r="L37" s="3">
        <v>21.989469999999997</v>
      </c>
      <c r="M37" s="5">
        <v>60.735710000000005</v>
      </c>
      <c r="N37" s="3">
        <v>12.466329999999999</v>
      </c>
      <c r="O37" s="5">
        <v>56.255065000000002</v>
      </c>
      <c r="P37" s="3">
        <v>35.041429999999998</v>
      </c>
    </row>
    <row r="38" spans="1:16" x14ac:dyDescent="0.2">
      <c r="A38" s="13">
        <v>150</v>
      </c>
      <c r="B38">
        <v>8</v>
      </c>
      <c r="C38">
        <v>8</v>
      </c>
      <c r="D38">
        <v>9</v>
      </c>
      <c r="E38">
        <v>5</v>
      </c>
      <c r="F38">
        <v>5</v>
      </c>
      <c r="G38" s="5">
        <v>57.227670000000003</v>
      </c>
      <c r="H38" s="3">
        <v>21.8812</v>
      </c>
      <c r="I38" s="5">
        <v>50.066220000000001</v>
      </c>
      <c r="J38" s="3">
        <v>38.427039999999998</v>
      </c>
      <c r="K38" s="5">
        <v>57.506225000000001</v>
      </c>
      <c r="L38" s="3">
        <v>20.7806</v>
      </c>
      <c r="M38" s="5">
        <v>63.381700000000002</v>
      </c>
      <c r="N38" s="3">
        <v>23.891740000000006</v>
      </c>
      <c r="O38" s="5">
        <v>60.936940000000007</v>
      </c>
      <c r="P38" s="3">
        <v>27.816670000000002</v>
      </c>
    </row>
    <row r="39" spans="1:16" x14ac:dyDescent="0.2">
      <c r="A39" s="13">
        <v>152</v>
      </c>
      <c r="B39">
        <v>9</v>
      </c>
      <c r="C39" t="s">
        <v>155</v>
      </c>
      <c r="D39">
        <v>12</v>
      </c>
      <c r="E39">
        <v>2</v>
      </c>
      <c r="F39">
        <v>1</v>
      </c>
      <c r="G39" s="5">
        <v>50.287480000000002</v>
      </c>
      <c r="H39" s="3">
        <v>41.036229999999996</v>
      </c>
      <c r="I39" s="5" t="s">
        <v>155</v>
      </c>
      <c r="J39" s="3" t="s">
        <v>155</v>
      </c>
      <c r="K39" s="5">
        <v>56.148600000000002</v>
      </c>
      <c r="L39" s="3">
        <v>36.508449999999996</v>
      </c>
      <c r="M39" s="5">
        <v>61.453200000000002</v>
      </c>
      <c r="N39" s="3">
        <v>36.561989999999994</v>
      </c>
      <c r="O39" s="5">
        <v>63.095060000000004</v>
      </c>
      <c r="P39" s="3">
        <v>35.841159999999995</v>
      </c>
    </row>
    <row r="40" spans="1:16" ht="14" customHeight="1" x14ac:dyDescent="0.2">
      <c r="A40" s="13">
        <v>155</v>
      </c>
      <c r="B40">
        <v>7</v>
      </c>
      <c r="C40">
        <v>9</v>
      </c>
      <c r="D40">
        <v>2</v>
      </c>
      <c r="E40">
        <v>5</v>
      </c>
      <c r="F40">
        <v>4</v>
      </c>
      <c r="G40" s="5">
        <v>55.500970000000002</v>
      </c>
      <c r="H40" s="3">
        <v>57.827109999999998</v>
      </c>
      <c r="I40" s="5">
        <v>55.500970000000002</v>
      </c>
      <c r="J40" s="3">
        <v>57.827109999999998</v>
      </c>
      <c r="K40" s="5">
        <v>55.500970000000002</v>
      </c>
      <c r="L40" s="3">
        <v>57.827109999999998</v>
      </c>
      <c r="M40" s="5">
        <v>55.500970000000002</v>
      </c>
      <c r="N40" s="3">
        <v>57.827109999999998</v>
      </c>
      <c r="O40" s="5">
        <v>55.500970000000002</v>
      </c>
      <c r="P40" s="3">
        <v>57.827109999999998</v>
      </c>
    </row>
    <row r="41" spans="1:16" ht="15" customHeight="1" x14ac:dyDescent="0.2">
      <c r="A41" s="13">
        <v>156</v>
      </c>
      <c r="B41">
        <v>13</v>
      </c>
      <c r="C41" t="s">
        <v>155</v>
      </c>
      <c r="D41">
        <v>11</v>
      </c>
      <c r="E41">
        <v>6</v>
      </c>
      <c r="F41">
        <v>9</v>
      </c>
      <c r="G41" s="5">
        <v>53.023715000000003</v>
      </c>
      <c r="H41" s="3">
        <v>26.626360000000005</v>
      </c>
      <c r="I41" s="5" t="s">
        <v>155</v>
      </c>
      <c r="J41" s="3" t="s">
        <v>155</v>
      </c>
      <c r="K41" s="5">
        <v>50.238444999999999</v>
      </c>
      <c r="L41" s="3">
        <v>24.223219999999998</v>
      </c>
      <c r="M41" s="5">
        <v>48.204660000000004</v>
      </c>
      <c r="N41" s="3">
        <v>38.145849999999996</v>
      </c>
      <c r="O41" s="5">
        <v>47.088760000000001</v>
      </c>
      <c r="P41" s="3">
        <v>43.497599999999998</v>
      </c>
    </row>
    <row r="42" spans="1:16" ht="17" customHeight="1" x14ac:dyDescent="0.2">
      <c r="A42" s="13">
        <v>158</v>
      </c>
      <c r="B42">
        <v>15</v>
      </c>
      <c r="C42">
        <v>12</v>
      </c>
      <c r="D42">
        <v>19</v>
      </c>
      <c r="E42">
        <v>14</v>
      </c>
      <c r="F42">
        <v>15</v>
      </c>
      <c r="G42" s="5">
        <v>43.744810000000001</v>
      </c>
      <c r="H42" s="3">
        <v>44.516909999999996</v>
      </c>
      <c r="I42" s="5">
        <v>44.466170000000005</v>
      </c>
      <c r="J42" s="3">
        <v>45.24812</v>
      </c>
      <c r="K42" s="5">
        <v>47.509820000000005</v>
      </c>
      <c r="L42" s="3">
        <v>38.421399999999998</v>
      </c>
      <c r="M42" s="5">
        <v>45.642810000000004</v>
      </c>
      <c r="N42" s="3">
        <v>37.221220000000002</v>
      </c>
      <c r="O42" s="5">
        <v>41.732240000000004</v>
      </c>
      <c r="P42" s="3">
        <v>33.3979</v>
      </c>
    </row>
    <row r="43" spans="1:16" ht="19" customHeight="1" x14ac:dyDescent="0.2">
      <c r="A43" s="15">
        <v>159</v>
      </c>
      <c r="B43">
        <v>3</v>
      </c>
      <c r="C43">
        <v>4</v>
      </c>
      <c r="D43">
        <v>4</v>
      </c>
      <c r="E43">
        <v>2</v>
      </c>
      <c r="F43">
        <v>2</v>
      </c>
      <c r="G43" s="5">
        <v>54.718890000000002</v>
      </c>
      <c r="H43" s="3">
        <v>49.224029999999999</v>
      </c>
      <c r="I43" s="5">
        <v>53.795730000000006</v>
      </c>
      <c r="J43" s="3">
        <v>57.92257</v>
      </c>
      <c r="K43" s="5">
        <v>53.795730000000006</v>
      </c>
      <c r="L43" s="3">
        <v>57.92257</v>
      </c>
      <c r="M43" s="5">
        <v>56.202720000000006</v>
      </c>
      <c r="N43" s="3">
        <v>55.678179999999998</v>
      </c>
      <c r="O43" s="5">
        <v>54.415360000000007</v>
      </c>
      <c r="P43" s="3">
        <v>52.310670000000002</v>
      </c>
    </row>
    <row r="44" spans="1:16" x14ac:dyDescent="0.2">
      <c r="A44" s="13">
        <v>161</v>
      </c>
      <c r="B44">
        <v>12</v>
      </c>
      <c r="C44">
        <v>11</v>
      </c>
      <c r="D44">
        <v>4</v>
      </c>
      <c r="E44">
        <v>0</v>
      </c>
      <c r="F44">
        <v>2</v>
      </c>
      <c r="G44" s="5">
        <v>43.790860000000002</v>
      </c>
      <c r="H44" s="3">
        <v>32.009360000000001</v>
      </c>
      <c r="I44" s="5">
        <v>49.997370000000004</v>
      </c>
      <c r="J44" s="3">
        <v>40.923099999999998</v>
      </c>
      <c r="K44" s="5">
        <v>59.946490000000004</v>
      </c>
      <c r="L44" s="3">
        <v>36.279679999999999</v>
      </c>
      <c r="M44" s="5">
        <v>48.782050000000005</v>
      </c>
      <c r="N44" s="3">
        <v>40.580869999999997</v>
      </c>
      <c r="O44" s="5">
        <v>61.062390000000001</v>
      </c>
      <c r="P44" s="3">
        <v>30.92793</v>
      </c>
    </row>
    <row r="45" spans="1:16" x14ac:dyDescent="0.2">
      <c r="A45" s="13">
        <v>162</v>
      </c>
      <c r="B45" s="35" t="s">
        <v>155</v>
      </c>
      <c r="C45">
        <v>5</v>
      </c>
      <c r="D45">
        <v>9</v>
      </c>
      <c r="E45">
        <v>5</v>
      </c>
      <c r="F45">
        <v>4</v>
      </c>
      <c r="G45" s="5" t="s">
        <v>155</v>
      </c>
      <c r="H45" s="3" t="s">
        <v>155</v>
      </c>
      <c r="I45" s="5">
        <v>46.940330000000003</v>
      </c>
      <c r="J45" s="3">
        <v>43.971289999999996</v>
      </c>
      <c r="K45" s="5">
        <v>38.072919999999996</v>
      </c>
      <c r="L45" s="3">
        <v>45.82837</v>
      </c>
      <c r="M45" s="5">
        <v>42.330810000000007</v>
      </c>
      <c r="N45" s="3">
        <v>50.849789999999999</v>
      </c>
      <c r="O45" s="5">
        <v>41.078310000000002</v>
      </c>
      <c r="P45" s="3">
        <v>49.76811</v>
      </c>
    </row>
    <row r="46" spans="1:16" x14ac:dyDescent="0.2">
      <c r="A46" s="13">
        <v>163</v>
      </c>
      <c r="B46" s="35" t="s">
        <v>155</v>
      </c>
      <c r="C46">
        <v>11</v>
      </c>
      <c r="D46">
        <v>5</v>
      </c>
      <c r="E46">
        <v>3</v>
      </c>
      <c r="F46">
        <v>5</v>
      </c>
      <c r="G46" s="5" t="s">
        <v>155</v>
      </c>
      <c r="H46" s="3" t="s">
        <v>155</v>
      </c>
      <c r="I46" s="5">
        <v>49.311800000000005</v>
      </c>
      <c r="J46" s="3">
        <v>47.754750000000001</v>
      </c>
      <c r="K46" s="5">
        <v>46.92022</v>
      </c>
      <c r="L46" s="3">
        <v>56.525709999999997</v>
      </c>
      <c r="M46" s="5">
        <v>45.779209999999999</v>
      </c>
      <c r="N46" s="3">
        <v>58.978049999999996</v>
      </c>
      <c r="O46" s="5">
        <v>57.009140000000002</v>
      </c>
      <c r="P46" s="3">
        <v>47.63588</v>
      </c>
    </row>
    <row r="47" spans="1:16" x14ac:dyDescent="0.2">
      <c r="A47" s="13">
        <v>164</v>
      </c>
      <c r="B47">
        <v>9</v>
      </c>
      <c r="C47">
        <v>9</v>
      </c>
      <c r="D47">
        <v>8</v>
      </c>
      <c r="E47">
        <v>6</v>
      </c>
      <c r="F47">
        <v>4</v>
      </c>
      <c r="G47" s="5">
        <v>52.299320000000002</v>
      </c>
      <c r="H47" s="3">
        <v>22.579540000000001</v>
      </c>
      <c r="I47" s="5">
        <v>53.697195000000001</v>
      </c>
      <c r="J47" s="3">
        <v>24.891600000000004</v>
      </c>
      <c r="K47" s="5">
        <v>57.251335000000005</v>
      </c>
      <c r="L47" s="3">
        <v>26.959589999999999</v>
      </c>
      <c r="M47" s="5">
        <v>59.066880000000005</v>
      </c>
      <c r="N47" s="3">
        <v>45.902090000000001</v>
      </c>
      <c r="O47" s="5">
        <v>57.377470000000002</v>
      </c>
      <c r="P47" s="3">
        <v>44.752669999999995</v>
      </c>
    </row>
    <row r="48" spans="1:16" x14ac:dyDescent="0.2">
      <c r="A48" s="13">
        <v>166</v>
      </c>
      <c r="B48">
        <v>12</v>
      </c>
      <c r="C48">
        <v>7</v>
      </c>
      <c r="D48">
        <v>13</v>
      </c>
      <c r="E48">
        <v>12</v>
      </c>
      <c r="F48">
        <v>11</v>
      </c>
      <c r="G48" s="5">
        <v>36.147680000000001</v>
      </c>
      <c r="H48" s="3">
        <v>51.443420000000003</v>
      </c>
      <c r="I48" s="5">
        <v>40.858650000000004</v>
      </c>
      <c r="J48" s="3">
        <v>48.710509999999999</v>
      </c>
      <c r="K48" s="5">
        <v>38.69943</v>
      </c>
      <c r="L48" s="3">
        <v>50.860019999999999</v>
      </c>
      <c r="M48" s="5">
        <v>35.853480000000005</v>
      </c>
      <c r="N48" s="3">
        <v>55.430009999999996</v>
      </c>
      <c r="O48" s="5">
        <v>38.69943</v>
      </c>
      <c r="P48" s="3">
        <v>50.860019999999999</v>
      </c>
    </row>
    <row r="49" spans="1:16" x14ac:dyDescent="0.2">
      <c r="A49" s="13">
        <v>167</v>
      </c>
      <c r="B49">
        <v>10</v>
      </c>
      <c r="C49">
        <v>12</v>
      </c>
      <c r="D49">
        <v>7</v>
      </c>
      <c r="E49">
        <v>4</v>
      </c>
      <c r="F49">
        <v>1</v>
      </c>
      <c r="G49" s="5">
        <v>49.46002</v>
      </c>
      <c r="H49" s="3">
        <v>43.459869999999995</v>
      </c>
      <c r="I49" s="5">
        <v>49.149660000000004</v>
      </c>
      <c r="J49" s="3">
        <v>42.053319999999999</v>
      </c>
      <c r="K49" s="5">
        <v>47.201350000000005</v>
      </c>
      <c r="L49" s="3">
        <v>50.524900000000002</v>
      </c>
      <c r="M49" s="5">
        <v>54.307010000000005</v>
      </c>
      <c r="N49" s="3">
        <v>51.183369999999996</v>
      </c>
      <c r="O49" s="5">
        <v>55.294650000000004</v>
      </c>
      <c r="P49" s="3">
        <v>41.862290000000002</v>
      </c>
    </row>
    <row r="50" spans="1:16" x14ac:dyDescent="0.2">
      <c r="A50" s="15">
        <v>168</v>
      </c>
      <c r="B50">
        <v>22</v>
      </c>
      <c r="C50">
        <v>19</v>
      </c>
      <c r="D50">
        <v>28</v>
      </c>
      <c r="E50">
        <v>34</v>
      </c>
      <c r="F50">
        <v>40</v>
      </c>
      <c r="G50" s="5">
        <v>49.065055000000001</v>
      </c>
      <c r="H50" s="3">
        <v>22.702719999999999</v>
      </c>
      <c r="I50" s="5">
        <v>51.296790000000001</v>
      </c>
      <c r="J50" s="3">
        <v>26.44415</v>
      </c>
      <c r="K50" s="5">
        <v>35.499749999999999</v>
      </c>
      <c r="L50" s="3">
        <v>38.757329999999996</v>
      </c>
      <c r="M50" s="5">
        <v>42.470620000000004</v>
      </c>
      <c r="N50" s="3">
        <v>21.897939999999998</v>
      </c>
      <c r="O50" s="5">
        <v>42.875490000000006</v>
      </c>
      <c r="P50" s="3">
        <v>24.232080000000003</v>
      </c>
    </row>
    <row r="51" spans="1:16" x14ac:dyDescent="0.2">
      <c r="A51" s="13">
        <v>169</v>
      </c>
      <c r="B51">
        <v>7</v>
      </c>
      <c r="C51">
        <v>7</v>
      </c>
      <c r="D51">
        <v>15</v>
      </c>
      <c r="E51">
        <v>8</v>
      </c>
      <c r="F51">
        <v>7</v>
      </c>
      <c r="G51" s="5">
        <v>64.545330000000007</v>
      </c>
      <c r="H51" s="3">
        <v>24.860289999999999</v>
      </c>
      <c r="I51" s="5">
        <v>64.251130000000003</v>
      </c>
      <c r="J51" s="3">
        <v>28.846879999999999</v>
      </c>
      <c r="K51" s="5">
        <v>57.116590000000002</v>
      </c>
      <c r="L51" s="3">
        <v>23.885649999999998</v>
      </c>
      <c r="M51" s="5">
        <v>57.292180000000002</v>
      </c>
      <c r="N51" s="3">
        <v>31.668309999999998</v>
      </c>
      <c r="O51" s="5">
        <v>58.47889</v>
      </c>
      <c r="P51" s="3">
        <v>37.281759999999998</v>
      </c>
    </row>
    <row r="52" spans="1:16" x14ac:dyDescent="0.2">
      <c r="A52" s="13">
        <v>170</v>
      </c>
      <c r="B52">
        <v>8</v>
      </c>
      <c r="C52">
        <v>10</v>
      </c>
      <c r="D52">
        <v>12</v>
      </c>
      <c r="E52">
        <v>9</v>
      </c>
      <c r="F52">
        <v>11</v>
      </c>
      <c r="G52" s="5">
        <v>48.445700000000002</v>
      </c>
      <c r="H52" s="3">
        <v>34.035989999999998</v>
      </c>
      <c r="I52" s="5">
        <v>51.32873</v>
      </c>
      <c r="J52" s="3">
        <v>26.073099999999997</v>
      </c>
      <c r="K52" s="5">
        <v>50.63794</v>
      </c>
      <c r="L52" s="3">
        <v>31.544309999999999</v>
      </c>
      <c r="M52" s="5">
        <v>45.273380000000003</v>
      </c>
      <c r="N52" s="3">
        <v>44.070239999999998</v>
      </c>
      <c r="O52" s="5">
        <v>45.273380000000003</v>
      </c>
      <c r="P52" s="3">
        <v>44.070239999999998</v>
      </c>
    </row>
    <row r="53" spans="1:16" x14ac:dyDescent="0.2">
      <c r="A53" s="13">
        <v>172</v>
      </c>
      <c r="B53">
        <v>6</v>
      </c>
      <c r="C53">
        <v>9</v>
      </c>
      <c r="D53">
        <v>5</v>
      </c>
      <c r="E53">
        <v>4</v>
      </c>
      <c r="F53">
        <v>2</v>
      </c>
      <c r="G53" s="5">
        <v>42.753169999999997</v>
      </c>
      <c r="H53" s="3">
        <v>45.320599999999999</v>
      </c>
      <c r="I53" s="5">
        <v>36.274979999999999</v>
      </c>
      <c r="J53" s="3">
        <v>61.954799999999999</v>
      </c>
      <c r="K53" s="5">
        <v>40.432259999999999</v>
      </c>
      <c r="L53" s="3">
        <v>51.01981</v>
      </c>
      <c r="M53" s="5">
        <v>51.060160000000003</v>
      </c>
      <c r="N53" s="3">
        <v>59.3536</v>
      </c>
      <c r="O53" s="5">
        <v>51.060160000000003</v>
      </c>
      <c r="P53" s="3">
        <v>59.3536</v>
      </c>
    </row>
    <row r="54" spans="1:16" x14ac:dyDescent="0.2">
      <c r="A54" s="15">
        <v>173</v>
      </c>
      <c r="B54">
        <v>13</v>
      </c>
      <c r="C54">
        <v>13</v>
      </c>
      <c r="D54">
        <v>14</v>
      </c>
      <c r="E54">
        <v>10</v>
      </c>
      <c r="F54">
        <v>13</v>
      </c>
      <c r="G54" s="5">
        <v>46.34299</v>
      </c>
      <c r="H54" s="3">
        <v>34.889700000000005</v>
      </c>
      <c r="I54" s="5">
        <v>54.281330000000004</v>
      </c>
      <c r="J54" s="3">
        <v>34.718629999999997</v>
      </c>
      <c r="K54" s="5">
        <v>46.400869999999998</v>
      </c>
      <c r="L54" s="3">
        <v>49.099890000000002</v>
      </c>
      <c r="M54" s="5">
        <v>56.461690000000004</v>
      </c>
      <c r="N54" s="3">
        <v>42.862589999999997</v>
      </c>
      <c r="O54" s="5">
        <v>41.648990000000005</v>
      </c>
      <c r="P54" s="3">
        <v>50.687179999999998</v>
      </c>
    </row>
    <row r="55" spans="1:16" x14ac:dyDescent="0.2">
      <c r="A55" s="13">
        <v>174</v>
      </c>
      <c r="B55">
        <v>14</v>
      </c>
      <c r="C55">
        <v>12</v>
      </c>
      <c r="D55">
        <v>1</v>
      </c>
      <c r="E55">
        <v>2</v>
      </c>
      <c r="F55">
        <v>2</v>
      </c>
      <c r="G55" s="5">
        <v>36.005369999999999</v>
      </c>
      <c r="H55" s="3">
        <v>51.549750000000003</v>
      </c>
      <c r="I55" s="5">
        <v>36.74821</v>
      </c>
      <c r="J55" s="3">
        <v>52.385059999999996</v>
      </c>
      <c r="K55" s="5">
        <v>50.340180000000004</v>
      </c>
      <c r="L55" s="3">
        <v>59.790970000000002</v>
      </c>
      <c r="M55" s="5">
        <v>52.173790000000004</v>
      </c>
      <c r="N55" s="3">
        <v>55.245329999999996</v>
      </c>
      <c r="O55" s="5">
        <v>56.033860000000004</v>
      </c>
      <c r="P55" s="3">
        <v>55.608719999999998</v>
      </c>
    </row>
    <row r="56" spans="1:16" x14ac:dyDescent="0.2">
      <c r="A56" s="13">
        <v>175</v>
      </c>
      <c r="B56">
        <v>9</v>
      </c>
      <c r="C56">
        <v>8</v>
      </c>
      <c r="D56">
        <v>12</v>
      </c>
      <c r="E56">
        <v>11</v>
      </c>
      <c r="F56">
        <v>10</v>
      </c>
      <c r="G56" s="5">
        <v>52.518540000000002</v>
      </c>
      <c r="H56" s="3">
        <v>31.534739999999999</v>
      </c>
      <c r="I56" s="5">
        <v>54.594190000000005</v>
      </c>
      <c r="J56" s="3">
        <v>35.06926</v>
      </c>
      <c r="K56" s="5">
        <v>53.016660000000002</v>
      </c>
      <c r="L56" s="3">
        <v>29.714089999999999</v>
      </c>
      <c r="M56" s="5">
        <v>59.098040000000005</v>
      </c>
      <c r="N56" s="3">
        <v>26.356470000000002</v>
      </c>
      <c r="O56" s="5">
        <v>57.321300000000001</v>
      </c>
      <c r="P56" s="3">
        <v>34.571749999999994</v>
      </c>
    </row>
    <row r="57" spans="1:16" x14ac:dyDescent="0.2">
      <c r="A57" s="13">
        <v>177</v>
      </c>
      <c r="B57">
        <v>14</v>
      </c>
      <c r="C57" t="s">
        <v>155</v>
      </c>
      <c r="D57">
        <v>16</v>
      </c>
      <c r="E57">
        <v>18</v>
      </c>
      <c r="F57">
        <v>13</v>
      </c>
      <c r="G57" s="5">
        <v>50.189250000000001</v>
      </c>
      <c r="H57" s="3">
        <v>48.891549999999995</v>
      </c>
      <c r="I57" s="5" t="s">
        <v>155</v>
      </c>
      <c r="J57" s="3" t="s">
        <v>155</v>
      </c>
      <c r="K57" s="5">
        <v>48.04813</v>
      </c>
      <c r="L57" s="3">
        <v>45.030429999999996</v>
      </c>
      <c r="M57" s="5">
        <v>40.684380000000004</v>
      </c>
      <c r="N57" s="3">
        <v>54.045589999999997</v>
      </c>
      <c r="O57" s="5">
        <v>39.176210000000005</v>
      </c>
      <c r="P57" s="3">
        <v>64.236819999999994</v>
      </c>
    </row>
    <row r="58" spans="1:16" x14ac:dyDescent="0.2">
      <c r="A58" s="13">
        <v>178</v>
      </c>
      <c r="B58">
        <v>16</v>
      </c>
      <c r="C58">
        <v>17</v>
      </c>
      <c r="D58">
        <v>23</v>
      </c>
      <c r="E58">
        <v>15</v>
      </c>
      <c r="F58">
        <v>14</v>
      </c>
      <c r="G58" s="5">
        <v>42.552875</v>
      </c>
      <c r="H58" s="3">
        <v>26.1965</v>
      </c>
      <c r="I58" s="5">
        <v>44.313525000000006</v>
      </c>
      <c r="J58" s="3">
        <v>18.557980000000008</v>
      </c>
      <c r="K58" s="5">
        <v>44.820235000000004</v>
      </c>
      <c r="L58" s="3">
        <v>23.837360000000004</v>
      </c>
      <c r="M58" s="5">
        <v>47.676279999999998</v>
      </c>
      <c r="N58" s="3">
        <v>24.775539999999999</v>
      </c>
      <c r="O58" s="5">
        <v>57.07244</v>
      </c>
      <c r="P58" s="3">
        <v>23.843049999999998</v>
      </c>
    </row>
    <row r="59" spans="1:16" x14ac:dyDescent="0.2">
      <c r="A59" s="13">
        <v>179</v>
      </c>
      <c r="B59">
        <v>10</v>
      </c>
      <c r="C59">
        <v>10</v>
      </c>
      <c r="D59">
        <v>10</v>
      </c>
      <c r="E59">
        <v>6</v>
      </c>
      <c r="F59">
        <v>6</v>
      </c>
      <c r="G59" s="5">
        <v>46.467680000000001</v>
      </c>
      <c r="H59" s="3">
        <v>38.119399999999999</v>
      </c>
      <c r="I59" s="5">
        <v>55.544920000000005</v>
      </c>
      <c r="J59" s="3">
        <v>32.597610000000003</v>
      </c>
      <c r="K59" s="5">
        <v>62.476820000000004</v>
      </c>
      <c r="L59" s="3">
        <v>28.338569999999997</v>
      </c>
      <c r="M59" s="5">
        <v>57.625579999999999</v>
      </c>
      <c r="N59" s="3">
        <v>41.97889</v>
      </c>
      <c r="O59" s="5">
        <v>57.606840000000005</v>
      </c>
      <c r="P59" s="3">
        <v>32.796329999999998</v>
      </c>
    </row>
    <row r="60" spans="1:16" x14ac:dyDescent="0.2">
      <c r="A60" s="13">
        <v>180</v>
      </c>
      <c r="B60" s="35" t="s">
        <v>155</v>
      </c>
      <c r="C60">
        <v>18</v>
      </c>
      <c r="D60">
        <v>23</v>
      </c>
      <c r="E60">
        <v>20</v>
      </c>
      <c r="F60">
        <v>22</v>
      </c>
      <c r="G60" s="5" t="s">
        <v>155</v>
      </c>
      <c r="H60" s="3" t="s">
        <v>155</v>
      </c>
      <c r="I60" s="5">
        <v>36.998320000000007</v>
      </c>
      <c r="J60" s="3">
        <v>42.382069999999999</v>
      </c>
      <c r="K60" s="5">
        <v>32.830965000000006</v>
      </c>
      <c r="L60" s="3">
        <v>37.261870000000002</v>
      </c>
      <c r="M60" s="5">
        <v>38.919030000000006</v>
      </c>
      <c r="N60" s="3">
        <v>40.170929999999998</v>
      </c>
      <c r="O60" s="5">
        <v>39.056619999999995</v>
      </c>
      <c r="P60" s="3">
        <v>30.791640000000001</v>
      </c>
    </row>
    <row r="61" spans="1:16" x14ac:dyDescent="0.2">
      <c r="A61" s="13">
        <v>181</v>
      </c>
      <c r="B61">
        <v>16</v>
      </c>
      <c r="C61">
        <v>14</v>
      </c>
      <c r="D61">
        <v>6</v>
      </c>
      <c r="E61">
        <v>5</v>
      </c>
      <c r="F61">
        <v>3</v>
      </c>
      <c r="G61" s="5">
        <v>41.593640000000008</v>
      </c>
      <c r="H61" s="3">
        <v>46.260729999999995</v>
      </c>
      <c r="I61" s="5">
        <v>42.006329999999998</v>
      </c>
      <c r="J61" s="3">
        <v>41.965729999999994</v>
      </c>
      <c r="K61" s="5">
        <v>37.863240000000005</v>
      </c>
      <c r="L61" s="3">
        <v>59.492800000000003</v>
      </c>
      <c r="M61" s="5">
        <v>60.774150000000006</v>
      </c>
      <c r="N61" s="3">
        <v>41.540369999999996</v>
      </c>
      <c r="O61" s="5">
        <v>56.434170000000002</v>
      </c>
      <c r="P61" s="3">
        <v>48.085979999999999</v>
      </c>
    </row>
    <row r="62" spans="1:16" x14ac:dyDescent="0.2">
      <c r="A62" s="13">
        <v>182</v>
      </c>
      <c r="B62">
        <v>9</v>
      </c>
      <c r="C62">
        <v>9</v>
      </c>
      <c r="D62">
        <v>4</v>
      </c>
      <c r="E62">
        <v>8</v>
      </c>
      <c r="F62">
        <v>8</v>
      </c>
      <c r="G62" s="5">
        <v>46.591340000000002</v>
      </c>
      <c r="H62" s="3">
        <v>53.690159999999999</v>
      </c>
      <c r="I62" s="5">
        <v>57.631820000000005</v>
      </c>
      <c r="J62" s="3">
        <v>52.59986</v>
      </c>
      <c r="K62" s="5">
        <v>56.313100000000006</v>
      </c>
      <c r="L62" s="3">
        <v>52.53922</v>
      </c>
      <c r="M62" s="5">
        <v>58.523630000000004</v>
      </c>
      <c r="N62" s="3">
        <v>49.978969999999997</v>
      </c>
      <c r="O62" s="5">
        <v>55.912850000000006</v>
      </c>
      <c r="P62" s="3">
        <v>55.86777</v>
      </c>
    </row>
  </sheetData>
  <pageMargins left="0.7" right="0.7" top="0.75" bottom="0.75" header="0.3" footer="0.3"/>
  <pageSetup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F85D-3305-BE4A-B11D-25E6E52EB5EB}">
  <sheetPr>
    <tabColor theme="0" tint="-0.34998626667073579"/>
  </sheetPr>
  <dimension ref="A1:V62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V1" sqref="V1:V1048576"/>
    </sheetView>
  </sheetViews>
  <sheetFormatPr baseColWidth="10" defaultColWidth="11" defaultRowHeight="14" x14ac:dyDescent="0.15"/>
  <cols>
    <col min="1" max="1" width="11" style="2"/>
    <col min="2" max="2" width="11.1640625" style="5" customWidth="1"/>
    <col min="3" max="6" width="11" style="3"/>
    <col min="7" max="7" width="11.1640625" style="5" customWidth="1"/>
    <col min="8" max="11" width="11" style="3"/>
    <col min="12" max="12" width="11.1640625" style="5" customWidth="1"/>
    <col min="13" max="16" width="11" style="3"/>
    <col min="17" max="17" width="11.1640625" style="5" customWidth="1"/>
    <col min="18" max="21" width="11" style="3"/>
    <col min="22" max="22" width="0" style="66" hidden="1" customWidth="1"/>
    <col min="23" max="16384" width="11" style="3"/>
  </cols>
  <sheetData>
    <row r="1" spans="1:22" s="8" customFormat="1" ht="15" thickBot="1" x14ac:dyDescent="0.2">
      <c r="A1" s="7" t="s">
        <v>6</v>
      </c>
      <c r="B1" s="9" t="s">
        <v>193</v>
      </c>
      <c r="C1" s="8" t="s">
        <v>194</v>
      </c>
      <c r="D1" s="8" t="s">
        <v>195</v>
      </c>
      <c r="E1" s="8" t="s">
        <v>196</v>
      </c>
      <c r="F1" s="8" t="s">
        <v>197</v>
      </c>
      <c r="G1" s="9" t="s">
        <v>198</v>
      </c>
      <c r="H1" s="8" t="s">
        <v>199</v>
      </c>
      <c r="I1" s="8" t="s">
        <v>200</v>
      </c>
      <c r="J1" s="8" t="s">
        <v>201</v>
      </c>
      <c r="K1" s="8" t="s">
        <v>202</v>
      </c>
      <c r="L1" s="9" t="s">
        <v>203</v>
      </c>
      <c r="M1" s="8" t="s">
        <v>204</v>
      </c>
      <c r="N1" s="8" t="s">
        <v>205</v>
      </c>
      <c r="O1" s="8" t="s">
        <v>206</v>
      </c>
      <c r="P1" s="8" t="s">
        <v>207</v>
      </c>
      <c r="Q1" s="9" t="s">
        <v>208</v>
      </c>
      <c r="R1" s="8" t="s">
        <v>209</v>
      </c>
      <c r="S1" s="8" t="s">
        <v>210</v>
      </c>
      <c r="T1" s="8" t="s">
        <v>211</v>
      </c>
      <c r="U1" s="8" t="s">
        <v>212</v>
      </c>
      <c r="V1" s="65" t="s">
        <v>220</v>
      </c>
    </row>
    <row r="2" spans="1:22" ht="16" x14ac:dyDescent="0.2">
      <c r="A2" s="13">
        <v>101</v>
      </c>
      <c r="B2" s="5">
        <v>14</v>
      </c>
      <c r="C2">
        <v>12</v>
      </c>
      <c r="D2">
        <v>15</v>
      </c>
      <c r="E2">
        <v>31</v>
      </c>
      <c r="F2" s="3">
        <v>13</v>
      </c>
      <c r="G2" s="5">
        <v>18</v>
      </c>
      <c r="H2" s="3">
        <v>13</v>
      </c>
      <c r="I2" s="3">
        <v>22</v>
      </c>
      <c r="J2" s="3">
        <v>29</v>
      </c>
      <c r="K2" s="3">
        <v>13</v>
      </c>
      <c r="L2" s="5" t="s">
        <v>155</v>
      </c>
      <c r="M2" s="3" t="s">
        <v>155</v>
      </c>
      <c r="N2" s="3" t="s">
        <v>155</v>
      </c>
      <c r="O2" s="3" t="s">
        <v>155</v>
      </c>
      <c r="P2" s="67" t="s">
        <v>155</v>
      </c>
      <c r="Q2" s="68">
        <v>9.3333333333333339</v>
      </c>
      <c r="R2">
        <v>8</v>
      </c>
      <c r="S2">
        <v>18.666666666666668</v>
      </c>
      <c r="T2">
        <v>13.333333333333334</v>
      </c>
      <c r="U2" s="3" t="s">
        <v>155</v>
      </c>
      <c r="V2" s="66">
        <v>-1</v>
      </c>
    </row>
    <row r="3" spans="1:22" ht="16" x14ac:dyDescent="0.2">
      <c r="A3" s="13">
        <v>102</v>
      </c>
      <c r="B3" s="5">
        <v>17</v>
      </c>
      <c r="C3">
        <v>14</v>
      </c>
      <c r="D3">
        <v>28</v>
      </c>
      <c r="E3">
        <v>33</v>
      </c>
      <c r="F3" s="3">
        <v>13</v>
      </c>
      <c r="G3" s="5">
        <v>13</v>
      </c>
      <c r="H3" s="3">
        <v>11</v>
      </c>
      <c r="I3" s="3">
        <v>31</v>
      </c>
      <c r="J3" s="3">
        <v>37</v>
      </c>
      <c r="K3" s="3">
        <v>12</v>
      </c>
      <c r="L3" s="5">
        <v>15</v>
      </c>
      <c r="M3" s="3">
        <v>12</v>
      </c>
      <c r="N3" s="3">
        <v>28</v>
      </c>
      <c r="O3" s="3">
        <v>33</v>
      </c>
      <c r="P3" s="6">
        <v>9</v>
      </c>
      <c r="Q3">
        <v>10.666666666666666</v>
      </c>
      <c r="R3">
        <v>8</v>
      </c>
      <c r="S3">
        <v>16</v>
      </c>
      <c r="T3">
        <v>28</v>
      </c>
      <c r="U3" s="3" t="s">
        <v>155</v>
      </c>
      <c r="V3" s="66">
        <v>-1</v>
      </c>
    </row>
    <row r="4" spans="1:22" ht="16" x14ac:dyDescent="0.2">
      <c r="A4" s="14">
        <v>103</v>
      </c>
      <c r="B4" s="5">
        <v>25</v>
      </c>
      <c r="C4">
        <v>10</v>
      </c>
      <c r="D4">
        <v>21</v>
      </c>
      <c r="E4">
        <v>29</v>
      </c>
      <c r="F4" s="3">
        <v>13</v>
      </c>
      <c r="G4" s="5">
        <v>27</v>
      </c>
      <c r="H4" s="3">
        <v>15</v>
      </c>
      <c r="I4" s="3">
        <v>32</v>
      </c>
      <c r="J4" s="3">
        <v>34</v>
      </c>
      <c r="K4" s="3">
        <v>19</v>
      </c>
      <c r="L4" s="5" t="s">
        <v>155</v>
      </c>
      <c r="M4" s="3" t="s">
        <v>155</v>
      </c>
      <c r="N4" s="3" t="s">
        <v>155</v>
      </c>
      <c r="O4" s="3" t="s">
        <v>155</v>
      </c>
      <c r="P4" s="6" t="s">
        <v>155</v>
      </c>
      <c r="Q4" t="s">
        <v>155</v>
      </c>
      <c r="R4" t="s">
        <v>155</v>
      </c>
      <c r="S4" t="s">
        <v>155</v>
      </c>
      <c r="T4" t="s">
        <v>155</v>
      </c>
      <c r="U4" s="3" t="s">
        <v>155</v>
      </c>
      <c r="V4" s="66">
        <v>-1</v>
      </c>
    </row>
    <row r="5" spans="1:22" ht="16" x14ac:dyDescent="0.2">
      <c r="A5" s="13">
        <v>104</v>
      </c>
      <c r="B5" s="5">
        <v>21</v>
      </c>
      <c r="C5">
        <v>22</v>
      </c>
      <c r="D5">
        <v>12</v>
      </c>
      <c r="E5">
        <v>10</v>
      </c>
      <c r="F5" s="3">
        <v>13</v>
      </c>
      <c r="G5" s="5" t="s">
        <v>155</v>
      </c>
      <c r="H5" s="3" t="s">
        <v>155</v>
      </c>
      <c r="I5" s="3" t="s">
        <v>155</v>
      </c>
      <c r="J5" s="3" t="s">
        <v>155</v>
      </c>
      <c r="K5" s="3" t="s">
        <v>155</v>
      </c>
      <c r="L5" s="5">
        <v>17</v>
      </c>
      <c r="M5" s="3">
        <v>20</v>
      </c>
      <c r="N5" s="3">
        <v>16</v>
      </c>
      <c r="O5" s="3">
        <v>20</v>
      </c>
      <c r="P5" s="6">
        <v>10</v>
      </c>
      <c r="Q5">
        <v>14.666666666666666</v>
      </c>
      <c r="R5">
        <v>24</v>
      </c>
      <c r="S5">
        <v>16</v>
      </c>
      <c r="T5">
        <v>14.666666666666666</v>
      </c>
      <c r="U5" s="3" t="s">
        <v>155</v>
      </c>
      <c r="V5" s="66">
        <v>-1</v>
      </c>
    </row>
    <row r="6" spans="1:22" ht="16" x14ac:dyDescent="0.2">
      <c r="A6" s="13">
        <v>105</v>
      </c>
      <c r="B6" s="5">
        <v>21</v>
      </c>
      <c r="C6">
        <v>15</v>
      </c>
      <c r="D6">
        <v>28</v>
      </c>
      <c r="E6">
        <v>32</v>
      </c>
      <c r="F6" s="3">
        <v>12</v>
      </c>
      <c r="G6" s="5">
        <v>20</v>
      </c>
      <c r="H6" s="3">
        <v>16</v>
      </c>
      <c r="I6" s="3">
        <v>32</v>
      </c>
      <c r="J6" s="3">
        <v>35</v>
      </c>
      <c r="K6" s="3">
        <v>16</v>
      </c>
      <c r="L6" s="5">
        <v>25</v>
      </c>
      <c r="M6" s="3">
        <v>19</v>
      </c>
      <c r="N6" s="3">
        <v>36</v>
      </c>
      <c r="O6" s="3">
        <v>36</v>
      </c>
      <c r="P6" s="6">
        <v>18</v>
      </c>
      <c r="Q6">
        <v>22.666666666666668</v>
      </c>
      <c r="R6">
        <v>21.333333333333332</v>
      </c>
      <c r="S6">
        <v>33.333333333333336</v>
      </c>
      <c r="T6">
        <v>32</v>
      </c>
      <c r="U6" s="3" t="s">
        <v>155</v>
      </c>
      <c r="V6" s="66">
        <v>-1</v>
      </c>
    </row>
    <row r="7" spans="1:22" ht="16" x14ac:dyDescent="0.2">
      <c r="A7" s="13">
        <v>106</v>
      </c>
      <c r="B7" s="5">
        <v>14</v>
      </c>
      <c r="C7">
        <v>15</v>
      </c>
      <c r="D7">
        <v>30</v>
      </c>
      <c r="E7">
        <v>17</v>
      </c>
      <c r="F7" s="3">
        <v>11</v>
      </c>
      <c r="G7" s="5">
        <v>14</v>
      </c>
      <c r="H7" s="3">
        <v>18</v>
      </c>
      <c r="I7" s="3">
        <v>32</v>
      </c>
      <c r="J7" s="3">
        <v>17</v>
      </c>
      <c r="K7" s="3">
        <v>11</v>
      </c>
      <c r="L7" s="5">
        <v>16</v>
      </c>
      <c r="M7" s="3">
        <v>19</v>
      </c>
      <c r="N7" s="3">
        <v>16</v>
      </c>
      <c r="O7" s="3">
        <v>18</v>
      </c>
      <c r="P7" s="6">
        <v>10</v>
      </c>
      <c r="Q7">
        <v>14.666666666666666</v>
      </c>
      <c r="R7">
        <v>16</v>
      </c>
      <c r="S7">
        <v>21.333333333333332</v>
      </c>
      <c r="T7">
        <v>16</v>
      </c>
      <c r="U7" s="3" t="s">
        <v>155</v>
      </c>
      <c r="V7" s="66">
        <v>-1</v>
      </c>
    </row>
    <row r="8" spans="1:22" ht="16" x14ac:dyDescent="0.2">
      <c r="A8" s="13">
        <v>107</v>
      </c>
      <c r="B8" s="5">
        <v>11</v>
      </c>
      <c r="C8">
        <v>12</v>
      </c>
      <c r="D8">
        <v>16</v>
      </c>
      <c r="E8">
        <v>23</v>
      </c>
      <c r="F8" s="3">
        <v>9</v>
      </c>
      <c r="G8" s="5">
        <v>9</v>
      </c>
      <c r="H8" s="3">
        <v>8</v>
      </c>
      <c r="I8" s="3">
        <v>20</v>
      </c>
      <c r="J8" s="3">
        <v>17</v>
      </c>
      <c r="K8" s="3">
        <v>5</v>
      </c>
      <c r="L8" s="5">
        <v>9</v>
      </c>
      <c r="M8" s="3">
        <v>10</v>
      </c>
      <c r="N8" s="3">
        <v>11</v>
      </c>
      <c r="O8" s="3">
        <v>18</v>
      </c>
      <c r="P8" s="6">
        <v>8</v>
      </c>
      <c r="Q8">
        <v>8</v>
      </c>
      <c r="R8">
        <v>8</v>
      </c>
      <c r="S8">
        <v>20</v>
      </c>
      <c r="T8">
        <v>21.333333333333332</v>
      </c>
      <c r="U8" s="3" t="s">
        <v>155</v>
      </c>
      <c r="V8" s="66">
        <v>-1</v>
      </c>
    </row>
    <row r="9" spans="1:22" ht="16" x14ac:dyDescent="0.2">
      <c r="A9" s="13">
        <v>108</v>
      </c>
      <c r="B9" s="3" t="s">
        <v>155</v>
      </c>
      <c r="C9" t="s">
        <v>155</v>
      </c>
      <c r="D9" t="s">
        <v>155</v>
      </c>
      <c r="E9" t="s">
        <v>155</v>
      </c>
      <c r="F9" s="3" t="s">
        <v>155</v>
      </c>
      <c r="G9" s="3">
        <v>21</v>
      </c>
      <c r="H9" s="3">
        <v>26</v>
      </c>
      <c r="I9" s="3">
        <v>26</v>
      </c>
      <c r="J9" s="3">
        <v>29</v>
      </c>
      <c r="K9" s="3">
        <v>15</v>
      </c>
      <c r="L9" s="3">
        <v>15</v>
      </c>
      <c r="M9" s="3">
        <v>22</v>
      </c>
      <c r="N9" s="3">
        <v>24</v>
      </c>
      <c r="O9" s="3">
        <v>33</v>
      </c>
      <c r="P9" s="6">
        <v>11</v>
      </c>
      <c r="Q9">
        <v>25.333333333333332</v>
      </c>
      <c r="R9">
        <v>22.666666666666668</v>
      </c>
      <c r="S9">
        <v>26.666666666666668</v>
      </c>
      <c r="T9">
        <v>34.666666666666664</v>
      </c>
      <c r="U9" s="3" t="s">
        <v>155</v>
      </c>
      <c r="V9" s="66">
        <v>-1</v>
      </c>
    </row>
    <row r="10" spans="1:22" ht="16" x14ac:dyDescent="0.2">
      <c r="A10" s="13">
        <v>109</v>
      </c>
      <c r="B10" s="5">
        <v>15</v>
      </c>
      <c r="C10">
        <v>13</v>
      </c>
      <c r="D10">
        <v>26</v>
      </c>
      <c r="E10">
        <v>32</v>
      </c>
      <c r="F10" s="3">
        <v>8</v>
      </c>
      <c r="G10" s="5">
        <v>19</v>
      </c>
      <c r="H10" s="3">
        <v>13</v>
      </c>
      <c r="I10" s="3">
        <v>30</v>
      </c>
      <c r="J10" s="3">
        <v>32</v>
      </c>
      <c r="K10" s="3">
        <v>8</v>
      </c>
      <c r="L10" s="5">
        <v>20</v>
      </c>
      <c r="M10" s="3">
        <v>15</v>
      </c>
      <c r="N10" s="3">
        <v>29</v>
      </c>
      <c r="O10" s="3">
        <v>31</v>
      </c>
      <c r="P10" s="6">
        <v>12</v>
      </c>
      <c r="Q10">
        <v>21.333333333333332</v>
      </c>
      <c r="R10">
        <v>18.666666666666668</v>
      </c>
      <c r="S10">
        <v>29.333333333333332</v>
      </c>
      <c r="T10">
        <v>29.333333333333332</v>
      </c>
      <c r="U10" s="3" t="s">
        <v>155</v>
      </c>
      <c r="V10" s="66">
        <v>-1</v>
      </c>
    </row>
    <row r="11" spans="1:22" ht="16" x14ac:dyDescent="0.2">
      <c r="A11" s="13">
        <v>110</v>
      </c>
      <c r="B11" s="5">
        <v>24</v>
      </c>
      <c r="C11">
        <v>26</v>
      </c>
      <c r="D11">
        <v>8</v>
      </c>
      <c r="E11">
        <v>23</v>
      </c>
      <c r="F11" s="3">
        <v>20</v>
      </c>
      <c r="G11" s="5">
        <v>27</v>
      </c>
      <c r="H11" s="3">
        <v>27</v>
      </c>
      <c r="I11" s="3">
        <v>10</v>
      </c>
      <c r="J11" s="3">
        <v>22</v>
      </c>
      <c r="K11" s="3">
        <v>18</v>
      </c>
      <c r="L11" s="5">
        <v>16</v>
      </c>
      <c r="M11" s="3">
        <v>11</v>
      </c>
      <c r="N11" s="3">
        <v>13</v>
      </c>
      <c r="O11" s="3">
        <v>21</v>
      </c>
      <c r="P11" s="6">
        <v>9</v>
      </c>
      <c r="Q11">
        <v>14.666666666666666</v>
      </c>
      <c r="R11">
        <v>10.666666666666666</v>
      </c>
      <c r="S11">
        <v>13.333333333333334</v>
      </c>
      <c r="T11">
        <v>22.666666666666668</v>
      </c>
      <c r="U11" s="3" t="s">
        <v>155</v>
      </c>
      <c r="V11" s="66">
        <v>-1</v>
      </c>
    </row>
    <row r="12" spans="1:22" ht="16" x14ac:dyDescent="0.2">
      <c r="A12" s="13">
        <v>115</v>
      </c>
      <c r="B12" s="5">
        <v>23</v>
      </c>
      <c r="C12">
        <v>14</v>
      </c>
      <c r="D12">
        <v>22</v>
      </c>
      <c r="E12">
        <v>14</v>
      </c>
      <c r="F12" s="3">
        <v>10</v>
      </c>
      <c r="G12" s="5">
        <v>20</v>
      </c>
      <c r="H12" s="3">
        <v>16</v>
      </c>
      <c r="I12" s="3">
        <v>18</v>
      </c>
      <c r="J12" s="3">
        <v>16</v>
      </c>
      <c r="K12" s="3">
        <v>17</v>
      </c>
      <c r="L12" s="5">
        <v>18</v>
      </c>
      <c r="M12" s="3">
        <v>22</v>
      </c>
      <c r="N12" s="3">
        <v>25</v>
      </c>
      <c r="O12" s="3">
        <v>15</v>
      </c>
      <c r="P12" s="6">
        <v>15</v>
      </c>
      <c r="Q12">
        <v>15</v>
      </c>
      <c r="R12">
        <v>10</v>
      </c>
      <c r="S12">
        <v>16</v>
      </c>
      <c r="T12">
        <v>12</v>
      </c>
      <c r="U12" s="3">
        <v>9</v>
      </c>
      <c r="V12" s="66">
        <v>1</v>
      </c>
    </row>
    <row r="13" spans="1:22" ht="16" x14ac:dyDescent="0.2">
      <c r="A13" s="13">
        <v>116</v>
      </c>
      <c r="B13" s="5">
        <v>11</v>
      </c>
      <c r="C13">
        <v>9</v>
      </c>
      <c r="D13">
        <v>12</v>
      </c>
      <c r="E13">
        <v>17</v>
      </c>
      <c r="F13" s="3">
        <v>10</v>
      </c>
      <c r="G13" s="5">
        <v>16</v>
      </c>
      <c r="H13" s="3">
        <v>9</v>
      </c>
      <c r="I13" s="3">
        <v>19</v>
      </c>
      <c r="J13" s="3">
        <v>15</v>
      </c>
      <c r="K13" s="3">
        <v>12</v>
      </c>
      <c r="L13" s="5">
        <v>12</v>
      </c>
      <c r="M13" s="3">
        <v>9</v>
      </c>
      <c r="N13" s="3">
        <v>18</v>
      </c>
      <c r="O13" s="3">
        <v>17</v>
      </c>
      <c r="P13" s="6">
        <v>12</v>
      </c>
      <c r="Q13">
        <v>14.666666666666666</v>
      </c>
      <c r="R13">
        <v>10.666666666666666</v>
      </c>
      <c r="S13">
        <v>16</v>
      </c>
      <c r="T13">
        <v>17.333333333333332</v>
      </c>
      <c r="U13" s="3" t="s">
        <v>155</v>
      </c>
      <c r="V13" s="66">
        <v>-1</v>
      </c>
    </row>
    <row r="14" spans="1:22" ht="16" x14ac:dyDescent="0.2">
      <c r="A14" s="13">
        <v>118</v>
      </c>
      <c r="B14" s="5">
        <v>17</v>
      </c>
      <c r="C14">
        <v>18</v>
      </c>
      <c r="D14">
        <v>25</v>
      </c>
      <c r="E14">
        <v>20</v>
      </c>
      <c r="F14" s="3">
        <v>13</v>
      </c>
      <c r="G14" s="5">
        <v>17</v>
      </c>
      <c r="H14" s="3">
        <v>16</v>
      </c>
      <c r="I14" s="3">
        <v>29</v>
      </c>
      <c r="J14" s="3">
        <v>22</v>
      </c>
      <c r="K14" s="3">
        <v>10</v>
      </c>
      <c r="L14" s="5">
        <v>15</v>
      </c>
      <c r="M14" s="3">
        <v>18</v>
      </c>
      <c r="N14" s="3">
        <v>23</v>
      </c>
      <c r="O14" s="3">
        <v>17</v>
      </c>
      <c r="P14" s="6">
        <v>15</v>
      </c>
      <c r="Q14" s="3">
        <v>20</v>
      </c>
      <c r="R14">
        <v>22</v>
      </c>
      <c r="S14">
        <v>26</v>
      </c>
      <c r="T14">
        <v>18</v>
      </c>
      <c r="U14" s="3">
        <v>15</v>
      </c>
      <c r="V14" s="66">
        <v>1</v>
      </c>
    </row>
    <row r="15" spans="1:22" ht="16" x14ac:dyDescent="0.2">
      <c r="A15" s="13">
        <v>120</v>
      </c>
      <c r="B15" s="5">
        <v>24</v>
      </c>
      <c r="C15">
        <v>21</v>
      </c>
      <c r="D15">
        <v>24</v>
      </c>
      <c r="E15">
        <v>38</v>
      </c>
      <c r="F15" s="3">
        <v>14</v>
      </c>
      <c r="G15" s="5">
        <v>23</v>
      </c>
      <c r="H15" s="3">
        <v>18</v>
      </c>
      <c r="I15" s="3">
        <v>33</v>
      </c>
      <c r="J15" s="3">
        <v>36</v>
      </c>
      <c r="K15" s="3">
        <v>13</v>
      </c>
      <c r="L15" s="5">
        <v>24</v>
      </c>
      <c r="M15" s="3">
        <v>23</v>
      </c>
      <c r="N15" s="3">
        <v>35</v>
      </c>
      <c r="O15" s="3">
        <v>32</v>
      </c>
      <c r="P15" s="6">
        <v>12</v>
      </c>
      <c r="Q15" s="3">
        <v>26</v>
      </c>
      <c r="R15">
        <v>24</v>
      </c>
      <c r="S15">
        <v>30</v>
      </c>
      <c r="T15">
        <v>30</v>
      </c>
      <c r="U15" s="3">
        <v>11</v>
      </c>
      <c r="V15" s="66">
        <v>1</v>
      </c>
    </row>
    <row r="16" spans="1:22" ht="16" x14ac:dyDescent="0.2">
      <c r="A16" s="15">
        <v>121</v>
      </c>
      <c r="B16" s="5">
        <v>32</v>
      </c>
      <c r="C16">
        <v>27</v>
      </c>
      <c r="D16">
        <v>40</v>
      </c>
      <c r="E16">
        <v>22</v>
      </c>
      <c r="F16" s="3">
        <v>22</v>
      </c>
      <c r="G16" s="5" t="s">
        <v>155</v>
      </c>
      <c r="H16" s="3" t="s">
        <v>155</v>
      </c>
      <c r="I16" s="3" t="s">
        <v>155</v>
      </c>
      <c r="J16" s="3" t="s">
        <v>155</v>
      </c>
      <c r="K16" s="3" t="s">
        <v>155</v>
      </c>
      <c r="L16" s="5">
        <v>24</v>
      </c>
      <c r="M16" s="3">
        <v>13</v>
      </c>
      <c r="N16" s="3">
        <v>32</v>
      </c>
      <c r="O16" s="3">
        <v>26</v>
      </c>
      <c r="P16" s="6">
        <v>8</v>
      </c>
      <c r="Q16" s="3">
        <v>18</v>
      </c>
      <c r="R16">
        <v>16</v>
      </c>
      <c r="S16">
        <v>32</v>
      </c>
      <c r="T16">
        <v>27</v>
      </c>
      <c r="U16" s="3">
        <v>10</v>
      </c>
      <c r="V16" s="66">
        <v>1</v>
      </c>
    </row>
    <row r="17" spans="1:22" ht="16" x14ac:dyDescent="0.2">
      <c r="A17" s="13">
        <v>123</v>
      </c>
      <c r="B17" s="5">
        <v>21</v>
      </c>
      <c r="C17">
        <v>8</v>
      </c>
      <c r="D17">
        <v>27</v>
      </c>
      <c r="E17">
        <v>33</v>
      </c>
      <c r="F17" s="3">
        <v>12</v>
      </c>
      <c r="G17" s="5" t="s">
        <v>155</v>
      </c>
      <c r="H17" s="3" t="s">
        <v>155</v>
      </c>
      <c r="I17" s="3" t="s">
        <v>155</v>
      </c>
      <c r="J17" s="3" t="s">
        <v>155</v>
      </c>
      <c r="K17" s="3" t="s">
        <v>155</v>
      </c>
      <c r="L17" s="5">
        <v>15</v>
      </c>
      <c r="M17" s="3">
        <v>14</v>
      </c>
      <c r="N17" s="3">
        <v>27</v>
      </c>
      <c r="O17" s="3">
        <v>31</v>
      </c>
      <c r="P17" s="6">
        <v>12</v>
      </c>
      <c r="Q17" s="3">
        <v>13</v>
      </c>
      <c r="R17">
        <v>15</v>
      </c>
      <c r="S17">
        <v>24</v>
      </c>
      <c r="T17">
        <v>31</v>
      </c>
      <c r="U17" s="3">
        <v>12</v>
      </c>
      <c r="V17" s="66">
        <v>1</v>
      </c>
    </row>
    <row r="18" spans="1:22" ht="16" x14ac:dyDescent="0.2">
      <c r="A18" s="13">
        <v>125</v>
      </c>
      <c r="B18" s="5" t="s">
        <v>155</v>
      </c>
      <c r="C18" t="s">
        <v>155</v>
      </c>
      <c r="D18" t="s">
        <v>155</v>
      </c>
      <c r="E18" t="s">
        <v>155</v>
      </c>
      <c r="F18" s="3" t="s">
        <v>155</v>
      </c>
      <c r="G18" s="5">
        <v>21</v>
      </c>
      <c r="H18" s="3">
        <v>10</v>
      </c>
      <c r="I18" s="3">
        <v>28</v>
      </c>
      <c r="J18" s="3">
        <v>17</v>
      </c>
      <c r="K18" s="3">
        <v>5</v>
      </c>
      <c r="L18" s="5">
        <v>14</v>
      </c>
      <c r="M18" s="3">
        <v>8</v>
      </c>
      <c r="N18" s="3">
        <v>13</v>
      </c>
      <c r="O18" s="3">
        <v>12</v>
      </c>
      <c r="P18" s="6">
        <v>8</v>
      </c>
      <c r="Q18">
        <v>10.666666666666666</v>
      </c>
      <c r="R18">
        <v>9.3333333333333339</v>
      </c>
      <c r="S18">
        <v>12</v>
      </c>
      <c r="T18">
        <v>14.666666666666666</v>
      </c>
      <c r="U18" s="3" t="s">
        <v>155</v>
      </c>
      <c r="V18" s="66">
        <v>-1</v>
      </c>
    </row>
    <row r="19" spans="1:22" ht="16" x14ac:dyDescent="0.2">
      <c r="A19" s="13">
        <v>126</v>
      </c>
      <c r="B19" s="5" t="s">
        <v>155</v>
      </c>
      <c r="C19" t="s">
        <v>155</v>
      </c>
      <c r="D19" t="s">
        <v>155</v>
      </c>
      <c r="E19" t="s">
        <v>155</v>
      </c>
      <c r="F19" s="3" t="s">
        <v>155</v>
      </c>
      <c r="G19" s="5">
        <v>15</v>
      </c>
      <c r="H19" s="3">
        <v>14</v>
      </c>
      <c r="I19" s="3">
        <v>27</v>
      </c>
      <c r="J19" s="3">
        <v>32</v>
      </c>
      <c r="K19" s="3">
        <v>15</v>
      </c>
      <c r="L19" s="5">
        <v>15</v>
      </c>
      <c r="M19" s="3">
        <v>17</v>
      </c>
      <c r="N19" s="3">
        <v>30</v>
      </c>
      <c r="O19" s="3">
        <v>35</v>
      </c>
      <c r="P19" s="6">
        <v>16</v>
      </c>
      <c r="Q19" s="3">
        <v>14</v>
      </c>
      <c r="R19">
        <v>12</v>
      </c>
      <c r="S19">
        <v>35</v>
      </c>
      <c r="T19">
        <v>30</v>
      </c>
      <c r="U19" s="3">
        <v>10</v>
      </c>
      <c r="V19" s="66">
        <v>1</v>
      </c>
    </row>
    <row r="20" spans="1:22" s="76" customFormat="1" ht="16" x14ac:dyDescent="0.2">
      <c r="A20" s="87">
        <v>127</v>
      </c>
      <c r="B20" s="88" t="s">
        <v>155</v>
      </c>
      <c r="C20" s="90" t="s">
        <v>155</v>
      </c>
      <c r="D20" s="90" t="s">
        <v>155</v>
      </c>
      <c r="E20" s="90" t="s">
        <v>155</v>
      </c>
      <c r="F20" s="76" t="s">
        <v>155</v>
      </c>
      <c r="G20" s="88">
        <v>23</v>
      </c>
      <c r="H20" s="76">
        <v>15</v>
      </c>
      <c r="I20" s="76">
        <v>25</v>
      </c>
      <c r="J20" s="76">
        <v>28</v>
      </c>
      <c r="K20" s="76">
        <v>12</v>
      </c>
      <c r="L20" s="88">
        <v>24</v>
      </c>
      <c r="M20" s="76">
        <v>9</v>
      </c>
      <c r="N20" s="76">
        <v>22</v>
      </c>
      <c r="O20" s="76">
        <v>26</v>
      </c>
      <c r="P20" s="89">
        <v>13</v>
      </c>
      <c r="Q20" s="76">
        <v>26</v>
      </c>
      <c r="R20" s="90">
        <v>24</v>
      </c>
      <c r="S20" s="90">
        <v>30</v>
      </c>
      <c r="T20" s="90">
        <v>30</v>
      </c>
      <c r="U20" s="76">
        <v>16</v>
      </c>
      <c r="V20" s="100">
        <v>1</v>
      </c>
    </row>
    <row r="21" spans="1:22" ht="16" x14ac:dyDescent="0.2">
      <c r="A21" s="13">
        <v>128</v>
      </c>
      <c r="B21" s="5">
        <v>12</v>
      </c>
      <c r="C21">
        <v>9</v>
      </c>
      <c r="D21">
        <v>37</v>
      </c>
      <c r="E21">
        <v>28</v>
      </c>
      <c r="F21" s="3">
        <v>8</v>
      </c>
      <c r="G21" s="5">
        <v>21</v>
      </c>
      <c r="H21" s="3">
        <v>15</v>
      </c>
      <c r="I21" s="3">
        <v>38</v>
      </c>
      <c r="J21" s="3">
        <v>29</v>
      </c>
      <c r="K21" s="3">
        <v>10</v>
      </c>
      <c r="L21" s="5">
        <v>22</v>
      </c>
      <c r="M21" s="3">
        <v>10</v>
      </c>
      <c r="N21" s="3">
        <v>32</v>
      </c>
      <c r="O21" s="3">
        <v>23</v>
      </c>
      <c r="P21" s="3">
        <v>7</v>
      </c>
      <c r="Q21" s="5">
        <v>18</v>
      </c>
      <c r="R21">
        <v>11</v>
      </c>
      <c r="S21">
        <v>24</v>
      </c>
      <c r="T21">
        <v>27</v>
      </c>
      <c r="U21" s="3">
        <v>9</v>
      </c>
      <c r="V21" s="66">
        <v>1</v>
      </c>
    </row>
    <row r="22" spans="1:22" ht="16" x14ac:dyDescent="0.2">
      <c r="A22" s="13">
        <v>129</v>
      </c>
      <c r="B22" s="5">
        <v>8</v>
      </c>
      <c r="C22">
        <v>8</v>
      </c>
      <c r="D22">
        <v>14</v>
      </c>
      <c r="E22">
        <v>13</v>
      </c>
      <c r="F22" s="3">
        <v>7</v>
      </c>
      <c r="G22" s="5">
        <v>12</v>
      </c>
      <c r="H22" s="3">
        <v>8</v>
      </c>
      <c r="I22" s="3">
        <v>15</v>
      </c>
      <c r="J22" s="3">
        <v>14</v>
      </c>
      <c r="K22" s="3">
        <v>8</v>
      </c>
      <c r="L22" s="5">
        <v>8</v>
      </c>
      <c r="M22" s="3">
        <v>8</v>
      </c>
      <c r="N22" s="3">
        <v>10</v>
      </c>
      <c r="O22" s="3">
        <v>11</v>
      </c>
      <c r="P22" s="3">
        <v>5</v>
      </c>
      <c r="Q22" s="5">
        <v>12</v>
      </c>
      <c r="R22">
        <v>8</v>
      </c>
      <c r="S22">
        <v>9</v>
      </c>
      <c r="T22">
        <v>11</v>
      </c>
      <c r="U22" s="3">
        <v>6</v>
      </c>
      <c r="V22" s="66">
        <v>1</v>
      </c>
    </row>
    <row r="23" spans="1:22" ht="16" x14ac:dyDescent="0.2">
      <c r="A23" s="16">
        <v>130</v>
      </c>
      <c r="B23" s="5" t="s">
        <v>155</v>
      </c>
      <c r="C23" t="s">
        <v>155</v>
      </c>
      <c r="D23" t="s">
        <v>155</v>
      </c>
      <c r="E23" t="s">
        <v>155</v>
      </c>
      <c r="F23" s="3" t="s">
        <v>155</v>
      </c>
      <c r="G23" s="5" t="s">
        <v>155</v>
      </c>
      <c r="H23" s="3" t="s">
        <v>155</v>
      </c>
      <c r="I23" s="3" t="s">
        <v>155</v>
      </c>
      <c r="J23" s="3" t="s">
        <v>155</v>
      </c>
      <c r="K23" s="3" t="s">
        <v>155</v>
      </c>
      <c r="L23" s="5">
        <v>23</v>
      </c>
      <c r="M23" s="3">
        <v>24</v>
      </c>
      <c r="N23" s="3">
        <v>27</v>
      </c>
      <c r="O23" s="3">
        <v>26</v>
      </c>
      <c r="P23" s="3">
        <v>16</v>
      </c>
      <c r="Q23" s="5">
        <v>26</v>
      </c>
      <c r="R23">
        <v>24</v>
      </c>
      <c r="S23">
        <v>28</v>
      </c>
      <c r="T23">
        <v>27</v>
      </c>
      <c r="U23" s="3">
        <v>15</v>
      </c>
      <c r="V23" s="66">
        <v>1</v>
      </c>
    </row>
    <row r="24" spans="1:22" ht="16" x14ac:dyDescent="0.2">
      <c r="A24" s="13">
        <v>132</v>
      </c>
      <c r="B24" s="5">
        <v>20</v>
      </c>
      <c r="C24">
        <v>12</v>
      </c>
      <c r="D24">
        <v>16</v>
      </c>
      <c r="E24">
        <v>21</v>
      </c>
      <c r="F24" s="3">
        <v>9</v>
      </c>
      <c r="G24" s="5" t="s">
        <v>155</v>
      </c>
      <c r="H24" s="3" t="s">
        <v>155</v>
      </c>
      <c r="I24" s="3" t="s">
        <v>155</v>
      </c>
      <c r="J24" s="3" t="s">
        <v>155</v>
      </c>
      <c r="K24" s="3" t="s">
        <v>155</v>
      </c>
      <c r="L24" s="5">
        <v>19</v>
      </c>
      <c r="M24" s="3">
        <v>15</v>
      </c>
      <c r="N24" s="3">
        <v>17</v>
      </c>
      <c r="O24" s="3">
        <v>21</v>
      </c>
      <c r="P24" s="3">
        <v>9</v>
      </c>
      <c r="Q24" s="5">
        <v>18</v>
      </c>
      <c r="R24">
        <v>14</v>
      </c>
      <c r="S24">
        <v>16</v>
      </c>
      <c r="T24">
        <v>15</v>
      </c>
      <c r="U24" s="3">
        <v>12</v>
      </c>
      <c r="V24" s="66">
        <v>1</v>
      </c>
    </row>
    <row r="25" spans="1:22" ht="16" x14ac:dyDescent="0.2">
      <c r="A25" s="13">
        <v>133</v>
      </c>
      <c r="B25" s="5" t="s">
        <v>155</v>
      </c>
      <c r="C25" t="s">
        <v>155</v>
      </c>
      <c r="D25" t="s">
        <v>155</v>
      </c>
      <c r="E25" t="s">
        <v>155</v>
      </c>
      <c r="F25" s="3" t="s">
        <v>155</v>
      </c>
      <c r="G25" s="5">
        <v>25</v>
      </c>
      <c r="H25" s="3">
        <v>16</v>
      </c>
      <c r="I25" s="3">
        <v>34</v>
      </c>
      <c r="J25" s="3">
        <v>22</v>
      </c>
      <c r="K25" s="3">
        <v>11</v>
      </c>
      <c r="L25" s="5">
        <v>28</v>
      </c>
      <c r="M25" s="3">
        <v>20</v>
      </c>
      <c r="N25" s="3">
        <v>34</v>
      </c>
      <c r="O25" s="3">
        <v>27</v>
      </c>
      <c r="P25" s="3">
        <v>16</v>
      </c>
      <c r="Q25" s="5">
        <v>30</v>
      </c>
      <c r="R25">
        <v>22</v>
      </c>
      <c r="S25">
        <v>40</v>
      </c>
      <c r="T25">
        <v>28</v>
      </c>
      <c r="U25" s="3">
        <v>15</v>
      </c>
      <c r="V25" s="66">
        <v>1</v>
      </c>
    </row>
    <row r="26" spans="1:22" ht="16" x14ac:dyDescent="0.2">
      <c r="A26" s="13">
        <v>134</v>
      </c>
      <c r="B26" s="5">
        <v>13</v>
      </c>
      <c r="C26">
        <v>9</v>
      </c>
      <c r="D26">
        <v>15</v>
      </c>
      <c r="E26">
        <v>16</v>
      </c>
      <c r="F26" s="3">
        <v>13</v>
      </c>
      <c r="G26" s="5">
        <v>11</v>
      </c>
      <c r="H26" s="3">
        <v>8</v>
      </c>
      <c r="I26" s="3">
        <v>14</v>
      </c>
      <c r="J26" s="3">
        <v>17</v>
      </c>
      <c r="K26" s="3">
        <v>5</v>
      </c>
      <c r="L26" s="5">
        <v>12</v>
      </c>
      <c r="M26" s="3">
        <v>8</v>
      </c>
      <c r="N26" s="3">
        <v>10</v>
      </c>
      <c r="O26" s="3">
        <v>21</v>
      </c>
      <c r="P26" s="3">
        <v>7</v>
      </c>
      <c r="Q26" s="5">
        <v>9</v>
      </c>
      <c r="R26">
        <v>9</v>
      </c>
      <c r="S26">
        <v>14</v>
      </c>
      <c r="T26">
        <v>17</v>
      </c>
      <c r="U26" s="3">
        <v>10</v>
      </c>
      <c r="V26" s="66">
        <v>1</v>
      </c>
    </row>
    <row r="27" spans="1:22" ht="16" x14ac:dyDescent="0.2">
      <c r="A27" s="13">
        <v>135</v>
      </c>
      <c r="B27" s="5">
        <v>13</v>
      </c>
      <c r="C27">
        <v>11</v>
      </c>
      <c r="D27">
        <v>21</v>
      </c>
      <c r="E27">
        <v>27</v>
      </c>
      <c r="F27" s="3">
        <v>9</v>
      </c>
      <c r="G27" s="5">
        <v>15</v>
      </c>
      <c r="H27" s="3">
        <v>14</v>
      </c>
      <c r="I27" s="3">
        <v>20</v>
      </c>
      <c r="J27" s="3">
        <v>30</v>
      </c>
      <c r="K27" s="3">
        <v>15</v>
      </c>
      <c r="L27" s="5">
        <v>19</v>
      </c>
      <c r="M27" s="3">
        <v>14</v>
      </c>
      <c r="N27" s="3">
        <v>26</v>
      </c>
      <c r="O27" s="3">
        <v>32</v>
      </c>
      <c r="P27" s="3">
        <v>15</v>
      </c>
      <c r="Q27" s="5">
        <v>19</v>
      </c>
      <c r="R27">
        <v>10</v>
      </c>
      <c r="S27">
        <v>23</v>
      </c>
      <c r="T27">
        <v>24</v>
      </c>
      <c r="U27" s="3">
        <v>10</v>
      </c>
      <c r="V27" s="66">
        <v>1</v>
      </c>
    </row>
    <row r="28" spans="1:22" ht="16" x14ac:dyDescent="0.2">
      <c r="A28" s="16">
        <v>136</v>
      </c>
      <c r="B28" s="5">
        <v>8</v>
      </c>
      <c r="C28">
        <v>11</v>
      </c>
      <c r="D28">
        <v>23</v>
      </c>
      <c r="E28">
        <v>24</v>
      </c>
      <c r="F28" s="3">
        <v>11</v>
      </c>
      <c r="G28" s="5">
        <v>9</v>
      </c>
      <c r="H28" s="3">
        <v>8</v>
      </c>
      <c r="I28" s="3">
        <v>21</v>
      </c>
      <c r="J28" s="3">
        <v>25</v>
      </c>
      <c r="K28" s="3">
        <v>14</v>
      </c>
      <c r="L28" s="5">
        <v>9</v>
      </c>
      <c r="M28" s="3">
        <v>10</v>
      </c>
      <c r="N28" s="3">
        <v>23</v>
      </c>
      <c r="O28" s="3">
        <v>21</v>
      </c>
      <c r="P28" s="3">
        <v>9</v>
      </c>
      <c r="Q28" s="5">
        <v>8</v>
      </c>
      <c r="R28">
        <v>10</v>
      </c>
      <c r="S28">
        <v>24</v>
      </c>
      <c r="T28">
        <v>22</v>
      </c>
      <c r="U28" s="3">
        <v>10</v>
      </c>
      <c r="V28" s="66">
        <v>1</v>
      </c>
    </row>
    <row r="29" spans="1:22" ht="16" x14ac:dyDescent="0.2">
      <c r="A29" s="13">
        <v>137</v>
      </c>
      <c r="B29" s="5">
        <v>19</v>
      </c>
      <c r="C29">
        <v>15</v>
      </c>
      <c r="D29">
        <v>20</v>
      </c>
      <c r="E29">
        <v>31</v>
      </c>
      <c r="F29" s="3">
        <v>14</v>
      </c>
      <c r="G29" s="5">
        <v>16</v>
      </c>
      <c r="H29" s="3">
        <v>9</v>
      </c>
      <c r="I29" s="3">
        <v>21</v>
      </c>
      <c r="J29" s="3">
        <v>33</v>
      </c>
      <c r="K29" s="3">
        <v>13</v>
      </c>
      <c r="L29" s="5">
        <v>17</v>
      </c>
      <c r="M29" s="3">
        <v>13</v>
      </c>
      <c r="N29" s="3">
        <v>14</v>
      </c>
      <c r="O29" s="3">
        <v>26</v>
      </c>
      <c r="P29" s="3">
        <v>10</v>
      </c>
      <c r="Q29" s="5">
        <v>13</v>
      </c>
      <c r="R29">
        <v>9</v>
      </c>
      <c r="S29">
        <v>14</v>
      </c>
      <c r="T29">
        <v>20</v>
      </c>
      <c r="U29" s="3">
        <v>9</v>
      </c>
      <c r="V29" s="66">
        <v>1</v>
      </c>
    </row>
    <row r="30" spans="1:22" ht="16" x14ac:dyDescent="0.2">
      <c r="A30" s="13">
        <v>140</v>
      </c>
      <c r="B30" s="5" t="s">
        <v>155</v>
      </c>
      <c r="C30" t="s">
        <v>155</v>
      </c>
      <c r="D30" t="s">
        <v>155</v>
      </c>
      <c r="E30" t="s">
        <v>155</v>
      </c>
      <c r="F30" s="3" t="s">
        <v>155</v>
      </c>
      <c r="G30" s="5">
        <v>23</v>
      </c>
      <c r="H30" s="3">
        <v>14</v>
      </c>
      <c r="I30" s="3">
        <v>31</v>
      </c>
      <c r="J30" s="3">
        <v>33</v>
      </c>
      <c r="K30" s="3">
        <v>17</v>
      </c>
      <c r="L30" s="5">
        <v>27</v>
      </c>
      <c r="M30" s="3">
        <v>20</v>
      </c>
      <c r="N30" s="3">
        <v>32</v>
      </c>
      <c r="O30" s="3">
        <v>37</v>
      </c>
      <c r="P30" s="3">
        <v>19</v>
      </c>
      <c r="Q30" s="5">
        <v>18</v>
      </c>
      <c r="R30">
        <v>14</v>
      </c>
      <c r="S30">
        <v>30</v>
      </c>
      <c r="T30">
        <v>32</v>
      </c>
      <c r="U30" s="3">
        <v>17</v>
      </c>
      <c r="V30" s="66">
        <v>1</v>
      </c>
    </row>
    <row r="31" spans="1:22" ht="16" x14ac:dyDescent="0.2">
      <c r="A31" s="15">
        <v>141</v>
      </c>
      <c r="B31" s="5">
        <v>18</v>
      </c>
      <c r="C31">
        <v>14</v>
      </c>
      <c r="D31">
        <v>24</v>
      </c>
      <c r="E31">
        <v>12</v>
      </c>
      <c r="F31" s="3">
        <v>12</v>
      </c>
      <c r="G31" s="5">
        <v>16</v>
      </c>
      <c r="H31" s="3">
        <v>11</v>
      </c>
      <c r="I31" s="3">
        <v>25</v>
      </c>
      <c r="J31" s="3">
        <v>13</v>
      </c>
      <c r="K31" s="3">
        <v>14</v>
      </c>
      <c r="L31" s="5">
        <v>11</v>
      </c>
      <c r="M31" s="3">
        <v>12</v>
      </c>
      <c r="N31" s="3">
        <v>16</v>
      </c>
      <c r="O31" s="3">
        <v>8</v>
      </c>
      <c r="P31" s="3">
        <v>10</v>
      </c>
      <c r="Q31" s="5">
        <v>11</v>
      </c>
      <c r="R31">
        <v>8</v>
      </c>
      <c r="S31">
        <v>14</v>
      </c>
      <c r="T31">
        <v>8</v>
      </c>
      <c r="U31" s="3">
        <v>8</v>
      </c>
      <c r="V31" s="66">
        <v>1</v>
      </c>
    </row>
    <row r="32" spans="1:22" ht="16" x14ac:dyDescent="0.2">
      <c r="A32" s="13">
        <v>142</v>
      </c>
      <c r="B32" s="5">
        <v>29</v>
      </c>
      <c r="C32">
        <v>22</v>
      </c>
      <c r="D32">
        <v>24</v>
      </c>
      <c r="E32">
        <v>26</v>
      </c>
      <c r="F32" s="3">
        <v>13</v>
      </c>
      <c r="G32" s="5">
        <v>27</v>
      </c>
      <c r="H32" s="3">
        <v>24</v>
      </c>
      <c r="I32" s="3">
        <v>26</v>
      </c>
      <c r="J32" s="3">
        <v>27</v>
      </c>
      <c r="K32" s="3">
        <v>19</v>
      </c>
      <c r="L32" s="5">
        <v>23</v>
      </c>
      <c r="M32" s="3">
        <v>23</v>
      </c>
      <c r="N32" s="3">
        <v>25</v>
      </c>
      <c r="O32" s="3">
        <v>21</v>
      </c>
      <c r="P32" s="3">
        <v>14</v>
      </c>
      <c r="Q32" s="5">
        <v>20</v>
      </c>
      <c r="R32">
        <v>24</v>
      </c>
      <c r="S32">
        <v>24</v>
      </c>
      <c r="T32">
        <v>18</v>
      </c>
      <c r="U32" s="3">
        <v>15</v>
      </c>
      <c r="V32" s="66">
        <v>1</v>
      </c>
    </row>
    <row r="33" spans="1:22" ht="15" customHeight="1" x14ac:dyDescent="0.2">
      <c r="A33" s="13">
        <v>143</v>
      </c>
      <c r="B33" s="5">
        <v>24</v>
      </c>
      <c r="C33">
        <v>16</v>
      </c>
      <c r="D33">
        <v>24</v>
      </c>
      <c r="E33">
        <v>29</v>
      </c>
      <c r="F33" s="3">
        <v>15</v>
      </c>
      <c r="G33" s="5">
        <v>20</v>
      </c>
      <c r="H33" s="3">
        <v>14</v>
      </c>
      <c r="I33" s="3">
        <v>24</v>
      </c>
      <c r="J33" s="3">
        <v>26</v>
      </c>
      <c r="K33" s="3">
        <v>16</v>
      </c>
      <c r="L33" s="5">
        <v>22</v>
      </c>
      <c r="M33" s="3">
        <v>12</v>
      </c>
      <c r="N33" s="3">
        <v>19</v>
      </c>
      <c r="O33" s="3">
        <v>15</v>
      </c>
      <c r="P33" s="3">
        <v>11</v>
      </c>
      <c r="Q33" s="5">
        <v>20</v>
      </c>
      <c r="R33">
        <v>15</v>
      </c>
      <c r="S33">
        <v>19</v>
      </c>
      <c r="T33">
        <v>21</v>
      </c>
      <c r="U33" s="3">
        <v>9</v>
      </c>
      <c r="V33" s="66">
        <v>1</v>
      </c>
    </row>
    <row r="34" spans="1:22" ht="16" x14ac:dyDescent="0.2">
      <c r="A34" s="14">
        <v>144</v>
      </c>
      <c r="B34" s="5">
        <v>26</v>
      </c>
      <c r="C34">
        <v>20</v>
      </c>
      <c r="D34">
        <v>17</v>
      </c>
      <c r="E34">
        <v>31</v>
      </c>
      <c r="F34" s="3">
        <v>10</v>
      </c>
      <c r="G34" s="5" t="s">
        <v>155</v>
      </c>
      <c r="H34" s="3" t="s">
        <v>155</v>
      </c>
      <c r="I34" s="3" t="s">
        <v>155</v>
      </c>
      <c r="J34" s="3" t="s">
        <v>155</v>
      </c>
      <c r="K34" s="3" t="s">
        <v>155</v>
      </c>
      <c r="L34" s="5" t="s">
        <v>155</v>
      </c>
      <c r="M34" s="3" t="s">
        <v>155</v>
      </c>
      <c r="N34" s="3" t="s">
        <v>155</v>
      </c>
      <c r="O34" s="3" t="s">
        <v>155</v>
      </c>
      <c r="P34" s="3" t="s">
        <v>155</v>
      </c>
      <c r="Q34" s="5" t="s">
        <v>155</v>
      </c>
      <c r="R34" t="s">
        <v>155</v>
      </c>
      <c r="S34" t="s">
        <v>155</v>
      </c>
      <c r="T34" t="s">
        <v>155</v>
      </c>
      <c r="U34" s="3" t="s">
        <v>155</v>
      </c>
      <c r="V34" s="66">
        <v>-1</v>
      </c>
    </row>
    <row r="35" spans="1:22" ht="16" x14ac:dyDescent="0.2">
      <c r="A35" s="13">
        <v>145</v>
      </c>
      <c r="B35" s="5">
        <v>12</v>
      </c>
      <c r="C35">
        <v>10</v>
      </c>
      <c r="D35">
        <v>9</v>
      </c>
      <c r="E35">
        <v>26</v>
      </c>
      <c r="F35" s="3">
        <v>5</v>
      </c>
      <c r="G35" s="5">
        <v>12</v>
      </c>
      <c r="H35" s="3">
        <v>9</v>
      </c>
      <c r="I35" s="3">
        <v>9</v>
      </c>
      <c r="J35" s="3">
        <v>24</v>
      </c>
      <c r="K35" s="3">
        <v>6</v>
      </c>
      <c r="L35" s="5">
        <v>21</v>
      </c>
      <c r="M35" s="3">
        <v>10</v>
      </c>
      <c r="N35" s="3">
        <v>9</v>
      </c>
      <c r="O35" s="3">
        <v>23</v>
      </c>
      <c r="P35" s="3">
        <v>7</v>
      </c>
      <c r="Q35" s="5">
        <v>11</v>
      </c>
      <c r="R35">
        <v>11</v>
      </c>
      <c r="S35">
        <v>11</v>
      </c>
      <c r="T35">
        <v>24</v>
      </c>
      <c r="U35" s="3">
        <v>8</v>
      </c>
      <c r="V35" s="66">
        <v>1</v>
      </c>
    </row>
    <row r="36" spans="1:22" ht="16" x14ac:dyDescent="0.2">
      <c r="A36" s="13">
        <v>146</v>
      </c>
      <c r="B36" s="5">
        <v>38</v>
      </c>
      <c r="C36">
        <v>40</v>
      </c>
      <c r="D36">
        <v>30</v>
      </c>
      <c r="E36">
        <v>32</v>
      </c>
      <c r="F36" s="3">
        <v>20</v>
      </c>
      <c r="G36" s="5">
        <v>39</v>
      </c>
      <c r="H36" s="3">
        <v>38</v>
      </c>
      <c r="I36" s="3">
        <v>28</v>
      </c>
      <c r="J36" s="3">
        <v>35</v>
      </c>
      <c r="K36" s="3">
        <v>17</v>
      </c>
      <c r="L36" s="5">
        <v>32</v>
      </c>
      <c r="M36" s="3">
        <v>35</v>
      </c>
      <c r="N36" s="3">
        <v>27</v>
      </c>
      <c r="O36" s="3">
        <v>21</v>
      </c>
      <c r="P36" s="3">
        <v>19</v>
      </c>
      <c r="Q36" s="5">
        <v>38</v>
      </c>
      <c r="R36">
        <v>31</v>
      </c>
      <c r="S36">
        <v>22</v>
      </c>
      <c r="T36">
        <v>23</v>
      </c>
      <c r="U36" s="3">
        <v>17</v>
      </c>
      <c r="V36" s="66">
        <v>1</v>
      </c>
    </row>
    <row r="37" spans="1:22" ht="16" x14ac:dyDescent="0.2">
      <c r="A37" s="13">
        <v>148</v>
      </c>
      <c r="B37" s="34" t="s">
        <v>155</v>
      </c>
      <c r="C37" t="s">
        <v>155</v>
      </c>
      <c r="D37" t="s">
        <v>155</v>
      </c>
      <c r="E37" t="s">
        <v>155</v>
      </c>
      <c r="F37" s="3" t="s">
        <v>155</v>
      </c>
      <c r="G37" s="34">
        <v>28</v>
      </c>
      <c r="H37" s="3">
        <v>23</v>
      </c>
      <c r="I37" s="3">
        <v>18</v>
      </c>
      <c r="J37" s="3">
        <v>26</v>
      </c>
      <c r="K37" s="3">
        <v>14</v>
      </c>
      <c r="L37" s="34">
        <v>33</v>
      </c>
      <c r="M37" s="3">
        <v>31</v>
      </c>
      <c r="N37" s="3">
        <v>30</v>
      </c>
      <c r="O37" s="3">
        <v>23</v>
      </c>
      <c r="P37" s="3">
        <v>18</v>
      </c>
      <c r="Q37" s="34">
        <v>21</v>
      </c>
      <c r="R37">
        <v>27</v>
      </c>
      <c r="S37">
        <v>27</v>
      </c>
      <c r="T37">
        <v>28</v>
      </c>
      <c r="U37" s="3">
        <v>15</v>
      </c>
      <c r="V37" s="66">
        <v>1</v>
      </c>
    </row>
    <row r="38" spans="1:22" ht="16" x14ac:dyDescent="0.2">
      <c r="A38" s="13">
        <v>150</v>
      </c>
      <c r="B38" s="5">
        <v>28</v>
      </c>
      <c r="C38">
        <v>27</v>
      </c>
      <c r="D38">
        <v>24</v>
      </c>
      <c r="E38">
        <v>28</v>
      </c>
      <c r="F38" s="3">
        <v>16</v>
      </c>
      <c r="G38" s="5">
        <v>29</v>
      </c>
      <c r="H38" s="3">
        <v>26</v>
      </c>
      <c r="I38" s="3">
        <v>17</v>
      </c>
      <c r="J38" s="3">
        <v>28</v>
      </c>
      <c r="K38" s="3">
        <v>15</v>
      </c>
      <c r="L38" s="5">
        <v>28</v>
      </c>
      <c r="M38" s="3">
        <v>22</v>
      </c>
      <c r="N38" s="3">
        <v>16</v>
      </c>
      <c r="O38" s="3">
        <v>27</v>
      </c>
      <c r="P38" s="3">
        <v>15</v>
      </c>
      <c r="Q38" s="5">
        <v>20</v>
      </c>
      <c r="R38">
        <v>27</v>
      </c>
      <c r="S38">
        <v>23</v>
      </c>
      <c r="T38">
        <v>28</v>
      </c>
      <c r="U38" s="3">
        <v>13</v>
      </c>
      <c r="V38" s="66">
        <v>1</v>
      </c>
    </row>
    <row r="39" spans="1:22" ht="16" x14ac:dyDescent="0.2">
      <c r="A39" s="13">
        <v>152</v>
      </c>
      <c r="B39" s="5">
        <v>24</v>
      </c>
      <c r="C39">
        <v>14</v>
      </c>
      <c r="D39">
        <v>16</v>
      </c>
      <c r="E39">
        <v>16</v>
      </c>
      <c r="F39" s="3">
        <v>9</v>
      </c>
      <c r="G39" s="5" t="s">
        <v>155</v>
      </c>
      <c r="H39" s="3" t="s">
        <v>155</v>
      </c>
      <c r="I39" s="3" t="s">
        <v>155</v>
      </c>
      <c r="J39" s="3" t="s">
        <v>155</v>
      </c>
      <c r="K39" s="3" t="s">
        <v>155</v>
      </c>
      <c r="L39" s="5">
        <v>23</v>
      </c>
      <c r="M39" s="3">
        <v>21</v>
      </c>
      <c r="N39" s="3">
        <v>20</v>
      </c>
      <c r="O39" s="3">
        <v>13</v>
      </c>
      <c r="P39" s="3">
        <v>10</v>
      </c>
      <c r="Q39" s="5">
        <v>22</v>
      </c>
      <c r="R39">
        <v>14</v>
      </c>
      <c r="S39">
        <v>16</v>
      </c>
      <c r="T39">
        <v>13</v>
      </c>
      <c r="U39" s="3">
        <v>9</v>
      </c>
      <c r="V39" s="66">
        <v>1</v>
      </c>
    </row>
    <row r="40" spans="1:22" ht="14" customHeight="1" x14ac:dyDescent="0.2">
      <c r="A40" s="13">
        <v>155</v>
      </c>
      <c r="B40" s="5">
        <v>13</v>
      </c>
      <c r="C40">
        <v>8</v>
      </c>
      <c r="D40">
        <v>16</v>
      </c>
      <c r="E40">
        <v>15</v>
      </c>
      <c r="F40" s="3">
        <v>9</v>
      </c>
      <c r="G40" s="5">
        <v>12</v>
      </c>
      <c r="H40" s="3">
        <v>8</v>
      </c>
      <c r="I40" s="3">
        <v>15</v>
      </c>
      <c r="J40" s="3">
        <v>14</v>
      </c>
      <c r="K40" s="3">
        <v>5</v>
      </c>
      <c r="L40" s="5">
        <v>13</v>
      </c>
      <c r="M40" s="3">
        <v>8</v>
      </c>
      <c r="N40" s="3">
        <v>16</v>
      </c>
      <c r="O40" s="3">
        <v>8</v>
      </c>
      <c r="P40" s="3">
        <v>9</v>
      </c>
      <c r="Q40" s="5">
        <v>8</v>
      </c>
      <c r="R40">
        <v>8</v>
      </c>
      <c r="S40">
        <v>16</v>
      </c>
      <c r="T40">
        <v>14</v>
      </c>
      <c r="U40" s="3">
        <v>5</v>
      </c>
      <c r="V40" s="66">
        <v>1</v>
      </c>
    </row>
    <row r="41" spans="1:22" ht="15" customHeight="1" x14ac:dyDescent="0.2">
      <c r="A41" s="13">
        <v>156</v>
      </c>
      <c r="B41" s="5">
        <v>26</v>
      </c>
      <c r="C41">
        <v>30</v>
      </c>
      <c r="D41">
        <v>30</v>
      </c>
      <c r="E41">
        <v>35</v>
      </c>
      <c r="F41" s="3">
        <v>17</v>
      </c>
      <c r="G41" s="5" t="s">
        <v>155</v>
      </c>
      <c r="H41" s="3" t="s">
        <v>155</v>
      </c>
      <c r="I41" s="3" t="s">
        <v>155</v>
      </c>
      <c r="J41" s="3" t="s">
        <v>155</v>
      </c>
      <c r="K41" s="3" t="s">
        <v>155</v>
      </c>
      <c r="L41" s="5">
        <v>21</v>
      </c>
      <c r="M41" s="3">
        <v>16</v>
      </c>
      <c r="N41" s="3">
        <v>21</v>
      </c>
      <c r="O41" s="3">
        <v>34</v>
      </c>
      <c r="P41" s="3">
        <v>12</v>
      </c>
      <c r="Q41" s="5">
        <v>23</v>
      </c>
      <c r="R41">
        <v>27</v>
      </c>
      <c r="S41">
        <v>29</v>
      </c>
      <c r="T41">
        <v>34</v>
      </c>
      <c r="U41" s="3">
        <v>15</v>
      </c>
      <c r="V41" s="66">
        <v>1</v>
      </c>
    </row>
    <row r="42" spans="1:22" ht="17" customHeight="1" x14ac:dyDescent="0.2">
      <c r="A42" s="13">
        <v>158</v>
      </c>
      <c r="B42" s="5">
        <v>22</v>
      </c>
      <c r="C42">
        <v>19</v>
      </c>
      <c r="D42">
        <v>12</v>
      </c>
      <c r="E42">
        <v>12</v>
      </c>
      <c r="F42" s="3">
        <v>12</v>
      </c>
      <c r="G42" s="5">
        <v>20</v>
      </c>
      <c r="H42" s="3">
        <v>11</v>
      </c>
      <c r="I42" s="3">
        <v>8</v>
      </c>
      <c r="J42" s="3">
        <v>11</v>
      </c>
      <c r="K42" s="3">
        <v>8</v>
      </c>
      <c r="L42" s="5">
        <v>21</v>
      </c>
      <c r="M42" s="3">
        <v>16</v>
      </c>
      <c r="N42" s="3">
        <v>13</v>
      </c>
      <c r="O42" s="3">
        <v>18</v>
      </c>
      <c r="P42" s="3">
        <v>11</v>
      </c>
      <c r="Q42" s="5">
        <v>24</v>
      </c>
      <c r="R42">
        <v>22</v>
      </c>
      <c r="S42">
        <v>10</v>
      </c>
      <c r="T42">
        <v>12</v>
      </c>
      <c r="U42" s="3">
        <v>15</v>
      </c>
      <c r="V42" s="66">
        <v>1</v>
      </c>
    </row>
    <row r="43" spans="1:22" ht="19" customHeight="1" x14ac:dyDescent="0.2">
      <c r="A43" s="15">
        <v>159</v>
      </c>
      <c r="B43" s="5">
        <v>11</v>
      </c>
      <c r="C43">
        <v>10</v>
      </c>
      <c r="D43">
        <v>9</v>
      </c>
      <c r="E43">
        <v>13</v>
      </c>
      <c r="F43" s="3">
        <v>5</v>
      </c>
      <c r="G43" s="5">
        <v>11</v>
      </c>
      <c r="H43" s="3">
        <v>8</v>
      </c>
      <c r="I43" s="3">
        <v>9</v>
      </c>
      <c r="J43" s="3">
        <v>11</v>
      </c>
      <c r="K43" s="3">
        <v>5</v>
      </c>
      <c r="L43" s="5">
        <v>8</v>
      </c>
      <c r="M43" s="3">
        <v>8</v>
      </c>
      <c r="N43" s="3">
        <v>11</v>
      </c>
      <c r="O43" s="3">
        <v>10</v>
      </c>
      <c r="P43" s="3">
        <v>5</v>
      </c>
      <c r="Q43" s="5" t="s">
        <v>155</v>
      </c>
      <c r="R43" t="s">
        <v>155</v>
      </c>
      <c r="S43" t="s">
        <v>155</v>
      </c>
      <c r="T43" t="s">
        <v>155</v>
      </c>
      <c r="U43" s="3" t="s">
        <v>155</v>
      </c>
      <c r="V43" s="66">
        <v>-1</v>
      </c>
    </row>
    <row r="44" spans="1:22" ht="16" x14ac:dyDescent="0.2">
      <c r="A44" s="13">
        <v>161</v>
      </c>
      <c r="B44" s="5">
        <v>23</v>
      </c>
      <c r="C44">
        <v>23</v>
      </c>
      <c r="D44">
        <v>26</v>
      </c>
      <c r="E44">
        <v>29</v>
      </c>
      <c r="F44" s="3">
        <v>13</v>
      </c>
      <c r="G44" s="5">
        <v>24</v>
      </c>
      <c r="H44" s="3">
        <v>17</v>
      </c>
      <c r="I44" s="3">
        <v>20</v>
      </c>
      <c r="J44" s="3">
        <v>24</v>
      </c>
      <c r="K44" s="3">
        <v>13</v>
      </c>
      <c r="L44" s="5">
        <v>27</v>
      </c>
      <c r="M44" s="3">
        <v>21</v>
      </c>
      <c r="N44" s="3">
        <v>23</v>
      </c>
      <c r="O44" s="3">
        <v>29</v>
      </c>
      <c r="P44" s="3">
        <v>18</v>
      </c>
      <c r="Q44" s="5">
        <v>24</v>
      </c>
      <c r="R44">
        <v>19</v>
      </c>
      <c r="S44">
        <v>21</v>
      </c>
      <c r="T44">
        <v>24</v>
      </c>
      <c r="U44" s="3">
        <v>13</v>
      </c>
      <c r="V44" s="66">
        <v>1</v>
      </c>
    </row>
    <row r="45" spans="1:22" ht="16" x14ac:dyDescent="0.2">
      <c r="A45" s="13">
        <v>162</v>
      </c>
      <c r="B45" s="34" t="s">
        <v>155</v>
      </c>
      <c r="C45" t="s">
        <v>155</v>
      </c>
      <c r="D45" t="s">
        <v>155</v>
      </c>
      <c r="E45" t="s">
        <v>155</v>
      </c>
      <c r="F45" s="3" t="s">
        <v>155</v>
      </c>
      <c r="G45" s="34">
        <v>21</v>
      </c>
      <c r="H45" s="3">
        <v>23</v>
      </c>
      <c r="I45" s="3">
        <v>10</v>
      </c>
      <c r="J45" s="3">
        <v>17</v>
      </c>
      <c r="K45" s="3">
        <v>5</v>
      </c>
      <c r="L45" s="34">
        <v>16</v>
      </c>
      <c r="M45" s="3">
        <v>22</v>
      </c>
      <c r="N45" s="3">
        <v>10</v>
      </c>
      <c r="O45" s="3">
        <v>22</v>
      </c>
      <c r="P45" s="3">
        <v>5</v>
      </c>
      <c r="Q45" s="34">
        <v>16</v>
      </c>
      <c r="R45">
        <v>16</v>
      </c>
      <c r="S45">
        <v>17</v>
      </c>
      <c r="T45">
        <v>20</v>
      </c>
      <c r="U45" s="3">
        <v>5</v>
      </c>
      <c r="V45" s="66">
        <v>1</v>
      </c>
    </row>
    <row r="46" spans="1:22" ht="16" x14ac:dyDescent="0.2">
      <c r="A46" s="13">
        <v>163</v>
      </c>
      <c r="B46" s="5" t="s">
        <v>155</v>
      </c>
      <c r="C46" t="s">
        <v>155</v>
      </c>
      <c r="D46" t="s">
        <v>155</v>
      </c>
      <c r="E46" t="s">
        <v>155</v>
      </c>
      <c r="F46" s="3" t="s">
        <v>155</v>
      </c>
      <c r="G46" s="5">
        <v>14</v>
      </c>
      <c r="H46" s="3">
        <v>12</v>
      </c>
      <c r="I46" s="3">
        <v>11</v>
      </c>
      <c r="J46" s="3">
        <v>28</v>
      </c>
      <c r="K46" s="3">
        <v>11</v>
      </c>
      <c r="L46" s="5">
        <v>10</v>
      </c>
      <c r="M46" s="3">
        <v>10</v>
      </c>
      <c r="N46" s="3">
        <v>11</v>
      </c>
      <c r="O46" s="3">
        <v>22</v>
      </c>
      <c r="P46" s="3">
        <v>9</v>
      </c>
      <c r="Q46" s="5">
        <v>15</v>
      </c>
      <c r="R46">
        <v>12</v>
      </c>
      <c r="S46">
        <v>16</v>
      </c>
      <c r="T46">
        <v>23</v>
      </c>
      <c r="U46" s="3">
        <v>10</v>
      </c>
      <c r="V46" s="66">
        <v>1</v>
      </c>
    </row>
    <row r="47" spans="1:22" ht="16" x14ac:dyDescent="0.2">
      <c r="A47" s="13">
        <v>164</v>
      </c>
      <c r="B47" s="5">
        <v>31</v>
      </c>
      <c r="C47">
        <v>26</v>
      </c>
      <c r="D47">
        <v>27</v>
      </c>
      <c r="E47">
        <v>23</v>
      </c>
      <c r="F47" s="3">
        <v>15</v>
      </c>
      <c r="G47" s="5">
        <v>30</v>
      </c>
      <c r="H47" s="3">
        <v>25</v>
      </c>
      <c r="I47" s="3">
        <v>33</v>
      </c>
      <c r="J47" s="3">
        <v>31</v>
      </c>
      <c r="K47" s="3">
        <v>14</v>
      </c>
      <c r="L47" s="5">
        <v>16</v>
      </c>
      <c r="M47" s="3">
        <v>9</v>
      </c>
      <c r="N47" s="3">
        <v>15</v>
      </c>
      <c r="O47" s="3">
        <v>14</v>
      </c>
      <c r="P47" s="3">
        <v>12</v>
      </c>
      <c r="Q47" s="5">
        <v>24</v>
      </c>
      <c r="R47">
        <v>18</v>
      </c>
      <c r="S47">
        <v>14</v>
      </c>
      <c r="T47">
        <v>14</v>
      </c>
      <c r="U47" s="3">
        <v>10</v>
      </c>
      <c r="V47" s="66">
        <v>1</v>
      </c>
    </row>
    <row r="48" spans="1:22" ht="16" x14ac:dyDescent="0.2">
      <c r="A48" s="13">
        <v>166</v>
      </c>
      <c r="B48" s="5">
        <v>20</v>
      </c>
      <c r="C48">
        <v>14</v>
      </c>
      <c r="D48">
        <v>22</v>
      </c>
      <c r="E48">
        <v>21</v>
      </c>
      <c r="F48" s="3">
        <v>16</v>
      </c>
      <c r="G48" s="5">
        <v>21</v>
      </c>
      <c r="H48" s="3">
        <v>8</v>
      </c>
      <c r="I48" s="3">
        <v>29</v>
      </c>
      <c r="J48" s="3">
        <v>23</v>
      </c>
      <c r="K48" s="3">
        <v>10</v>
      </c>
      <c r="L48" s="5">
        <v>19</v>
      </c>
      <c r="M48" s="3">
        <v>9</v>
      </c>
      <c r="N48" s="3">
        <v>26</v>
      </c>
      <c r="O48" s="3">
        <v>15</v>
      </c>
      <c r="P48" s="3">
        <v>12</v>
      </c>
      <c r="Q48" s="5">
        <v>16</v>
      </c>
      <c r="R48">
        <v>9</v>
      </c>
      <c r="S48">
        <v>19</v>
      </c>
      <c r="T48">
        <v>17</v>
      </c>
      <c r="U48" s="3">
        <v>14</v>
      </c>
      <c r="V48" s="66">
        <v>1</v>
      </c>
    </row>
    <row r="49" spans="1:22" ht="16" x14ac:dyDescent="0.2">
      <c r="A49" s="13">
        <v>167</v>
      </c>
      <c r="B49" s="5">
        <v>18</v>
      </c>
      <c r="C49">
        <v>18</v>
      </c>
      <c r="D49">
        <v>24</v>
      </c>
      <c r="E49">
        <v>23</v>
      </c>
      <c r="F49" s="3">
        <v>15</v>
      </c>
      <c r="G49" s="5">
        <v>16</v>
      </c>
      <c r="H49" s="3">
        <v>20</v>
      </c>
      <c r="I49" s="3">
        <v>24</v>
      </c>
      <c r="J49" s="3">
        <v>27</v>
      </c>
      <c r="K49" s="3">
        <v>13</v>
      </c>
      <c r="L49" s="5">
        <v>11</v>
      </c>
      <c r="M49" s="3">
        <v>14</v>
      </c>
      <c r="N49" s="3">
        <v>18</v>
      </c>
      <c r="O49" s="3">
        <v>17</v>
      </c>
      <c r="P49" s="3">
        <v>11</v>
      </c>
      <c r="Q49" s="5">
        <v>12</v>
      </c>
      <c r="R49">
        <v>11</v>
      </c>
      <c r="S49">
        <v>14</v>
      </c>
      <c r="T49">
        <v>18</v>
      </c>
      <c r="U49" s="3">
        <v>9</v>
      </c>
      <c r="V49" s="66">
        <v>1</v>
      </c>
    </row>
    <row r="50" spans="1:22" ht="16" x14ac:dyDescent="0.2">
      <c r="A50" s="15">
        <v>168</v>
      </c>
      <c r="B50" s="5">
        <v>25</v>
      </c>
      <c r="C50">
        <v>28</v>
      </c>
      <c r="D50">
        <v>33</v>
      </c>
      <c r="E50">
        <v>34</v>
      </c>
      <c r="F50" s="3">
        <v>20</v>
      </c>
      <c r="G50" s="5">
        <v>22</v>
      </c>
      <c r="H50" s="3">
        <v>23</v>
      </c>
      <c r="I50" s="3">
        <v>32</v>
      </c>
      <c r="J50" s="3">
        <v>39</v>
      </c>
      <c r="K50" s="3">
        <v>17</v>
      </c>
      <c r="L50" s="5">
        <v>21</v>
      </c>
      <c r="M50" s="3">
        <v>23</v>
      </c>
      <c r="N50" s="3">
        <v>30</v>
      </c>
      <c r="O50" s="3">
        <v>33</v>
      </c>
      <c r="P50" s="3">
        <v>16</v>
      </c>
      <c r="Q50" s="5">
        <v>21</v>
      </c>
      <c r="R50">
        <v>32</v>
      </c>
      <c r="S50">
        <v>39</v>
      </c>
      <c r="T50">
        <v>31</v>
      </c>
      <c r="U50" s="3">
        <v>18</v>
      </c>
      <c r="V50" s="66">
        <v>1</v>
      </c>
    </row>
    <row r="51" spans="1:22" ht="16" x14ac:dyDescent="0.2">
      <c r="A51" s="13">
        <v>169</v>
      </c>
      <c r="B51" s="5">
        <v>22</v>
      </c>
      <c r="C51">
        <v>13</v>
      </c>
      <c r="D51">
        <v>27</v>
      </c>
      <c r="E51">
        <v>29</v>
      </c>
      <c r="F51" s="3">
        <v>20</v>
      </c>
      <c r="G51" s="5">
        <v>23</v>
      </c>
      <c r="H51" s="3">
        <v>21</v>
      </c>
      <c r="I51" s="3">
        <v>30</v>
      </c>
      <c r="J51" s="3">
        <v>30</v>
      </c>
      <c r="K51" s="3">
        <v>18</v>
      </c>
      <c r="L51" s="5">
        <v>18</v>
      </c>
      <c r="M51" s="3">
        <v>13</v>
      </c>
      <c r="N51" s="3">
        <v>19</v>
      </c>
      <c r="O51" s="3">
        <v>32</v>
      </c>
      <c r="P51" s="3">
        <v>20</v>
      </c>
      <c r="Q51" s="5">
        <v>20</v>
      </c>
      <c r="R51">
        <v>19</v>
      </c>
      <c r="S51">
        <v>18</v>
      </c>
      <c r="T51">
        <v>29</v>
      </c>
      <c r="U51" s="3">
        <v>19</v>
      </c>
      <c r="V51" s="66">
        <v>1</v>
      </c>
    </row>
    <row r="52" spans="1:22" ht="16" x14ac:dyDescent="0.2">
      <c r="A52" s="13">
        <v>170</v>
      </c>
      <c r="B52" s="5">
        <v>19</v>
      </c>
      <c r="C52">
        <v>13</v>
      </c>
      <c r="D52">
        <v>25</v>
      </c>
      <c r="E52">
        <v>22</v>
      </c>
      <c r="F52" s="3">
        <v>16</v>
      </c>
      <c r="G52" s="5">
        <v>24</v>
      </c>
      <c r="H52" s="3">
        <v>15</v>
      </c>
      <c r="I52" s="3">
        <v>30</v>
      </c>
      <c r="J52" s="3">
        <v>20</v>
      </c>
      <c r="K52" s="3">
        <v>20</v>
      </c>
      <c r="L52" s="5">
        <v>23</v>
      </c>
      <c r="M52" s="3">
        <v>12</v>
      </c>
      <c r="N52" s="3">
        <v>23</v>
      </c>
      <c r="O52" s="3">
        <v>18</v>
      </c>
      <c r="P52" s="3">
        <v>10</v>
      </c>
      <c r="Q52" s="5">
        <v>19</v>
      </c>
      <c r="R52">
        <v>9</v>
      </c>
      <c r="S52">
        <v>19</v>
      </c>
      <c r="T52">
        <v>19</v>
      </c>
      <c r="U52" s="3">
        <v>11</v>
      </c>
      <c r="V52" s="66">
        <v>1</v>
      </c>
    </row>
    <row r="53" spans="1:22" ht="16" x14ac:dyDescent="0.2">
      <c r="A53" s="13">
        <v>172</v>
      </c>
      <c r="B53" s="5">
        <v>18</v>
      </c>
      <c r="C53">
        <v>11</v>
      </c>
      <c r="D53">
        <v>18</v>
      </c>
      <c r="E53">
        <v>30</v>
      </c>
      <c r="F53" s="3">
        <v>9</v>
      </c>
      <c r="G53" s="5">
        <v>10</v>
      </c>
      <c r="H53" s="3">
        <v>8</v>
      </c>
      <c r="I53" s="3">
        <v>16</v>
      </c>
      <c r="J53" s="3">
        <v>26</v>
      </c>
      <c r="K53" s="3">
        <v>9</v>
      </c>
      <c r="L53" s="5">
        <v>8</v>
      </c>
      <c r="M53" s="3">
        <v>8</v>
      </c>
      <c r="N53" s="3">
        <v>16</v>
      </c>
      <c r="O53" s="3">
        <v>18</v>
      </c>
      <c r="P53" s="3">
        <v>8</v>
      </c>
      <c r="Q53" s="5">
        <v>15</v>
      </c>
      <c r="R53">
        <v>8</v>
      </c>
      <c r="S53">
        <v>16</v>
      </c>
      <c r="T53">
        <v>19</v>
      </c>
      <c r="U53" s="3">
        <v>7</v>
      </c>
      <c r="V53" s="66">
        <v>1</v>
      </c>
    </row>
    <row r="54" spans="1:22" ht="16" x14ac:dyDescent="0.2">
      <c r="A54" s="15">
        <v>173</v>
      </c>
      <c r="B54" s="5">
        <v>25</v>
      </c>
      <c r="C54">
        <v>19</v>
      </c>
      <c r="D54">
        <v>27</v>
      </c>
      <c r="E54">
        <v>19</v>
      </c>
      <c r="F54" s="3">
        <v>14</v>
      </c>
      <c r="G54" s="5">
        <v>21</v>
      </c>
      <c r="H54" s="3">
        <v>16</v>
      </c>
      <c r="I54" s="3">
        <v>27</v>
      </c>
      <c r="J54" s="3">
        <v>22</v>
      </c>
      <c r="K54" s="3">
        <v>10</v>
      </c>
      <c r="L54" s="5">
        <v>19</v>
      </c>
      <c r="M54" s="3">
        <v>15</v>
      </c>
      <c r="N54" s="3">
        <v>19</v>
      </c>
      <c r="O54" s="3">
        <v>17</v>
      </c>
      <c r="P54" s="3">
        <v>13</v>
      </c>
      <c r="Q54" s="5">
        <v>21</v>
      </c>
      <c r="R54">
        <v>14</v>
      </c>
      <c r="S54">
        <v>29</v>
      </c>
      <c r="T54">
        <v>18</v>
      </c>
      <c r="U54" s="3">
        <v>9</v>
      </c>
      <c r="V54" s="66">
        <v>1</v>
      </c>
    </row>
    <row r="55" spans="1:22" ht="16" x14ac:dyDescent="0.2">
      <c r="A55" s="13">
        <v>174</v>
      </c>
      <c r="B55" s="5">
        <v>19</v>
      </c>
      <c r="C55">
        <v>21</v>
      </c>
      <c r="D55">
        <v>25</v>
      </c>
      <c r="E55">
        <v>23</v>
      </c>
      <c r="F55" s="3">
        <v>15</v>
      </c>
      <c r="G55" s="5">
        <v>13</v>
      </c>
      <c r="H55" s="3">
        <v>14</v>
      </c>
      <c r="I55" s="3">
        <v>23</v>
      </c>
      <c r="J55" s="3">
        <v>27</v>
      </c>
      <c r="K55" s="3">
        <v>15</v>
      </c>
      <c r="L55" s="5">
        <v>8</v>
      </c>
      <c r="M55" s="3">
        <v>8</v>
      </c>
      <c r="N55" s="3">
        <v>12</v>
      </c>
      <c r="O55" s="3">
        <v>20</v>
      </c>
      <c r="P55" s="3">
        <v>8</v>
      </c>
      <c r="Q55" s="5">
        <v>12</v>
      </c>
      <c r="R55">
        <v>8</v>
      </c>
      <c r="S55">
        <v>8</v>
      </c>
      <c r="T55">
        <v>18</v>
      </c>
      <c r="U55" s="3">
        <v>7</v>
      </c>
      <c r="V55" s="66">
        <v>1</v>
      </c>
    </row>
    <row r="56" spans="1:22" ht="16" x14ac:dyDescent="0.2">
      <c r="A56" s="13">
        <v>175</v>
      </c>
      <c r="B56" s="5">
        <v>26</v>
      </c>
      <c r="C56">
        <v>21</v>
      </c>
      <c r="D56">
        <v>30</v>
      </c>
      <c r="E56">
        <v>25</v>
      </c>
      <c r="F56" s="3">
        <v>16</v>
      </c>
      <c r="G56" s="5">
        <v>22</v>
      </c>
      <c r="H56" s="3">
        <v>19</v>
      </c>
      <c r="I56" s="3">
        <v>28</v>
      </c>
      <c r="J56" s="3">
        <v>19</v>
      </c>
      <c r="K56" s="3">
        <v>13</v>
      </c>
      <c r="L56" s="5">
        <v>25</v>
      </c>
      <c r="M56" s="3">
        <v>22</v>
      </c>
      <c r="N56" s="3">
        <v>27</v>
      </c>
      <c r="O56" s="3">
        <v>26</v>
      </c>
      <c r="P56" s="3">
        <v>13</v>
      </c>
      <c r="Q56" s="5">
        <v>23</v>
      </c>
      <c r="R56">
        <v>20</v>
      </c>
      <c r="S56">
        <v>28</v>
      </c>
      <c r="T56">
        <v>30</v>
      </c>
      <c r="U56" s="3">
        <v>10</v>
      </c>
      <c r="V56" s="66">
        <v>1</v>
      </c>
    </row>
    <row r="57" spans="1:22" ht="16" x14ac:dyDescent="0.2">
      <c r="A57" s="13">
        <v>177</v>
      </c>
      <c r="B57" s="5">
        <v>18</v>
      </c>
      <c r="C57">
        <v>9</v>
      </c>
      <c r="D57">
        <v>25</v>
      </c>
      <c r="E57">
        <v>17</v>
      </c>
      <c r="F57" s="3">
        <v>13</v>
      </c>
      <c r="G57" s="5" t="s">
        <v>155</v>
      </c>
      <c r="H57" s="3" t="s">
        <v>155</v>
      </c>
      <c r="I57" s="3" t="s">
        <v>155</v>
      </c>
      <c r="J57" s="3" t="s">
        <v>155</v>
      </c>
      <c r="K57" s="3" t="s">
        <v>155</v>
      </c>
      <c r="L57" s="5">
        <v>16</v>
      </c>
      <c r="M57" s="3">
        <v>8</v>
      </c>
      <c r="N57" s="3">
        <v>27</v>
      </c>
      <c r="O57" s="3">
        <v>17</v>
      </c>
      <c r="P57" s="3">
        <v>9</v>
      </c>
      <c r="Q57" s="5">
        <v>17</v>
      </c>
      <c r="R57">
        <v>8</v>
      </c>
      <c r="S57">
        <v>16</v>
      </c>
      <c r="T57">
        <v>13</v>
      </c>
      <c r="U57" s="3">
        <v>10</v>
      </c>
      <c r="V57" s="66">
        <v>1</v>
      </c>
    </row>
    <row r="58" spans="1:22" ht="16" x14ac:dyDescent="0.2">
      <c r="A58" s="13">
        <v>178</v>
      </c>
      <c r="B58" s="5">
        <v>29</v>
      </c>
      <c r="C58">
        <v>23</v>
      </c>
      <c r="D58">
        <v>27</v>
      </c>
      <c r="E58">
        <v>26</v>
      </c>
      <c r="F58" s="3">
        <v>13</v>
      </c>
      <c r="G58" s="5">
        <v>26</v>
      </c>
      <c r="H58" s="3">
        <v>23</v>
      </c>
      <c r="I58" s="3">
        <v>31</v>
      </c>
      <c r="J58" s="3">
        <v>28</v>
      </c>
      <c r="K58" s="3">
        <v>13</v>
      </c>
      <c r="L58" s="5">
        <v>31</v>
      </c>
      <c r="M58" s="3">
        <v>20</v>
      </c>
      <c r="N58" s="3">
        <v>27</v>
      </c>
      <c r="O58" s="3">
        <v>35</v>
      </c>
      <c r="P58" s="3">
        <v>17</v>
      </c>
      <c r="Q58" s="5">
        <v>27</v>
      </c>
      <c r="R58">
        <v>24</v>
      </c>
      <c r="S58">
        <v>27</v>
      </c>
      <c r="T58">
        <v>25</v>
      </c>
      <c r="U58" s="3">
        <v>14</v>
      </c>
      <c r="V58" s="66">
        <v>1</v>
      </c>
    </row>
    <row r="59" spans="1:22" ht="16" x14ac:dyDescent="0.2">
      <c r="A59" s="13">
        <v>179</v>
      </c>
      <c r="B59" s="5">
        <v>20</v>
      </c>
      <c r="C59">
        <v>20</v>
      </c>
      <c r="D59">
        <v>28</v>
      </c>
      <c r="E59">
        <v>17</v>
      </c>
      <c r="F59" s="3">
        <v>12</v>
      </c>
      <c r="G59" s="5">
        <v>14</v>
      </c>
      <c r="H59" s="3">
        <v>15</v>
      </c>
      <c r="I59" s="3">
        <v>22</v>
      </c>
      <c r="J59" s="3">
        <v>20</v>
      </c>
      <c r="K59" s="3">
        <v>8</v>
      </c>
      <c r="L59" s="5">
        <v>13</v>
      </c>
      <c r="M59" s="3">
        <v>20</v>
      </c>
      <c r="N59" s="3">
        <v>25</v>
      </c>
      <c r="O59" s="3">
        <v>14</v>
      </c>
      <c r="P59" s="3">
        <v>17</v>
      </c>
      <c r="Q59" s="5">
        <v>11</v>
      </c>
      <c r="R59">
        <v>21</v>
      </c>
      <c r="S59">
        <v>25</v>
      </c>
      <c r="T59">
        <v>16</v>
      </c>
      <c r="U59" s="3">
        <v>13</v>
      </c>
      <c r="V59" s="66">
        <v>1</v>
      </c>
    </row>
    <row r="60" spans="1:22" ht="16" x14ac:dyDescent="0.2">
      <c r="A60" s="13">
        <v>180</v>
      </c>
      <c r="B60" s="34" t="s">
        <v>155</v>
      </c>
      <c r="C60" t="s">
        <v>155</v>
      </c>
      <c r="D60" t="s">
        <v>155</v>
      </c>
      <c r="E60" t="s">
        <v>155</v>
      </c>
      <c r="F60" s="3" t="s">
        <v>155</v>
      </c>
      <c r="G60" s="34">
        <v>22</v>
      </c>
      <c r="H60" s="3">
        <v>19</v>
      </c>
      <c r="I60" s="3">
        <v>30</v>
      </c>
      <c r="J60" s="3">
        <v>34</v>
      </c>
      <c r="K60" s="3">
        <v>12</v>
      </c>
      <c r="L60" s="34">
        <v>25</v>
      </c>
      <c r="M60" s="3">
        <v>19</v>
      </c>
      <c r="N60" s="3">
        <v>34</v>
      </c>
      <c r="O60" s="3">
        <v>36</v>
      </c>
      <c r="P60" s="3">
        <v>13</v>
      </c>
      <c r="Q60" s="34">
        <v>30</v>
      </c>
      <c r="R60">
        <v>27</v>
      </c>
      <c r="S60">
        <v>35</v>
      </c>
      <c r="T60">
        <v>37</v>
      </c>
      <c r="U60" s="3">
        <v>16</v>
      </c>
      <c r="V60" s="66">
        <v>1</v>
      </c>
    </row>
    <row r="61" spans="1:22" ht="16" x14ac:dyDescent="0.2">
      <c r="A61" s="13">
        <v>181</v>
      </c>
      <c r="B61" s="5">
        <v>23</v>
      </c>
      <c r="C61">
        <v>16</v>
      </c>
      <c r="D61">
        <v>21</v>
      </c>
      <c r="E61">
        <v>15</v>
      </c>
      <c r="F61" s="3">
        <v>15</v>
      </c>
      <c r="G61" s="5">
        <v>22</v>
      </c>
      <c r="H61" s="3">
        <v>12</v>
      </c>
      <c r="I61" s="3">
        <v>16</v>
      </c>
      <c r="J61" s="3">
        <v>14</v>
      </c>
      <c r="K61" s="3">
        <v>16</v>
      </c>
      <c r="L61" s="5">
        <v>22</v>
      </c>
      <c r="M61" s="3">
        <v>11</v>
      </c>
      <c r="N61" s="3">
        <v>15</v>
      </c>
      <c r="O61" s="3">
        <v>13</v>
      </c>
      <c r="P61" s="3">
        <v>12</v>
      </c>
      <c r="Q61" s="5">
        <v>23</v>
      </c>
      <c r="R61">
        <v>9</v>
      </c>
      <c r="S61">
        <v>11</v>
      </c>
      <c r="T61">
        <v>13</v>
      </c>
      <c r="U61" s="3">
        <v>18</v>
      </c>
      <c r="V61" s="66">
        <v>1</v>
      </c>
    </row>
    <row r="62" spans="1:22" ht="16" x14ac:dyDescent="0.2">
      <c r="A62" s="13">
        <v>182</v>
      </c>
      <c r="B62" s="5">
        <v>15</v>
      </c>
      <c r="C62">
        <v>10</v>
      </c>
      <c r="D62">
        <v>19</v>
      </c>
      <c r="E62">
        <v>27</v>
      </c>
      <c r="F62" s="3">
        <v>11</v>
      </c>
      <c r="G62" s="5">
        <v>14</v>
      </c>
      <c r="H62" s="3">
        <v>9</v>
      </c>
      <c r="I62" s="3">
        <v>16</v>
      </c>
      <c r="J62" s="3">
        <v>17</v>
      </c>
      <c r="K62" s="3">
        <v>12</v>
      </c>
      <c r="L62" s="5">
        <v>14</v>
      </c>
      <c r="M62" s="3">
        <v>9</v>
      </c>
      <c r="N62" s="3">
        <v>17</v>
      </c>
      <c r="O62" s="3">
        <v>26</v>
      </c>
      <c r="P62" s="3">
        <v>14</v>
      </c>
      <c r="Q62" s="5">
        <v>15</v>
      </c>
      <c r="R62">
        <v>11</v>
      </c>
      <c r="S62">
        <v>19</v>
      </c>
      <c r="T62">
        <v>17</v>
      </c>
      <c r="U62" s="3">
        <v>12</v>
      </c>
      <c r="V62" s="66">
        <v>1</v>
      </c>
    </row>
  </sheetData>
  <pageMargins left="0.7" right="0.7" top="0.75" bottom="0.75" header="0.3" footer="0.3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Variables_and_Coding_Scheme</vt:lpstr>
      <vt:lpstr>FINAL_SubjectLevel</vt:lpstr>
      <vt:lpstr>FINAL_Pain</vt:lpstr>
      <vt:lpstr>FINAL_PCS</vt:lpstr>
      <vt:lpstr>FINAL_TSK</vt:lpstr>
      <vt:lpstr>FINAL_OLBP_SF12</vt:lpstr>
      <vt:lpstr>FINAL_PROMIS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Marta Ceko</cp:lastModifiedBy>
  <dcterms:created xsi:type="dcterms:W3CDTF">2020-12-10T16:22:58Z</dcterms:created>
  <dcterms:modified xsi:type="dcterms:W3CDTF">2025-11-25T18:14:41Z</dcterms:modified>
</cp:coreProperties>
</file>