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15075" windowHeight="9060"/>
  </bookViews>
  <sheets>
    <sheet name="base" sheetId="6" r:id="rId1"/>
    <sheet name="BP&amp;HR" sheetId="5" r:id="rId2"/>
    <sheet name="Hemodynamic changes" sheetId="7" r:id="rId3"/>
    <sheet name="deltaMBP and HR" sheetId="8" r:id="rId4"/>
    <sheet name="complications" sheetId="4" r:id="rId5"/>
  </sheets>
  <calcPr calcId="145621"/>
</workbook>
</file>

<file path=xl/calcChain.xml><?xml version="1.0" encoding="utf-8"?>
<calcChain xmlns="http://schemas.openxmlformats.org/spreadsheetml/2006/main">
  <c r="M69" i="7" l="1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K70" i="7"/>
  <c r="L70" i="7"/>
  <c r="K35" i="7"/>
  <c r="L35" i="7"/>
  <c r="I38" i="7" l="1"/>
  <c r="J38" i="7" s="1"/>
  <c r="I39" i="7"/>
  <c r="J39" i="7" s="1"/>
  <c r="I40" i="7"/>
  <c r="J40" i="7" s="1"/>
  <c r="I41" i="7"/>
  <c r="J41" i="7" s="1"/>
  <c r="I42" i="7"/>
  <c r="J42" i="7" s="1"/>
  <c r="I43" i="7"/>
  <c r="J43" i="7" s="1"/>
  <c r="I44" i="7"/>
  <c r="J44" i="7" s="1"/>
  <c r="I45" i="7"/>
  <c r="J45" i="7" s="1"/>
  <c r="I46" i="7"/>
  <c r="J46" i="7" s="1"/>
  <c r="I47" i="7"/>
  <c r="J47" i="7" s="1"/>
  <c r="I48" i="7"/>
  <c r="J48" i="7" s="1"/>
  <c r="I49" i="7"/>
  <c r="J49" i="7" s="1"/>
  <c r="I50" i="7"/>
  <c r="J50" i="7" s="1"/>
  <c r="I51" i="7"/>
  <c r="J51" i="7" s="1"/>
  <c r="I52" i="7"/>
  <c r="J52" i="7" s="1"/>
  <c r="I53" i="7"/>
  <c r="J53" i="7" s="1"/>
  <c r="I54" i="7"/>
  <c r="J54" i="7" s="1"/>
  <c r="I55" i="7"/>
  <c r="J55" i="7" s="1"/>
  <c r="I56" i="7"/>
  <c r="J56" i="7" s="1"/>
  <c r="I57" i="7"/>
  <c r="J57" i="7" s="1"/>
  <c r="I58" i="7"/>
  <c r="J58" i="7" s="1"/>
  <c r="I59" i="7"/>
  <c r="J59" i="7" s="1"/>
  <c r="I60" i="7"/>
  <c r="J60" i="7" s="1"/>
  <c r="I61" i="7"/>
  <c r="J61" i="7" s="1"/>
  <c r="I62" i="7"/>
  <c r="J62" i="7" s="1"/>
  <c r="I63" i="7"/>
  <c r="J63" i="7" s="1"/>
  <c r="I64" i="7"/>
  <c r="J64" i="7" s="1"/>
  <c r="I65" i="7"/>
  <c r="J65" i="7" s="1"/>
  <c r="I66" i="7"/>
  <c r="J66" i="7" s="1"/>
  <c r="I67" i="7"/>
  <c r="J67" i="7" s="1"/>
  <c r="I68" i="7"/>
  <c r="J68" i="7" s="1"/>
  <c r="I69" i="7"/>
  <c r="J69" i="7" s="1"/>
  <c r="I5" i="7"/>
  <c r="J5" i="7" s="1"/>
  <c r="I6" i="7"/>
  <c r="J6" i="7" s="1"/>
  <c r="I7" i="7"/>
  <c r="J7" i="7" s="1"/>
  <c r="I8" i="7"/>
  <c r="J8" i="7" s="1"/>
  <c r="I9" i="7"/>
  <c r="J9" i="7" s="1"/>
  <c r="I10" i="7"/>
  <c r="J10" i="7" s="1"/>
  <c r="I11" i="7"/>
  <c r="J11" i="7" s="1"/>
  <c r="I12" i="7"/>
  <c r="J12" i="7" s="1"/>
  <c r="I13" i="7"/>
  <c r="J13" i="7" s="1"/>
  <c r="I14" i="7"/>
  <c r="J14" i="7" s="1"/>
  <c r="I15" i="7"/>
  <c r="J15" i="7" s="1"/>
  <c r="I16" i="7"/>
  <c r="J16" i="7" s="1"/>
  <c r="I17" i="7"/>
  <c r="J17" i="7" s="1"/>
  <c r="I18" i="7"/>
  <c r="J18" i="7" s="1"/>
  <c r="I19" i="7"/>
  <c r="J19" i="7" s="1"/>
  <c r="I20" i="7"/>
  <c r="J20" i="7" s="1"/>
  <c r="I21" i="7"/>
  <c r="J21" i="7" s="1"/>
  <c r="I22" i="7"/>
  <c r="J22" i="7" s="1"/>
  <c r="I23" i="7"/>
  <c r="J23" i="7" s="1"/>
  <c r="I24" i="7"/>
  <c r="J24" i="7" s="1"/>
  <c r="I25" i="7"/>
  <c r="J25" i="7" s="1"/>
  <c r="I26" i="7"/>
  <c r="J26" i="7" s="1"/>
  <c r="I27" i="7"/>
  <c r="J27" i="7" s="1"/>
  <c r="I28" i="7"/>
  <c r="J28" i="7" s="1"/>
  <c r="I29" i="7"/>
  <c r="J29" i="7" s="1"/>
  <c r="I30" i="7"/>
  <c r="J30" i="7" s="1"/>
  <c r="I31" i="7"/>
  <c r="J31" i="7" s="1"/>
  <c r="I32" i="7"/>
  <c r="J32" i="7" s="1"/>
  <c r="I33" i="7"/>
  <c r="J33" i="7" s="1"/>
  <c r="I34" i="7"/>
  <c r="J34" i="7" s="1"/>
  <c r="I4" i="7"/>
  <c r="J4" i="7" s="1"/>
  <c r="I3" i="7"/>
  <c r="J3" i="7" s="1"/>
  <c r="D69" i="6"/>
  <c r="X70" i="5"/>
  <c r="G69" i="6"/>
  <c r="H69" i="6"/>
  <c r="J69" i="6"/>
  <c r="K69" i="6"/>
  <c r="L69" i="6"/>
  <c r="M69" i="6"/>
  <c r="C69" i="6"/>
  <c r="J35" i="6"/>
  <c r="K35" i="6"/>
  <c r="L35" i="6"/>
  <c r="M35" i="6"/>
  <c r="H35" i="6"/>
  <c r="D35" i="6"/>
  <c r="G35" i="6"/>
  <c r="C35" i="6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Y70" i="5"/>
  <c r="Z70" i="5"/>
  <c r="AA70" i="5"/>
  <c r="AB70" i="5"/>
  <c r="AC70" i="5"/>
  <c r="B70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B36" i="5"/>
  <c r="J71" i="4"/>
  <c r="F71" i="4"/>
  <c r="G71" i="4"/>
  <c r="H71" i="4"/>
  <c r="I71" i="4"/>
  <c r="E71" i="4"/>
  <c r="B71" i="4"/>
  <c r="J35" i="4"/>
  <c r="G35" i="4"/>
  <c r="H35" i="4"/>
  <c r="I35" i="4"/>
  <c r="F35" i="4"/>
  <c r="E35" i="4"/>
  <c r="B35" i="4"/>
  <c r="J35" i="7" l="1"/>
  <c r="J70" i="7"/>
  <c r="I35" i="7"/>
  <c r="I70" i="7"/>
</calcChain>
</file>

<file path=xl/sharedStrings.xml><?xml version="1.0" encoding="utf-8"?>
<sst xmlns="http://schemas.openxmlformats.org/spreadsheetml/2006/main" count="304" uniqueCount="57">
  <si>
    <t>SBP</t>
    <phoneticPr fontId="1" type="noConversion"/>
  </si>
  <si>
    <t>DBP</t>
    <phoneticPr fontId="1" type="noConversion"/>
  </si>
  <si>
    <t>MBP</t>
    <phoneticPr fontId="1" type="noConversion"/>
  </si>
  <si>
    <t>HR</t>
    <phoneticPr fontId="1" type="noConversion"/>
  </si>
  <si>
    <t>Pain</t>
    <phoneticPr fontId="1" type="noConversion"/>
  </si>
  <si>
    <t>ASA</t>
    <phoneticPr fontId="1" type="noConversion"/>
  </si>
  <si>
    <t>ANE time</t>
    <phoneticPr fontId="1" type="noConversion"/>
  </si>
  <si>
    <t>BMI</t>
    <phoneticPr fontId="1" type="noConversion"/>
  </si>
  <si>
    <t>F</t>
    <phoneticPr fontId="1" type="noConversion"/>
  </si>
  <si>
    <t>O</t>
    <phoneticPr fontId="1" type="noConversion"/>
  </si>
  <si>
    <t>F</t>
    <phoneticPr fontId="1" type="noConversion"/>
  </si>
  <si>
    <t>O</t>
    <phoneticPr fontId="1" type="noConversion"/>
  </si>
  <si>
    <t>Sex</t>
    <phoneticPr fontId="1" type="noConversion"/>
  </si>
  <si>
    <t>Age</t>
    <phoneticPr fontId="1" type="noConversion"/>
  </si>
  <si>
    <t>Height</t>
    <phoneticPr fontId="1" type="noConversion"/>
  </si>
  <si>
    <t>Weight</t>
    <phoneticPr fontId="1" type="noConversion"/>
  </si>
  <si>
    <t>Mallampati</t>
    <phoneticPr fontId="1" type="noConversion"/>
  </si>
  <si>
    <t>Cormack-Lehane</t>
    <phoneticPr fontId="1" type="noConversion"/>
  </si>
  <si>
    <t>Difficulty of intubation</t>
    <phoneticPr fontId="1" type="noConversion"/>
  </si>
  <si>
    <t>Airway</t>
    <phoneticPr fontId="1" type="noConversion"/>
  </si>
  <si>
    <t xml:space="preserve">Group </t>
    <phoneticPr fontId="1" type="noConversion"/>
  </si>
  <si>
    <t>F</t>
    <phoneticPr fontId="1" type="noConversion"/>
  </si>
  <si>
    <t>No.</t>
    <phoneticPr fontId="1" type="noConversion"/>
  </si>
  <si>
    <t>O</t>
    <phoneticPr fontId="1" type="noConversion"/>
  </si>
  <si>
    <t>Group</t>
    <phoneticPr fontId="1" type="noConversion"/>
  </si>
  <si>
    <t>F</t>
    <phoneticPr fontId="1" type="noConversion"/>
  </si>
  <si>
    <t>O</t>
    <phoneticPr fontId="1" type="noConversion"/>
  </si>
  <si>
    <t>Group</t>
    <phoneticPr fontId="1" type="noConversion"/>
  </si>
  <si>
    <t>O</t>
    <phoneticPr fontId="1" type="noConversion"/>
  </si>
  <si>
    <t>Pre induction HR</t>
    <phoneticPr fontId="1" type="noConversion"/>
  </si>
  <si>
    <t>Post induction HR</t>
    <phoneticPr fontId="1" type="noConversion"/>
  </si>
  <si>
    <t>Delta HR</t>
    <phoneticPr fontId="1" type="noConversion"/>
  </si>
  <si>
    <t>Delta MBP/Pre induction</t>
    <phoneticPr fontId="1" type="noConversion"/>
  </si>
  <si>
    <t>Pre induction</t>
    <phoneticPr fontId="1" type="noConversion"/>
  </si>
  <si>
    <t>Pre intubation</t>
    <phoneticPr fontId="1" type="noConversion"/>
  </si>
  <si>
    <t>Post 1</t>
    <phoneticPr fontId="1" type="noConversion"/>
  </si>
  <si>
    <t>Post 2</t>
    <phoneticPr fontId="1" type="noConversion"/>
  </si>
  <si>
    <t>Post 3</t>
    <phoneticPr fontId="1" type="noConversion"/>
  </si>
  <si>
    <t>Post 4</t>
    <phoneticPr fontId="1" type="noConversion"/>
  </si>
  <si>
    <t>Post 5</t>
    <phoneticPr fontId="1" type="noConversion"/>
  </si>
  <si>
    <t>Pre induction</t>
    <phoneticPr fontId="1" type="noConversion"/>
  </si>
  <si>
    <t>Pre intubation</t>
    <phoneticPr fontId="1" type="noConversion"/>
  </si>
  <si>
    <t>Group</t>
    <phoneticPr fontId="1" type="noConversion"/>
  </si>
  <si>
    <t>Delta MBP&gt;40%</t>
    <phoneticPr fontId="1" type="noConversion"/>
  </si>
  <si>
    <t>Delta HR&gt;20%</t>
    <phoneticPr fontId="1" type="noConversion"/>
  </si>
  <si>
    <t>F</t>
    <phoneticPr fontId="1" type="noConversion"/>
  </si>
  <si>
    <t>Cough</t>
    <phoneticPr fontId="1" type="noConversion"/>
  </si>
  <si>
    <t>Rescue analgesics</t>
    <phoneticPr fontId="1" type="noConversion"/>
  </si>
  <si>
    <t>o</t>
    <phoneticPr fontId="1" type="noConversion"/>
  </si>
  <si>
    <t>Agitation</t>
    <phoneticPr fontId="1" type="noConversion"/>
  </si>
  <si>
    <t>Dizziness</t>
    <phoneticPr fontId="1" type="noConversion"/>
  </si>
  <si>
    <t>Oxygen saturation&lt;92%</t>
    <phoneticPr fontId="1" type="noConversion"/>
  </si>
  <si>
    <t>Hypotension</t>
    <phoneticPr fontId="1" type="noConversion"/>
  </si>
  <si>
    <t>Bradycardia</t>
    <phoneticPr fontId="1" type="noConversion"/>
  </si>
  <si>
    <t>Pain(VAS)</t>
    <phoneticPr fontId="1" type="noConversion"/>
  </si>
  <si>
    <t>Awakening time</t>
    <phoneticPr fontId="1" type="noConversion"/>
  </si>
  <si>
    <t>Basic characteristics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</si>
</sst>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tabSelected="1" topLeftCell="B1" workbookViewId="0">
      <selection activeCell="K2" sqref="K2"/>
    </sheetView>
  </sheetViews>
  <sheetFormatPr defaultRowHeight="16.5" x14ac:dyDescent="0.3"/>
  <cols>
    <col min="10" max="10" width="11.375" customWidth="1"/>
    <col min="11" max="11" width="15.125" customWidth="1"/>
    <col min="12" max="12" width="20.625" customWidth="1"/>
  </cols>
  <sheetData>
    <row r="1" spans="1:13" x14ac:dyDescent="0.3">
      <c r="C1" t="s">
        <v>56</v>
      </c>
      <c r="J1" t="s">
        <v>19</v>
      </c>
    </row>
    <row r="2" spans="1:13" x14ac:dyDescent="0.3">
      <c r="A2" s="1" t="s">
        <v>22</v>
      </c>
      <c r="B2" s="1" t="s">
        <v>20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7</v>
      </c>
      <c r="H2" s="1" t="s">
        <v>5</v>
      </c>
      <c r="I2" s="1"/>
      <c r="J2" s="1" t="s">
        <v>16</v>
      </c>
      <c r="K2" s="1" t="s">
        <v>17</v>
      </c>
      <c r="L2" s="1" t="s">
        <v>18</v>
      </c>
      <c r="M2" s="1" t="s">
        <v>6</v>
      </c>
    </row>
    <row r="3" spans="1:13" x14ac:dyDescent="0.3">
      <c r="A3" s="1">
        <v>1</v>
      </c>
      <c r="B3" s="1" t="s">
        <v>21</v>
      </c>
      <c r="C3" s="1">
        <v>1</v>
      </c>
      <c r="D3" s="1">
        <v>26</v>
      </c>
      <c r="E3" s="1">
        <v>173</v>
      </c>
      <c r="F3" s="1">
        <v>82</v>
      </c>
      <c r="G3" s="1">
        <v>27.398175682448461</v>
      </c>
      <c r="H3" s="1">
        <v>1</v>
      </c>
      <c r="I3" s="1"/>
      <c r="J3" s="1">
        <v>1</v>
      </c>
      <c r="K3" s="1">
        <v>2</v>
      </c>
      <c r="L3" s="1">
        <v>2</v>
      </c>
      <c r="M3" s="1">
        <v>30</v>
      </c>
    </row>
    <row r="4" spans="1:13" x14ac:dyDescent="0.3">
      <c r="A4" s="1">
        <v>4</v>
      </c>
      <c r="B4" s="1" t="s">
        <v>21</v>
      </c>
      <c r="C4" s="1">
        <v>1</v>
      </c>
      <c r="D4" s="1">
        <v>19</v>
      </c>
      <c r="E4" s="1">
        <v>179</v>
      </c>
      <c r="F4" s="1">
        <v>70</v>
      </c>
      <c r="G4" s="1">
        <v>21.847008520333322</v>
      </c>
      <c r="H4" s="1">
        <v>1</v>
      </c>
      <c r="I4" s="1"/>
      <c r="J4" s="1">
        <v>1</v>
      </c>
      <c r="K4" s="1">
        <v>3</v>
      </c>
      <c r="L4" s="1">
        <v>2</v>
      </c>
      <c r="M4" s="1">
        <v>65</v>
      </c>
    </row>
    <row r="5" spans="1:13" x14ac:dyDescent="0.3">
      <c r="A5" s="1">
        <v>5</v>
      </c>
      <c r="B5" s="1" t="s">
        <v>21</v>
      </c>
      <c r="C5" s="1">
        <v>1</v>
      </c>
      <c r="D5" s="1">
        <v>40</v>
      </c>
      <c r="E5" s="1">
        <v>169</v>
      </c>
      <c r="F5" s="1">
        <v>67</v>
      </c>
      <c r="G5" s="1">
        <v>23.458562375266975</v>
      </c>
      <c r="H5" s="1">
        <v>1</v>
      </c>
      <c r="I5" s="1"/>
      <c r="J5" s="1">
        <v>1</v>
      </c>
      <c r="K5" s="1">
        <v>3</v>
      </c>
      <c r="L5" s="1">
        <v>2</v>
      </c>
      <c r="M5" s="1">
        <v>30</v>
      </c>
    </row>
    <row r="6" spans="1:13" x14ac:dyDescent="0.3">
      <c r="A6" s="1">
        <v>7</v>
      </c>
      <c r="B6" s="1" t="s">
        <v>21</v>
      </c>
      <c r="C6" s="1">
        <v>0</v>
      </c>
      <c r="D6" s="1">
        <v>38</v>
      </c>
      <c r="E6" s="1">
        <v>161</v>
      </c>
      <c r="F6" s="1">
        <v>49</v>
      </c>
      <c r="G6" s="1">
        <v>18.903591682419659</v>
      </c>
      <c r="H6" s="1">
        <v>1</v>
      </c>
      <c r="I6" s="1"/>
      <c r="J6" s="1">
        <v>4</v>
      </c>
      <c r="K6" s="1">
        <v>2</v>
      </c>
      <c r="L6" s="1">
        <v>2</v>
      </c>
      <c r="M6" s="1">
        <v>30</v>
      </c>
    </row>
    <row r="7" spans="1:13" x14ac:dyDescent="0.3">
      <c r="A7" s="1">
        <v>8</v>
      </c>
      <c r="B7" s="1" t="s">
        <v>21</v>
      </c>
      <c r="C7" s="1">
        <v>1</v>
      </c>
      <c r="D7" s="1">
        <v>19</v>
      </c>
      <c r="E7" s="1">
        <v>166</v>
      </c>
      <c r="F7" s="1">
        <v>70</v>
      </c>
      <c r="G7" s="1">
        <v>25.402816083611555</v>
      </c>
      <c r="H7" s="1">
        <v>1</v>
      </c>
      <c r="I7" s="1"/>
      <c r="J7" s="1">
        <v>3</v>
      </c>
      <c r="K7" s="1">
        <v>2</v>
      </c>
      <c r="L7" s="1">
        <v>2</v>
      </c>
      <c r="M7" s="1">
        <v>40</v>
      </c>
    </row>
    <row r="8" spans="1:13" x14ac:dyDescent="0.3">
      <c r="A8" s="1">
        <v>11</v>
      </c>
      <c r="B8" s="1" t="s">
        <v>21</v>
      </c>
      <c r="C8" s="1">
        <v>1</v>
      </c>
      <c r="D8" s="1">
        <v>55</v>
      </c>
      <c r="E8" s="1">
        <v>170</v>
      </c>
      <c r="F8" s="1">
        <v>68</v>
      </c>
      <c r="G8" s="1">
        <v>23.529411764705884</v>
      </c>
      <c r="H8" s="1">
        <v>1</v>
      </c>
      <c r="I8" s="1"/>
      <c r="J8" s="1">
        <v>4</v>
      </c>
      <c r="K8" s="1">
        <v>4</v>
      </c>
      <c r="L8" s="1">
        <v>3</v>
      </c>
      <c r="M8" s="1">
        <v>30</v>
      </c>
    </row>
    <row r="9" spans="1:13" x14ac:dyDescent="0.3">
      <c r="A9" s="1">
        <v>13</v>
      </c>
      <c r="B9" s="1" t="s">
        <v>21</v>
      </c>
      <c r="C9" s="1">
        <v>1</v>
      </c>
      <c r="D9" s="1">
        <v>29</v>
      </c>
      <c r="E9" s="1">
        <v>185</v>
      </c>
      <c r="F9" s="1">
        <v>80</v>
      </c>
      <c r="G9" s="1">
        <v>23.374726077428779</v>
      </c>
      <c r="H9" s="1">
        <v>1</v>
      </c>
      <c r="I9" s="1"/>
      <c r="J9" s="1">
        <v>1</v>
      </c>
      <c r="K9" s="1">
        <v>3</v>
      </c>
      <c r="L9" s="1">
        <v>3</v>
      </c>
      <c r="M9" s="1">
        <v>30</v>
      </c>
    </row>
    <row r="10" spans="1:13" x14ac:dyDescent="0.3">
      <c r="A10" s="1">
        <v>14</v>
      </c>
      <c r="B10" s="1" t="s">
        <v>21</v>
      </c>
      <c r="C10" s="1">
        <v>0</v>
      </c>
      <c r="D10" s="1">
        <v>33</v>
      </c>
      <c r="E10" s="1">
        <v>153</v>
      </c>
      <c r="F10" s="1">
        <v>45</v>
      </c>
      <c r="G10" s="1">
        <v>19.223375624759708</v>
      </c>
      <c r="H10" s="1">
        <v>1</v>
      </c>
      <c r="I10" s="1"/>
      <c r="J10" s="1">
        <v>2</v>
      </c>
      <c r="K10" s="1">
        <v>3</v>
      </c>
      <c r="L10" s="1">
        <v>2</v>
      </c>
      <c r="M10" s="1">
        <v>45</v>
      </c>
    </row>
    <row r="11" spans="1:13" x14ac:dyDescent="0.3">
      <c r="A11" s="1">
        <v>18</v>
      </c>
      <c r="B11" s="1" t="s">
        <v>21</v>
      </c>
      <c r="C11" s="1">
        <v>1</v>
      </c>
      <c r="D11" s="1">
        <v>29</v>
      </c>
      <c r="E11" s="1">
        <v>185</v>
      </c>
      <c r="F11" s="1">
        <v>100</v>
      </c>
      <c r="G11" s="1">
        <v>29.218407596785973</v>
      </c>
      <c r="H11" s="1">
        <v>1</v>
      </c>
      <c r="I11" s="1"/>
      <c r="J11" s="1">
        <v>3</v>
      </c>
      <c r="K11" s="1">
        <v>1</v>
      </c>
      <c r="L11" s="1">
        <v>2</v>
      </c>
      <c r="M11" s="1">
        <v>55</v>
      </c>
    </row>
    <row r="12" spans="1:13" x14ac:dyDescent="0.3">
      <c r="A12" s="1">
        <v>20</v>
      </c>
      <c r="B12" s="1" t="s">
        <v>21</v>
      </c>
      <c r="C12" s="1">
        <v>1</v>
      </c>
      <c r="D12" s="1">
        <v>47</v>
      </c>
      <c r="E12" s="1">
        <v>170</v>
      </c>
      <c r="F12" s="1">
        <v>75</v>
      </c>
      <c r="G12" s="1">
        <v>25.95155709342561</v>
      </c>
      <c r="H12" s="1">
        <v>1</v>
      </c>
      <c r="I12" s="1"/>
      <c r="J12" s="1">
        <v>1</v>
      </c>
      <c r="K12" s="1">
        <v>3</v>
      </c>
      <c r="L12" s="1">
        <v>2</v>
      </c>
      <c r="M12" s="1">
        <v>35</v>
      </c>
    </row>
    <row r="13" spans="1:13" x14ac:dyDescent="0.3">
      <c r="A13" s="1">
        <v>22</v>
      </c>
      <c r="B13" s="1" t="s">
        <v>21</v>
      </c>
      <c r="C13" s="1">
        <v>1</v>
      </c>
      <c r="D13" s="1">
        <v>22</v>
      </c>
      <c r="E13" s="1">
        <v>165</v>
      </c>
      <c r="F13" s="1">
        <v>53</v>
      </c>
      <c r="G13" s="1">
        <v>19.467401285583104</v>
      </c>
      <c r="H13" s="1">
        <v>1</v>
      </c>
      <c r="I13" s="1"/>
      <c r="J13" s="1">
        <v>1</v>
      </c>
      <c r="K13" s="1">
        <v>2</v>
      </c>
      <c r="L13" s="1">
        <v>2</v>
      </c>
      <c r="M13" s="1">
        <v>30</v>
      </c>
    </row>
    <row r="14" spans="1:13" x14ac:dyDescent="0.3">
      <c r="A14" s="1">
        <v>27</v>
      </c>
      <c r="B14" s="1" t="s">
        <v>21</v>
      </c>
      <c r="C14" s="1">
        <v>1</v>
      </c>
      <c r="D14" s="1">
        <v>28</v>
      </c>
      <c r="E14" s="1">
        <v>180</v>
      </c>
      <c r="F14" s="1">
        <v>65</v>
      </c>
      <c r="G14" s="1">
        <v>20.061728395061728</v>
      </c>
      <c r="H14" s="1">
        <v>1</v>
      </c>
      <c r="I14" s="1"/>
      <c r="J14" s="1">
        <v>4</v>
      </c>
      <c r="K14" s="1">
        <v>3</v>
      </c>
      <c r="L14" s="1">
        <v>3</v>
      </c>
      <c r="M14" s="1">
        <v>30</v>
      </c>
    </row>
    <row r="15" spans="1:13" x14ac:dyDescent="0.3">
      <c r="A15" s="1">
        <v>28</v>
      </c>
      <c r="B15" s="1" t="s">
        <v>21</v>
      </c>
      <c r="C15" s="1">
        <v>1</v>
      </c>
      <c r="D15" s="1">
        <v>24</v>
      </c>
      <c r="E15" s="1">
        <v>173</v>
      </c>
      <c r="F15" s="1">
        <v>55</v>
      </c>
      <c r="G15" s="1">
        <v>18.376825152861773</v>
      </c>
      <c r="H15" s="1">
        <v>1</v>
      </c>
      <c r="I15" s="1"/>
      <c r="J15" s="1">
        <v>1</v>
      </c>
      <c r="K15" s="1">
        <v>1</v>
      </c>
      <c r="L15" s="1">
        <v>1</v>
      </c>
      <c r="M15" s="1">
        <v>30</v>
      </c>
    </row>
    <row r="16" spans="1:13" x14ac:dyDescent="0.3">
      <c r="A16" s="1">
        <v>29</v>
      </c>
      <c r="B16" s="1" t="s">
        <v>21</v>
      </c>
      <c r="C16" s="1">
        <v>1</v>
      </c>
      <c r="D16" s="1">
        <v>41</v>
      </c>
      <c r="E16" s="1">
        <v>165</v>
      </c>
      <c r="F16" s="1">
        <v>55</v>
      </c>
      <c r="G16" s="1">
        <v>20.202020202020204</v>
      </c>
      <c r="H16" s="1">
        <v>1</v>
      </c>
      <c r="I16" s="1"/>
      <c r="J16" s="1">
        <v>1</v>
      </c>
      <c r="K16" s="1">
        <v>4</v>
      </c>
      <c r="L16" s="1">
        <v>3</v>
      </c>
      <c r="M16" s="1">
        <v>30</v>
      </c>
    </row>
    <row r="17" spans="1:13" x14ac:dyDescent="0.3">
      <c r="A17" s="1">
        <v>30</v>
      </c>
      <c r="B17" s="1" t="s">
        <v>21</v>
      </c>
      <c r="C17" s="1">
        <v>1</v>
      </c>
      <c r="D17" s="1">
        <v>24</v>
      </c>
      <c r="E17" s="1">
        <v>173</v>
      </c>
      <c r="F17" s="1">
        <v>72</v>
      </c>
      <c r="G17" s="1">
        <v>24.056934745564501</v>
      </c>
      <c r="H17" s="1">
        <v>1</v>
      </c>
      <c r="I17" s="1"/>
      <c r="J17" s="1">
        <v>2</v>
      </c>
      <c r="K17" s="1">
        <v>2</v>
      </c>
      <c r="L17" s="1">
        <v>3</v>
      </c>
      <c r="M17" s="1">
        <v>20</v>
      </c>
    </row>
    <row r="18" spans="1:13" x14ac:dyDescent="0.3">
      <c r="A18" s="1">
        <v>32</v>
      </c>
      <c r="B18" s="1" t="s">
        <v>21</v>
      </c>
      <c r="C18" s="1">
        <v>1</v>
      </c>
      <c r="D18" s="1">
        <v>34</v>
      </c>
      <c r="E18" s="1">
        <v>174</v>
      </c>
      <c r="F18" s="1">
        <v>86</v>
      </c>
      <c r="G18" s="1">
        <v>28.405337561104506</v>
      </c>
      <c r="H18" s="1">
        <v>1</v>
      </c>
      <c r="I18" s="1"/>
      <c r="J18" s="1">
        <v>1</v>
      </c>
      <c r="K18" s="1">
        <v>2</v>
      </c>
      <c r="L18" s="1">
        <v>2</v>
      </c>
      <c r="M18" s="1">
        <v>25</v>
      </c>
    </row>
    <row r="19" spans="1:13" x14ac:dyDescent="0.3">
      <c r="A19" s="1">
        <v>34</v>
      </c>
      <c r="B19" s="1" t="s">
        <v>21</v>
      </c>
      <c r="C19" s="1">
        <v>0</v>
      </c>
      <c r="D19" s="1">
        <v>22</v>
      </c>
      <c r="E19" s="1">
        <v>152</v>
      </c>
      <c r="F19" s="1">
        <v>49</v>
      </c>
      <c r="G19" s="1">
        <v>21.208448753462605</v>
      </c>
      <c r="H19" s="1">
        <v>1</v>
      </c>
      <c r="I19" s="1"/>
      <c r="J19" s="1">
        <v>4</v>
      </c>
      <c r="K19" s="1">
        <v>2</v>
      </c>
      <c r="L19" s="1">
        <v>2</v>
      </c>
      <c r="M19" s="1">
        <v>25</v>
      </c>
    </row>
    <row r="20" spans="1:13" x14ac:dyDescent="0.3">
      <c r="A20" s="1">
        <v>35</v>
      </c>
      <c r="B20" s="1" t="s">
        <v>21</v>
      </c>
      <c r="C20" s="1">
        <v>0</v>
      </c>
      <c r="D20" s="1">
        <v>55</v>
      </c>
      <c r="E20" s="1">
        <v>160</v>
      </c>
      <c r="F20" s="1">
        <v>60</v>
      </c>
      <c r="G20" s="1">
        <v>23.437499999999996</v>
      </c>
      <c r="H20" s="1">
        <v>2</v>
      </c>
      <c r="I20" s="1"/>
      <c r="J20" s="1">
        <v>3</v>
      </c>
      <c r="K20" s="1">
        <v>4</v>
      </c>
      <c r="L20" s="1">
        <v>3</v>
      </c>
      <c r="M20" s="1">
        <v>30</v>
      </c>
    </row>
    <row r="21" spans="1:13" x14ac:dyDescent="0.3">
      <c r="A21" s="1">
        <v>39</v>
      </c>
      <c r="B21" s="1" t="s">
        <v>21</v>
      </c>
      <c r="C21" s="1">
        <v>1</v>
      </c>
      <c r="D21" s="1">
        <v>28</v>
      </c>
      <c r="E21" s="1">
        <v>172</v>
      </c>
      <c r="F21" s="1">
        <v>60</v>
      </c>
      <c r="G21" s="1">
        <v>20.281233098972418</v>
      </c>
      <c r="H21" s="1">
        <v>1</v>
      </c>
      <c r="I21" s="1"/>
      <c r="J21" s="1">
        <v>1</v>
      </c>
      <c r="K21" s="1">
        <v>1</v>
      </c>
      <c r="L21" s="1">
        <v>1</v>
      </c>
      <c r="M21" s="1">
        <v>45</v>
      </c>
    </row>
    <row r="22" spans="1:13" x14ac:dyDescent="0.3">
      <c r="A22" s="1">
        <v>40</v>
      </c>
      <c r="B22" s="1" t="s">
        <v>21</v>
      </c>
      <c r="C22" s="1">
        <v>1</v>
      </c>
      <c r="D22" s="1">
        <v>22</v>
      </c>
      <c r="E22" s="1">
        <v>175</v>
      </c>
      <c r="F22" s="1">
        <v>66</v>
      </c>
      <c r="G22" s="1">
        <v>21.551020408163264</v>
      </c>
      <c r="H22" s="1">
        <v>1</v>
      </c>
      <c r="I22" s="1"/>
      <c r="J22" s="1">
        <v>1</v>
      </c>
      <c r="K22" s="1">
        <v>3</v>
      </c>
      <c r="L22" s="1">
        <v>2</v>
      </c>
      <c r="M22" s="1">
        <v>40</v>
      </c>
    </row>
    <row r="23" spans="1:13" x14ac:dyDescent="0.3">
      <c r="A23" s="1">
        <v>43</v>
      </c>
      <c r="B23" s="1" t="s">
        <v>21</v>
      </c>
      <c r="C23" s="1">
        <v>1</v>
      </c>
      <c r="D23" s="1">
        <v>21</v>
      </c>
      <c r="E23" s="1">
        <v>180</v>
      </c>
      <c r="F23" s="1">
        <v>73</v>
      </c>
      <c r="G23" s="1">
        <v>22.530864197530864</v>
      </c>
      <c r="H23" s="1">
        <v>1</v>
      </c>
      <c r="I23" s="1"/>
      <c r="J23" s="1">
        <v>1</v>
      </c>
      <c r="K23" s="1">
        <v>1</v>
      </c>
      <c r="L23" s="1">
        <v>1</v>
      </c>
      <c r="M23" s="1">
        <v>30</v>
      </c>
    </row>
    <row r="24" spans="1:13" x14ac:dyDescent="0.3">
      <c r="A24" s="1">
        <v>44</v>
      </c>
      <c r="B24" s="1" t="s">
        <v>21</v>
      </c>
      <c r="C24" s="1">
        <v>0</v>
      </c>
      <c r="D24" s="1">
        <v>31</v>
      </c>
      <c r="E24" s="1">
        <v>163</v>
      </c>
      <c r="F24" s="1">
        <v>53</v>
      </c>
      <c r="G24" s="1">
        <v>19.948059768903612</v>
      </c>
      <c r="H24" s="1">
        <v>1</v>
      </c>
      <c r="I24" s="1"/>
      <c r="J24" s="1">
        <v>3</v>
      </c>
      <c r="K24" s="1">
        <v>3</v>
      </c>
      <c r="L24" s="1">
        <v>3</v>
      </c>
      <c r="M24" s="1">
        <v>35</v>
      </c>
    </row>
    <row r="25" spans="1:13" x14ac:dyDescent="0.3">
      <c r="A25" s="1">
        <v>45</v>
      </c>
      <c r="B25" s="1" t="s">
        <v>21</v>
      </c>
      <c r="C25" s="1">
        <v>1</v>
      </c>
      <c r="D25" s="1">
        <v>48</v>
      </c>
      <c r="E25" s="1">
        <v>175</v>
      </c>
      <c r="F25" s="1">
        <v>70</v>
      </c>
      <c r="G25" s="1">
        <v>22.857142857142858</v>
      </c>
      <c r="H25" s="1">
        <v>1</v>
      </c>
      <c r="I25" s="1"/>
      <c r="J25" s="1">
        <v>3</v>
      </c>
      <c r="K25" s="1">
        <v>4</v>
      </c>
      <c r="L25" s="1">
        <v>3</v>
      </c>
      <c r="M25" s="1">
        <v>30</v>
      </c>
    </row>
    <row r="26" spans="1:13" x14ac:dyDescent="0.3">
      <c r="A26" s="1">
        <v>47</v>
      </c>
      <c r="B26" s="1" t="s">
        <v>21</v>
      </c>
      <c r="C26" s="1">
        <v>1</v>
      </c>
      <c r="D26" s="1">
        <v>28</v>
      </c>
      <c r="E26" s="1">
        <v>178</v>
      </c>
      <c r="F26" s="1">
        <v>75</v>
      </c>
      <c r="G26" s="1">
        <v>23.671253629592222</v>
      </c>
      <c r="H26" s="1">
        <v>1</v>
      </c>
      <c r="I26" s="1"/>
      <c r="J26" s="1">
        <v>4</v>
      </c>
      <c r="K26" s="1">
        <v>4</v>
      </c>
      <c r="L26" s="1">
        <v>3</v>
      </c>
      <c r="M26" s="1">
        <v>25</v>
      </c>
    </row>
    <row r="27" spans="1:13" x14ac:dyDescent="0.3">
      <c r="A27" s="1">
        <v>49</v>
      </c>
      <c r="B27" s="1" t="s">
        <v>21</v>
      </c>
      <c r="C27" s="1">
        <v>1</v>
      </c>
      <c r="D27" s="1">
        <v>42</v>
      </c>
      <c r="E27" s="1">
        <v>186</v>
      </c>
      <c r="F27" s="1">
        <v>77</v>
      </c>
      <c r="G27" s="1">
        <v>22.256908313099778</v>
      </c>
      <c r="H27" s="1">
        <v>1</v>
      </c>
      <c r="I27" s="1"/>
      <c r="J27" s="1">
        <v>2</v>
      </c>
      <c r="K27" s="1">
        <v>3</v>
      </c>
      <c r="L27" s="1">
        <v>2</v>
      </c>
      <c r="M27" s="1">
        <v>20</v>
      </c>
    </row>
    <row r="28" spans="1:13" x14ac:dyDescent="0.3">
      <c r="A28" s="1">
        <v>51</v>
      </c>
      <c r="B28" s="1" t="s">
        <v>21</v>
      </c>
      <c r="C28" s="1">
        <v>1</v>
      </c>
      <c r="D28" s="1">
        <v>24</v>
      </c>
      <c r="E28" s="1">
        <v>168</v>
      </c>
      <c r="F28" s="1">
        <v>57</v>
      </c>
      <c r="G28" s="1">
        <v>20.195578231292519</v>
      </c>
      <c r="H28" s="1">
        <v>1</v>
      </c>
      <c r="I28" s="1"/>
      <c r="J28" s="1">
        <v>4</v>
      </c>
      <c r="K28" s="1">
        <v>3</v>
      </c>
      <c r="L28" s="1">
        <v>3</v>
      </c>
      <c r="M28" s="1">
        <v>40</v>
      </c>
    </row>
    <row r="29" spans="1:13" x14ac:dyDescent="0.3">
      <c r="A29" s="1">
        <v>53</v>
      </c>
      <c r="B29" s="1" t="s">
        <v>21</v>
      </c>
      <c r="C29" s="1">
        <v>0</v>
      </c>
      <c r="D29" s="1">
        <v>28</v>
      </c>
      <c r="E29" s="1">
        <v>160</v>
      </c>
      <c r="F29" s="1">
        <v>52</v>
      </c>
      <c r="G29" s="1">
        <v>20.312499999999996</v>
      </c>
      <c r="H29" s="1">
        <v>1</v>
      </c>
      <c r="I29" s="1"/>
      <c r="J29" s="1">
        <v>2</v>
      </c>
      <c r="K29" s="1">
        <v>4</v>
      </c>
      <c r="L29" s="1">
        <v>3</v>
      </c>
      <c r="M29" s="1">
        <v>50</v>
      </c>
    </row>
    <row r="30" spans="1:13" x14ac:dyDescent="0.3">
      <c r="A30" s="1">
        <v>57</v>
      </c>
      <c r="B30" s="1" t="s">
        <v>21</v>
      </c>
      <c r="C30" s="1">
        <v>1</v>
      </c>
      <c r="D30" s="1">
        <v>32</v>
      </c>
      <c r="E30" s="1">
        <v>174</v>
      </c>
      <c r="F30" s="1">
        <v>67</v>
      </c>
      <c r="G30" s="1">
        <v>22.129739727837229</v>
      </c>
      <c r="H30" s="1">
        <v>1</v>
      </c>
      <c r="I30" s="1"/>
      <c r="J30" s="1">
        <v>1</v>
      </c>
      <c r="K30" s="1">
        <v>1</v>
      </c>
      <c r="L30" s="1">
        <v>1</v>
      </c>
      <c r="M30" s="1">
        <v>25</v>
      </c>
    </row>
    <row r="31" spans="1:13" x14ac:dyDescent="0.3">
      <c r="A31" s="1">
        <v>58</v>
      </c>
      <c r="B31" s="1" t="s">
        <v>21</v>
      </c>
      <c r="C31" s="1">
        <v>0</v>
      </c>
      <c r="D31" s="1">
        <v>22</v>
      </c>
      <c r="E31" s="1">
        <v>160</v>
      </c>
      <c r="F31" s="1">
        <v>58</v>
      </c>
      <c r="G31" s="1">
        <v>22.656249999999996</v>
      </c>
      <c r="H31" s="1">
        <v>1</v>
      </c>
      <c r="I31" s="1"/>
      <c r="J31" s="1">
        <v>1</v>
      </c>
      <c r="K31" s="1">
        <v>1</v>
      </c>
      <c r="L31" s="1">
        <v>1</v>
      </c>
      <c r="M31" s="1">
        <v>25</v>
      </c>
    </row>
    <row r="32" spans="1:13" x14ac:dyDescent="0.3">
      <c r="A32" s="1">
        <v>60</v>
      </c>
      <c r="B32" s="1" t="s">
        <v>21</v>
      </c>
      <c r="C32" s="1">
        <v>0</v>
      </c>
      <c r="D32" s="1">
        <v>52</v>
      </c>
      <c r="E32" s="1">
        <v>155</v>
      </c>
      <c r="F32" s="1">
        <v>63</v>
      </c>
      <c r="G32" s="1">
        <v>26.22268470343392</v>
      </c>
      <c r="H32" s="1">
        <v>1</v>
      </c>
      <c r="I32" s="1"/>
      <c r="J32" s="1">
        <v>3</v>
      </c>
      <c r="K32" s="1">
        <v>1</v>
      </c>
      <c r="L32" s="1">
        <v>1</v>
      </c>
      <c r="M32" s="1">
        <v>40</v>
      </c>
    </row>
    <row r="33" spans="1:13" x14ac:dyDescent="0.3">
      <c r="A33" s="1">
        <v>63</v>
      </c>
      <c r="B33" s="1" t="s">
        <v>21</v>
      </c>
      <c r="C33" s="1">
        <v>0</v>
      </c>
      <c r="D33" s="1">
        <v>24</v>
      </c>
      <c r="E33" s="1">
        <v>161</v>
      </c>
      <c r="F33" s="1">
        <v>57</v>
      </c>
      <c r="G33" s="1">
        <v>21.989892365263682</v>
      </c>
      <c r="H33" s="1">
        <v>1</v>
      </c>
      <c r="I33" s="1"/>
      <c r="J33" s="1">
        <v>3</v>
      </c>
      <c r="K33" s="1">
        <v>4</v>
      </c>
      <c r="L33" s="1">
        <v>3</v>
      </c>
      <c r="M33" s="1">
        <v>40</v>
      </c>
    </row>
    <row r="34" spans="1:13" x14ac:dyDescent="0.3">
      <c r="A34" s="1">
        <v>64</v>
      </c>
      <c r="B34" s="1" t="s">
        <v>21</v>
      </c>
      <c r="C34" s="1">
        <v>1</v>
      </c>
      <c r="D34" s="1">
        <v>54</v>
      </c>
      <c r="E34" s="1">
        <v>165</v>
      </c>
      <c r="F34" s="1">
        <v>63</v>
      </c>
      <c r="G34" s="1">
        <v>23.140495867768596</v>
      </c>
      <c r="H34" s="1">
        <v>1</v>
      </c>
      <c r="I34" s="1"/>
      <c r="J34" s="1">
        <v>2</v>
      </c>
      <c r="K34" s="1">
        <v>1</v>
      </c>
      <c r="L34" s="1">
        <v>1</v>
      </c>
      <c r="M34" s="1">
        <v>25</v>
      </c>
    </row>
    <row r="35" spans="1:13" x14ac:dyDescent="0.3">
      <c r="A35" s="1"/>
      <c r="B35" s="1"/>
      <c r="C35" s="1">
        <f>AVERAGE(C3:C34)</f>
        <v>0.71875</v>
      </c>
      <c r="D35" s="1">
        <f t="shared" ref="D35:H35" si="0">AVERAGE(D3:D34)</f>
        <v>32.53125</v>
      </c>
      <c r="E35" s="1"/>
      <c r="F35" s="1"/>
      <c r="G35" s="1">
        <f t="shared" si="0"/>
        <v>22.602107867682665</v>
      </c>
      <c r="H35" s="1">
        <f t="shared" si="0"/>
        <v>1.03125</v>
      </c>
      <c r="I35" s="1"/>
      <c r="J35" s="1">
        <f t="shared" ref="J35" si="1">AVERAGE(J3:J34)</f>
        <v>2.15625</v>
      </c>
      <c r="K35" s="1">
        <f t="shared" ref="K35" si="2">AVERAGE(K3:K34)</f>
        <v>2.5</v>
      </c>
      <c r="L35" s="1">
        <f t="shared" ref="L35" si="3">AVERAGE(L3:L34)</f>
        <v>2.15625</v>
      </c>
      <c r="M35" s="1">
        <f t="shared" ref="M35" si="4">AVERAGE(M3:M34)</f>
        <v>33.75</v>
      </c>
    </row>
    <row r="36" spans="1:1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3">
      <c r="A37" s="1">
        <v>2</v>
      </c>
      <c r="B37" s="1" t="s">
        <v>23</v>
      </c>
      <c r="C37" s="1">
        <v>0</v>
      </c>
      <c r="D37" s="1">
        <v>22</v>
      </c>
      <c r="E37" s="1">
        <v>161</v>
      </c>
      <c r="F37" s="1">
        <v>55</v>
      </c>
      <c r="G37" s="1">
        <v>21.218317194552675</v>
      </c>
      <c r="H37" s="1">
        <v>1</v>
      </c>
      <c r="I37" s="1"/>
      <c r="J37" s="1">
        <v>4</v>
      </c>
      <c r="K37" s="1">
        <v>1</v>
      </c>
      <c r="L37" s="1">
        <v>1</v>
      </c>
      <c r="M37" s="1">
        <v>25</v>
      </c>
    </row>
    <row r="38" spans="1:13" x14ac:dyDescent="0.3">
      <c r="A38" s="1">
        <v>3</v>
      </c>
      <c r="B38" s="1" t="s">
        <v>23</v>
      </c>
      <c r="C38" s="1">
        <v>0</v>
      </c>
      <c r="D38" s="1">
        <v>23</v>
      </c>
      <c r="E38" s="1">
        <v>162</v>
      </c>
      <c r="F38" s="1">
        <v>50</v>
      </c>
      <c r="G38" s="1">
        <v>19.051973784484069</v>
      </c>
      <c r="H38" s="1">
        <v>1</v>
      </c>
      <c r="I38" s="1"/>
      <c r="J38" s="1">
        <v>2</v>
      </c>
      <c r="K38" s="1">
        <v>3</v>
      </c>
      <c r="L38" s="1">
        <v>3</v>
      </c>
      <c r="M38" s="1">
        <v>40</v>
      </c>
    </row>
    <row r="39" spans="1:13" x14ac:dyDescent="0.3">
      <c r="A39" s="1">
        <v>6</v>
      </c>
      <c r="B39" s="1" t="s">
        <v>23</v>
      </c>
      <c r="C39" s="1">
        <v>1</v>
      </c>
      <c r="D39" s="1">
        <v>24</v>
      </c>
      <c r="E39" s="1">
        <v>172</v>
      </c>
      <c r="F39" s="1">
        <v>68</v>
      </c>
      <c r="G39" s="1">
        <v>22.985397512168742</v>
      </c>
      <c r="H39" s="1">
        <v>1</v>
      </c>
      <c r="I39" s="1"/>
      <c r="J39" s="1">
        <v>4</v>
      </c>
      <c r="K39" s="1">
        <v>4</v>
      </c>
      <c r="L39" s="1">
        <v>3</v>
      </c>
      <c r="M39" s="1">
        <v>35</v>
      </c>
    </row>
    <row r="40" spans="1:13" x14ac:dyDescent="0.3">
      <c r="A40" s="1">
        <v>9</v>
      </c>
      <c r="B40" s="1" t="s">
        <v>23</v>
      </c>
      <c r="C40" s="1">
        <v>1</v>
      </c>
      <c r="D40" s="1">
        <v>27</v>
      </c>
      <c r="E40" s="1">
        <v>175</v>
      </c>
      <c r="F40" s="1">
        <v>64</v>
      </c>
      <c r="G40" s="1">
        <v>20.897959183673468</v>
      </c>
      <c r="H40" s="1">
        <v>1</v>
      </c>
      <c r="I40" s="1"/>
      <c r="J40" s="1">
        <v>1</v>
      </c>
      <c r="K40" s="1">
        <v>3</v>
      </c>
      <c r="L40" s="1">
        <v>2</v>
      </c>
      <c r="M40" s="1">
        <v>30</v>
      </c>
    </row>
    <row r="41" spans="1:13" x14ac:dyDescent="0.3">
      <c r="A41" s="1">
        <v>10</v>
      </c>
      <c r="B41" s="1" t="s">
        <v>23</v>
      </c>
      <c r="C41" s="1">
        <v>1</v>
      </c>
      <c r="D41" s="1">
        <v>22</v>
      </c>
      <c r="E41" s="1">
        <v>175</v>
      </c>
      <c r="F41" s="1">
        <v>66</v>
      </c>
      <c r="G41" s="1">
        <v>21.551020408163264</v>
      </c>
      <c r="H41" s="1">
        <v>1</v>
      </c>
      <c r="I41" s="1"/>
      <c r="J41" s="1">
        <v>2</v>
      </c>
      <c r="K41" s="1">
        <v>4</v>
      </c>
      <c r="L41" s="1">
        <v>3</v>
      </c>
      <c r="M41" s="1">
        <v>20</v>
      </c>
    </row>
    <row r="42" spans="1:13" x14ac:dyDescent="0.3">
      <c r="A42" s="1">
        <v>12</v>
      </c>
      <c r="B42" s="1" t="s">
        <v>23</v>
      </c>
      <c r="C42" s="1">
        <v>0</v>
      </c>
      <c r="D42" s="1">
        <v>28</v>
      </c>
      <c r="E42" s="1">
        <v>152</v>
      </c>
      <c r="F42" s="1">
        <v>55</v>
      </c>
      <c r="G42" s="1">
        <v>23.80540166204986</v>
      </c>
      <c r="H42" s="1">
        <v>1</v>
      </c>
      <c r="I42" s="1"/>
      <c r="J42" s="1">
        <v>1</v>
      </c>
      <c r="K42" s="1">
        <v>3</v>
      </c>
      <c r="L42" s="1">
        <v>3</v>
      </c>
      <c r="M42" s="1">
        <v>25</v>
      </c>
    </row>
    <row r="43" spans="1:13" x14ac:dyDescent="0.3">
      <c r="A43" s="1">
        <v>15</v>
      </c>
      <c r="B43" s="1" t="s">
        <v>23</v>
      </c>
      <c r="C43" s="1">
        <v>1</v>
      </c>
      <c r="D43" s="1">
        <v>28</v>
      </c>
      <c r="E43" s="1">
        <v>173</v>
      </c>
      <c r="F43" s="1">
        <v>75</v>
      </c>
      <c r="G43" s="1">
        <v>25.059307026629689</v>
      </c>
      <c r="H43" s="1">
        <v>1</v>
      </c>
      <c r="I43" s="1"/>
      <c r="J43" s="1">
        <v>1</v>
      </c>
      <c r="K43" s="1">
        <v>3</v>
      </c>
      <c r="L43" s="1">
        <v>2</v>
      </c>
      <c r="M43" s="1">
        <v>30</v>
      </c>
    </row>
    <row r="44" spans="1:13" x14ac:dyDescent="0.3">
      <c r="A44" s="1">
        <v>16</v>
      </c>
      <c r="B44" s="1" t="s">
        <v>23</v>
      </c>
      <c r="C44" s="1">
        <v>1</v>
      </c>
      <c r="D44" s="1">
        <v>57</v>
      </c>
      <c r="E44" s="1">
        <v>161</v>
      </c>
      <c r="F44" s="1">
        <v>66</v>
      </c>
      <c r="G44" s="1">
        <v>25.461980633463213</v>
      </c>
      <c r="H44" s="1">
        <v>1</v>
      </c>
      <c r="I44" s="1"/>
      <c r="J44" s="1">
        <v>3</v>
      </c>
      <c r="K44" s="1">
        <v>3</v>
      </c>
      <c r="L44" s="1">
        <v>3</v>
      </c>
      <c r="M44" s="1">
        <v>40</v>
      </c>
    </row>
    <row r="45" spans="1:13" x14ac:dyDescent="0.3">
      <c r="A45" s="1">
        <v>17</v>
      </c>
      <c r="B45" s="1" t="s">
        <v>23</v>
      </c>
      <c r="C45" s="1">
        <v>1</v>
      </c>
      <c r="D45" s="1">
        <v>32</v>
      </c>
      <c r="E45" s="1">
        <v>170</v>
      </c>
      <c r="F45" s="1">
        <v>73</v>
      </c>
      <c r="G45" s="1">
        <v>25.259515570934258</v>
      </c>
      <c r="H45" s="1">
        <v>1</v>
      </c>
      <c r="I45" s="1"/>
      <c r="J45" s="1">
        <v>1</v>
      </c>
      <c r="K45" s="1">
        <v>3</v>
      </c>
      <c r="L45" s="1">
        <v>3</v>
      </c>
      <c r="M45" s="1">
        <v>20</v>
      </c>
    </row>
    <row r="46" spans="1:13" x14ac:dyDescent="0.3">
      <c r="A46" s="1">
        <v>19</v>
      </c>
      <c r="B46" s="1" t="s">
        <v>23</v>
      </c>
      <c r="C46" s="1">
        <v>0</v>
      </c>
      <c r="D46" s="1">
        <v>26</v>
      </c>
      <c r="E46" s="1">
        <v>158</v>
      </c>
      <c r="F46" s="1">
        <v>44</v>
      </c>
      <c r="G46" s="1">
        <v>17.625380547989103</v>
      </c>
      <c r="H46" s="1">
        <v>1</v>
      </c>
      <c r="I46" s="1"/>
      <c r="J46" s="1">
        <v>4</v>
      </c>
      <c r="K46" s="1">
        <v>3</v>
      </c>
      <c r="L46" s="1">
        <v>3</v>
      </c>
      <c r="M46" s="1">
        <v>40</v>
      </c>
    </row>
    <row r="47" spans="1:13" x14ac:dyDescent="0.3">
      <c r="A47" s="1">
        <v>21</v>
      </c>
      <c r="B47" s="1" t="s">
        <v>23</v>
      </c>
      <c r="C47" s="1">
        <v>1</v>
      </c>
      <c r="D47" s="1">
        <v>28</v>
      </c>
      <c r="E47" s="1">
        <v>169</v>
      </c>
      <c r="F47" s="1">
        <v>64</v>
      </c>
      <c r="G47" s="1">
        <v>22.408178985329648</v>
      </c>
      <c r="H47" s="1">
        <v>1</v>
      </c>
      <c r="I47" s="1"/>
      <c r="J47" s="1">
        <v>1</v>
      </c>
      <c r="K47" s="1">
        <v>3</v>
      </c>
      <c r="L47" s="1">
        <v>2</v>
      </c>
      <c r="M47" s="1">
        <v>30</v>
      </c>
    </row>
    <row r="48" spans="1:13" x14ac:dyDescent="0.3">
      <c r="A48" s="1">
        <v>23</v>
      </c>
      <c r="B48" s="1" t="s">
        <v>23</v>
      </c>
      <c r="C48" s="1">
        <v>0</v>
      </c>
      <c r="D48" s="1">
        <v>44</v>
      </c>
      <c r="E48" s="1">
        <v>166</v>
      </c>
      <c r="F48" s="1">
        <v>57</v>
      </c>
      <c r="G48" s="1">
        <v>20.685150239512268</v>
      </c>
      <c r="H48" s="1">
        <v>2</v>
      </c>
      <c r="I48" s="1"/>
      <c r="J48" s="1">
        <v>3</v>
      </c>
      <c r="K48" s="1">
        <v>2</v>
      </c>
      <c r="L48" s="1">
        <v>2</v>
      </c>
      <c r="M48" s="1">
        <v>65</v>
      </c>
    </row>
    <row r="49" spans="1:13" x14ac:dyDescent="0.3">
      <c r="A49" s="1">
        <v>24</v>
      </c>
      <c r="B49" s="1" t="s">
        <v>23</v>
      </c>
      <c r="C49" s="1">
        <v>0</v>
      </c>
      <c r="D49" s="1">
        <v>22</v>
      </c>
      <c r="E49" s="1">
        <v>164</v>
      </c>
      <c r="F49" s="1">
        <v>51</v>
      </c>
      <c r="G49" s="1">
        <v>18.961927424152293</v>
      </c>
      <c r="H49" s="1">
        <v>1</v>
      </c>
      <c r="I49" s="1"/>
      <c r="J49" s="1">
        <v>4</v>
      </c>
      <c r="K49" s="1">
        <v>2</v>
      </c>
      <c r="L49" s="1">
        <v>2</v>
      </c>
      <c r="M49" s="1">
        <v>45</v>
      </c>
    </row>
    <row r="50" spans="1:13" x14ac:dyDescent="0.3">
      <c r="A50" s="1">
        <v>25</v>
      </c>
      <c r="B50" s="1" t="s">
        <v>23</v>
      </c>
      <c r="C50" s="1">
        <v>1</v>
      </c>
      <c r="D50" s="1">
        <v>32</v>
      </c>
      <c r="E50" s="1">
        <v>180</v>
      </c>
      <c r="F50" s="1">
        <v>74</v>
      </c>
      <c r="G50" s="1">
        <v>22.839506172839506</v>
      </c>
      <c r="H50" s="1">
        <v>1</v>
      </c>
      <c r="I50" s="1"/>
      <c r="J50" s="1">
        <v>3</v>
      </c>
      <c r="K50" s="1">
        <v>4</v>
      </c>
      <c r="L50" s="1">
        <v>3</v>
      </c>
      <c r="M50" s="1">
        <v>35</v>
      </c>
    </row>
    <row r="51" spans="1:13" x14ac:dyDescent="0.3">
      <c r="A51" s="1">
        <v>26</v>
      </c>
      <c r="B51" s="1" t="s">
        <v>23</v>
      </c>
      <c r="C51" s="1">
        <v>1</v>
      </c>
      <c r="D51" s="1">
        <v>23</v>
      </c>
      <c r="E51" s="1">
        <v>164</v>
      </c>
      <c r="F51" s="1">
        <v>75</v>
      </c>
      <c r="G51" s="1">
        <v>27.885187388459254</v>
      </c>
      <c r="H51" s="1">
        <v>1</v>
      </c>
      <c r="I51" s="1"/>
      <c r="J51" s="1">
        <v>4</v>
      </c>
      <c r="K51" s="1">
        <v>1</v>
      </c>
      <c r="L51" s="1">
        <v>1</v>
      </c>
      <c r="M51" s="1">
        <v>65</v>
      </c>
    </row>
    <row r="52" spans="1:13" x14ac:dyDescent="0.3">
      <c r="A52" s="1">
        <v>31</v>
      </c>
      <c r="B52" s="1" t="s">
        <v>23</v>
      </c>
      <c r="C52" s="1">
        <v>1</v>
      </c>
      <c r="D52" s="1">
        <v>40</v>
      </c>
      <c r="E52" s="1">
        <v>183</v>
      </c>
      <c r="F52" s="1">
        <v>78</v>
      </c>
      <c r="G52" s="1">
        <v>23.291229956104985</v>
      </c>
      <c r="H52" s="1">
        <v>1</v>
      </c>
      <c r="I52" s="1"/>
      <c r="J52" s="1">
        <v>3</v>
      </c>
      <c r="K52" s="1">
        <v>4</v>
      </c>
      <c r="L52" s="1">
        <v>3</v>
      </c>
      <c r="M52" s="1">
        <v>30</v>
      </c>
    </row>
    <row r="53" spans="1:13" x14ac:dyDescent="0.3">
      <c r="A53" s="1">
        <v>33</v>
      </c>
      <c r="B53" s="1" t="s">
        <v>23</v>
      </c>
      <c r="C53" s="1">
        <v>1</v>
      </c>
      <c r="D53" s="1">
        <v>20</v>
      </c>
      <c r="E53" s="1">
        <v>168</v>
      </c>
      <c r="F53" s="1">
        <v>69</v>
      </c>
      <c r="G53" s="1">
        <v>24.447278911564631</v>
      </c>
      <c r="H53" s="1">
        <v>1</v>
      </c>
      <c r="I53" s="1"/>
      <c r="J53" s="1">
        <v>4</v>
      </c>
      <c r="K53" s="1">
        <v>2</v>
      </c>
      <c r="L53" s="1">
        <v>2</v>
      </c>
      <c r="M53" s="1">
        <v>30</v>
      </c>
    </row>
    <row r="54" spans="1:13" x14ac:dyDescent="0.3">
      <c r="A54" s="1">
        <v>36</v>
      </c>
      <c r="B54" s="1" t="s">
        <v>23</v>
      </c>
      <c r="C54" s="1">
        <v>1</v>
      </c>
      <c r="D54" s="1">
        <v>27</v>
      </c>
      <c r="E54" s="1">
        <v>173</v>
      </c>
      <c r="F54" s="1">
        <v>75</v>
      </c>
      <c r="G54" s="1">
        <v>25.059307026629689</v>
      </c>
      <c r="H54" s="1">
        <v>1</v>
      </c>
      <c r="I54" s="1"/>
      <c r="J54" s="1">
        <v>1</v>
      </c>
      <c r="K54" s="1">
        <v>4</v>
      </c>
      <c r="L54" s="1">
        <v>3</v>
      </c>
      <c r="M54" s="1">
        <v>30</v>
      </c>
    </row>
    <row r="55" spans="1:13" x14ac:dyDescent="0.3">
      <c r="A55" s="1">
        <v>37</v>
      </c>
      <c r="B55" s="1" t="s">
        <v>23</v>
      </c>
      <c r="C55" s="1">
        <v>1</v>
      </c>
      <c r="D55" s="1">
        <v>26</v>
      </c>
      <c r="E55" s="1">
        <v>167</v>
      </c>
      <c r="F55" s="1">
        <v>59</v>
      </c>
      <c r="G55" s="1">
        <v>21.155294202015131</v>
      </c>
      <c r="H55" s="1">
        <v>1</v>
      </c>
      <c r="I55" s="1"/>
      <c r="J55" s="1">
        <v>1</v>
      </c>
      <c r="K55" s="1">
        <v>4</v>
      </c>
      <c r="L55" s="1">
        <v>3</v>
      </c>
      <c r="M55" s="1">
        <v>25</v>
      </c>
    </row>
    <row r="56" spans="1:13" x14ac:dyDescent="0.3">
      <c r="A56" s="1">
        <v>38</v>
      </c>
      <c r="B56" s="1" t="s">
        <v>23</v>
      </c>
      <c r="C56" s="1">
        <v>1</v>
      </c>
      <c r="D56" s="1">
        <v>20</v>
      </c>
      <c r="E56" s="1">
        <v>170</v>
      </c>
      <c r="F56" s="1">
        <v>57</v>
      </c>
      <c r="G56" s="1">
        <v>19.723183391003463</v>
      </c>
      <c r="H56" s="1">
        <v>1</v>
      </c>
      <c r="I56" s="1"/>
      <c r="J56" s="1">
        <v>4</v>
      </c>
      <c r="K56" s="1">
        <v>3</v>
      </c>
      <c r="L56" s="1">
        <v>3</v>
      </c>
      <c r="M56" s="1">
        <v>45</v>
      </c>
    </row>
    <row r="57" spans="1:13" x14ac:dyDescent="0.3">
      <c r="A57" s="1">
        <v>41</v>
      </c>
      <c r="B57" s="1" t="s">
        <v>23</v>
      </c>
      <c r="C57" s="1">
        <v>0</v>
      </c>
      <c r="D57" s="1">
        <v>33</v>
      </c>
      <c r="E57" s="1">
        <v>162</v>
      </c>
      <c r="F57" s="1">
        <v>56</v>
      </c>
      <c r="G57" s="1">
        <v>21.338210638622158</v>
      </c>
      <c r="H57" s="1">
        <v>1</v>
      </c>
      <c r="I57" s="1"/>
      <c r="J57" s="1">
        <v>4</v>
      </c>
      <c r="K57" s="1">
        <v>3</v>
      </c>
      <c r="L57" s="1">
        <v>2</v>
      </c>
      <c r="M57" s="1">
        <v>20</v>
      </c>
    </row>
    <row r="58" spans="1:13" x14ac:dyDescent="0.3">
      <c r="A58" s="1">
        <v>42</v>
      </c>
      <c r="B58" s="1" t="s">
        <v>23</v>
      </c>
      <c r="C58" s="1">
        <v>0</v>
      </c>
      <c r="D58" s="1">
        <v>40</v>
      </c>
      <c r="E58" s="1">
        <v>154</v>
      </c>
      <c r="F58" s="1">
        <v>48</v>
      </c>
      <c r="G58" s="1">
        <v>20.239500758981279</v>
      </c>
      <c r="H58" s="1">
        <v>1</v>
      </c>
      <c r="I58" s="1"/>
      <c r="J58" s="1">
        <v>4</v>
      </c>
      <c r="K58" s="1">
        <v>4</v>
      </c>
      <c r="L58" s="1">
        <v>3</v>
      </c>
      <c r="M58" s="1">
        <v>35</v>
      </c>
    </row>
    <row r="59" spans="1:13" x14ac:dyDescent="0.3">
      <c r="A59" s="1">
        <v>46</v>
      </c>
      <c r="B59" s="1" t="s">
        <v>23</v>
      </c>
      <c r="C59" s="1">
        <v>0</v>
      </c>
      <c r="D59" s="1">
        <v>52</v>
      </c>
      <c r="E59" s="1">
        <v>151</v>
      </c>
      <c r="F59" s="1">
        <v>52</v>
      </c>
      <c r="G59" s="1">
        <v>22.806017279943863</v>
      </c>
      <c r="H59" s="1">
        <v>2</v>
      </c>
      <c r="I59" s="1"/>
      <c r="J59" s="1">
        <v>3</v>
      </c>
      <c r="K59" s="1">
        <v>2</v>
      </c>
      <c r="L59" s="1">
        <v>2</v>
      </c>
      <c r="M59" s="1">
        <v>30</v>
      </c>
    </row>
    <row r="60" spans="1:13" x14ac:dyDescent="0.3">
      <c r="A60" s="1">
        <v>48</v>
      </c>
      <c r="B60" s="1" t="s">
        <v>23</v>
      </c>
      <c r="C60" s="1">
        <v>0</v>
      </c>
      <c r="D60" s="1">
        <v>28</v>
      </c>
      <c r="E60" s="1">
        <v>167</v>
      </c>
      <c r="F60" s="1">
        <v>53</v>
      </c>
      <c r="G60" s="1">
        <v>19.003908350962746</v>
      </c>
      <c r="H60" s="1">
        <v>1</v>
      </c>
      <c r="I60" s="1"/>
      <c r="J60" s="1">
        <v>2</v>
      </c>
      <c r="K60" s="1">
        <v>3</v>
      </c>
      <c r="L60" s="1">
        <v>2</v>
      </c>
      <c r="M60" s="1">
        <v>40</v>
      </c>
    </row>
    <row r="61" spans="1:13" x14ac:dyDescent="0.3">
      <c r="A61" s="1">
        <v>50</v>
      </c>
      <c r="B61" s="1" t="s">
        <v>23</v>
      </c>
      <c r="C61" s="1">
        <v>0</v>
      </c>
      <c r="D61" s="1">
        <v>37</v>
      </c>
      <c r="E61" s="1">
        <v>166</v>
      </c>
      <c r="F61" s="1">
        <v>55</v>
      </c>
      <c r="G61" s="1">
        <v>19.959355494266223</v>
      </c>
      <c r="H61" s="1">
        <v>1</v>
      </c>
      <c r="I61" s="1"/>
      <c r="J61" s="1">
        <v>1</v>
      </c>
      <c r="K61" s="1">
        <v>2</v>
      </c>
      <c r="L61" s="1">
        <v>1</v>
      </c>
      <c r="M61" s="1">
        <v>30</v>
      </c>
    </row>
    <row r="62" spans="1:13" x14ac:dyDescent="0.3">
      <c r="A62" s="1">
        <v>52</v>
      </c>
      <c r="B62" s="1" t="s">
        <v>23</v>
      </c>
      <c r="C62" s="1">
        <v>1</v>
      </c>
      <c r="D62" s="1">
        <v>30</v>
      </c>
      <c r="E62" s="1">
        <v>178</v>
      </c>
      <c r="F62" s="1">
        <v>78</v>
      </c>
      <c r="G62" s="1">
        <v>24.618103774775911</v>
      </c>
      <c r="H62" s="1">
        <v>1</v>
      </c>
      <c r="I62" s="1"/>
      <c r="J62" s="1">
        <v>1</v>
      </c>
      <c r="K62" s="1">
        <v>1</v>
      </c>
      <c r="L62" s="1">
        <v>1</v>
      </c>
      <c r="M62" s="1">
        <v>35</v>
      </c>
    </row>
    <row r="63" spans="1:13" x14ac:dyDescent="0.3">
      <c r="A63" s="1">
        <v>54</v>
      </c>
      <c r="B63" s="1" t="s">
        <v>23</v>
      </c>
      <c r="C63" s="1">
        <v>1</v>
      </c>
      <c r="D63" s="1">
        <v>19</v>
      </c>
      <c r="E63" s="1">
        <v>177</v>
      </c>
      <c r="F63" s="1">
        <v>54</v>
      </c>
      <c r="G63" s="1">
        <v>17.236426314277505</v>
      </c>
      <c r="H63" s="1">
        <v>1</v>
      </c>
      <c r="I63" s="1"/>
      <c r="J63" s="1">
        <v>4</v>
      </c>
      <c r="K63" s="1">
        <v>3</v>
      </c>
      <c r="L63" s="1">
        <v>2</v>
      </c>
      <c r="M63" s="1">
        <v>40</v>
      </c>
    </row>
    <row r="64" spans="1:13" x14ac:dyDescent="0.3">
      <c r="A64" s="1">
        <v>55</v>
      </c>
      <c r="B64" s="1" t="s">
        <v>23</v>
      </c>
      <c r="C64" s="1">
        <v>0</v>
      </c>
      <c r="D64" s="1">
        <v>20</v>
      </c>
      <c r="E64" s="1">
        <v>161</v>
      </c>
      <c r="F64" s="1">
        <v>53</v>
      </c>
      <c r="G64" s="1">
        <v>20.446742023841672</v>
      </c>
      <c r="H64" s="1">
        <v>1</v>
      </c>
      <c r="I64" s="1"/>
      <c r="J64" s="1">
        <v>3</v>
      </c>
      <c r="K64" s="1">
        <v>1</v>
      </c>
      <c r="L64" s="1">
        <v>1</v>
      </c>
      <c r="M64" s="1">
        <v>50</v>
      </c>
    </row>
    <row r="65" spans="1:13" x14ac:dyDescent="0.3">
      <c r="A65" s="1">
        <v>56</v>
      </c>
      <c r="B65" s="1" t="s">
        <v>23</v>
      </c>
      <c r="C65" s="1">
        <v>1</v>
      </c>
      <c r="D65" s="1">
        <v>45</v>
      </c>
      <c r="E65" s="1">
        <v>176</v>
      </c>
      <c r="F65" s="1">
        <v>74</v>
      </c>
      <c r="G65" s="1">
        <v>23.889462809917354</v>
      </c>
      <c r="H65" s="1">
        <v>1</v>
      </c>
      <c r="I65" s="1"/>
      <c r="J65" s="1">
        <v>1</v>
      </c>
      <c r="K65" s="1">
        <v>3</v>
      </c>
      <c r="L65" s="1">
        <v>3</v>
      </c>
      <c r="M65" s="1">
        <v>30</v>
      </c>
    </row>
    <row r="66" spans="1:13" x14ac:dyDescent="0.3">
      <c r="A66" s="1">
        <v>59</v>
      </c>
      <c r="B66" s="1" t="s">
        <v>23</v>
      </c>
      <c r="C66" s="1">
        <v>1</v>
      </c>
      <c r="D66" s="1">
        <v>32</v>
      </c>
      <c r="E66" s="1">
        <v>171</v>
      </c>
      <c r="F66" s="1">
        <v>70</v>
      </c>
      <c r="G66" s="1">
        <v>23.938989774631512</v>
      </c>
      <c r="H66" s="1">
        <v>1</v>
      </c>
      <c r="I66" s="1"/>
      <c r="J66" s="1">
        <v>3</v>
      </c>
      <c r="K66" s="1">
        <v>2</v>
      </c>
      <c r="L66" s="1">
        <v>2</v>
      </c>
      <c r="M66" s="1">
        <v>40</v>
      </c>
    </row>
    <row r="67" spans="1:13" x14ac:dyDescent="0.3">
      <c r="A67" s="1">
        <v>61</v>
      </c>
      <c r="B67" s="1" t="s">
        <v>23</v>
      </c>
      <c r="C67" s="1">
        <v>1</v>
      </c>
      <c r="D67" s="1">
        <v>15</v>
      </c>
      <c r="E67" s="1">
        <v>173</v>
      </c>
      <c r="F67" s="1">
        <v>75</v>
      </c>
      <c r="G67" s="1">
        <v>25.059307026629689</v>
      </c>
      <c r="H67" s="1">
        <v>1</v>
      </c>
      <c r="I67" s="1"/>
      <c r="J67" s="1">
        <v>1</v>
      </c>
      <c r="K67" s="1">
        <v>3</v>
      </c>
      <c r="L67" s="1">
        <v>2</v>
      </c>
      <c r="M67" s="1">
        <v>35</v>
      </c>
    </row>
    <row r="68" spans="1:13" x14ac:dyDescent="0.3">
      <c r="A68" s="1">
        <v>62</v>
      </c>
      <c r="B68" s="1" t="s">
        <v>23</v>
      </c>
      <c r="C68" s="1">
        <v>1</v>
      </c>
      <c r="D68" s="1">
        <v>24</v>
      </c>
      <c r="E68" s="1">
        <v>176</v>
      </c>
      <c r="F68" s="1">
        <v>61</v>
      </c>
      <c r="G68" s="1">
        <v>19.692665289256198</v>
      </c>
      <c r="H68" s="1">
        <v>2</v>
      </c>
      <c r="I68" s="1"/>
      <c r="J68" s="1">
        <v>3</v>
      </c>
      <c r="K68" s="1">
        <v>4</v>
      </c>
      <c r="L68" s="1">
        <v>3</v>
      </c>
      <c r="M68" s="1">
        <v>35</v>
      </c>
    </row>
    <row r="69" spans="1:13" x14ac:dyDescent="0.3">
      <c r="A69" s="1"/>
      <c r="B69" s="1"/>
      <c r="C69" s="1">
        <f>AVERAGE(C37:C68)</f>
        <v>0.625</v>
      </c>
      <c r="D69" s="1">
        <f>AVERAGE(D37:D68)</f>
        <v>29.5625</v>
      </c>
      <c r="E69" s="1"/>
      <c r="F69" s="1"/>
      <c r="G69" s="1">
        <f t="shared" ref="G69:M69" si="5">AVERAGE(G37:G68)</f>
        <v>22.112537086182044</v>
      </c>
      <c r="H69" s="1">
        <f t="shared" si="5"/>
        <v>1.09375</v>
      </c>
      <c r="I69" s="1"/>
      <c r="J69" s="1">
        <f t="shared" si="5"/>
        <v>2.53125</v>
      </c>
      <c r="K69" s="1">
        <f t="shared" si="5"/>
        <v>2.8125</v>
      </c>
      <c r="L69" s="1">
        <f t="shared" si="5"/>
        <v>2.3125</v>
      </c>
      <c r="M69" s="1">
        <f t="shared" si="5"/>
        <v>35.15625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70"/>
  <sheetViews>
    <sheetView topLeftCell="O1" workbookViewId="0">
      <selection activeCell="AC3" sqref="AC3"/>
    </sheetView>
  </sheetViews>
  <sheetFormatPr defaultRowHeight="16.5" x14ac:dyDescent="0.3"/>
  <cols>
    <col min="2" max="2" width="11.625" customWidth="1"/>
    <col min="3" max="3" width="13.125" customWidth="1"/>
    <col min="9" max="9" width="13.125" customWidth="1"/>
    <col min="10" max="10" width="13.25" customWidth="1"/>
    <col min="16" max="16" width="13.125" customWidth="1"/>
    <col min="17" max="17" width="13.5" customWidth="1"/>
    <col min="23" max="23" width="13" customWidth="1"/>
    <col min="24" max="24" width="13.25" customWidth="1"/>
  </cols>
  <sheetData>
    <row r="2" spans="1:29" x14ac:dyDescent="0.3">
      <c r="A2" s="1"/>
      <c r="B2" s="1" t="s">
        <v>0</v>
      </c>
      <c r="C2" s="1"/>
      <c r="D2" s="1"/>
      <c r="E2" s="1"/>
      <c r="F2" s="1"/>
      <c r="G2" s="1"/>
      <c r="H2" s="1"/>
      <c r="I2" s="1" t="s">
        <v>1</v>
      </c>
      <c r="J2" s="1"/>
      <c r="K2" s="1"/>
      <c r="L2" s="1"/>
      <c r="M2" s="1"/>
      <c r="N2" s="1"/>
      <c r="O2" s="1"/>
      <c r="P2" s="1" t="s">
        <v>2</v>
      </c>
      <c r="Q2" s="1"/>
      <c r="R2" s="1"/>
      <c r="S2" s="1"/>
      <c r="T2" s="1"/>
      <c r="U2" s="1"/>
      <c r="V2" s="1"/>
      <c r="W2" s="1" t="s">
        <v>3</v>
      </c>
      <c r="X2" s="1"/>
      <c r="Y2" s="1"/>
      <c r="Z2" s="1"/>
      <c r="AA2" s="1"/>
      <c r="AB2" s="1"/>
      <c r="AC2" s="1"/>
    </row>
    <row r="3" spans="1:29" x14ac:dyDescent="0.3">
      <c r="A3" s="1" t="s">
        <v>24</v>
      </c>
      <c r="B3" s="1" t="s">
        <v>40</v>
      </c>
      <c r="C3" s="1" t="s">
        <v>41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  <c r="Q3" s="1" t="s">
        <v>41</v>
      </c>
      <c r="R3" s="1" t="s">
        <v>35</v>
      </c>
      <c r="S3" s="1" t="s">
        <v>36</v>
      </c>
      <c r="T3" s="1" t="s">
        <v>37</v>
      </c>
      <c r="U3" s="1" t="s">
        <v>38</v>
      </c>
      <c r="V3" s="1" t="s">
        <v>39</v>
      </c>
      <c r="W3" s="1" t="s">
        <v>40</v>
      </c>
      <c r="X3" s="1" t="s">
        <v>41</v>
      </c>
      <c r="Y3" s="1" t="s">
        <v>35</v>
      </c>
      <c r="Z3" s="1" t="s">
        <v>36</v>
      </c>
      <c r="AA3" s="1" t="s">
        <v>37</v>
      </c>
      <c r="AB3" s="1" t="s">
        <v>38</v>
      </c>
      <c r="AC3" s="1" t="s">
        <v>39</v>
      </c>
    </row>
    <row r="4" spans="1:29" x14ac:dyDescent="0.3">
      <c r="A4" s="1" t="s">
        <v>25</v>
      </c>
      <c r="B4" s="2">
        <v>119</v>
      </c>
      <c r="C4" s="2">
        <v>107</v>
      </c>
      <c r="D4" s="2">
        <v>130</v>
      </c>
      <c r="E4" s="2">
        <v>124</v>
      </c>
      <c r="F4" s="2">
        <v>112</v>
      </c>
      <c r="G4" s="2">
        <v>106</v>
      </c>
      <c r="H4" s="2">
        <v>110</v>
      </c>
      <c r="I4" s="2">
        <v>65</v>
      </c>
      <c r="J4" s="2">
        <v>67</v>
      </c>
      <c r="K4" s="2">
        <v>89</v>
      </c>
      <c r="L4" s="2">
        <v>78</v>
      </c>
      <c r="M4" s="2">
        <v>57</v>
      </c>
      <c r="N4" s="2">
        <v>54</v>
      </c>
      <c r="O4" s="2">
        <v>58</v>
      </c>
      <c r="P4" s="2">
        <v>85</v>
      </c>
      <c r="Q4" s="2">
        <v>81</v>
      </c>
      <c r="R4" s="2">
        <v>105</v>
      </c>
      <c r="S4" s="2">
        <v>95</v>
      </c>
      <c r="T4" s="2">
        <v>83</v>
      </c>
      <c r="U4" s="2">
        <v>75</v>
      </c>
      <c r="V4" s="2">
        <v>80</v>
      </c>
      <c r="W4" s="2">
        <v>56</v>
      </c>
      <c r="X4" s="2">
        <v>54</v>
      </c>
      <c r="Y4" s="2">
        <v>71</v>
      </c>
      <c r="Z4" s="2">
        <v>86</v>
      </c>
      <c r="AA4" s="2">
        <v>69</v>
      </c>
      <c r="AB4" s="2">
        <v>61</v>
      </c>
      <c r="AC4" s="2">
        <v>63</v>
      </c>
    </row>
    <row r="5" spans="1:29" x14ac:dyDescent="0.3">
      <c r="A5" s="1" t="s">
        <v>25</v>
      </c>
      <c r="B5" s="2">
        <v>151</v>
      </c>
      <c r="C5" s="2">
        <v>164</v>
      </c>
      <c r="D5" s="2">
        <v>239</v>
      </c>
      <c r="E5" s="2">
        <v>179</v>
      </c>
      <c r="F5" s="2">
        <v>158</v>
      </c>
      <c r="G5" s="2">
        <v>160</v>
      </c>
      <c r="H5" s="2">
        <v>187</v>
      </c>
      <c r="I5" s="2">
        <v>81</v>
      </c>
      <c r="J5" s="2">
        <v>71</v>
      </c>
      <c r="K5" s="2">
        <v>136</v>
      </c>
      <c r="L5" s="2">
        <v>80</v>
      </c>
      <c r="M5" s="2">
        <v>67</v>
      </c>
      <c r="N5" s="2">
        <v>61</v>
      </c>
      <c r="O5" s="2">
        <v>81</v>
      </c>
      <c r="P5" s="2">
        <v>119</v>
      </c>
      <c r="Q5" s="2">
        <v>108</v>
      </c>
      <c r="R5" s="2">
        <v>158</v>
      </c>
      <c r="S5" s="2">
        <v>117</v>
      </c>
      <c r="T5" s="2">
        <v>101</v>
      </c>
      <c r="U5" s="2">
        <v>107</v>
      </c>
      <c r="V5" s="2">
        <v>118</v>
      </c>
      <c r="W5" s="2">
        <v>68</v>
      </c>
      <c r="X5" s="2">
        <v>53</v>
      </c>
      <c r="Y5" s="2">
        <v>118</v>
      </c>
      <c r="Z5" s="2">
        <v>90</v>
      </c>
      <c r="AA5" s="2">
        <v>76</v>
      </c>
      <c r="AB5" s="2">
        <v>81</v>
      </c>
      <c r="AC5" s="2">
        <v>93</v>
      </c>
    </row>
    <row r="6" spans="1:29" x14ac:dyDescent="0.3">
      <c r="A6" s="1" t="s">
        <v>25</v>
      </c>
      <c r="B6" s="2">
        <v>166</v>
      </c>
      <c r="C6" s="2">
        <v>137</v>
      </c>
      <c r="D6" s="2">
        <v>213</v>
      </c>
      <c r="E6" s="2">
        <v>202</v>
      </c>
      <c r="F6" s="2">
        <v>143</v>
      </c>
      <c r="G6" s="2">
        <v>132</v>
      </c>
      <c r="H6" s="2">
        <v>129</v>
      </c>
      <c r="I6" s="2">
        <v>106</v>
      </c>
      <c r="J6" s="2">
        <v>77</v>
      </c>
      <c r="K6" s="2">
        <v>137</v>
      </c>
      <c r="L6" s="2">
        <v>122</v>
      </c>
      <c r="M6" s="2">
        <v>80</v>
      </c>
      <c r="N6" s="2">
        <v>79</v>
      </c>
      <c r="O6" s="2">
        <v>73</v>
      </c>
      <c r="P6" s="2">
        <v>130</v>
      </c>
      <c r="Q6" s="2">
        <v>103</v>
      </c>
      <c r="R6" s="2">
        <v>162</v>
      </c>
      <c r="S6" s="2">
        <v>149</v>
      </c>
      <c r="T6" s="2">
        <v>112</v>
      </c>
      <c r="U6" s="2">
        <v>98</v>
      </c>
      <c r="V6" s="2">
        <v>91</v>
      </c>
      <c r="W6" s="2">
        <v>70</v>
      </c>
      <c r="X6" s="2">
        <v>82</v>
      </c>
      <c r="Y6" s="2">
        <v>88</v>
      </c>
      <c r="Z6" s="2">
        <v>88</v>
      </c>
      <c r="AA6" s="2">
        <v>74</v>
      </c>
      <c r="AB6" s="2">
        <v>77</v>
      </c>
      <c r="AC6" s="2">
        <v>76</v>
      </c>
    </row>
    <row r="7" spans="1:29" x14ac:dyDescent="0.3">
      <c r="A7" s="1" t="s">
        <v>25</v>
      </c>
      <c r="B7" s="2">
        <v>115</v>
      </c>
      <c r="C7" s="2">
        <v>99</v>
      </c>
      <c r="D7" s="2">
        <v>116</v>
      </c>
      <c r="E7" s="2">
        <v>125</v>
      </c>
      <c r="F7" s="2">
        <v>121</v>
      </c>
      <c r="G7" s="2">
        <v>106</v>
      </c>
      <c r="H7" s="2">
        <v>88</v>
      </c>
      <c r="I7" s="2">
        <v>80</v>
      </c>
      <c r="J7" s="2">
        <v>62</v>
      </c>
      <c r="K7" s="2">
        <v>85</v>
      </c>
      <c r="L7" s="2">
        <v>81</v>
      </c>
      <c r="M7" s="2">
        <v>90</v>
      </c>
      <c r="N7" s="2">
        <v>67</v>
      </c>
      <c r="O7" s="2">
        <v>46</v>
      </c>
      <c r="P7" s="2">
        <v>94</v>
      </c>
      <c r="Q7" s="2">
        <v>76</v>
      </c>
      <c r="R7" s="2">
        <v>98</v>
      </c>
      <c r="S7" s="2">
        <v>97</v>
      </c>
      <c r="T7" s="2">
        <v>102</v>
      </c>
      <c r="U7" s="2">
        <v>82</v>
      </c>
      <c r="V7" s="2">
        <v>62</v>
      </c>
      <c r="W7" s="2">
        <v>70</v>
      </c>
      <c r="X7" s="2">
        <v>79</v>
      </c>
      <c r="Y7" s="2">
        <v>96</v>
      </c>
      <c r="Z7" s="2">
        <v>95</v>
      </c>
      <c r="AA7" s="2">
        <v>102</v>
      </c>
      <c r="AB7" s="2">
        <v>105</v>
      </c>
      <c r="AC7" s="2">
        <v>103</v>
      </c>
    </row>
    <row r="8" spans="1:29" x14ac:dyDescent="0.3">
      <c r="A8" s="1" t="s">
        <v>25</v>
      </c>
      <c r="B8" s="2">
        <v>131</v>
      </c>
      <c r="C8" s="2">
        <v>124</v>
      </c>
      <c r="D8" s="2">
        <v>149</v>
      </c>
      <c r="E8" s="2">
        <v>152</v>
      </c>
      <c r="F8" s="2">
        <v>143</v>
      </c>
      <c r="G8" s="2">
        <v>138</v>
      </c>
      <c r="H8" s="2">
        <v>125</v>
      </c>
      <c r="I8" s="2">
        <v>80</v>
      </c>
      <c r="J8" s="2">
        <v>73</v>
      </c>
      <c r="K8" s="2">
        <v>92</v>
      </c>
      <c r="L8" s="2">
        <v>95</v>
      </c>
      <c r="M8" s="2">
        <v>77</v>
      </c>
      <c r="N8" s="2">
        <v>70</v>
      </c>
      <c r="O8" s="2">
        <v>62</v>
      </c>
      <c r="P8" s="2">
        <v>97</v>
      </c>
      <c r="Q8" s="2">
        <v>93</v>
      </c>
      <c r="R8" s="2">
        <v>108</v>
      </c>
      <c r="S8" s="2">
        <v>116</v>
      </c>
      <c r="T8" s="2">
        <v>105</v>
      </c>
      <c r="U8" s="2">
        <v>96</v>
      </c>
      <c r="V8" s="2">
        <v>86</v>
      </c>
      <c r="W8" s="2">
        <v>82</v>
      </c>
      <c r="X8" s="2">
        <v>60</v>
      </c>
      <c r="Y8" s="2">
        <v>81</v>
      </c>
      <c r="Z8" s="2">
        <v>99</v>
      </c>
      <c r="AA8" s="2">
        <v>98</v>
      </c>
      <c r="AB8" s="2">
        <v>99</v>
      </c>
      <c r="AC8" s="2">
        <v>97</v>
      </c>
    </row>
    <row r="9" spans="1:29" x14ac:dyDescent="0.3">
      <c r="A9" s="1" t="s">
        <v>25</v>
      </c>
      <c r="B9" s="2">
        <v>149</v>
      </c>
      <c r="C9" s="2">
        <v>116</v>
      </c>
      <c r="D9" s="2">
        <v>203</v>
      </c>
      <c r="E9" s="2">
        <v>155</v>
      </c>
      <c r="F9" s="2">
        <v>190</v>
      </c>
      <c r="G9" s="2">
        <v>197</v>
      </c>
      <c r="H9" s="2">
        <v>209</v>
      </c>
      <c r="I9" s="2">
        <v>90</v>
      </c>
      <c r="J9" s="2">
        <v>79</v>
      </c>
      <c r="K9" s="2">
        <v>113</v>
      </c>
      <c r="L9" s="2">
        <v>94</v>
      </c>
      <c r="M9" s="2">
        <v>128</v>
      </c>
      <c r="N9" s="2">
        <v>122</v>
      </c>
      <c r="O9" s="2">
        <v>107</v>
      </c>
      <c r="P9" s="2">
        <v>112</v>
      </c>
      <c r="Q9" s="2">
        <v>94</v>
      </c>
      <c r="R9" s="2">
        <v>144</v>
      </c>
      <c r="S9" s="2">
        <v>118</v>
      </c>
      <c r="T9" s="2">
        <v>149</v>
      </c>
      <c r="U9" s="2">
        <v>156</v>
      </c>
      <c r="V9" s="2">
        <v>137</v>
      </c>
      <c r="W9" s="2">
        <v>57</v>
      </c>
      <c r="X9" s="2">
        <v>68</v>
      </c>
      <c r="Y9" s="2">
        <v>86</v>
      </c>
      <c r="Z9" s="2">
        <v>69</v>
      </c>
      <c r="AA9" s="2">
        <v>80</v>
      </c>
      <c r="AB9" s="2">
        <v>101</v>
      </c>
      <c r="AC9" s="2">
        <v>96</v>
      </c>
    </row>
    <row r="10" spans="1:29" x14ac:dyDescent="0.3">
      <c r="A10" s="1" t="s">
        <v>25</v>
      </c>
      <c r="B10" s="2">
        <v>161</v>
      </c>
      <c r="C10" s="2">
        <v>148</v>
      </c>
      <c r="D10" s="2">
        <v>171</v>
      </c>
      <c r="E10" s="2">
        <v>170</v>
      </c>
      <c r="F10" s="2">
        <v>149</v>
      </c>
      <c r="G10" s="2">
        <v>136</v>
      </c>
      <c r="H10" s="2">
        <v>136</v>
      </c>
      <c r="I10" s="2">
        <v>82</v>
      </c>
      <c r="J10" s="2">
        <v>78</v>
      </c>
      <c r="K10" s="2">
        <v>102</v>
      </c>
      <c r="L10" s="2">
        <v>106</v>
      </c>
      <c r="M10" s="2">
        <v>87</v>
      </c>
      <c r="N10" s="2">
        <v>86</v>
      </c>
      <c r="O10" s="2">
        <v>83</v>
      </c>
      <c r="P10" s="2">
        <v>119</v>
      </c>
      <c r="Q10" s="2">
        <v>104</v>
      </c>
      <c r="R10" s="2">
        <v>130</v>
      </c>
      <c r="S10" s="2">
        <v>128</v>
      </c>
      <c r="T10" s="2">
        <v>111</v>
      </c>
      <c r="U10" s="2">
        <v>105</v>
      </c>
      <c r="V10" s="2">
        <v>100</v>
      </c>
      <c r="W10" s="2">
        <v>68</v>
      </c>
      <c r="X10" s="2">
        <v>70</v>
      </c>
      <c r="Y10" s="2">
        <v>58</v>
      </c>
      <c r="Z10" s="2">
        <v>72</v>
      </c>
      <c r="AA10" s="2">
        <v>69</v>
      </c>
      <c r="AB10" s="2">
        <v>63</v>
      </c>
      <c r="AC10" s="2">
        <v>68</v>
      </c>
    </row>
    <row r="11" spans="1:29" x14ac:dyDescent="0.3">
      <c r="A11" s="1" t="s">
        <v>25</v>
      </c>
      <c r="B11" s="2">
        <v>116</v>
      </c>
      <c r="C11" s="2">
        <v>88</v>
      </c>
      <c r="D11" s="2">
        <v>123</v>
      </c>
      <c r="E11" s="2">
        <v>113</v>
      </c>
      <c r="F11" s="2">
        <v>94</v>
      </c>
      <c r="G11" s="2">
        <v>85</v>
      </c>
      <c r="H11" s="2">
        <v>78</v>
      </c>
      <c r="I11" s="2">
        <v>79</v>
      </c>
      <c r="J11" s="2">
        <v>67</v>
      </c>
      <c r="K11" s="2">
        <v>94</v>
      </c>
      <c r="L11" s="2">
        <v>81</v>
      </c>
      <c r="M11" s="2">
        <v>59</v>
      </c>
      <c r="N11" s="2">
        <v>50</v>
      </c>
      <c r="O11" s="2">
        <v>42</v>
      </c>
      <c r="P11" s="2">
        <v>94</v>
      </c>
      <c r="Q11" s="2">
        <v>76</v>
      </c>
      <c r="R11" s="2">
        <v>105</v>
      </c>
      <c r="S11" s="2">
        <v>93</v>
      </c>
      <c r="T11" s="2">
        <v>74</v>
      </c>
      <c r="U11" s="2">
        <v>65</v>
      </c>
      <c r="V11" s="2">
        <v>58</v>
      </c>
      <c r="W11" s="2">
        <v>74</v>
      </c>
      <c r="X11" s="2">
        <v>78</v>
      </c>
      <c r="Y11" s="2">
        <v>101</v>
      </c>
      <c r="Z11" s="2">
        <v>104</v>
      </c>
      <c r="AA11" s="2">
        <v>94</v>
      </c>
      <c r="AB11" s="2">
        <v>82</v>
      </c>
      <c r="AC11" s="2">
        <v>66</v>
      </c>
    </row>
    <row r="12" spans="1:29" x14ac:dyDescent="0.3">
      <c r="A12" s="1" t="s">
        <v>25</v>
      </c>
      <c r="B12" s="2">
        <v>143</v>
      </c>
      <c r="C12" s="2">
        <v>123</v>
      </c>
      <c r="D12" s="2">
        <v>155</v>
      </c>
      <c r="E12" s="2">
        <v>133</v>
      </c>
      <c r="F12" s="2">
        <v>131</v>
      </c>
      <c r="G12" s="2">
        <v>131</v>
      </c>
      <c r="H12" s="2">
        <v>124</v>
      </c>
      <c r="I12" s="2">
        <v>70</v>
      </c>
      <c r="J12" s="2">
        <v>69</v>
      </c>
      <c r="K12" s="2">
        <v>105</v>
      </c>
      <c r="L12" s="2">
        <v>74</v>
      </c>
      <c r="M12" s="2">
        <v>77</v>
      </c>
      <c r="N12" s="2">
        <v>73</v>
      </c>
      <c r="O12" s="2">
        <v>65</v>
      </c>
      <c r="P12" s="2">
        <v>92</v>
      </c>
      <c r="Q12" s="2">
        <v>88</v>
      </c>
      <c r="R12" s="2">
        <v>120</v>
      </c>
      <c r="S12" s="2">
        <v>94</v>
      </c>
      <c r="T12" s="2">
        <v>96</v>
      </c>
      <c r="U12" s="2">
        <v>93</v>
      </c>
      <c r="V12" s="2">
        <v>86</v>
      </c>
      <c r="W12" s="2">
        <v>74</v>
      </c>
      <c r="X12" s="2">
        <v>76</v>
      </c>
      <c r="Y12" s="2">
        <v>102</v>
      </c>
      <c r="Z12" s="2">
        <v>91</v>
      </c>
      <c r="AA12" s="2">
        <v>81</v>
      </c>
      <c r="AB12" s="2">
        <v>88</v>
      </c>
      <c r="AC12" s="2">
        <v>91</v>
      </c>
    </row>
    <row r="13" spans="1:29" x14ac:dyDescent="0.3">
      <c r="A13" s="1" t="s">
        <v>25</v>
      </c>
      <c r="B13" s="2">
        <v>147</v>
      </c>
      <c r="C13" s="2">
        <v>120</v>
      </c>
      <c r="D13" s="2">
        <v>135</v>
      </c>
      <c r="E13" s="2">
        <v>140</v>
      </c>
      <c r="F13" s="2">
        <v>135</v>
      </c>
      <c r="G13" s="2">
        <v>142</v>
      </c>
      <c r="H13" s="2">
        <v>141</v>
      </c>
      <c r="I13" s="2">
        <v>95</v>
      </c>
      <c r="J13" s="2">
        <v>86</v>
      </c>
      <c r="K13" s="2">
        <v>98</v>
      </c>
      <c r="L13" s="2">
        <v>100</v>
      </c>
      <c r="M13" s="2">
        <v>92</v>
      </c>
      <c r="N13" s="2">
        <v>98</v>
      </c>
      <c r="O13" s="2">
        <v>94</v>
      </c>
      <c r="P13" s="2">
        <v>116</v>
      </c>
      <c r="Q13" s="2">
        <v>98</v>
      </c>
      <c r="R13" s="2">
        <v>111</v>
      </c>
      <c r="S13" s="2">
        <v>120</v>
      </c>
      <c r="T13" s="2">
        <v>108</v>
      </c>
      <c r="U13" s="2">
        <v>115</v>
      </c>
      <c r="V13" s="2">
        <v>114</v>
      </c>
      <c r="W13" s="2">
        <v>69</v>
      </c>
      <c r="X13" s="2">
        <v>80</v>
      </c>
      <c r="Y13" s="2">
        <v>85</v>
      </c>
      <c r="Z13" s="2">
        <v>94</v>
      </c>
      <c r="AA13" s="2">
        <v>90</v>
      </c>
      <c r="AB13" s="2">
        <v>87</v>
      </c>
      <c r="AC13" s="2">
        <v>95</v>
      </c>
    </row>
    <row r="14" spans="1:29" x14ac:dyDescent="0.3">
      <c r="A14" s="1" t="s">
        <v>25</v>
      </c>
      <c r="B14" s="2">
        <v>138</v>
      </c>
      <c r="C14" s="2">
        <v>120</v>
      </c>
      <c r="D14" s="2">
        <v>153</v>
      </c>
      <c r="E14" s="2">
        <v>113</v>
      </c>
      <c r="F14" s="2">
        <v>105</v>
      </c>
      <c r="G14" s="2">
        <v>100</v>
      </c>
      <c r="H14" s="2">
        <v>97</v>
      </c>
      <c r="I14" s="2">
        <v>76</v>
      </c>
      <c r="J14" s="2">
        <v>73</v>
      </c>
      <c r="K14" s="2">
        <v>93</v>
      </c>
      <c r="L14" s="2">
        <v>71</v>
      </c>
      <c r="M14" s="2">
        <v>58</v>
      </c>
      <c r="N14" s="2">
        <v>52</v>
      </c>
      <c r="O14" s="2">
        <v>48</v>
      </c>
      <c r="P14" s="2">
        <v>98</v>
      </c>
      <c r="Q14" s="2">
        <v>91</v>
      </c>
      <c r="R14" s="2">
        <v>107</v>
      </c>
      <c r="S14" s="2">
        <v>88</v>
      </c>
      <c r="T14" s="2">
        <v>75</v>
      </c>
      <c r="U14" s="2">
        <v>72</v>
      </c>
      <c r="V14" s="2">
        <v>70</v>
      </c>
      <c r="W14" s="2">
        <v>75</v>
      </c>
      <c r="X14" s="2">
        <v>59</v>
      </c>
      <c r="Y14" s="2">
        <v>80</v>
      </c>
      <c r="Z14" s="2">
        <v>74</v>
      </c>
      <c r="AA14" s="2">
        <v>68</v>
      </c>
      <c r="AB14" s="2">
        <v>69</v>
      </c>
      <c r="AC14" s="2">
        <v>71</v>
      </c>
    </row>
    <row r="15" spans="1:29" x14ac:dyDescent="0.3">
      <c r="A15" s="1" t="s">
        <v>25</v>
      </c>
      <c r="B15" s="2">
        <v>143</v>
      </c>
      <c r="C15" s="2">
        <v>141</v>
      </c>
      <c r="D15" s="2">
        <v>132</v>
      </c>
      <c r="E15" s="2">
        <v>114</v>
      </c>
      <c r="F15" s="2">
        <v>98</v>
      </c>
      <c r="G15" s="2">
        <v>89</v>
      </c>
      <c r="H15" s="2">
        <v>100</v>
      </c>
      <c r="I15" s="2">
        <v>66</v>
      </c>
      <c r="J15" s="2">
        <v>89</v>
      </c>
      <c r="K15" s="2">
        <v>73</v>
      </c>
      <c r="L15" s="2">
        <v>45</v>
      </c>
      <c r="M15" s="2">
        <v>36</v>
      </c>
      <c r="N15" s="2">
        <v>34</v>
      </c>
      <c r="O15" s="2">
        <v>60</v>
      </c>
      <c r="P15" s="2">
        <v>96</v>
      </c>
      <c r="Q15" s="2">
        <v>108</v>
      </c>
      <c r="R15" s="2">
        <v>99</v>
      </c>
      <c r="S15" s="2">
        <v>74</v>
      </c>
      <c r="T15" s="2">
        <v>65</v>
      </c>
      <c r="U15" s="2">
        <v>59</v>
      </c>
      <c r="V15" s="2">
        <v>76</v>
      </c>
      <c r="W15" s="2">
        <v>72</v>
      </c>
      <c r="X15" s="2">
        <v>86</v>
      </c>
      <c r="Y15" s="2">
        <v>89</v>
      </c>
      <c r="Z15" s="2">
        <v>73</v>
      </c>
      <c r="AA15" s="2">
        <v>60</v>
      </c>
      <c r="AB15" s="2">
        <v>59</v>
      </c>
      <c r="AC15" s="2">
        <v>58</v>
      </c>
    </row>
    <row r="16" spans="1:29" x14ac:dyDescent="0.3">
      <c r="A16" s="1" t="s">
        <v>25</v>
      </c>
      <c r="B16" s="2">
        <v>119</v>
      </c>
      <c r="C16" s="2">
        <v>97</v>
      </c>
      <c r="D16" s="2">
        <v>111</v>
      </c>
      <c r="E16" s="2">
        <v>113</v>
      </c>
      <c r="F16" s="2">
        <v>110</v>
      </c>
      <c r="G16" s="2">
        <v>94</v>
      </c>
      <c r="H16" s="2">
        <v>88</v>
      </c>
      <c r="I16" s="2">
        <v>72</v>
      </c>
      <c r="J16" s="2">
        <v>35</v>
      </c>
      <c r="K16" s="2">
        <v>62</v>
      </c>
      <c r="L16" s="2">
        <v>68</v>
      </c>
      <c r="M16" s="2">
        <v>74</v>
      </c>
      <c r="N16" s="2">
        <v>57</v>
      </c>
      <c r="O16" s="2">
        <v>50</v>
      </c>
      <c r="P16" s="2">
        <v>84</v>
      </c>
      <c r="Q16" s="2">
        <v>73</v>
      </c>
      <c r="R16" s="2">
        <v>86</v>
      </c>
      <c r="S16" s="2">
        <v>88</v>
      </c>
      <c r="T16" s="2">
        <v>93</v>
      </c>
      <c r="U16" s="2">
        <v>74</v>
      </c>
      <c r="V16" s="2">
        <v>69</v>
      </c>
      <c r="W16" s="2">
        <v>63</v>
      </c>
      <c r="X16" s="2">
        <v>73</v>
      </c>
      <c r="Y16" s="2">
        <v>75</v>
      </c>
      <c r="Z16" s="2">
        <v>84</v>
      </c>
      <c r="AA16" s="2">
        <v>80</v>
      </c>
      <c r="AB16" s="2">
        <v>69</v>
      </c>
      <c r="AC16" s="2">
        <v>66</v>
      </c>
    </row>
    <row r="17" spans="1:29" x14ac:dyDescent="0.3">
      <c r="A17" s="1" t="s">
        <v>25</v>
      </c>
      <c r="B17" s="2">
        <v>126</v>
      </c>
      <c r="C17" s="2">
        <v>134</v>
      </c>
      <c r="D17" s="2">
        <v>148</v>
      </c>
      <c r="E17" s="2">
        <v>140</v>
      </c>
      <c r="F17" s="2">
        <v>115</v>
      </c>
      <c r="G17" s="2">
        <v>110</v>
      </c>
      <c r="H17" s="2">
        <v>107</v>
      </c>
      <c r="I17" s="2">
        <v>91</v>
      </c>
      <c r="J17" s="2">
        <v>93</v>
      </c>
      <c r="K17" s="2">
        <v>72</v>
      </c>
      <c r="L17" s="2">
        <v>83</v>
      </c>
      <c r="M17" s="2">
        <v>78</v>
      </c>
      <c r="N17" s="2">
        <v>76</v>
      </c>
      <c r="O17" s="2">
        <v>73</v>
      </c>
      <c r="P17" s="2">
        <v>103</v>
      </c>
      <c r="Q17" s="2">
        <v>107</v>
      </c>
      <c r="R17" s="2">
        <v>103</v>
      </c>
      <c r="S17" s="2">
        <v>104</v>
      </c>
      <c r="T17" s="2">
        <v>91</v>
      </c>
      <c r="U17" s="2">
        <v>89</v>
      </c>
      <c r="V17" s="2">
        <v>16</v>
      </c>
      <c r="W17" s="2">
        <v>76</v>
      </c>
      <c r="X17" s="2">
        <v>81</v>
      </c>
      <c r="Y17" s="2">
        <v>86</v>
      </c>
      <c r="Z17" s="2">
        <v>88</v>
      </c>
      <c r="AA17" s="2">
        <v>87</v>
      </c>
      <c r="AB17" s="2">
        <v>86</v>
      </c>
      <c r="AC17" s="2">
        <v>84</v>
      </c>
    </row>
    <row r="18" spans="1:29" x14ac:dyDescent="0.3">
      <c r="A18" s="1" t="s">
        <v>25</v>
      </c>
      <c r="B18" s="2">
        <v>140</v>
      </c>
      <c r="C18" s="2">
        <v>131</v>
      </c>
      <c r="D18" s="2">
        <v>171</v>
      </c>
      <c r="E18" s="2">
        <v>140</v>
      </c>
      <c r="F18" s="2">
        <v>131</v>
      </c>
      <c r="G18" s="2">
        <v>119</v>
      </c>
      <c r="H18" s="2">
        <v>121</v>
      </c>
      <c r="I18" s="2">
        <v>85</v>
      </c>
      <c r="J18" s="2">
        <v>90</v>
      </c>
      <c r="K18" s="2">
        <v>105</v>
      </c>
      <c r="L18" s="2">
        <v>86</v>
      </c>
      <c r="M18" s="2">
        <v>79</v>
      </c>
      <c r="N18" s="2">
        <v>69</v>
      </c>
      <c r="O18" s="2">
        <v>66</v>
      </c>
      <c r="P18" s="2">
        <v>110</v>
      </c>
      <c r="Q18" s="2">
        <v>106</v>
      </c>
      <c r="R18" s="2">
        <v>133</v>
      </c>
      <c r="S18" s="2">
        <v>113</v>
      </c>
      <c r="T18" s="2">
        <v>102</v>
      </c>
      <c r="U18" s="2">
        <v>90</v>
      </c>
      <c r="V18" s="2">
        <v>87</v>
      </c>
      <c r="W18" s="2">
        <v>90</v>
      </c>
      <c r="X18" s="2">
        <v>71</v>
      </c>
      <c r="Y18" s="2">
        <v>86</v>
      </c>
      <c r="Z18" s="2">
        <v>74</v>
      </c>
      <c r="AA18" s="2">
        <v>69</v>
      </c>
      <c r="AB18" s="2">
        <v>71</v>
      </c>
      <c r="AC18" s="2">
        <v>71</v>
      </c>
    </row>
    <row r="19" spans="1:29" x14ac:dyDescent="0.3">
      <c r="A19" s="1" t="s">
        <v>25</v>
      </c>
      <c r="B19" s="2">
        <v>138</v>
      </c>
      <c r="C19" s="2">
        <v>106</v>
      </c>
      <c r="D19" s="2">
        <v>130</v>
      </c>
      <c r="E19" s="2">
        <v>159</v>
      </c>
      <c r="F19" s="2">
        <v>164</v>
      </c>
      <c r="G19" s="2">
        <v>171</v>
      </c>
      <c r="H19" s="2">
        <v>160</v>
      </c>
      <c r="I19" s="2">
        <v>63</v>
      </c>
      <c r="J19" s="2">
        <v>72</v>
      </c>
      <c r="K19" s="2">
        <v>92</v>
      </c>
      <c r="L19" s="2">
        <v>111</v>
      </c>
      <c r="M19" s="2">
        <v>110</v>
      </c>
      <c r="N19" s="2">
        <v>102</v>
      </c>
      <c r="O19" s="2">
        <v>89</v>
      </c>
      <c r="P19" s="2">
        <v>94</v>
      </c>
      <c r="Q19" s="2">
        <v>85</v>
      </c>
      <c r="R19" s="2">
        <v>107</v>
      </c>
      <c r="S19" s="2">
        <v>131</v>
      </c>
      <c r="T19" s="2">
        <v>132</v>
      </c>
      <c r="U19" s="2">
        <v>134</v>
      </c>
      <c r="V19" s="2">
        <v>120</v>
      </c>
      <c r="W19" s="2">
        <v>82</v>
      </c>
      <c r="X19" s="2">
        <v>94</v>
      </c>
      <c r="Y19" s="2">
        <v>110</v>
      </c>
      <c r="Z19" s="2">
        <v>118</v>
      </c>
      <c r="AA19" s="2">
        <v>121</v>
      </c>
      <c r="AB19" s="2">
        <v>122</v>
      </c>
      <c r="AC19" s="2">
        <v>124</v>
      </c>
    </row>
    <row r="20" spans="1:29" x14ac:dyDescent="0.3">
      <c r="A20" s="1" t="s">
        <v>25</v>
      </c>
      <c r="B20" s="2">
        <v>130</v>
      </c>
      <c r="C20" s="2">
        <v>148</v>
      </c>
      <c r="D20" s="2">
        <v>172</v>
      </c>
      <c r="E20" s="2">
        <v>119</v>
      </c>
      <c r="F20" s="2">
        <v>110</v>
      </c>
      <c r="G20" s="2">
        <v>109</v>
      </c>
      <c r="H20" s="2">
        <v>107</v>
      </c>
      <c r="I20" s="2">
        <v>83</v>
      </c>
      <c r="J20" s="2">
        <v>110</v>
      </c>
      <c r="K20" s="2">
        <v>115</v>
      </c>
      <c r="L20" s="2">
        <v>80</v>
      </c>
      <c r="M20" s="2">
        <v>71</v>
      </c>
      <c r="N20" s="2">
        <v>65</v>
      </c>
      <c r="O20" s="2">
        <v>62</v>
      </c>
      <c r="P20" s="2">
        <v>100</v>
      </c>
      <c r="Q20" s="2">
        <v>124</v>
      </c>
      <c r="R20" s="2">
        <v>137</v>
      </c>
      <c r="S20" s="2">
        <v>95</v>
      </c>
      <c r="T20" s="2">
        <v>85</v>
      </c>
      <c r="U20" s="2">
        <v>83</v>
      </c>
      <c r="V20" s="2">
        <v>82</v>
      </c>
      <c r="W20" s="2">
        <v>90</v>
      </c>
      <c r="X20" s="2">
        <v>78</v>
      </c>
      <c r="Y20" s="2">
        <v>106</v>
      </c>
      <c r="Z20" s="2">
        <v>100</v>
      </c>
      <c r="AA20" s="2">
        <v>96</v>
      </c>
      <c r="AB20" s="2">
        <v>89</v>
      </c>
      <c r="AC20" s="2">
        <v>88</v>
      </c>
    </row>
    <row r="21" spans="1:29" x14ac:dyDescent="0.3">
      <c r="A21" s="1" t="s">
        <v>25</v>
      </c>
      <c r="B21" s="2">
        <v>131</v>
      </c>
      <c r="C21" s="2">
        <v>117</v>
      </c>
      <c r="D21" s="2">
        <v>119</v>
      </c>
      <c r="E21" s="2">
        <v>122</v>
      </c>
      <c r="F21" s="2">
        <v>124</v>
      </c>
      <c r="G21" s="2">
        <v>125</v>
      </c>
      <c r="H21" s="2">
        <v>108</v>
      </c>
      <c r="I21" s="2">
        <v>83</v>
      </c>
      <c r="J21" s="2">
        <v>59</v>
      </c>
      <c r="K21" s="2">
        <v>70</v>
      </c>
      <c r="L21" s="2">
        <v>77</v>
      </c>
      <c r="M21" s="2">
        <v>72</v>
      </c>
      <c r="N21" s="2">
        <v>74</v>
      </c>
      <c r="O21" s="2">
        <v>55</v>
      </c>
      <c r="P21" s="2">
        <v>103</v>
      </c>
      <c r="Q21" s="2">
        <v>81</v>
      </c>
      <c r="R21" s="2">
        <v>91</v>
      </c>
      <c r="S21" s="2">
        <v>94</v>
      </c>
      <c r="T21" s="2">
        <v>92</v>
      </c>
      <c r="U21" s="2">
        <v>96</v>
      </c>
      <c r="V21" s="2">
        <v>79</v>
      </c>
      <c r="W21" s="2">
        <v>60</v>
      </c>
      <c r="X21" s="2">
        <v>59</v>
      </c>
      <c r="Y21" s="2">
        <v>57</v>
      </c>
      <c r="Z21" s="2">
        <v>65</v>
      </c>
      <c r="AA21" s="2">
        <v>74</v>
      </c>
      <c r="AB21" s="2">
        <v>70</v>
      </c>
      <c r="AC21" s="2">
        <v>64</v>
      </c>
    </row>
    <row r="22" spans="1:29" x14ac:dyDescent="0.3">
      <c r="A22" s="1" t="s">
        <v>25</v>
      </c>
      <c r="B22" s="2">
        <v>123</v>
      </c>
      <c r="C22" s="2">
        <v>121</v>
      </c>
      <c r="D22" s="2">
        <v>129</v>
      </c>
      <c r="E22" s="2">
        <v>120</v>
      </c>
      <c r="F22" s="2">
        <v>15</v>
      </c>
      <c r="G22" s="2">
        <v>103</v>
      </c>
      <c r="H22" s="2">
        <v>101</v>
      </c>
      <c r="I22" s="2">
        <v>72</v>
      </c>
      <c r="J22" s="2">
        <v>78</v>
      </c>
      <c r="K22" s="2">
        <v>78</v>
      </c>
      <c r="L22" s="2">
        <v>78</v>
      </c>
      <c r="M22" s="2">
        <v>79</v>
      </c>
      <c r="N22" s="2">
        <v>59</v>
      </c>
      <c r="O22" s="2">
        <v>51</v>
      </c>
      <c r="P22" s="2">
        <v>93</v>
      </c>
      <c r="Q22" s="2">
        <v>94</v>
      </c>
      <c r="R22" s="2">
        <v>95</v>
      </c>
      <c r="S22" s="2">
        <v>96</v>
      </c>
      <c r="T22" s="2">
        <v>94</v>
      </c>
      <c r="U22" s="2">
        <v>77</v>
      </c>
      <c r="V22" s="2">
        <v>72</v>
      </c>
      <c r="W22" s="2">
        <v>71</v>
      </c>
      <c r="X22" s="2">
        <v>63</v>
      </c>
      <c r="Y22" s="2">
        <v>82</v>
      </c>
      <c r="Z22" s="2">
        <v>84</v>
      </c>
      <c r="AA22" s="2">
        <v>82</v>
      </c>
      <c r="AB22" s="2">
        <v>69</v>
      </c>
      <c r="AC22" s="2">
        <v>61</v>
      </c>
    </row>
    <row r="23" spans="1:29" x14ac:dyDescent="0.3">
      <c r="A23" s="1" t="s">
        <v>25</v>
      </c>
      <c r="B23" s="2">
        <v>132</v>
      </c>
      <c r="C23" s="2">
        <v>118</v>
      </c>
      <c r="D23" s="2">
        <v>125</v>
      </c>
      <c r="E23" s="2">
        <v>112</v>
      </c>
      <c r="F23" s="2">
        <v>125</v>
      </c>
      <c r="G23" s="2">
        <v>119</v>
      </c>
      <c r="H23" s="2">
        <v>102</v>
      </c>
      <c r="I23" s="2">
        <v>72</v>
      </c>
      <c r="J23" s="2">
        <v>59</v>
      </c>
      <c r="K23" s="2">
        <v>53</v>
      </c>
      <c r="L23" s="2">
        <v>60</v>
      </c>
      <c r="M23" s="2">
        <v>59</v>
      </c>
      <c r="N23" s="2">
        <v>64</v>
      </c>
      <c r="O23" s="2">
        <v>51</v>
      </c>
      <c r="P23" s="2">
        <v>91</v>
      </c>
      <c r="Q23" s="2">
        <v>85</v>
      </c>
      <c r="R23" s="2">
        <v>84</v>
      </c>
      <c r="S23" s="2">
        <v>83</v>
      </c>
      <c r="T23" s="2">
        <v>90</v>
      </c>
      <c r="U23" s="2">
        <v>89</v>
      </c>
      <c r="V23" s="2">
        <v>73</v>
      </c>
      <c r="W23" s="2">
        <v>58</v>
      </c>
      <c r="X23" s="2">
        <v>51</v>
      </c>
      <c r="Y23" s="2">
        <v>52</v>
      </c>
      <c r="Z23" s="2">
        <v>56</v>
      </c>
      <c r="AA23" s="2">
        <v>56</v>
      </c>
      <c r="AB23" s="2">
        <v>50</v>
      </c>
      <c r="AC23" s="2">
        <v>46</v>
      </c>
    </row>
    <row r="24" spans="1:29" x14ac:dyDescent="0.3">
      <c r="A24" s="1" t="s">
        <v>25</v>
      </c>
      <c r="B24" s="2">
        <v>139</v>
      </c>
      <c r="C24" s="2">
        <v>120</v>
      </c>
      <c r="D24" s="2">
        <v>118</v>
      </c>
      <c r="E24" s="2">
        <v>112</v>
      </c>
      <c r="F24" s="2">
        <v>106</v>
      </c>
      <c r="G24" s="2">
        <v>99</v>
      </c>
      <c r="H24" s="2">
        <v>94</v>
      </c>
      <c r="I24" s="2">
        <v>83</v>
      </c>
      <c r="J24" s="2">
        <v>52</v>
      </c>
      <c r="K24" s="2">
        <v>64</v>
      </c>
      <c r="L24" s="2">
        <v>52</v>
      </c>
      <c r="M24" s="2">
        <v>46</v>
      </c>
      <c r="N24" s="2">
        <v>42</v>
      </c>
      <c r="O24" s="2">
        <v>41</v>
      </c>
      <c r="P24" s="2">
        <v>102</v>
      </c>
      <c r="Q24" s="2">
        <v>75</v>
      </c>
      <c r="R24" s="2">
        <v>87</v>
      </c>
      <c r="S24" s="2">
        <v>75</v>
      </c>
      <c r="T24" s="2">
        <v>72</v>
      </c>
      <c r="U24" s="2">
        <v>69</v>
      </c>
      <c r="V24" s="2">
        <v>69</v>
      </c>
      <c r="W24" s="2">
        <v>80</v>
      </c>
      <c r="X24" s="2">
        <v>77</v>
      </c>
      <c r="Y24" s="2">
        <v>87</v>
      </c>
      <c r="Z24" s="2">
        <v>74</v>
      </c>
      <c r="AA24" s="2">
        <v>70</v>
      </c>
      <c r="AB24" s="2">
        <v>71</v>
      </c>
      <c r="AC24" s="2">
        <v>68</v>
      </c>
    </row>
    <row r="25" spans="1:29" x14ac:dyDescent="0.3">
      <c r="A25" s="1" t="s">
        <v>25</v>
      </c>
      <c r="B25" s="2">
        <v>125</v>
      </c>
      <c r="C25" s="2">
        <v>112</v>
      </c>
      <c r="D25" s="2">
        <v>123</v>
      </c>
      <c r="E25" s="2">
        <v>120</v>
      </c>
      <c r="F25" s="2">
        <v>107</v>
      </c>
      <c r="G25" s="2">
        <v>98</v>
      </c>
      <c r="H25" s="2">
        <v>93</v>
      </c>
      <c r="I25" s="2">
        <v>80</v>
      </c>
      <c r="J25" s="2">
        <v>74</v>
      </c>
      <c r="K25" s="2">
        <v>87</v>
      </c>
      <c r="L25" s="2">
        <v>84</v>
      </c>
      <c r="M25" s="2">
        <v>71</v>
      </c>
      <c r="N25" s="2">
        <v>63</v>
      </c>
      <c r="O25" s="2">
        <v>53</v>
      </c>
      <c r="P25" s="2">
        <v>98</v>
      </c>
      <c r="Q25" s="2">
        <v>91</v>
      </c>
      <c r="R25" s="2">
        <v>101</v>
      </c>
      <c r="S25" s="2">
        <v>98</v>
      </c>
      <c r="T25" s="2">
        <v>84</v>
      </c>
      <c r="U25" s="2">
        <v>77</v>
      </c>
      <c r="V25" s="2">
        <v>69</v>
      </c>
      <c r="W25" s="2">
        <v>84</v>
      </c>
      <c r="X25" s="2">
        <v>68</v>
      </c>
      <c r="Y25" s="2">
        <v>71</v>
      </c>
      <c r="Z25" s="2">
        <v>89</v>
      </c>
      <c r="AA25" s="2">
        <v>91</v>
      </c>
      <c r="AB25" s="2">
        <v>82</v>
      </c>
      <c r="AC25" s="2">
        <v>85</v>
      </c>
    </row>
    <row r="26" spans="1:29" x14ac:dyDescent="0.3">
      <c r="A26" s="1" t="s">
        <v>25</v>
      </c>
      <c r="B26" s="2">
        <v>127</v>
      </c>
      <c r="C26" s="2">
        <v>101</v>
      </c>
      <c r="D26" s="2">
        <v>140</v>
      </c>
      <c r="E26" s="2">
        <v>138</v>
      </c>
      <c r="F26" s="2">
        <v>118</v>
      </c>
      <c r="G26" s="2">
        <v>112</v>
      </c>
      <c r="H26" s="2">
        <v>94</v>
      </c>
      <c r="I26" s="2">
        <v>86</v>
      </c>
      <c r="J26" s="2">
        <v>68</v>
      </c>
      <c r="K26" s="2">
        <v>98</v>
      </c>
      <c r="L26" s="2">
        <v>80</v>
      </c>
      <c r="M26" s="2">
        <v>79</v>
      </c>
      <c r="N26" s="2">
        <v>73</v>
      </c>
      <c r="O26" s="2">
        <v>57</v>
      </c>
      <c r="P26" s="2">
        <v>99</v>
      </c>
      <c r="Q26" s="2">
        <v>80</v>
      </c>
      <c r="R26" s="2">
        <v>111</v>
      </c>
      <c r="S26" s="2">
        <v>108</v>
      </c>
      <c r="T26" s="2">
        <v>94</v>
      </c>
      <c r="U26" s="2">
        <v>88</v>
      </c>
      <c r="V26" s="2">
        <v>71</v>
      </c>
      <c r="W26" s="2">
        <v>67</v>
      </c>
      <c r="X26" s="2">
        <v>75</v>
      </c>
      <c r="Y26" s="2">
        <v>90</v>
      </c>
      <c r="Z26" s="2">
        <v>94</v>
      </c>
      <c r="AA26" s="2">
        <v>88</v>
      </c>
      <c r="AB26" s="2">
        <v>86</v>
      </c>
      <c r="AC26" s="2">
        <v>66</v>
      </c>
    </row>
    <row r="27" spans="1:29" x14ac:dyDescent="0.3">
      <c r="A27" s="1" t="s">
        <v>25</v>
      </c>
      <c r="B27" s="2">
        <v>126</v>
      </c>
      <c r="C27" s="2">
        <v>116</v>
      </c>
      <c r="D27" s="2">
        <v>104</v>
      </c>
      <c r="E27" s="2">
        <v>102</v>
      </c>
      <c r="F27" s="2">
        <v>107</v>
      </c>
      <c r="G27" s="2">
        <v>114</v>
      </c>
      <c r="H27" s="2">
        <v>112</v>
      </c>
      <c r="I27" s="2">
        <v>66</v>
      </c>
      <c r="J27" s="2">
        <v>65</v>
      </c>
      <c r="K27" s="2">
        <v>71</v>
      </c>
      <c r="L27" s="2">
        <v>62</v>
      </c>
      <c r="M27" s="2">
        <v>63</v>
      </c>
      <c r="N27" s="2">
        <v>72</v>
      </c>
      <c r="O27" s="2">
        <v>70</v>
      </c>
      <c r="P27" s="2">
        <v>90</v>
      </c>
      <c r="Q27" s="2">
        <v>86</v>
      </c>
      <c r="R27" s="2">
        <v>84</v>
      </c>
      <c r="S27" s="2">
        <v>83</v>
      </c>
      <c r="T27" s="2">
        <v>81</v>
      </c>
      <c r="U27" s="2">
        <v>90</v>
      </c>
      <c r="V27" s="2">
        <v>87</v>
      </c>
      <c r="W27" s="2">
        <v>56</v>
      </c>
      <c r="X27" s="2">
        <v>57</v>
      </c>
      <c r="Y27" s="2">
        <v>62</v>
      </c>
      <c r="Z27" s="2">
        <v>63</v>
      </c>
      <c r="AA27" s="2">
        <v>58</v>
      </c>
      <c r="AB27" s="2">
        <v>59</v>
      </c>
      <c r="AC27" s="2">
        <v>66</v>
      </c>
    </row>
    <row r="28" spans="1:29" x14ac:dyDescent="0.3">
      <c r="A28" s="1" t="s">
        <v>25</v>
      </c>
      <c r="B28" s="2">
        <v>116</v>
      </c>
      <c r="C28" s="2">
        <v>89</v>
      </c>
      <c r="D28" s="2">
        <v>105</v>
      </c>
      <c r="E28" s="2">
        <v>131</v>
      </c>
      <c r="F28" s="2">
        <v>99</v>
      </c>
      <c r="G28" s="2">
        <v>95</v>
      </c>
      <c r="H28" s="2">
        <v>101</v>
      </c>
      <c r="I28" s="2">
        <v>68</v>
      </c>
      <c r="J28" s="2">
        <v>45</v>
      </c>
      <c r="K28" s="2">
        <v>74</v>
      </c>
      <c r="L28" s="2">
        <v>98</v>
      </c>
      <c r="M28" s="2">
        <v>57</v>
      </c>
      <c r="N28" s="2">
        <v>56</v>
      </c>
      <c r="O28" s="2">
        <v>65</v>
      </c>
      <c r="P28" s="2">
        <v>86</v>
      </c>
      <c r="Q28" s="2">
        <v>64</v>
      </c>
      <c r="R28" s="2">
        <v>86</v>
      </c>
      <c r="S28" s="2">
        <v>108</v>
      </c>
      <c r="T28" s="2">
        <v>73</v>
      </c>
      <c r="U28" s="2">
        <v>72</v>
      </c>
      <c r="V28" s="2">
        <v>78</v>
      </c>
      <c r="W28" s="2">
        <v>53</v>
      </c>
      <c r="X28" s="2">
        <v>59</v>
      </c>
      <c r="Y28" s="2">
        <v>70</v>
      </c>
      <c r="Z28" s="2">
        <v>65</v>
      </c>
      <c r="AA28" s="2">
        <v>56</v>
      </c>
      <c r="AB28" s="2">
        <v>56</v>
      </c>
      <c r="AC28" s="2">
        <v>56</v>
      </c>
    </row>
    <row r="29" spans="1:29" x14ac:dyDescent="0.3">
      <c r="A29" s="1" t="s">
        <v>25</v>
      </c>
      <c r="B29" s="2">
        <v>151</v>
      </c>
      <c r="C29" s="2">
        <v>126</v>
      </c>
      <c r="D29" s="2">
        <v>149</v>
      </c>
      <c r="E29" s="2">
        <v>131</v>
      </c>
      <c r="F29" s="2">
        <v>118</v>
      </c>
      <c r="G29" s="2">
        <v>114</v>
      </c>
      <c r="H29" s="2">
        <v>112</v>
      </c>
      <c r="I29" s="2">
        <v>102</v>
      </c>
      <c r="J29" s="2">
        <v>77</v>
      </c>
      <c r="K29" s="2">
        <v>104</v>
      </c>
      <c r="L29" s="2">
        <v>84</v>
      </c>
      <c r="M29" s="2">
        <v>69</v>
      </c>
      <c r="N29" s="2">
        <v>59</v>
      </c>
      <c r="O29" s="2">
        <v>57</v>
      </c>
      <c r="P29" s="2">
        <v>124</v>
      </c>
      <c r="Q29" s="2">
        <v>94</v>
      </c>
      <c r="R29" s="2">
        <v>124</v>
      </c>
      <c r="S29" s="2">
        <v>100</v>
      </c>
      <c r="T29" s="2">
        <v>91</v>
      </c>
      <c r="U29" s="2">
        <v>79</v>
      </c>
      <c r="V29" s="2">
        <v>76</v>
      </c>
      <c r="W29" s="2">
        <v>80</v>
      </c>
      <c r="X29" s="2">
        <v>83</v>
      </c>
      <c r="Y29" s="2">
        <v>93</v>
      </c>
      <c r="Z29" s="2">
        <v>84</v>
      </c>
      <c r="AA29" s="2">
        <v>82</v>
      </c>
      <c r="AB29" s="2">
        <v>82</v>
      </c>
      <c r="AC29" s="2">
        <v>81</v>
      </c>
    </row>
    <row r="30" spans="1:29" x14ac:dyDescent="0.3">
      <c r="A30" s="1" t="s">
        <v>25</v>
      </c>
      <c r="B30" s="2">
        <v>127</v>
      </c>
      <c r="C30" s="2">
        <v>116</v>
      </c>
      <c r="D30" s="2">
        <v>92</v>
      </c>
      <c r="E30" s="2">
        <v>84</v>
      </c>
      <c r="F30" s="2">
        <v>82</v>
      </c>
      <c r="G30" s="2">
        <v>81</v>
      </c>
      <c r="H30" s="2">
        <v>81</v>
      </c>
      <c r="I30" s="2">
        <v>78</v>
      </c>
      <c r="J30" s="2">
        <v>85</v>
      </c>
      <c r="K30" s="2">
        <v>55</v>
      </c>
      <c r="L30" s="2">
        <v>48</v>
      </c>
      <c r="M30" s="2">
        <v>43</v>
      </c>
      <c r="N30" s="2">
        <v>46</v>
      </c>
      <c r="O30" s="2">
        <v>42</v>
      </c>
      <c r="P30" s="2">
        <v>98</v>
      </c>
      <c r="Q30" s="2">
        <v>99</v>
      </c>
      <c r="R30" s="2">
        <v>71</v>
      </c>
      <c r="S30" s="2">
        <v>65</v>
      </c>
      <c r="T30" s="2">
        <v>62</v>
      </c>
      <c r="U30" s="2">
        <v>62</v>
      </c>
      <c r="V30" s="2">
        <v>62</v>
      </c>
      <c r="W30" s="2">
        <v>52</v>
      </c>
      <c r="X30" s="2">
        <v>62</v>
      </c>
      <c r="Y30" s="2">
        <v>50</v>
      </c>
      <c r="Z30" s="2">
        <v>56</v>
      </c>
      <c r="AA30" s="2">
        <v>53</v>
      </c>
      <c r="AB30" s="2">
        <v>56</v>
      </c>
      <c r="AC30" s="2">
        <v>52</v>
      </c>
    </row>
    <row r="31" spans="1:29" x14ac:dyDescent="0.3">
      <c r="A31" s="1" t="s">
        <v>25</v>
      </c>
      <c r="B31" s="2">
        <v>120</v>
      </c>
      <c r="C31" s="2">
        <v>96</v>
      </c>
      <c r="D31" s="2">
        <v>108</v>
      </c>
      <c r="E31" s="2">
        <v>111</v>
      </c>
      <c r="F31" s="2">
        <v>109</v>
      </c>
      <c r="G31" s="2">
        <v>104</v>
      </c>
      <c r="H31" s="2">
        <v>103</v>
      </c>
      <c r="I31" s="2">
        <v>70</v>
      </c>
      <c r="J31" s="2">
        <v>50</v>
      </c>
      <c r="K31" s="2">
        <v>69</v>
      </c>
      <c r="L31" s="2">
        <v>67</v>
      </c>
      <c r="M31" s="2">
        <v>64</v>
      </c>
      <c r="N31" s="2">
        <v>59</v>
      </c>
      <c r="O31" s="2">
        <v>58</v>
      </c>
      <c r="P31" s="2">
        <v>90</v>
      </c>
      <c r="Q31" s="2">
        <v>71</v>
      </c>
      <c r="R31" s="2">
        <v>85</v>
      </c>
      <c r="S31" s="2">
        <v>86</v>
      </c>
      <c r="T31" s="2">
        <v>83</v>
      </c>
      <c r="U31" s="2">
        <v>78</v>
      </c>
      <c r="V31" s="2">
        <v>76</v>
      </c>
      <c r="W31" s="2">
        <v>53</v>
      </c>
      <c r="X31" s="2">
        <v>63</v>
      </c>
      <c r="Y31" s="2">
        <v>79</v>
      </c>
      <c r="Z31" s="2">
        <v>84</v>
      </c>
      <c r="AA31" s="2">
        <v>85</v>
      </c>
      <c r="AB31" s="2">
        <v>80</v>
      </c>
      <c r="AC31" s="2">
        <v>78</v>
      </c>
    </row>
    <row r="32" spans="1:29" x14ac:dyDescent="0.3">
      <c r="A32" s="1" t="s">
        <v>25</v>
      </c>
      <c r="B32" s="2">
        <v>114</v>
      </c>
      <c r="C32" s="2">
        <v>84</v>
      </c>
      <c r="D32" s="2">
        <v>103</v>
      </c>
      <c r="E32" s="2">
        <v>89</v>
      </c>
      <c r="F32" s="2">
        <v>80</v>
      </c>
      <c r="G32" s="2">
        <v>78</v>
      </c>
      <c r="H32" s="2">
        <v>108</v>
      </c>
      <c r="I32" s="2">
        <v>67</v>
      </c>
      <c r="J32" s="2">
        <v>36</v>
      </c>
      <c r="K32" s="2">
        <v>54</v>
      </c>
      <c r="L32" s="2">
        <v>41</v>
      </c>
      <c r="M32" s="2">
        <v>34</v>
      </c>
      <c r="N32" s="2">
        <v>36</v>
      </c>
      <c r="O32" s="2">
        <v>53</v>
      </c>
      <c r="P32" s="2">
        <v>88</v>
      </c>
      <c r="Q32" s="2">
        <v>57</v>
      </c>
      <c r="R32" s="2">
        <v>72</v>
      </c>
      <c r="S32" s="2">
        <v>61</v>
      </c>
      <c r="T32" s="2">
        <v>55</v>
      </c>
      <c r="U32" s="2">
        <v>55</v>
      </c>
      <c r="V32" s="2">
        <v>74</v>
      </c>
      <c r="W32" s="2">
        <v>71</v>
      </c>
      <c r="X32" s="2">
        <v>68</v>
      </c>
      <c r="Y32" s="2">
        <v>70</v>
      </c>
      <c r="Z32" s="2">
        <v>69</v>
      </c>
      <c r="AA32" s="2">
        <v>67</v>
      </c>
      <c r="AB32" s="2">
        <v>63</v>
      </c>
      <c r="AC32" s="2">
        <v>64</v>
      </c>
    </row>
    <row r="33" spans="1:29" x14ac:dyDescent="0.3">
      <c r="A33" s="1" t="s">
        <v>25</v>
      </c>
      <c r="B33" s="2">
        <v>142</v>
      </c>
      <c r="C33" s="2">
        <v>111</v>
      </c>
      <c r="D33" s="2">
        <v>180</v>
      </c>
      <c r="E33" s="2">
        <v>165</v>
      </c>
      <c r="F33" s="2">
        <v>129</v>
      </c>
      <c r="G33" s="2">
        <v>111</v>
      </c>
      <c r="H33" s="2">
        <v>108</v>
      </c>
      <c r="I33" s="2">
        <v>83</v>
      </c>
      <c r="J33" s="2">
        <v>68</v>
      </c>
      <c r="K33" s="2">
        <v>97</v>
      </c>
      <c r="L33" s="2">
        <v>99</v>
      </c>
      <c r="M33" s="2">
        <v>80</v>
      </c>
      <c r="N33" s="2">
        <v>74</v>
      </c>
      <c r="O33" s="2">
        <v>72</v>
      </c>
      <c r="P33" s="2">
        <v>106</v>
      </c>
      <c r="Q33" s="2">
        <v>81</v>
      </c>
      <c r="R33" s="2">
        <v>132</v>
      </c>
      <c r="S33" s="2">
        <v>121</v>
      </c>
      <c r="T33" s="2">
        <v>98</v>
      </c>
      <c r="U33" s="2">
        <v>89</v>
      </c>
      <c r="V33" s="2">
        <v>87</v>
      </c>
      <c r="W33" s="2">
        <v>70</v>
      </c>
      <c r="X33" s="2">
        <v>77</v>
      </c>
      <c r="Y33" s="2">
        <v>96</v>
      </c>
      <c r="Z33" s="2">
        <v>75</v>
      </c>
      <c r="AA33" s="2">
        <v>69</v>
      </c>
      <c r="AB33" s="2">
        <v>69</v>
      </c>
      <c r="AC33" s="2">
        <v>71</v>
      </c>
    </row>
    <row r="34" spans="1:29" x14ac:dyDescent="0.3">
      <c r="A34" s="1" t="s">
        <v>25</v>
      </c>
      <c r="B34" s="2">
        <v>134</v>
      </c>
      <c r="C34" s="2">
        <v>106</v>
      </c>
      <c r="D34" s="2">
        <v>135</v>
      </c>
      <c r="E34" s="2">
        <v>161</v>
      </c>
      <c r="F34" s="2">
        <v>139</v>
      </c>
      <c r="G34" s="2">
        <v>113</v>
      </c>
      <c r="H34" s="2">
        <v>101</v>
      </c>
      <c r="I34" s="2">
        <v>68</v>
      </c>
      <c r="J34" s="2">
        <v>63</v>
      </c>
      <c r="K34" s="2">
        <v>96</v>
      </c>
      <c r="L34" s="2">
        <v>117</v>
      </c>
      <c r="M34" s="2">
        <v>92</v>
      </c>
      <c r="N34" s="2">
        <v>69</v>
      </c>
      <c r="O34" s="2">
        <v>54</v>
      </c>
      <c r="P34" s="2">
        <v>93</v>
      </c>
      <c r="Q34" s="2">
        <v>76</v>
      </c>
      <c r="R34" s="2">
        <v>116</v>
      </c>
      <c r="S34" s="2">
        <v>135</v>
      </c>
      <c r="T34" s="2">
        <v>112</v>
      </c>
      <c r="U34" s="2">
        <v>86</v>
      </c>
      <c r="V34" s="2">
        <v>73</v>
      </c>
      <c r="W34" s="2">
        <v>82</v>
      </c>
      <c r="X34" s="2">
        <v>90</v>
      </c>
      <c r="Y34" s="2">
        <v>90</v>
      </c>
      <c r="Z34" s="2">
        <v>105</v>
      </c>
      <c r="AA34" s="2">
        <v>110</v>
      </c>
      <c r="AB34" s="2">
        <v>100</v>
      </c>
      <c r="AC34" s="2">
        <v>90</v>
      </c>
    </row>
    <row r="35" spans="1:29" x14ac:dyDescent="0.3">
      <c r="A35" s="1" t="s">
        <v>25</v>
      </c>
      <c r="B35" s="2">
        <v>177</v>
      </c>
      <c r="C35" s="2">
        <v>147</v>
      </c>
      <c r="D35" s="2">
        <v>171</v>
      </c>
      <c r="E35" s="2">
        <v>159</v>
      </c>
      <c r="F35" s="2">
        <v>136</v>
      </c>
      <c r="G35" s="2">
        <v>104</v>
      </c>
      <c r="H35" s="2">
        <v>91</v>
      </c>
      <c r="I35" s="2">
        <v>107</v>
      </c>
      <c r="J35" s="2">
        <v>79</v>
      </c>
      <c r="K35" s="2">
        <v>101</v>
      </c>
      <c r="L35" s="2">
        <v>97</v>
      </c>
      <c r="M35" s="2">
        <v>83</v>
      </c>
      <c r="N35" s="2">
        <v>53</v>
      </c>
      <c r="O35" s="2">
        <v>49</v>
      </c>
      <c r="P35" s="2">
        <v>136</v>
      </c>
      <c r="Q35" s="2">
        <v>106</v>
      </c>
      <c r="R35" s="2">
        <v>127</v>
      </c>
      <c r="S35" s="2">
        <v>118</v>
      </c>
      <c r="T35" s="2">
        <v>101</v>
      </c>
      <c r="U35" s="2">
        <v>76</v>
      </c>
      <c r="V35" s="2">
        <v>68</v>
      </c>
      <c r="W35" s="2">
        <v>71</v>
      </c>
      <c r="X35" s="2">
        <v>64</v>
      </c>
      <c r="Y35" s="2">
        <v>71</v>
      </c>
      <c r="Z35" s="2">
        <v>76</v>
      </c>
      <c r="AA35" s="2">
        <v>60</v>
      </c>
      <c r="AB35" s="2">
        <v>54</v>
      </c>
      <c r="AC35" s="2">
        <v>52</v>
      </c>
    </row>
    <row r="36" spans="1:29" x14ac:dyDescent="0.3">
      <c r="A36" s="1"/>
      <c r="B36" s="2">
        <f>AVERAGE(B4:B35)</f>
        <v>134.875</v>
      </c>
      <c r="C36" s="2">
        <f t="shared" ref="C36:AC36" si="0">AVERAGE(C4:C35)</f>
        <v>118.21875</v>
      </c>
      <c r="D36" s="2">
        <f t="shared" si="0"/>
        <v>142.25</v>
      </c>
      <c r="E36" s="2">
        <f t="shared" si="0"/>
        <v>132.75</v>
      </c>
      <c r="F36" s="2">
        <f t="shared" si="0"/>
        <v>118.84375</v>
      </c>
      <c r="G36" s="2">
        <f t="shared" si="0"/>
        <v>115.46875</v>
      </c>
      <c r="H36" s="2">
        <f t="shared" si="0"/>
        <v>113</v>
      </c>
      <c r="I36" s="2">
        <f t="shared" si="0"/>
        <v>79.65625</v>
      </c>
      <c r="J36" s="2">
        <f t="shared" si="0"/>
        <v>70.28125</v>
      </c>
      <c r="K36" s="2">
        <f t="shared" si="0"/>
        <v>88.5625</v>
      </c>
      <c r="L36" s="2">
        <f t="shared" si="0"/>
        <v>81.21875</v>
      </c>
      <c r="M36" s="2">
        <f t="shared" si="0"/>
        <v>72.21875</v>
      </c>
      <c r="N36" s="2">
        <f t="shared" si="0"/>
        <v>66.0625</v>
      </c>
      <c r="O36" s="2">
        <f t="shared" si="0"/>
        <v>62.09375</v>
      </c>
      <c r="P36" s="2">
        <f t="shared" si="0"/>
        <v>101.25</v>
      </c>
      <c r="Q36" s="2">
        <f t="shared" si="0"/>
        <v>89.21875</v>
      </c>
      <c r="R36" s="2">
        <f t="shared" si="0"/>
        <v>108.71875</v>
      </c>
      <c r="S36" s="2">
        <f t="shared" si="0"/>
        <v>101.59375</v>
      </c>
      <c r="T36" s="2">
        <f t="shared" si="0"/>
        <v>92.6875</v>
      </c>
      <c r="U36" s="2">
        <f t="shared" si="0"/>
        <v>86.75</v>
      </c>
      <c r="V36" s="2">
        <f t="shared" si="0"/>
        <v>80.1875</v>
      </c>
      <c r="W36" s="2">
        <f t="shared" si="0"/>
        <v>70.125</v>
      </c>
      <c r="X36" s="2">
        <f t="shared" si="0"/>
        <v>70.5625</v>
      </c>
      <c r="Y36" s="2">
        <f t="shared" si="0"/>
        <v>82.4375</v>
      </c>
      <c r="Z36" s="2">
        <f t="shared" si="0"/>
        <v>82.4375</v>
      </c>
      <c r="AA36" s="2">
        <f t="shared" si="0"/>
        <v>78.59375</v>
      </c>
      <c r="AB36" s="2">
        <f t="shared" si="0"/>
        <v>76.75</v>
      </c>
      <c r="AC36" s="2">
        <f t="shared" si="0"/>
        <v>75.3125</v>
      </c>
    </row>
    <row r="39" spans="1:29" x14ac:dyDescent="0.3">
      <c r="A39" s="1" t="s">
        <v>28</v>
      </c>
      <c r="B39" s="1">
        <v>120</v>
      </c>
      <c r="C39" s="1">
        <v>97</v>
      </c>
      <c r="D39" s="1">
        <v>107</v>
      </c>
      <c r="E39" s="1">
        <v>113</v>
      </c>
      <c r="F39" s="1">
        <v>112</v>
      </c>
      <c r="G39" s="1">
        <v>98</v>
      </c>
      <c r="H39" s="1">
        <v>85</v>
      </c>
      <c r="I39" s="1">
        <v>70</v>
      </c>
      <c r="J39" s="1">
        <v>56</v>
      </c>
      <c r="K39" s="1">
        <v>69</v>
      </c>
      <c r="L39" s="1">
        <v>73</v>
      </c>
      <c r="M39" s="1">
        <v>66</v>
      </c>
      <c r="N39" s="1">
        <v>60</v>
      </c>
      <c r="O39" s="1">
        <v>52</v>
      </c>
      <c r="P39" s="1">
        <v>90</v>
      </c>
      <c r="Q39" s="1">
        <v>70</v>
      </c>
      <c r="R39" s="1">
        <v>83</v>
      </c>
      <c r="S39" s="1">
        <v>88</v>
      </c>
      <c r="T39" s="1">
        <v>90</v>
      </c>
      <c r="U39" s="1">
        <v>75</v>
      </c>
      <c r="V39" s="1">
        <v>65</v>
      </c>
      <c r="W39" s="1">
        <v>88</v>
      </c>
      <c r="X39" s="1">
        <v>78</v>
      </c>
      <c r="Y39" s="1">
        <v>71</v>
      </c>
      <c r="Z39" s="1">
        <v>70</v>
      </c>
      <c r="AA39" s="1">
        <v>74</v>
      </c>
      <c r="AB39" s="1">
        <v>72</v>
      </c>
      <c r="AC39" s="1">
        <v>69</v>
      </c>
    </row>
    <row r="40" spans="1:29" x14ac:dyDescent="0.3">
      <c r="A40" s="1" t="s">
        <v>28</v>
      </c>
      <c r="B40" s="1">
        <v>105</v>
      </c>
      <c r="C40" s="1">
        <v>80</v>
      </c>
      <c r="D40" s="1">
        <v>96</v>
      </c>
      <c r="E40" s="1">
        <v>97</v>
      </c>
      <c r="F40" s="1">
        <v>95</v>
      </c>
      <c r="G40" s="1">
        <v>98</v>
      </c>
      <c r="H40" s="1">
        <v>100</v>
      </c>
      <c r="I40" s="1">
        <v>74</v>
      </c>
      <c r="J40" s="1">
        <v>50</v>
      </c>
      <c r="K40" s="1">
        <v>68</v>
      </c>
      <c r="L40" s="1">
        <v>64</v>
      </c>
      <c r="M40" s="1">
        <v>59</v>
      </c>
      <c r="N40" s="1">
        <v>54</v>
      </c>
      <c r="O40" s="1">
        <v>51</v>
      </c>
      <c r="P40" s="1">
        <v>84</v>
      </c>
      <c r="Q40" s="1">
        <v>62</v>
      </c>
      <c r="R40" s="1">
        <v>82</v>
      </c>
      <c r="S40" s="1">
        <v>80</v>
      </c>
      <c r="T40" s="1">
        <v>77</v>
      </c>
      <c r="U40" s="1">
        <v>74</v>
      </c>
      <c r="V40" s="1">
        <v>74</v>
      </c>
      <c r="W40" s="1">
        <v>84</v>
      </c>
      <c r="X40" s="1">
        <v>62</v>
      </c>
      <c r="Y40" s="1">
        <v>66</v>
      </c>
      <c r="Z40" s="1">
        <v>77</v>
      </c>
      <c r="AA40" s="1">
        <v>81</v>
      </c>
      <c r="AB40" s="1">
        <v>81</v>
      </c>
      <c r="AC40" s="1">
        <v>84</v>
      </c>
    </row>
    <row r="41" spans="1:29" x14ac:dyDescent="0.3">
      <c r="A41" s="1" t="s">
        <v>28</v>
      </c>
      <c r="B41" s="1">
        <v>130</v>
      </c>
      <c r="C41" s="1">
        <v>107</v>
      </c>
      <c r="D41" s="1">
        <v>117</v>
      </c>
      <c r="E41" s="1">
        <v>112</v>
      </c>
      <c r="F41" s="1">
        <v>105</v>
      </c>
      <c r="G41" s="1">
        <v>98</v>
      </c>
      <c r="H41" s="1">
        <v>105</v>
      </c>
      <c r="I41" s="1">
        <v>85</v>
      </c>
      <c r="J41" s="1">
        <v>68</v>
      </c>
      <c r="K41" s="1">
        <v>74</v>
      </c>
      <c r="L41" s="1">
        <v>67</v>
      </c>
      <c r="M41" s="1">
        <v>54</v>
      </c>
      <c r="N41" s="1">
        <v>49</v>
      </c>
      <c r="O41" s="1">
        <v>76</v>
      </c>
      <c r="P41" s="1">
        <v>105</v>
      </c>
      <c r="Q41" s="1">
        <v>84</v>
      </c>
      <c r="R41" s="1">
        <v>92</v>
      </c>
      <c r="S41" s="1">
        <v>86</v>
      </c>
      <c r="T41" s="1">
        <v>75</v>
      </c>
      <c r="U41" s="1">
        <v>71</v>
      </c>
      <c r="V41" s="1">
        <v>91</v>
      </c>
      <c r="W41" s="1">
        <v>55</v>
      </c>
      <c r="X41" s="1">
        <v>64</v>
      </c>
      <c r="Y41" s="1">
        <v>67</v>
      </c>
      <c r="Z41" s="1">
        <v>64</v>
      </c>
      <c r="AA41" s="1">
        <v>61</v>
      </c>
      <c r="AB41" s="1">
        <v>61</v>
      </c>
      <c r="AC41" s="1">
        <v>79</v>
      </c>
    </row>
    <row r="42" spans="1:29" x14ac:dyDescent="0.3">
      <c r="A42" s="1" t="s">
        <v>28</v>
      </c>
      <c r="B42" s="1">
        <v>129</v>
      </c>
      <c r="C42" s="1">
        <v>88</v>
      </c>
      <c r="D42" s="1">
        <v>114</v>
      </c>
      <c r="E42" s="1">
        <v>118</v>
      </c>
      <c r="F42" s="1">
        <v>123</v>
      </c>
      <c r="G42" s="1">
        <v>119</v>
      </c>
      <c r="H42" s="1">
        <v>115</v>
      </c>
      <c r="I42" s="1">
        <v>72</v>
      </c>
      <c r="J42" s="1">
        <v>55</v>
      </c>
      <c r="K42" s="1">
        <v>71</v>
      </c>
      <c r="L42" s="1">
        <v>86</v>
      </c>
      <c r="M42" s="1">
        <v>78</v>
      </c>
      <c r="N42" s="1">
        <v>70</v>
      </c>
      <c r="O42" s="1">
        <v>67</v>
      </c>
      <c r="P42" s="1">
        <v>93</v>
      </c>
      <c r="Q42" s="1">
        <v>68</v>
      </c>
      <c r="R42" s="1">
        <v>90</v>
      </c>
      <c r="S42" s="1">
        <v>99</v>
      </c>
      <c r="T42" s="1">
        <v>97</v>
      </c>
      <c r="U42" s="1">
        <v>90</v>
      </c>
      <c r="V42" s="1">
        <v>89</v>
      </c>
      <c r="W42" s="1">
        <v>61</v>
      </c>
      <c r="X42" s="1">
        <v>77</v>
      </c>
      <c r="Y42" s="1">
        <v>85</v>
      </c>
      <c r="Z42" s="1">
        <v>86</v>
      </c>
      <c r="AA42" s="1">
        <v>96</v>
      </c>
      <c r="AB42" s="1">
        <v>96</v>
      </c>
      <c r="AC42" s="1">
        <v>112</v>
      </c>
    </row>
    <row r="43" spans="1:29" x14ac:dyDescent="0.3">
      <c r="A43" s="1" t="s">
        <v>28</v>
      </c>
      <c r="B43" s="1">
        <v>118</v>
      </c>
      <c r="C43" s="1">
        <v>107</v>
      </c>
      <c r="D43" s="1">
        <v>115</v>
      </c>
      <c r="E43" s="1">
        <v>108</v>
      </c>
      <c r="F43" s="1">
        <v>107</v>
      </c>
      <c r="G43" s="1">
        <v>124</v>
      </c>
      <c r="H43" s="1">
        <v>119</v>
      </c>
      <c r="I43" s="1">
        <v>70</v>
      </c>
      <c r="J43" s="1">
        <v>61</v>
      </c>
      <c r="K43" s="1">
        <v>76</v>
      </c>
      <c r="L43" s="1">
        <v>64</v>
      </c>
      <c r="M43" s="1">
        <v>63</v>
      </c>
      <c r="N43" s="1">
        <v>87</v>
      </c>
      <c r="O43" s="1">
        <v>77</v>
      </c>
      <c r="P43" s="1">
        <v>89</v>
      </c>
      <c r="Q43" s="1">
        <v>79</v>
      </c>
      <c r="R43" s="1">
        <v>91</v>
      </c>
      <c r="S43" s="1">
        <v>79</v>
      </c>
      <c r="T43" s="1">
        <v>81</v>
      </c>
      <c r="U43" s="1">
        <v>104</v>
      </c>
      <c r="V43" s="1">
        <v>93</v>
      </c>
      <c r="W43" s="1">
        <v>61</v>
      </c>
      <c r="X43" s="1">
        <v>65</v>
      </c>
      <c r="Y43" s="1">
        <v>67</v>
      </c>
      <c r="Z43" s="1">
        <v>68</v>
      </c>
      <c r="AA43" s="1">
        <v>72</v>
      </c>
      <c r="AB43" s="1">
        <v>91</v>
      </c>
      <c r="AC43" s="1">
        <v>97</v>
      </c>
    </row>
    <row r="44" spans="1:29" x14ac:dyDescent="0.3">
      <c r="A44" s="1" t="s">
        <v>28</v>
      </c>
      <c r="B44" s="1">
        <v>110</v>
      </c>
      <c r="C44" s="1">
        <v>82</v>
      </c>
      <c r="D44" s="1">
        <v>112</v>
      </c>
      <c r="E44" s="1">
        <v>97</v>
      </c>
      <c r="F44" s="1">
        <v>93</v>
      </c>
      <c r="G44" s="1">
        <v>103</v>
      </c>
      <c r="H44" s="1">
        <v>115</v>
      </c>
      <c r="I44" s="1">
        <v>74</v>
      </c>
      <c r="J44" s="1">
        <v>51</v>
      </c>
      <c r="K44" s="1">
        <v>82</v>
      </c>
      <c r="L44" s="1">
        <v>62</v>
      </c>
      <c r="M44" s="1">
        <v>62</v>
      </c>
      <c r="N44" s="1">
        <v>60</v>
      </c>
      <c r="O44" s="1">
        <v>74</v>
      </c>
      <c r="P44" s="1">
        <v>88</v>
      </c>
      <c r="Q44" s="1">
        <v>62</v>
      </c>
      <c r="R44" s="1">
        <v>94</v>
      </c>
      <c r="S44" s="1">
        <v>77</v>
      </c>
      <c r="T44" s="1">
        <v>75</v>
      </c>
      <c r="U44" s="1">
        <v>78</v>
      </c>
      <c r="V44" s="1">
        <v>89</v>
      </c>
      <c r="W44" s="1">
        <v>85</v>
      </c>
      <c r="X44" s="1">
        <v>89</v>
      </c>
      <c r="Y44" s="1">
        <v>92</v>
      </c>
      <c r="Z44" s="1">
        <v>90</v>
      </c>
      <c r="AA44" s="1">
        <v>90</v>
      </c>
      <c r="AB44" s="1">
        <v>89</v>
      </c>
      <c r="AC44" s="1">
        <v>108</v>
      </c>
    </row>
    <row r="45" spans="1:29" x14ac:dyDescent="0.3">
      <c r="A45" s="1" t="s">
        <v>28</v>
      </c>
      <c r="B45" s="1">
        <v>133</v>
      </c>
      <c r="C45" s="1">
        <v>124</v>
      </c>
      <c r="D45" s="1">
        <v>150</v>
      </c>
      <c r="E45" s="1">
        <v>120</v>
      </c>
      <c r="F45" s="1">
        <v>117</v>
      </c>
      <c r="G45" s="1">
        <v>118</v>
      </c>
      <c r="H45" s="1">
        <v>119</v>
      </c>
      <c r="I45" s="1">
        <v>86</v>
      </c>
      <c r="J45" s="1">
        <v>88</v>
      </c>
      <c r="K45" s="1">
        <v>85</v>
      </c>
      <c r="L45" s="1">
        <v>73</v>
      </c>
      <c r="M45" s="1">
        <v>78</v>
      </c>
      <c r="N45" s="1">
        <v>76</v>
      </c>
      <c r="O45" s="1">
        <v>75</v>
      </c>
      <c r="P45" s="1">
        <v>102</v>
      </c>
      <c r="Q45" s="1">
        <v>101</v>
      </c>
      <c r="R45" s="1">
        <v>107</v>
      </c>
      <c r="S45" s="1">
        <v>90</v>
      </c>
      <c r="T45" s="1">
        <v>95</v>
      </c>
      <c r="U45" s="1">
        <v>94</v>
      </c>
      <c r="V45" s="1">
        <v>93</v>
      </c>
      <c r="W45" s="1">
        <v>107</v>
      </c>
      <c r="X45" s="1">
        <v>94</v>
      </c>
      <c r="Y45" s="1">
        <v>103</v>
      </c>
      <c r="Z45" s="1">
        <v>94</v>
      </c>
      <c r="AA45" s="1">
        <v>83</v>
      </c>
      <c r="AB45" s="1">
        <v>85</v>
      </c>
      <c r="AC45" s="1">
        <v>89</v>
      </c>
    </row>
    <row r="46" spans="1:29" x14ac:dyDescent="0.3">
      <c r="A46" s="1" t="s">
        <v>28</v>
      </c>
      <c r="B46" s="1">
        <v>144</v>
      </c>
      <c r="C46" s="1">
        <v>132</v>
      </c>
      <c r="D46" s="1">
        <v>151</v>
      </c>
      <c r="E46" s="1">
        <v>158</v>
      </c>
      <c r="F46" s="1">
        <v>129</v>
      </c>
      <c r="G46" s="1">
        <v>109</v>
      </c>
      <c r="H46" s="1">
        <v>84</v>
      </c>
      <c r="I46" s="1">
        <v>92</v>
      </c>
      <c r="J46" s="1">
        <v>90</v>
      </c>
      <c r="K46" s="1">
        <v>85</v>
      </c>
      <c r="L46" s="1">
        <v>111</v>
      </c>
      <c r="M46" s="1">
        <v>85</v>
      </c>
      <c r="N46" s="1">
        <v>64</v>
      </c>
      <c r="O46" s="1">
        <v>53</v>
      </c>
      <c r="P46" s="1">
        <v>112</v>
      </c>
      <c r="Q46" s="1">
        <v>107</v>
      </c>
      <c r="R46" s="1">
        <v>110</v>
      </c>
      <c r="S46" s="1">
        <v>129</v>
      </c>
      <c r="T46" s="1">
        <v>100</v>
      </c>
      <c r="U46" s="1">
        <v>81</v>
      </c>
      <c r="V46" s="1">
        <v>66</v>
      </c>
      <c r="W46" s="1">
        <v>78</v>
      </c>
      <c r="X46" s="1">
        <v>81</v>
      </c>
      <c r="Y46" s="1">
        <v>70</v>
      </c>
      <c r="Z46" s="1">
        <v>83</v>
      </c>
      <c r="AA46" s="2">
        <v>42</v>
      </c>
      <c r="AB46" s="2">
        <v>39</v>
      </c>
      <c r="AC46" s="1">
        <v>87</v>
      </c>
    </row>
    <row r="47" spans="1:29" x14ac:dyDescent="0.3">
      <c r="A47" s="1" t="s">
        <v>28</v>
      </c>
      <c r="B47" s="1">
        <v>140</v>
      </c>
      <c r="C47" s="1">
        <v>128</v>
      </c>
      <c r="D47" s="1">
        <v>133</v>
      </c>
      <c r="E47" s="1">
        <v>141</v>
      </c>
      <c r="F47" s="1">
        <v>127</v>
      </c>
      <c r="G47" s="1">
        <v>103</v>
      </c>
      <c r="H47" s="1">
        <v>96</v>
      </c>
      <c r="I47" s="1">
        <v>87</v>
      </c>
      <c r="J47" s="1">
        <v>75</v>
      </c>
      <c r="K47" s="1">
        <v>94</v>
      </c>
      <c r="L47" s="1">
        <v>96</v>
      </c>
      <c r="M47" s="1">
        <v>79</v>
      </c>
      <c r="N47" s="1">
        <v>54</v>
      </c>
      <c r="O47" s="1">
        <v>46</v>
      </c>
      <c r="P47" s="1">
        <v>106</v>
      </c>
      <c r="Q47" s="1">
        <v>93</v>
      </c>
      <c r="R47" s="1">
        <v>109</v>
      </c>
      <c r="S47" s="1">
        <v>112</v>
      </c>
      <c r="T47" s="1">
        <v>98</v>
      </c>
      <c r="U47" s="1">
        <v>77</v>
      </c>
      <c r="V47" s="1">
        <v>71</v>
      </c>
      <c r="W47" s="1">
        <v>109</v>
      </c>
      <c r="X47" s="1">
        <v>120</v>
      </c>
      <c r="Y47" s="1">
        <v>87</v>
      </c>
      <c r="Z47" s="1">
        <v>95</v>
      </c>
      <c r="AA47" s="2">
        <v>83</v>
      </c>
      <c r="AB47" s="2">
        <v>76</v>
      </c>
      <c r="AC47" s="1">
        <v>71</v>
      </c>
    </row>
    <row r="48" spans="1:29" x14ac:dyDescent="0.3">
      <c r="A48" s="1" t="s">
        <v>28</v>
      </c>
      <c r="B48" s="1">
        <v>140</v>
      </c>
      <c r="C48" s="1">
        <v>109</v>
      </c>
      <c r="D48" s="1">
        <v>113</v>
      </c>
      <c r="E48" s="1">
        <v>112</v>
      </c>
      <c r="F48" s="1">
        <v>112</v>
      </c>
      <c r="G48" s="1">
        <v>107</v>
      </c>
      <c r="H48" s="1">
        <v>101</v>
      </c>
      <c r="I48" s="1">
        <v>78</v>
      </c>
      <c r="J48" s="1">
        <v>74</v>
      </c>
      <c r="K48" s="1">
        <v>78</v>
      </c>
      <c r="L48" s="1">
        <v>74</v>
      </c>
      <c r="M48" s="1">
        <v>68</v>
      </c>
      <c r="N48" s="1">
        <v>57</v>
      </c>
      <c r="O48" s="1">
        <v>53</v>
      </c>
      <c r="P48" s="1">
        <v>104</v>
      </c>
      <c r="Q48" s="1">
        <v>89</v>
      </c>
      <c r="R48" s="1">
        <v>92</v>
      </c>
      <c r="S48" s="1">
        <v>90</v>
      </c>
      <c r="T48" s="1">
        <v>86</v>
      </c>
      <c r="U48" s="1">
        <v>78</v>
      </c>
      <c r="V48" s="1">
        <v>73</v>
      </c>
      <c r="W48" s="1">
        <v>75</v>
      </c>
      <c r="X48" s="1">
        <v>65</v>
      </c>
      <c r="Y48" s="1">
        <v>81</v>
      </c>
      <c r="Z48" s="1">
        <v>85</v>
      </c>
      <c r="AA48" s="2">
        <v>95</v>
      </c>
      <c r="AB48" s="2">
        <v>98</v>
      </c>
      <c r="AC48" s="1">
        <v>93</v>
      </c>
    </row>
    <row r="49" spans="1:29" x14ac:dyDescent="0.3">
      <c r="A49" s="1" t="s">
        <v>28</v>
      </c>
      <c r="B49" s="1">
        <v>126</v>
      </c>
      <c r="C49" s="1">
        <v>104</v>
      </c>
      <c r="D49" s="1">
        <v>103</v>
      </c>
      <c r="E49" s="1">
        <v>121</v>
      </c>
      <c r="F49" s="1">
        <v>112</v>
      </c>
      <c r="G49" s="1">
        <v>100</v>
      </c>
      <c r="H49" s="1">
        <v>89</v>
      </c>
      <c r="I49" s="1">
        <v>86</v>
      </c>
      <c r="J49" s="1">
        <v>57</v>
      </c>
      <c r="K49" s="1">
        <v>69</v>
      </c>
      <c r="L49" s="1">
        <v>65</v>
      </c>
      <c r="M49" s="1">
        <v>65</v>
      </c>
      <c r="N49" s="1">
        <v>57</v>
      </c>
      <c r="O49" s="1">
        <v>44</v>
      </c>
      <c r="P49" s="1">
        <v>102</v>
      </c>
      <c r="Q49" s="1">
        <v>74</v>
      </c>
      <c r="R49" s="1">
        <v>82</v>
      </c>
      <c r="S49" s="1">
        <v>90</v>
      </c>
      <c r="T49" s="1">
        <v>81</v>
      </c>
      <c r="U49" s="1">
        <v>74</v>
      </c>
      <c r="V49" s="1">
        <v>62</v>
      </c>
      <c r="W49" s="1">
        <v>60</v>
      </c>
      <c r="X49" s="1">
        <v>77</v>
      </c>
      <c r="Y49" s="1">
        <v>79</v>
      </c>
      <c r="Z49" s="1">
        <v>83</v>
      </c>
      <c r="AA49" s="2">
        <v>84</v>
      </c>
      <c r="AB49" s="2">
        <v>69</v>
      </c>
      <c r="AC49" s="1">
        <v>55</v>
      </c>
    </row>
    <row r="50" spans="1:29" x14ac:dyDescent="0.3">
      <c r="A50" s="1" t="s">
        <v>28</v>
      </c>
      <c r="B50" s="1">
        <v>141</v>
      </c>
      <c r="C50" s="1">
        <v>91</v>
      </c>
      <c r="D50" s="1">
        <v>99</v>
      </c>
      <c r="E50" s="1">
        <v>117</v>
      </c>
      <c r="F50" s="1">
        <v>108</v>
      </c>
      <c r="G50" s="1">
        <v>83</v>
      </c>
      <c r="H50" s="1">
        <v>88</v>
      </c>
      <c r="I50" s="1">
        <v>83</v>
      </c>
      <c r="J50" s="1">
        <v>57</v>
      </c>
      <c r="K50" s="1">
        <v>71</v>
      </c>
      <c r="L50" s="1">
        <v>80</v>
      </c>
      <c r="M50" s="1">
        <v>68</v>
      </c>
      <c r="N50" s="1">
        <v>54</v>
      </c>
      <c r="O50" s="1">
        <v>51</v>
      </c>
      <c r="P50" s="1">
        <v>107</v>
      </c>
      <c r="Q50" s="1">
        <v>69</v>
      </c>
      <c r="R50" s="1">
        <v>80</v>
      </c>
      <c r="S50" s="1">
        <v>95</v>
      </c>
      <c r="T50" s="1">
        <v>84</v>
      </c>
      <c r="U50" s="1">
        <v>70</v>
      </c>
      <c r="V50" s="1">
        <v>68</v>
      </c>
      <c r="W50" s="1">
        <v>53</v>
      </c>
      <c r="X50" s="1">
        <v>58</v>
      </c>
      <c r="Y50" s="1">
        <v>65</v>
      </c>
      <c r="Z50" s="1">
        <v>66</v>
      </c>
      <c r="AA50" s="2">
        <v>63</v>
      </c>
      <c r="AB50" s="2">
        <v>58</v>
      </c>
      <c r="AC50" s="1">
        <v>59</v>
      </c>
    </row>
    <row r="51" spans="1:29" x14ac:dyDescent="0.3">
      <c r="A51" s="1" t="s">
        <v>28</v>
      </c>
      <c r="B51" s="1">
        <v>114</v>
      </c>
      <c r="C51" s="1">
        <v>108</v>
      </c>
      <c r="D51" s="1">
        <v>86</v>
      </c>
      <c r="E51" s="1">
        <v>84</v>
      </c>
      <c r="F51" s="1">
        <v>81</v>
      </c>
      <c r="G51" s="1">
        <v>90</v>
      </c>
      <c r="H51" s="1">
        <v>110</v>
      </c>
      <c r="I51" s="1">
        <v>72</v>
      </c>
      <c r="J51" s="1">
        <v>60</v>
      </c>
      <c r="K51" s="1">
        <v>51</v>
      </c>
      <c r="L51" s="1">
        <v>46</v>
      </c>
      <c r="M51" s="1">
        <v>36</v>
      </c>
      <c r="N51" s="1">
        <v>46</v>
      </c>
      <c r="O51" s="1">
        <v>74</v>
      </c>
      <c r="P51" s="1">
        <v>88</v>
      </c>
      <c r="Q51" s="1">
        <v>75</v>
      </c>
      <c r="R51" s="1">
        <v>61</v>
      </c>
      <c r="S51" s="1">
        <v>62</v>
      </c>
      <c r="T51" s="1">
        <v>54</v>
      </c>
      <c r="U51" s="1">
        <v>63</v>
      </c>
      <c r="V51" s="1">
        <v>86</v>
      </c>
      <c r="W51" s="1">
        <v>48</v>
      </c>
      <c r="X51" s="1">
        <v>47</v>
      </c>
      <c r="Y51" s="1">
        <v>53</v>
      </c>
      <c r="Z51" s="1">
        <v>51</v>
      </c>
      <c r="AA51" s="2">
        <v>43</v>
      </c>
      <c r="AB51" s="2">
        <v>59</v>
      </c>
      <c r="AC51" s="1">
        <v>88</v>
      </c>
    </row>
    <row r="52" spans="1:29" x14ac:dyDescent="0.3">
      <c r="A52" s="1" t="s">
        <v>28</v>
      </c>
      <c r="B52" s="1">
        <v>120</v>
      </c>
      <c r="C52" s="1">
        <v>109</v>
      </c>
      <c r="D52" s="1">
        <v>149</v>
      </c>
      <c r="E52" s="1">
        <v>140</v>
      </c>
      <c r="F52" s="1">
        <v>125</v>
      </c>
      <c r="G52" s="1">
        <v>140</v>
      </c>
      <c r="H52" s="1">
        <v>112</v>
      </c>
      <c r="I52" s="1">
        <v>67</v>
      </c>
      <c r="J52" s="1">
        <v>62</v>
      </c>
      <c r="K52" s="1">
        <v>107</v>
      </c>
      <c r="L52" s="1">
        <v>99</v>
      </c>
      <c r="M52" s="1">
        <v>89</v>
      </c>
      <c r="N52" s="1">
        <v>86</v>
      </c>
      <c r="O52" s="1">
        <v>69</v>
      </c>
      <c r="P52" s="1">
        <v>89</v>
      </c>
      <c r="Q52" s="1">
        <v>85</v>
      </c>
      <c r="R52" s="1">
        <v>124</v>
      </c>
      <c r="S52" s="1">
        <v>115</v>
      </c>
      <c r="T52" s="1">
        <v>104</v>
      </c>
      <c r="U52" s="1">
        <v>104</v>
      </c>
      <c r="V52" s="1">
        <v>88</v>
      </c>
      <c r="W52" s="1">
        <v>63</v>
      </c>
      <c r="X52" s="1">
        <v>71</v>
      </c>
      <c r="Y52" s="1">
        <v>90</v>
      </c>
      <c r="Z52" s="1">
        <v>95</v>
      </c>
      <c r="AA52" s="2">
        <v>88</v>
      </c>
      <c r="AB52" s="2">
        <v>85</v>
      </c>
      <c r="AC52" s="1">
        <v>82</v>
      </c>
    </row>
    <row r="53" spans="1:29" x14ac:dyDescent="0.3">
      <c r="A53" s="1" t="s">
        <v>28</v>
      </c>
      <c r="B53" s="1">
        <v>126</v>
      </c>
      <c r="C53" s="1">
        <v>119</v>
      </c>
      <c r="D53" s="1">
        <v>120</v>
      </c>
      <c r="E53" s="1">
        <v>123</v>
      </c>
      <c r="F53" s="1">
        <v>131</v>
      </c>
      <c r="G53" s="1">
        <v>120</v>
      </c>
      <c r="H53" s="1">
        <v>113</v>
      </c>
      <c r="I53" s="1">
        <v>71</v>
      </c>
      <c r="J53" s="1">
        <v>66</v>
      </c>
      <c r="K53" s="1">
        <v>73</v>
      </c>
      <c r="L53" s="1">
        <v>69</v>
      </c>
      <c r="M53" s="1">
        <v>73</v>
      </c>
      <c r="N53" s="1">
        <v>63</v>
      </c>
      <c r="O53" s="1">
        <v>58</v>
      </c>
      <c r="P53" s="1">
        <v>93</v>
      </c>
      <c r="Q53" s="1">
        <v>83</v>
      </c>
      <c r="R53" s="1">
        <v>96</v>
      </c>
      <c r="S53" s="1">
        <v>92</v>
      </c>
      <c r="T53" s="1">
        <v>95</v>
      </c>
      <c r="U53" s="1">
        <v>86</v>
      </c>
      <c r="V53" s="1">
        <v>81</v>
      </c>
      <c r="W53" s="1">
        <v>67</v>
      </c>
      <c r="X53" s="1">
        <v>89</v>
      </c>
      <c r="Y53" s="1">
        <v>75</v>
      </c>
      <c r="Z53" s="1">
        <v>90</v>
      </c>
      <c r="AA53" s="1">
        <v>90</v>
      </c>
      <c r="AB53" s="1">
        <v>86</v>
      </c>
      <c r="AC53" s="1">
        <v>84</v>
      </c>
    </row>
    <row r="54" spans="1:29" x14ac:dyDescent="0.3">
      <c r="A54" s="1" t="s">
        <v>28</v>
      </c>
      <c r="B54" s="1">
        <v>156</v>
      </c>
      <c r="C54" s="1">
        <v>123</v>
      </c>
      <c r="D54" s="1">
        <v>141</v>
      </c>
      <c r="E54" s="1">
        <v>177</v>
      </c>
      <c r="F54" s="1">
        <v>146</v>
      </c>
      <c r="G54" s="1">
        <v>125</v>
      </c>
      <c r="H54" s="1">
        <v>119</v>
      </c>
      <c r="I54" s="1">
        <v>85</v>
      </c>
      <c r="J54" s="1">
        <v>81</v>
      </c>
      <c r="K54" s="1">
        <v>84</v>
      </c>
      <c r="L54" s="1">
        <v>122</v>
      </c>
      <c r="M54" s="1">
        <v>91</v>
      </c>
      <c r="N54" s="1">
        <v>76</v>
      </c>
      <c r="O54" s="1">
        <v>71</v>
      </c>
      <c r="P54" s="1">
        <v>109</v>
      </c>
      <c r="Q54" s="1">
        <v>96</v>
      </c>
      <c r="R54" s="1">
        <v>102</v>
      </c>
      <c r="S54" s="1">
        <v>142</v>
      </c>
      <c r="T54" s="1">
        <v>109</v>
      </c>
      <c r="U54" s="1">
        <v>93</v>
      </c>
      <c r="V54" s="1">
        <v>88</v>
      </c>
      <c r="W54" s="1">
        <v>69</v>
      </c>
      <c r="X54" s="1">
        <v>74</v>
      </c>
      <c r="Y54" s="1">
        <v>84</v>
      </c>
      <c r="Z54" s="1">
        <v>104</v>
      </c>
      <c r="AA54" s="1">
        <v>90</v>
      </c>
      <c r="AB54" s="1">
        <v>85</v>
      </c>
      <c r="AC54" s="1">
        <v>83</v>
      </c>
    </row>
    <row r="55" spans="1:29" x14ac:dyDescent="0.3">
      <c r="A55" s="1" t="s">
        <v>28</v>
      </c>
      <c r="B55" s="1">
        <v>131</v>
      </c>
      <c r="C55" s="1">
        <v>105</v>
      </c>
      <c r="D55" s="1">
        <v>89</v>
      </c>
      <c r="E55" s="1">
        <v>99</v>
      </c>
      <c r="F55" s="1">
        <v>92</v>
      </c>
      <c r="G55" s="1">
        <v>97</v>
      </c>
      <c r="H55" s="1">
        <v>99</v>
      </c>
      <c r="I55" s="1">
        <v>72</v>
      </c>
      <c r="J55" s="1">
        <v>46</v>
      </c>
      <c r="K55" s="1">
        <v>41</v>
      </c>
      <c r="L55" s="1">
        <v>48</v>
      </c>
      <c r="M55" s="1">
        <v>44</v>
      </c>
      <c r="N55" s="1">
        <v>42</v>
      </c>
      <c r="O55" s="1">
        <v>43</v>
      </c>
      <c r="P55" s="1">
        <v>94</v>
      </c>
      <c r="Q55" s="1">
        <v>72</v>
      </c>
      <c r="R55" s="1">
        <v>64</v>
      </c>
      <c r="S55" s="1">
        <v>70</v>
      </c>
      <c r="T55" s="1">
        <v>67</v>
      </c>
      <c r="U55" s="1">
        <v>69</v>
      </c>
      <c r="V55" s="1">
        <v>70</v>
      </c>
      <c r="W55" s="1">
        <v>50</v>
      </c>
      <c r="X55" s="1">
        <v>57</v>
      </c>
      <c r="Y55" s="1">
        <v>63</v>
      </c>
      <c r="Z55" s="1">
        <v>71</v>
      </c>
      <c r="AA55" s="1">
        <v>84</v>
      </c>
      <c r="AB55" s="1">
        <v>81</v>
      </c>
      <c r="AC55" s="1">
        <v>81</v>
      </c>
    </row>
    <row r="56" spans="1:29" x14ac:dyDescent="0.3">
      <c r="A56" s="1" t="s">
        <v>28</v>
      </c>
      <c r="B56" s="1">
        <v>144</v>
      </c>
      <c r="C56" s="1">
        <v>110</v>
      </c>
      <c r="D56" s="1">
        <v>142</v>
      </c>
      <c r="E56" s="1">
        <v>121</v>
      </c>
      <c r="F56" s="1">
        <v>112</v>
      </c>
      <c r="G56" s="1">
        <v>98</v>
      </c>
      <c r="H56" s="1">
        <v>89</v>
      </c>
      <c r="I56" s="1">
        <v>78</v>
      </c>
      <c r="J56" s="1">
        <v>51</v>
      </c>
      <c r="K56" s="1">
        <v>80</v>
      </c>
      <c r="L56" s="1">
        <v>64</v>
      </c>
      <c r="M56" s="1">
        <v>53</v>
      </c>
      <c r="N56" s="1">
        <v>44</v>
      </c>
      <c r="O56" s="1">
        <v>39</v>
      </c>
      <c r="P56" s="1">
        <v>100</v>
      </c>
      <c r="Q56" s="1">
        <v>74</v>
      </c>
      <c r="R56" s="1">
        <v>101</v>
      </c>
      <c r="S56" s="1">
        <v>85</v>
      </c>
      <c r="T56" s="1">
        <v>77</v>
      </c>
      <c r="U56" s="1">
        <v>69</v>
      </c>
      <c r="V56" s="1">
        <v>63</v>
      </c>
      <c r="W56" s="1">
        <v>98</v>
      </c>
      <c r="X56" s="1">
        <v>80</v>
      </c>
      <c r="Y56" s="1">
        <v>96</v>
      </c>
      <c r="Z56" s="1">
        <v>87</v>
      </c>
      <c r="AA56" s="1">
        <v>74</v>
      </c>
      <c r="AB56" s="1">
        <v>78</v>
      </c>
      <c r="AC56" s="1">
        <v>77</v>
      </c>
    </row>
    <row r="57" spans="1:29" x14ac:dyDescent="0.3">
      <c r="A57" s="1" t="s">
        <v>28</v>
      </c>
      <c r="B57" s="1">
        <v>140</v>
      </c>
      <c r="C57" s="1">
        <v>129</v>
      </c>
      <c r="D57" s="1">
        <v>153</v>
      </c>
      <c r="E57" s="1">
        <v>130</v>
      </c>
      <c r="F57" s="1">
        <v>128</v>
      </c>
      <c r="G57" s="1">
        <v>119</v>
      </c>
      <c r="H57" s="1">
        <v>112</v>
      </c>
      <c r="I57" s="1">
        <v>83</v>
      </c>
      <c r="J57" s="1">
        <v>79</v>
      </c>
      <c r="K57" s="1">
        <v>102</v>
      </c>
      <c r="L57" s="1">
        <v>70</v>
      </c>
      <c r="M57" s="1">
        <v>72</v>
      </c>
      <c r="N57" s="1">
        <v>56</v>
      </c>
      <c r="O57" s="1">
        <v>48</v>
      </c>
      <c r="P57" s="1">
        <v>102</v>
      </c>
      <c r="Q57" s="1">
        <v>96</v>
      </c>
      <c r="R57" s="1">
        <v>118</v>
      </c>
      <c r="S57" s="1">
        <v>93</v>
      </c>
      <c r="T57" s="1">
        <v>91</v>
      </c>
      <c r="U57" s="1">
        <v>80</v>
      </c>
      <c r="V57" s="1">
        <v>76</v>
      </c>
      <c r="W57" s="1">
        <v>70</v>
      </c>
      <c r="X57" s="1">
        <v>74</v>
      </c>
      <c r="Y57" s="1">
        <v>84</v>
      </c>
      <c r="Z57" s="1">
        <v>76</v>
      </c>
      <c r="AA57" s="1">
        <v>78</v>
      </c>
      <c r="AB57" s="1">
        <v>74</v>
      </c>
      <c r="AC57" s="1">
        <v>70</v>
      </c>
    </row>
    <row r="58" spans="1:29" x14ac:dyDescent="0.3">
      <c r="A58" s="1" t="s">
        <v>28</v>
      </c>
      <c r="B58" s="1">
        <v>127</v>
      </c>
      <c r="C58" s="1">
        <v>99</v>
      </c>
      <c r="D58" s="1">
        <v>104</v>
      </c>
      <c r="E58" s="1">
        <v>100</v>
      </c>
      <c r="F58" s="1">
        <v>98</v>
      </c>
      <c r="G58" s="1">
        <v>101</v>
      </c>
      <c r="H58" s="1">
        <v>93</v>
      </c>
      <c r="I58" s="1">
        <v>68</v>
      </c>
      <c r="J58" s="1">
        <v>50</v>
      </c>
      <c r="K58" s="1">
        <v>46</v>
      </c>
      <c r="L58" s="1">
        <v>53</v>
      </c>
      <c r="M58" s="1">
        <v>49</v>
      </c>
      <c r="N58" s="1">
        <v>44</v>
      </c>
      <c r="O58" s="1">
        <v>45</v>
      </c>
      <c r="P58" s="1">
        <v>93</v>
      </c>
      <c r="Q58" s="1">
        <v>71</v>
      </c>
      <c r="R58" s="1">
        <v>72</v>
      </c>
      <c r="S58" s="1">
        <v>76</v>
      </c>
      <c r="T58" s="1">
        <v>72</v>
      </c>
      <c r="U58" s="1">
        <v>72</v>
      </c>
      <c r="V58" s="1">
        <v>68</v>
      </c>
      <c r="W58" s="1">
        <v>66</v>
      </c>
      <c r="X58" s="1">
        <v>73</v>
      </c>
      <c r="Y58" s="1">
        <v>80</v>
      </c>
      <c r="Z58" s="1">
        <v>62</v>
      </c>
      <c r="AA58" s="1">
        <v>54</v>
      </c>
      <c r="AB58" s="1">
        <v>70</v>
      </c>
      <c r="AC58" s="1">
        <v>62</v>
      </c>
    </row>
    <row r="59" spans="1:29" x14ac:dyDescent="0.3">
      <c r="A59" s="1" t="s">
        <v>28</v>
      </c>
      <c r="B59" s="1">
        <v>122</v>
      </c>
      <c r="C59" s="1">
        <v>108</v>
      </c>
      <c r="D59" s="1">
        <v>122</v>
      </c>
      <c r="E59" s="1">
        <v>137</v>
      </c>
      <c r="F59" s="1">
        <v>131</v>
      </c>
      <c r="G59" s="1">
        <v>133</v>
      </c>
      <c r="H59" s="1">
        <v>112</v>
      </c>
      <c r="I59" s="1">
        <v>76</v>
      </c>
      <c r="J59" s="1">
        <v>61</v>
      </c>
      <c r="K59" s="1">
        <v>80</v>
      </c>
      <c r="L59" s="1">
        <v>107</v>
      </c>
      <c r="M59" s="1">
        <v>96</v>
      </c>
      <c r="N59" s="1">
        <v>93</v>
      </c>
      <c r="O59" s="1">
        <v>71</v>
      </c>
      <c r="P59" s="1">
        <v>93</v>
      </c>
      <c r="Q59" s="1">
        <v>78</v>
      </c>
      <c r="R59" s="1">
        <v>95</v>
      </c>
      <c r="S59" s="1">
        <v>119</v>
      </c>
      <c r="T59" s="1">
        <v>110</v>
      </c>
      <c r="U59" s="1">
        <v>108</v>
      </c>
      <c r="V59" s="1">
        <v>87</v>
      </c>
      <c r="W59" s="1">
        <v>83</v>
      </c>
      <c r="X59" s="1">
        <v>85</v>
      </c>
      <c r="Y59" s="1">
        <v>90</v>
      </c>
      <c r="Z59" s="1">
        <v>95</v>
      </c>
      <c r="AA59" s="1">
        <v>91</v>
      </c>
      <c r="AB59" s="1">
        <v>93</v>
      </c>
      <c r="AC59" s="1">
        <v>103</v>
      </c>
    </row>
    <row r="60" spans="1:29" x14ac:dyDescent="0.3">
      <c r="A60" s="1" t="s">
        <v>28</v>
      </c>
      <c r="B60" s="1">
        <v>143</v>
      </c>
      <c r="C60" s="1">
        <v>79</v>
      </c>
      <c r="D60" s="1">
        <v>121</v>
      </c>
      <c r="E60" s="1">
        <v>122</v>
      </c>
      <c r="F60" s="1">
        <v>105</v>
      </c>
      <c r="G60" s="1">
        <v>92</v>
      </c>
      <c r="H60" s="1">
        <v>84</v>
      </c>
      <c r="I60" s="1">
        <v>84</v>
      </c>
      <c r="J60" s="1">
        <v>56</v>
      </c>
      <c r="K60" s="1">
        <v>94</v>
      </c>
      <c r="L60" s="1">
        <v>79</v>
      </c>
      <c r="M60" s="1">
        <v>69</v>
      </c>
      <c r="N60" s="1">
        <v>63</v>
      </c>
      <c r="O60" s="1">
        <v>55</v>
      </c>
      <c r="P60" s="1">
        <v>110</v>
      </c>
      <c r="Q60" s="1">
        <v>66</v>
      </c>
      <c r="R60" s="1">
        <v>106</v>
      </c>
      <c r="S60" s="1">
        <v>95</v>
      </c>
      <c r="T60" s="1">
        <v>82</v>
      </c>
      <c r="U60" s="1">
        <v>75</v>
      </c>
      <c r="V60" s="1">
        <v>67</v>
      </c>
      <c r="W60" s="1">
        <v>66</v>
      </c>
      <c r="X60" s="1">
        <v>66</v>
      </c>
      <c r="Y60" s="1">
        <v>77</v>
      </c>
      <c r="Z60" s="1">
        <v>80</v>
      </c>
      <c r="AA60" s="1">
        <v>70</v>
      </c>
      <c r="AB60" s="1">
        <v>69</v>
      </c>
      <c r="AC60" s="1">
        <v>67</v>
      </c>
    </row>
    <row r="61" spans="1:29" x14ac:dyDescent="0.3">
      <c r="A61" s="1" t="s">
        <v>28</v>
      </c>
      <c r="B61" s="1">
        <v>127</v>
      </c>
      <c r="C61" s="1">
        <v>94</v>
      </c>
      <c r="D61" s="1">
        <v>122</v>
      </c>
      <c r="E61" s="1">
        <v>112</v>
      </c>
      <c r="F61" s="1">
        <v>106</v>
      </c>
      <c r="G61" s="1">
        <v>101</v>
      </c>
      <c r="H61" s="1">
        <v>97</v>
      </c>
      <c r="I61" s="1">
        <v>77</v>
      </c>
      <c r="J61" s="1">
        <v>54</v>
      </c>
      <c r="K61" s="1">
        <v>89</v>
      </c>
      <c r="L61" s="1">
        <v>75</v>
      </c>
      <c r="M61" s="1">
        <v>65</v>
      </c>
      <c r="N61" s="1">
        <v>63</v>
      </c>
      <c r="O61" s="1">
        <v>60</v>
      </c>
      <c r="P61" s="1">
        <v>95</v>
      </c>
      <c r="Q61" s="1">
        <v>69</v>
      </c>
      <c r="R61" s="1">
        <v>101</v>
      </c>
      <c r="S61" s="1">
        <v>90</v>
      </c>
      <c r="T61" s="1">
        <v>81</v>
      </c>
      <c r="U61" s="1">
        <v>79</v>
      </c>
      <c r="V61" s="1">
        <v>75</v>
      </c>
      <c r="W61" s="1">
        <v>93</v>
      </c>
      <c r="X61" s="1">
        <v>89</v>
      </c>
      <c r="Y61" s="1">
        <v>90</v>
      </c>
      <c r="Z61" s="1">
        <v>90</v>
      </c>
      <c r="AA61" s="1">
        <v>91</v>
      </c>
      <c r="AB61" s="1">
        <v>87</v>
      </c>
      <c r="AC61" s="1">
        <v>85</v>
      </c>
    </row>
    <row r="62" spans="1:29" x14ac:dyDescent="0.3">
      <c r="A62" s="1" t="s">
        <v>28</v>
      </c>
      <c r="B62" s="1">
        <v>134</v>
      </c>
      <c r="C62" s="1">
        <v>110</v>
      </c>
      <c r="D62" s="1">
        <v>155</v>
      </c>
      <c r="E62" s="1">
        <v>168</v>
      </c>
      <c r="F62" s="1">
        <v>132</v>
      </c>
      <c r="G62" s="1">
        <v>125</v>
      </c>
      <c r="H62" s="1">
        <v>115</v>
      </c>
      <c r="I62" s="1">
        <v>75</v>
      </c>
      <c r="J62" s="1">
        <v>72</v>
      </c>
      <c r="K62" s="1">
        <v>112</v>
      </c>
      <c r="L62" s="1">
        <v>123</v>
      </c>
      <c r="M62" s="1">
        <v>96</v>
      </c>
      <c r="N62" s="1">
        <v>81</v>
      </c>
      <c r="O62" s="1">
        <v>79</v>
      </c>
      <c r="P62" s="1">
        <v>111</v>
      </c>
      <c r="Q62" s="1">
        <v>90</v>
      </c>
      <c r="R62" s="1">
        <v>127</v>
      </c>
      <c r="S62" s="1">
        <v>141</v>
      </c>
      <c r="T62" s="1">
        <v>111</v>
      </c>
      <c r="U62" s="1">
        <v>100</v>
      </c>
      <c r="V62" s="1">
        <v>96</v>
      </c>
      <c r="W62" s="1">
        <v>66</v>
      </c>
      <c r="X62" s="1">
        <v>65</v>
      </c>
      <c r="Y62" s="1">
        <v>84</v>
      </c>
      <c r="Z62" s="1">
        <v>86</v>
      </c>
      <c r="AA62" s="1">
        <v>77</v>
      </c>
      <c r="AB62" s="1">
        <v>72</v>
      </c>
      <c r="AC62" s="1">
        <v>67</v>
      </c>
    </row>
    <row r="63" spans="1:29" x14ac:dyDescent="0.3">
      <c r="A63" s="1" t="s">
        <v>28</v>
      </c>
      <c r="B63" s="1">
        <v>143</v>
      </c>
      <c r="C63" s="1">
        <v>113</v>
      </c>
      <c r="D63" s="1">
        <v>117</v>
      </c>
      <c r="E63" s="1">
        <v>116</v>
      </c>
      <c r="F63" s="1">
        <v>113</v>
      </c>
      <c r="G63" s="1">
        <v>111</v>
      </c>
      <c r="H63" s="1">
        <v>113</v>
      </c>
      <c r="I63" s="1">
        <v>94</v>
      </c>
      <c r="J63" s="1">
        <v>65</v>
      </c>
      <c r="K63" s="1">
        <v>70</v>
      </c>
      <c r="L63" s="1">
        <v>62</v>
      </c>
      <c r="M63" s="1">
        <v>61</v>
      </c>
      <c r="N63" s="1">
        <v>58</v>
      </c>
      <c r="O63" s="1">
        <v>58</v>
      </c>
      <c r="P63" s="1">
        <v>111</v>
      </c>
      <c r="Q63" s="1">
        <v>82</v>
      </c>
      <c r="R63" s="1">
        <v>87</v>
      </c>
      <c r="S63" s="1">
        <v>86</v>
      </c>
      <c r="T63" s="1">
        <v>84</v>
      </c>
      <c r="U63" s="1">
        <v>84</v>
      </c>
      <c r="V63" s="1">
        <v>84</v>
      </c>
      <c r="W63" s="1">
        <v>66</v>
      </c>
      <c r="X63" s="1">
        <v>67</v>
      </c>
      <c r="Y63" s="1">
        <v>69</v>
      </c>
      <c r="Z63" s="1">
        <v>65</v>
      </c>
      <c r="AA63" s="1">
        <v>66</v>
      </c>
      <c r="AB63" s="1">
        <v>66</v>
      </c>
      <c r="AC63" s="1">
        <v>66</v>
      </c>
    </row>
    <row r="64" spans="1:29" x14ac:dyDescent="0.3">
      <c r="A64" s="1" t="s">
        <v>28</v>
      </c>
      <c r="B64" s="1">
        <v>127</v>
      </c>
      <c r="C64" s="1">
        <v>107</v>
      </c>
      <c r="D64" s="1">
        <v>140</v>
      </c>
      <c r="E64" s="1">
        <v>144</v>
      </c>
      <c r="F64" s="1">
        <v>130</v>
      </c>
      <c r="G64" s="1">
        <v>122</v>
      </c>
      <c r="H64" s="1">
        <v>119</v>
      </c>
      <c r="I64" s="1">
        <v>71</v>
      </c>
      <c r="J64" s="1">
        <v>57</v>
      </c>
      <c r="K64" s="1">
        <v>92</v>
      </c>
      <c r="L64" s="1">
        <v>91</v>
      </c>
      <c r="M64" s="1">
        <v>77</v>
      </c>
      <c r="N64" s="1">
        <v>67</v>
      </c>
      <c r="O64" s="1">
        <v>60</v>
      </c>
      <c r="P64" s="1">
        <v>94</v>
      </c>
      <c r="Q64" s="1">
        <v>77</v>
      </c>
      <c r="R64" s="1">
        <v>110</v>
      </c>
      <c r="S64" s="1">
        <v>114</v>
      </c>
      <c r="T64" s="1">
        <v>101</v>
      </c>
      <c r="U64" s="1">
        <v>92</v>
      </c>
      <c r="V64" s="1">
        <v>83</v>
      </c>
      <c r="W64" s="1">
        <v>62</v>
      </c>
      <c r="X64" s="1">
        <v>76</v>
      </c>
      <c r="Y64" s="1">
        <v>95</v>
      </c>
      <c r="Z64" s="1">
        <v>95</v>
      </c>
      <c r="AA64" s="1">
        <v>94</v>
      </c>
      <c r="AB64" s="1">
        <v>89</v>
      </c>
      <c r="AC64" s="1">
        <v>84</v>
      </c>
    </row>
    <row r="65" spans="1:29" x14ac:dyDescent="0.3">
      <c r="A65" s="1" t="s">
        <v>28</v>
      </c>
      <c r="B65" s="1">
        <v>120</v>
      </c>
      <c r="C65" s="1">
        <v>139</v>
      </c>
      <c r="D65" s="1">
        <v>119</v>
      </c>
      <c r="E65" s="1">
        <v>110</v>
      </c>
      <c r="F65" s="1">
        <v>100</v>
      </c>
      <c r="G65" s="1">
        <v>97</v>
      </c>
      <c r="H65" s="1">
        <v>95</v>
      </c>
      <c r="I65" s="1">
        <v>51</v>
      </c>
      <c r="J65" s="1">
        <v>88</v>
      </c>
      <c r="K65" s="1">
        <v>55</v>
      </c>
      <c r="L65" s="1">
        <v>47</v>
      </c>
      <c r="M65" s="1">
        <v>41</v>
      </c>
      <c r="N65" s="1">
        <v>39</v>
      </c>
      <c r="O65" s="1">
        <v>39</v>
      </c>
      <c r="P65" s="1">
        <v>77</v>
      </c>
      <c r="Q65" s="1">
        <v>108</v>
      </c>
      <c r="R65" s="1">
        <v>83</v>
      </c>
      <c r="S65" s="1">
        <v>69</v>
      </c>
      <c r="T65" s="1">
        <v>68</v>
      </c>
      <c r="U65" s="1">
        <v>66</v>
      </c>
      <c r="V65" s="1">
        <v>64</v>
      </c>
      <c r="W65" s="1">
        <v>75</v>
      </c>
      <c r="X65" s="1">
        <v>97</v>
      </c>
      <c r="Y65" s="1">
        <v>92</v>
      </c>
      <c r="Z65" s="1">
        <v>98</v>
      </c>
      <c r="AA65" s="1">
        <v>99</v>
      </c>
      <c r="AB65" s="1">
        <v>99</v>
      </c>
      <c r="AC65" s="1">
        <v>98</v>
      </c>
    </row>
    <row r="66" spans="1:29" x14ac:dyDescent="0.3">
      <c r="A66" s="1" t="s">
        <v>28</v>
      </c>
      <c r="B66" s="1">
        <v>150</v>
      </c>
      <c r="C66" s="1">
        <v>104</v>
      </c>
      <c r="D66" s="1">
        <v>116</v>
      </c>
      <c r="E66" s="1">
        <v>120</v>
      </c>
      <c r="F66" s="1">
        <v>113</v>
      </c>
      <c r="G66" s="1">
        <v>111</v>
      </c>
      <c r="H66" s="1">
        <v>110</v>
      </c>
      <c r="I66" s="1">
        <v>89</v>
      </c>
      <c r="J66" s="1">
        <v>65</v>
      </c>
      <c r="K66" s="1">
        <v>75</v>
      </c>
      <c r="L66" s="1">
        <v>73</v>
      </c>
      <c r="M66" s="1">
        <v>74</v>
      </c>
      <c r="N66" s="1">
        <v>71</v>
      </c>
      <c r="O66" s="1">
        <v>69</v>
      </c>
      <c r="P66" s="1">
        <v>108</v>
      </c>
      <c r="Q66" s="1">
        <v>80</v>
      </c>
      <c r="R66" s="1">
        <v>92</v>
      </c>
      <c r="S66" s="1">
        <v>92</v>
      </c>
      <c r="T66" s="1">
        <v>87</v>
      </c>
      <c r="U66" s="1">
        <v>86</v>
      </c>
      <c r="V66" s="1">
        <v>80</v>
      </c>
      <c r="W66" s="1">
        <v>73</v>
      </c>
      <c r="X66" s="1">
        <v>71</v>
      </c>
      <c r="Y66" s="1">
        <v>71</v>
      </c>
      <c r="Z66" s="1">
        <v>69</v>
      </c>
      <c r="AA66" s="1">
        <v>69</v>
      </c>
      <c r="AB66" s="1">
        <v>70</v>
      </c>
      <c r="AC66" s="1">
        <v>74</v>
      </c>
    </row>
    <row r="67" spans="1:29" x14ac:dyDescent="0.3">
      <c r="A67" s="1" t="s">
        <v>28</v>
      </c>
      <c r="B67" s="1">
        <v>129</v>
      </c>
      <c r="C67" s="1">
        <v>91</v>
      </c>
      <c r="D67" s="1">
        <v>124</v>
      </c>
      <c r="E67" s="1">
        <v>121</v>
      </c>
      <c r="F67" s="1">
        <v>113</v>
      </c>
      <c r="G67" s="1">
        <v>103</v>
      </c>
      <c r="H67" s="1">
        <v>103</v>
      </c>
      <c r="I67" s="1">
        <v>72</v>
      </c>
      <c r="J67" s="1">
        <v>59</v>
      </c>
      <c r="K67" s="1">
        <v>87</v>
      </c>
      <c r="L67" s="1">
        <v>78</v>
      </c>
      <c r="M67" s="1">
        <v>66</v>
      </c>
      <c r="N67" s="1">
        <v>63</v>
      </c>
      <c r="O67" s="1">
        <v>58</v>
      </c>
      <c r="P67" s="1">
        <v>96</v>
      </c>
      <c r="Q67" s="1">
        <v>74</v>
      </c>
      <c r="R67" s="1">
        <v>101</v>
      </c>
      <c r="S67" s="1">
        <v>105</v>
      </c>
      <c r="T67" s="1">
        <v>87</v>
      </c>
      <c r="U67" s="1">
        <v>83</v>
      </c>
      <c r="V67" s="1">
        <v>79</v>
      </c>
      <c r="W67" s="1">
        <v>50</v>
      </c>
      <c r="X67" s="1">
        <v>80</v>
      </c>
      <c r="Y67" s="1">
        <v>86</v>
      </c>
      <c r="Z67" s="1">
        <v>88</v>
      </c>
      <c r="AA67" s="1">
        <v>84</v>
      </c>
      <c r="AB67" s="1">
        <v>87</v>
      </c>
      <c r="AC67" s="1">
        <v>87</v>
      </c>
    </row>
    <row r="68" spans="1:29" x14ac:dyDescent="0.3">
      <c r="A68" s="1" t="s">
        <v>28</v>
      </c>
      <c r="B68" s="1">
        <v>128</v>
      </c>
      <c r="C68" s="1">
        <v>104</v>
      </c>
      <c r="D68" s="1">
        <v>117</v>
      </c>
      <c r="E68" s="1">
        <v>128</v>
      </c>
      <c r="F68" s="1">
        <v>116</v>
      </c>
      <c r="G68" s="1">
        <v>108</v>
      </c>
      <c r="H68" s="1">
        <v>105</v>
      </c>
      <c r="I68" s="1">
        <v>68</v>
      </c>
      <c r="J68" s="1">
        <v>46</v>
      </c>
      <c r="K68" s="1">
        <v>36</v>
      </c>
      <c r="L68" s="1">
        <v>71</v>
      </c>
      <c r="M68" s="1">
        <v>60</v>
      </c>
      <c r="N68" s="1">
        <v>50</v>
      </c>
      <c r="O68" s="1">
        <v>48</v>
      </c>
      <c r="P68" s="1">
        <v>91</v>
      </c>
      <c r="Q68" s="1">
        <v>76</v>
      </c>
      <c r="R68" s="1">
        <v>78</v>
      </c>
      <c r="S68" s="1">
        <v>99</v>
      </c>
      <c r="T68" s="1">
        <v>83</v>
      </c>
      <c r="U68" s="1">
        <v>78</v>
      </c>
      <c r="V68" s="1">
        <v>76</v>
      </c>
      <c r="W68" s="1">
        <v>72</v>
      </c>
      <c r="X68" s="1">
        <v>65</v>
      </c>
      <c r="Y68" s="1">
        <v>90</v>
      </c>
      <c r="Z68" s="1">
        <v>85</v>
      </c>
      <c r="AA68" s="1">
        <v>75</v>
      </c>
      <c r="AB68" s="1">
        <v>63</v>
      </c>
      <c r="AC68" s="1">
        <v>62</v>
      </c>
    </row>
    <row r="69" spans="1:29" x14ac:dyDescent="0.3">
      <c r="A69" s="1" t="s">
        <v>28</v>
      </c>
      <c r="B69" s="1">
        <v>137</v>
      </c>
      <c r="C69" s="1">
        <v>106</v>
      </c>
      <c r="D69" s="1">
        <v>139</v>
      </c>
      <c r="E69" s="1">
        <v>177</v>
      </c>
      <c r="F69" s="1">
        <v>146</v>
      </c>
      <c r="G69" s="1">
        <v>125</v>
      </c>
      <c r="H69" s="1">
        <v>118</v>
      </c>
      <c r="I69" s="1">
        <v>66</v>
      </c>
      <c r="J69" s="1">
        <v>68</v>
      </c>
      <c r="K69" s="1">
        <v>110</v>
      </c>
      <c r="L69" s="1">
        <v>121</v>
      </c>
      <c r="M69" s="1">
        <v>93</v>
      </c>
      <c r="N69" s="1">
        <v>77</v>
      </c>
      <c r="O69" s="1">
        <v>69</v>
      </c>
      <c r="P69" s="1">
        <v>90</v>
      </c>
      <c r="Q69" s="1">
        <v>86</v>
      </c>
      <c r="R69" s="1">
        <v>121</v>
      </c>
      <c r="S69" s="1">
        <v>141</v>
      </c>
      <c r="T69" s="1">
        <v>111</v>
      </c>
      <c r="U69" s="1">
        <v>94</v>
      </c>
      <c r="V69" s="1">
        <v>87</v>
      </c>
      <c r="W69" s="1">
        <v>58</v>
      </c>
      <c r="X69" s="1">
        <v>69</v>
      </c>
      <c r="Y69" s="1">
        <v>91</v>
      </c>
      <c r="Z69" s="1">
        <v>106</v>
      </c>
      <c r="AA69" s="1">
        <v>108</v>
      </c>
      <c r="AB69" s="1">
        <v>86</v>
      </c>
      <c r="AC69" s="1">
        <v>86</v>
      </c>
    </row>
    <row r="70" spans="1:29" x14ac:dyDescent="0.3">
      <c r="B70" s="1">
        <f>AVERAGE(B39:B69)</f>
        <v>130.7741935483871</v>
      </c>
      <c r="C70" s="1">
        <f t="shared" ref="C70:AC70" si="1">AVERAGE(C39:C69)</f>
        <v>106.64516129032258</v>
      </c>
      <c r="D70" s="1">
        <f t="shared" si="1"/>
        <v>122.12903225806451</v>
      </c>
      <c r="E70" s="1">
        <f t="shared" si="1"/>
        <v>123.96774193548387</v>
      </c>
      <c r="F70" s="1">
        <f t="shared" si="1"/>
        <v>114.7741935483871</v>
      </c>
      <c r="G70" s="1">
        <f t="shared" si="1"/>
        <v>108.96774193548387</v>
      </c>
      <c r="H70" s="1">
        <f t="shared" si="1"/>
        <v>104.3225806451613</v>
      </c>
      <c r="I70" s="1">
        <f t="shared" si="1"/>
        <v>76.645161290322577</v>
      </c>
      <c r="J70" s="1">
        <f t="shared" si="1"/>
        <v>63.483870967741936</v>
      </c>
      <c r="K70" s="1">
        <f t="shared" si="1"/>
        <v>77.612903225806448</v>
      </c>
      <c r="L70" s="1">
        <f t="shared" si="1"/>
        <v>77.838709677419359</v>
      </c>
      <c r="M70" s="1">
        <f t="shared" si="1"/>
        <v>68.709677419354833</v>
      </c>
      <c r="N70" s="1">
        <f t="shared" si="1"/>
        <v>62.064516129032256</v>
      </c>
      <c r="O70" s="1">
        <f t="shared" si="1"/>
        <v>59.096774193548384</v>
      </c>
      <c r="P70" s="1">
        <f t="shared" si="1"/>
        <v>97.612903225806448</v>
      </c>
      <c r="Q70" s="1">
        <f t="shared" si="1"/>
        <v>80.516129032258064</v>
      </c>
      <c r="R70" s="1">
        <f t="shared" si="1"/>
        <v>95.193548387096769</v>
      </c>
      <c r="S70" s="1">
        <f t="shared" si="1"/>
        <v>96.806451612903231</v>
      </c>
      <c r="T70" s="1">
        <f t="shared" si="1"/>
        <v>87.516129032258064</v>
      </c>
      <c r="U70" s="1">
        <f t="shared" si="1"/>
        <v>82.161290322580641</v>
      </c>
      <c r="V70" s="1">
        <f t="shared" si="1"/>
        <v>78.451612903225808</v>
      </c>
      <c r="W70" s="1">
        <f t="shared" si="1"/>
        <v>71.322580645161295</v>
      </c>
      <c r="X70" s="1">
        <f>AVERAGE(X39:X69)</f>
        <v>75</v>
      </c>
      <c r="Y70" s="1">
        <f t="shared" si="1"/>
        <v>80.41935483870968</v>
      </c>
      <c r="Z70" s="1">
        <f t="shared" si="1"/>
        <v>82.387096774193552</v>
      </c>
      <c r="AA70" s="1">
        <f t="shared" si="1"/>
        <v>79</v>
      </c>
      <c r="AB70" s="1">
        <f t="shared" si="1"/>
        <v>77.870967741935488</v>
      </c>
      <c r="AC70" s="1">
        <f t="shared" si="1"/>
        <v>80.935483870967744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workbookViewId="0">
      <selection activeCell="F26" sqref="F26"/>
    </sheetView>
  </sheetViews>
  <sheetFormatPr defaultRowHeight="16.5" x14ac:dyDescent="0.3"/>
  <cols>
    <col min="2" max="2" width="12.25" customWidth="1"/>
    <col min="3" max="3" width="13" customWidth="1"/>
    <col min="9" max="9" width="16.125" customWidth="1"/>
    <col min="10" max="10" width="21.25" customWidth="1"/>
    <col min="11" max="11" width="15.125" customWidth="1"/>
    <col min="12" max="12" width="16.375" customWidth="1"/>
    <col min="13" max="13" width="9.625" customWidth="1"/>
  </cols>
  <sheetData>
    <row r="1" spans="1:13" x14ac:dyDescent="0.3">
      <c r="A1" s="1"/>
      <c r="B1" s="1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 t="s">
        <v>27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/>
      <c r="J2" s="1" t="s">
        <v>32</v>
      </c>
      <c r="K2" s="1" t="s">
        <v>29</v>
      </c>
      <c r="L2" s="1" t="s">
        <v>30</v>
      </c>
      <c r="M2" s="1" t="s">
        <v>31</v>
      </c>
    </row>
    <row r="3" spans="1:13" x14ac:dyDescent="0.3">
      <c r="A3" s="1" t="s">
        <v>21</v>
      </c>
      <c r="B3" s="1">
        <v>85</v>
      </c>
      <c r="C3" s="1"/>
      <c r="D3" s="1">
        <v>105</v>
      </c>
      <c r="E3" s="1"/>
      <c r="F3" s="1"/>
      <c r="G3" s="1"/>
      <c r="H3" s="1"/>
      <c r="I3" s="1">
        <f>(H3+G3+F3+E3+D3+C3-B3)</f>
        <v>20</v>
      </c>
      <c r="J3" s="1">
        <f>I3/B3</f>
        <v>0.23529411764705882</v>
      </c>
      <c r="K3" s="1">
        <v>56</v>
      </c>
      <c r="L3" s="1">
        <v>86</v>
      </c>
      <c r="M3" s="1">
        <f>(L3-K3)/L3</f>
        <v>0.34883720930232559</v>
      </c>
    </row>
    <row r="4" spans="1:13" x14ac:dyDescent="0.3">
      <c r="A4" s="1" t="s">
        <v>21</v>
      </c>
      <c r="B4" s="1">
        <v>119</v>
      </c>
      <c r="C4" s="1"/>
      <c r="D4" s="1">
        <v>158</v>
      </c>
      <c r="E4" s="1"/>
      <c r="F4" s="1"/>
      <c r="G4" s="1"/>
      <c r="H4" s="1"/>
      <c r="I4" s="1">
        <f>(H4+G4+F4+E4+D4+C4-B4)</f>
        <v>39</v>
      </c>
      <c r="J4" s="1">
        <f t="shared" ref="J4:J34" si="0">I4/B4</f>
        <v>0.32773109243697479</v>
      </c>
      <c r="K4" s="1">
        <v>68</v>
      </c>
      <c r="L4" s="1">
        <v>118</v>
      </c>
      <c r="M4" s="1">
        <f t="shared" ref="M4:M34" si="1">(L4-K4)/L4</f>
        <v>0.42372881355932202</v>
      </c>
    </row>
    <row r="5" spans="1:13" x14ac:dyDescent="0.3">
      <c r="A5" s="1" t="s">
        <v>21</v>
      </c>
      <c r="B5" s="1">
        <v>130</v>
      </c>
      <c r="C5" s="1"/>
      <c r="D5" s="1">
        <v>162</v>
      </c>
      <c r="E5" s="1"/>
      <c r="F5" s="1"/>
      <c r="G5" s="1"/>
      <c r="H5" s="1"/>
      <c r="I5" s="1">
        <f t="shared" ref="I5:I68" si="2">(H5+G5+F5+E5+D5+C5-B5)</f>
        <v>32</v>
      </c>
      <c r="J5" s="1">
        <f t="shared" si="0"/>
        <v>0.24615384615384617</v>
      </c>
      <c r="K5" s="1">
        <v>70</v>
      </c>
      <c r="L5" s="1">
        <v>88</v>
      </c>
      <c r="M5" s="1">
        <f t="shared" si="1"/>
        <v>0.20454545454545456</v>
      </c>
    </row>
    <row r="6" spans="1:13" x14ac:dyDescent="0.3">
      <c r="A6" s="1" t="s">
        <v>21</v>
      </c>
      <c r="B6" s="1">
        <v>94</v>
      </c>
      <c r="C6" s="1"/>
      <c r="D6" s="1"/>
      <c r="E6" s="1"/>
      <c r="F6" s="1">
        <v>102</v>
      </c>
      <c r="G6" s="1"/>
      <c r="H6" s="1"/>
      <c r="I6" s="1">
        <f t="shared" si="2"/>
        <v>8</v>
      </c>
      <c r="J6" s="1">
        <f t="shared" si="0"/>
        <v>8.5106382978723402E-2</v>
      </c>
      <c r="K6" s="1">
        <v>70</v>
      </c>
      <c r="L6" s="1">
        <v>105</v>
      </c>
      <c r="M6" s="1">
        <f t="shared" si="1"/>
        <v>0.33333333333333331</v>
      </c>
    </row>
    <row r="7" spans="1:13" x14ac:dyDescent="0.3">
      <c r="A7" s="1" t="s">
        <v>21</v>
      </c>
      <c r="B7" s="1">
        <v>97</v>
      </c>
      <c r="C7" s="1"/>
      <c r="D7" s="1"/>
      <c r="E7" s="1">
        <v>116</v>
      </c>
      <c r="F7" s="1"/>
      <c r="G7" s="1"/>
      <c r="H7" s="1"/>
      <c r="I7" s="1">
        <f t="shared" si="2"/>
        <v>19</v>
      </c>
      <c r="J7" s="1">
        <f t="shared" si="0"/>
        <v>0.19587628865979381</v>
      </c>
      <c r="K7" s="1">
        <v>82</v>
      </c>
      <c r="L7" s="1">
        <v>99</v>
      </c>
      <c r="M7" s="1">
        <f t="shared" si="1"/>
        <v>0.17171717171717171</v>
      </c>
    </row>
    <row r="8" spans="1:13" x14ac:dyDescent="0.3">
      <c r="A8" s="1" t="s">
        <v>21</v>
      </c>
      <c r="B8" s="1">
        <v>112</v>
      </c>
      <c r="C8" s="1"/>
      <c r="D8" s="1"/>
      <c r="E8" s="1"/>
      <c r="F8" s="1"/>
      <c r="G8" s="1">
        <v>156</v>
      </c>
      <c r="H8" s="1"/>
      <c r="I8" s="1">
        <f t="shared" si="2"/>
        <v>44</v>
      </c>
      <c r="J8" s="1">
        <f t="shared" si="0"/>
        <v>0.39285714285714285</v>
      </c>
      <c r="K8" s="1">
        <v>57</v>
      </c>
      <c r="L8" s="1">
        <v>101</v>
      </c>
      <c r="M8" s="1">
        <f t="shared" si="1"/>
        <v>0.43564356435643564</v>
      </c>
    </row>
    <row r="9" spans="1:13" x14ac:dyDescent="0.3">
      <c r="A9" s="1" t="s">
        <v>21</v>
      </c>
      <c r="B9" s="1">
        <v>119</v>
      </c>
      <c r="C9" s="1"/>
      <c r="D9" s="1">
        <v>130</v>
      </c>
      <c r="E9" s="1"/>
      <c r="F9" s="1"/>
      <c r="G9" s="1"/>
      <c r="H9" s="1"/>
      <c r="I9" s="1">
        <f t="shared" si="2"/>
        <v>11</v>
      </c>
      <c r="J9" s="1">
        <f t="shared" si="0"/>
        <v>9.2436974789915971E-2</v>
      </c>
      <c r="K9" s="1">
        <v>68</v>
      </c>
      <c r="L9" s="1">
        <v>72</v>
      </c>
      <c r="M9" s="1">
        <f t="shared" si="1"/>
        <v>5.5555555555555552E-2</v>
      </c>
    </row>
    <row r="10" spans="1:13" x14ac:dyDescent="0.3">
      <c r="A10" s="1" t="s">
        <v>21</v>
      </c>
      <c r="B10" s="1">
        <v>94</v>
      </c>
      <c r="C10" s="1"/>
      <c r="D10" s="1">
        <v>105</v>
      </c>
      <c r="E10" s="1"/>
      <c r="F10" s="1"/>
      <c r="G10" s="1"/>
      <c r="H10" s="1"/>
      <c r="I10" s="1">
        <f t="shared" si="2"/>
        <v>11</v>
      </c>
      <c r="J10" s="1">
        <f t="shared" si="0"/>
        <v>0.11702127659574468</v>
      </c>
      <c r="K10" s="1">
        <v>74</v>
      </c>
      <c r="L10" s="1">
        <v>104</v>
      </c>
      <c r="M10" s="1">
        <f t="shared" si="1"/>
        <v>0.28846153846153844</v>
      </c>
    </row>
    <row r="11" spans="1:13" x14ac:dyDescent="0.3">
      <c r="A11" s="1" t="s">
        <v>21</v>
      </c>
      <c r="B11" s="1">
        <v>92</v>
      </c>
      <c r="C11" s="1"/>
      <c r="D11" s="1">
        <v>120</v>
      </c>
      <c r="E11" s="1"/>
      <c r="F11" s="1"/>
      <c r="G11" s="1"/>
      <c r="H11" s="1"/>
      <c r="I11" s="1">
        <f t="shared" si="2"/>
        <v>28</v>
      </c>
      <c r="J11" s="1">
        <f t="shared" si="0"/>
        <v>0.30434782608695654</v>
      </c>
      <c r="K11" s="1">
        <v>74</v>
      </c>
      <c r="L11" s="1">
        <v>102</v>
      </c>
      <c r="M11" s="1">
        <f t="shared" si="1"/>
        <v>0.27450980392156865</v>
      </c>
    </row>
    <row r="12" spans="1:13" x14ac:dyDescent="0.3">
      <c r="A12" s="1" t="s">
        <v>21</v>
      </c>
      <c r="B12" s="1">
        <v>116</v>
      </c>
      <c r="C12" s="1"/>
      <c r="D12" s="1"/>
      <c r="E12" s="1"/>
      <c r="F12" s="1"/>
      <c r="G12" s="1">
        <v>115</v>
      </c>
      <c r="H12" s="1"/>
      <c r="I12" s="1">
        <f t="shared" si="2"/>
        <v>-1</v>
      </c>
      <c r="J12" s="1">
        <f t="shared" si="0"/>
        <v>-8.6206896551724137E-3</v>
      </c>
      <c r="K12" s="1">
        <v>69</v>
      </c>
      <c r="L12" s="1">
        <v>95</v>
      </c>
      <c r="M12" s="1">
        <f t="shared" si="1"/>
        <v>0.27368421052631581</v>
      </c>
    </row>
    <row r="13" spans="1:13" x14ac:dyDescent="0.3">
      <c r="A13" s="1" t="s">
        <v>21</v>
      </c>
      <c r="B13" s="1">
        <v>98</v>
      </c>
      <c r="C13" s="1"/>
      <c r="D13" s="1">
        <v>107</v>
      </c>
      <c r="E13" s="1"/>
      <c r="F13" s="1"/>
      <c r="G13" s="1"/>
      <c r="H13" s="1"/>
      <c r="I13" s="1">
        <f t="shared" si="2"/>
        <v>9</v>
      </c>
      <c r="J13" s="1">
        <f t="shared" si="0"/>
        <v>9.1836734693877556E-2</v>
      </c>
      <c r="K13" s="1">
        <v>75</v>
      </c>
      <c r="L13" s="1">
        <v>80</v>
      </c>
      <c r="M13" s="1">
        <f t="shared" si="1"/>
        <v>6.25E-2</v>
      </c>
    </row>
    <row r="14" spans="1:13" x14ac:dyDescent="0.3">
      <c r="A14" s="1" t="s">
        <v>21</v>
      </c>
      <c r="B14" s="1">
        <v>96</v>
      </c>
      <c r="C14" s="1">
        <v>108</v>
      </c>
      <c r="D14" s="1"/>
      <c r="E14" s="1"/>
      <c r="F14" s="1"/>
      <c r="G14" s="1"/>
      <c r="H14" s="2"/>
      <c r="I14" s="1">
        <f t="shared" si="2"/>
        <v>12</v>
      </c>
      <c r="J14" s="1">
        <f t="shared" si="0"/>
        <v>0.125</v>
      </c>
      <c r="K14" s="1">
        <v>72</v>
      </c>
      <c r="L14" s="1">
        <v>89</v>
      </c>
      <c r="M14" s="1">
        <f t="shared" si="1"/>
        <v>0.19101123595505617</v>
      </c>
    </row>
    <row r="15" spans="1:13" x14ac:dyDescent="0.3">
      <c r="A15" s="1" t="s">
        <v>21</v>
      </c>
      <c r="B15" s="1">
        <v>84</v>
      </c>
      <c r="C15" s="1"/>
      <c r="D15" s="1"/>
      <c r="E15" s="1"/>
      <c r="F15" s="1">
        <v>93</v>
      </c>
      <c r="G15" s="1"/>
      <c r="H15" s="2"/>
      <c r="I15" s="1">
        <f t="shared" si="2"/>
        <v>9</v>
      </c>
      <c r="J15" s="1">
        <f t="shared" si="0"/>
        <v>0.10714285714285714</v>
      </c>
      <c r="K15" s="1">
        <v>63</v>
      </c>
      <c r="L15" s="1">
        <v>84</v>
      </c>
      <c r="M15" s="1">
        <f t="shared" si="1"/>
        <v>0.25</v>
      </c>
    </row>
    <row r="16" spans="1:13" x14ac:dyDescent="0.3">
      <c r="A16" s="1" t="s">
        <v>21</v>
      </c>
      <c r="B16" s="1">
        <v>103</v>
      </c>
      <c r="C16" s="1">
        <v>107</v>
      </c>
      <c r="D16" s="1"/>
      <c r="E16" s="1"/>
      <c r="F16" s="1"/>
      <c r="G16" s="1"/>
      <c r="H16" s="2"/>
      <c r="I16" s="1">
        <f t="shared" si="2"/>
        <v>4</v>
      </c>
      <c r="J16" s="1">
        <f t="shared" si="0"/>
        <v>3.8834951456310676E-2</v>
      </c>
      <c r="K16" s="1">
        <v>76</v>
      </c>
      <c r="L16" s="1">
        <v>88</v>
      </c>
      <c r="M16" s="1">
        <f t="shared" si="1"/>
        <v>0.13636363636363635</v>
      </c>
    </row>
    <row r="17" spans="1:13" x14ac:dyDescent="0.3">
      <c r="A17" s="1" t="s">
        <v>21</v>
      </c>
      <c r="B17" s="1">
        <v>110</v>
      </c>
      <c r="C17" s="1"/>
      <c r="D17" s="1">
        <v>133</v>
      </c>
      <c r="E17" s="1"/>
      <c r="F17" s="1"/>
      <c r="G17" s="1"/>
      <c r="H17" s="2"/>
      <c r="I17" s="1">
        <f t="shared" si="2"/>
        <v>23</v>
      </c>
      <c r="J17" s="1">
        <f t="shared" si="0"/>
        <v>0.20909090909090908</v>
      </c>
      <c r="K17" s="1">
        <v>90</v>
      </c>
      <c r="L17" s="1">
        <v>86</v>
      </c>
      <c r="M17" s="1">
        <f t="shared" si="1"/>
        <v>-4.6511627906976744E-2</v>
      </c>
    </row>
    <row r="18" spans="1:13" x14ac:dyDescent="0.3">
      <c r="A18" s="1" t="s">
        <v>21</v>
      </c>
      <c r="B18" s="1">
        <v>94</v>
      </c>
      <c r="C18" s="1"/>
      <c r="D18" s="1"/>
      <c r="E18" s="1"/>
      <c r="F18" s="1"/>
      <c r="G18" s="1">
        <v>134</v>
      </c>
      <c r="H18" s="2"/>
      <c r="I18" s="1">
        <f t="shared" si="2"/>
        <v>40</v>
      </c>
      <c r="J18" s="1">
        <f t="shared" si="0"/>
        <v>0.42553191489361702</v>
      </c>
      <c r="K18" s="1">
        <v>82</v>
      </c>
      <c r="L18" s="1">
        <v>124</v>
      </c>
      <c r="M18" s="1">
        <f t="shared" si="1"/>
        <v>0.33870967741935482</v>
      </c>
    </row>
    <row r="19" spans="1:13" x14ac:dyDescent="0.3">
      <c r="A19" s="1" t="s">
        <v>21</v>
      </c>
      <c r="B19" s="1">
        <v>100</v>
      </c>
      <c r="C19" s="1"/>
      <c r="D19" s="1">
        <v>137</v>
      </c>
      <c r="E19" s="1"/>
      <c r="F19" s="1"/>
      <c r="G19" s="1"/>
      <c r="H19" s="2"/>
      <c r="I19" s="1">
        <f t="shared" si="2"/>
        <v>37</v>
      </c>
      <c r="J19" s="1">
        <f t="shared" si="0"/>
        <v>0.37</v>
      </c>
      <c r="K19" s="1">
        <v>90</v>
      </c>
      <c r="L19" s="1">
        <v>106</v>
      </c>
      <c r="M19" s="1">
        <f t="shared" si="1"/>
        <v>0.15094339622641509</v>
      </c>
    </row>
    <row r="20" spans="1:13" x14ac:dyDescent="0.3">
      <c r="A20" s="1" t="s">
        <v>21</v>
      </c>
      <c r="B20" s="1">
        <v>103</v>
      </c>
      <c r="C20" s="1"/>
      <c r="D20" s="1"/>
      <c r="E20" s="1"/>
      <c r="F20" s="1"/>
      <c r="G20" s="1">
        <v>96</v>
      </c>
      <c r="H20" s="2"/>
      <c r="I20" s="1">
        <f t="shared" si="2"/>
        <v>-7</v>
      </c>
      <c r="J20" s="1">
        <f t="shared" si="0"/>
        <v>-6.7961165048543687E-2</v>
      </c>
      <c r="K20" s="1">
        <v>60</v>
      </c>
      <c r="L20" s="1">
        <v>74</v>
      </c>
      <c r="M20" s="1">
        <f t="shared" si="1"/>
        <v>0.1891891891891892</v>
      </c>
    </row>
    <row r="21" spans="1:13" x14ac:dyDescent="0.3">
      <c r="A21" s="1" t="s">
        <v>21</v>
      </c>
      <c r="B21" s="1">
        <v>93</v>
      </c>
      <c r="C21" s="1"/>
      <c r="D21" s="1"/>
      <c r="E21" s="1">
        <v>96</v>
      </c>
      <c r="F21" s="1"/>
      <c r="G21" s="1"/>
      <c r="H21" s="2"/>
      <c r="I21" s="1">
        <f t="shared" si="2"/>
        <v>3</v>
      </c>
      <c r="J21" s="1">
        <f t="shared" si="0"/>
        <v>3.2258064516129031E-2</v>
      </c>
      <c r="K21" s="1">
        <v>71</v>
      </c>
      <c r="L21" s="1">
        <v>84</v>
      </c>
      <c r="M21" s="1">
        <f t="shared" si="1"/>
        <v>0.15476190476190477</v>
      </c>
    </row>
    <row r="22" spans="1:13" x14ac:dyDescent="0.3">
      <c r="A22" s="1" t="s">
        <v>21</v>
      </c>
      <c r="B22" s="1">
        <v>91</v>
      </c>
      <c r="C22" s="1"/>
      <c r="D22" s="1"/>
      <c r="E22" s="1"/>
      <c r="F22" s="1">
        <v>90</v>
      </c>
      <c r="G22" s="1"/>
      <c r="H22" s="2"/>
      <c r="I22" s="1">
        <f t="shared" si="2"/>
        <v>-1</v>
      </c>
      <c r="J22" s="1">
        <f t="shared" si="0"/>
        <v>-1.098901098901099E-2</v>
      </c>
      <c r="K22" s="1">
        <v>58</v>
      </c>
      <c r="L22" s="1">
        <v>56</v>
      </c>
      <c r="M22" s="1">
        <f t="shared" si="1"/>
        <v>-3.5714285714285712E-2</v>
      </c>
    </row>
    <row r="23" spans="1:13" x14ac:dyDescent="0.3">
      <c r="A23" s="1" t="s">
        <v>21</v>
      </c>
      <c r="B23" s="1">
        <v>102</v>
      </c>
      <c r="C23" s="1"/>
      <c r="D23" s="1">
        <v>87</v>
      </c>
      <c r="E23" s="1"/>
      <c r="F23" s="1"/>
      <c r="G23" s="1"/>
      <c r="H23" s="2"/>
      <c r="I23" s="1">
        <f t="shared" si="2"/>
        <v>-15</v>
      </c>
      <c r="J23" s="1">
        <f t="shared" si="0"/>
        <v>-0.14705882352941177</v>
      </c>
      <c r="K23" s="1">
        <v>80</v>
      </c>
      <c r="L23" s="1">
        <v>87</v>
      </c>
      <c r="M23" s="1">
        <f t="shared" si="1"/>
        <v>8.0459770114942528E-2</v>
      </c>
    </row>
    <row r="24" spans="1:13" x14ac:dyDescent="0.3">
      <c r="A24" s="1" t="s">
        <v>21</v>
      </c>
      <c r="B24" s="1">
        <v>98</v>
      </c>
      <c r="C24" s="1"/>
      <c r="D24" s="1">
        <v>101</v>
      </c>
      <c r="E24" s="1"/>
      <c r="F24" s="1"/>
      <c r="G24" s="1"/>
      <c r="H24" s="2"/>
      <c r="I24" s="1">
        <f t="shared" si="2"/>
        <v>3</v>
      </c>
      <c r="J24" s="1">
        <f t="shared" si="0"/>
        <v>3.0612244897959183E-2</v>
      </c>
      <c r="K24" s="1">
        <v>84</v>
      </c>
      <c r="L24" s="1">
        <v>91</v>
      </c>
      <c r="M24" s="1">
        <f t="shared" si="1"/>
        <v>7.6923076923076927E-2</v>
      </c>
    </row>
    <row r="25" spans="1:13" x14ac:dyDescent="0.3">
      <c r="A25" s="1" t="s">
        <v>21</v>
      </c>
      <c r="B25" s="1">
        <v>99</v>
      </c>
      <c r="C25" s="1"/>
      <c r="D25" s="1">
        <v>111</v>
      </c>
      <c r="E25" s="1"/>
      <c r="F25" s="1"/>
      <c r="G25" s="1"/>
      <c r="H25" s="2"/>
      <c r="I25" s="1">
        <f t="shared" si="2"/>
        <v>12</v>
      </c>
      <c r="J25" s="1">
        <f t="shared" si="0"/>
        <v>0.12121212121212122</v>
      </c>
      <c r="K25" s="1">
        <v>67</v>
      </c>
      <c r="L25" s="1">
        <v>94</v>
      </c>
      <c r="M25" s="1">
        <f t="shared" si="1"/>
        <v>0.28723404255319152</v>
      </c>
    </row>
    <row r="26" spans="1:13" x14ac:dyDescent="0.3">
      <c r="A26" s="1" t="s">
        <v>21</v>
      </c>
      <c r="B26" s="1">
        <v>90</v>
      </c>
      <c r="C26" s="1"/>
      <c r="D26" s="1"/>
      <c r="E26" s="1"/>
      <c r="F26" s="1"/>
      <c r="G26" s="1">
        <v>90</v>
      </c>
      <c r="H26" s="2"/>
      <c r="I26" s="1">
        <f t="shared" si="2"/>
        <v>0</v>
      </c>
      <c r="J26" s="1">
        <f t="shared" si="0"/>
        <v>0</v>
      </c>
      <c r="K26" s="1">
        <v>56</v>
      </c>
      <c r="L26" s="1">
        <v>66</v>
      </c>
      <c r="M26" s="1">
        <f t="shared" si="1"/>
        <v>0.15151515151515152</v>
      </c>
    </row>
    <row r="27" spans="1:13" x14ac:dyDescent="0.3">
      <c r="A27" s="1" t="s">
        <v>21</v>
      </c>
      <c r="B27" s="1">
        <v>86</v>
      </c>
      <c r="C27" s="1"/>
      <c r="D27" s="1"/>
      <c r="E27" s="1">
        <v>108</v>
      </c>
      <c r="F27" s="1"/>
      <c r="G27" s="1"/>
      <c r="H27" s="2"/>
      <c r="I27" s="1">
        <f t="shared" si="2"/>
        <v>22</v>
      </c>
      <c r="J27" s="1">
        <f t="shared" si="0"/>
        <v>0.2558139534883721</v>
      </c>
      <c r="K27" s="1">
        <v>53</v>
      </c>
      <c r="L27" s="1">
        <v>70</v>
      </c>
      <c r="M27" s="1">
        <f t="shared" si="1"/>
        <v>0.24285714285714285</v>
      </c>
    </row>
    <row r="28" spans="1:13" x14ac:dyDescent="0.3">
      <c r="A28" s="1" t="s">
        <v>21</v>
      </c>
      <c r="B28" s="1">
        <v>124</v>
      </c>
      <c r="C28" s="1"/>
      <c r="D28" s="1">
        <v>124</v>
      </c>
      <c r="E28" s="1"/>
      <c r="F28" s="1"/>
      <c r="G28" s="1"/>
      <c r="H28" s="2"/>
      <c r="I28" s="1">
        <f t="shared" si="2"/>
        <v>0</v>
      </c>
      <c r="J28" s="1">
        <f t="shared" si="0"/>
        <v>0</v>
      </c>
      <c r="K28" s="1">
        <v>80</v>
      </c>
      <c r="L28" s="1">
        <v>93</v>
      </c>
      <c r="M28" s="1">
        <f t="shared" si="1"/>
        <v>0.13978494623655913</v>
      </c>
    </row>
    <row r="29" spans="1:13" x14ac:dyDescent="0.3">
      <c r="A29" s="1" t="s">
        <v>21</v>
      </c>
      <c r="B29" s="1">
        <v>98</v>
      </c>
      <c r="C29" s="1">
        <v>99</v>
      </c>
      <c r="D29" s="1"/>
      <c r="E29" s="1"/>
      <c r="F29" s="1"/>
      <c r="G29" s="1"/>
      <c r="H29" s="2"/>
      <c r="I29" s="1">
        <f t="shared" si="2"/>
        <v>1</v>
      </c>
      <c r="J29" s="1">
        <f t="shared" si="0"/>
        <v>1.020408163265306E-2</v>
      </c>
      <c r="K29" s="1">
        <v>52</v>
      </c>
      <c r="L29" s="1">
        <v>56</v>
      </c>
      <c r="M29" s="1">
        <f t="shared" si="1"/>
        <v>7.1428571428571425E-2</v>
      </c>
    </row>
    <row r="30" spans="1:13" x14ac:dyDescent="0.3">
      <c r="A30" s="1" t="s">
        <v>21</v>
      </c>
      <c r="B30" s="1">
        <v>90</v>
      </c>
      <c r="C30" s="1"/>
      <c r="D30" s="1"/>
      <c r="E30" s="1">
        <v>86</v>
      </c>
      <c r="F30" s="1"/>
      <c r="G30" s="1"/>
      <c r="H30" s="2"/>
      <c r="I30" s="1">
        <f t="shared" si="2"/>
        <v>-4</v>
      </c>
      <c r="J30" s="1">
        <f t="shared" si="0"/>
        <v>-4.4444444444444446E-2</v>
      </c>
      <c r="K30" s="1">
        <v>53</v>
      </c>
      <c r="L30" s="1">
        <v>85</v>
      </c>
      <c r="M30" s="1">
        <f t="shared" si="1"/>
        <v>0.37647058823529411</v>
      </c>
    </row>
    <row r="31" spans="1:13" x14ac:dyDescent="0.3">
      <c r="A31" s="1" t="s">
        <v>21</v>
      </c>
      <c r="B31" s="1">
        <v>88</v>
      </c>
      <c r="C31" s="1"/>
      <c r="D31" s="1"/>
      <c r="E31" s="1"/>
      <c r="F31" s="1"/>
      <c r="G31" s="1"/>
      <c r="H31" s="2">
        <v>74</v>
      </c>
      <c r="I31" s="1">
        <f t="shared" si="2"/>
        <v>-14</v>
      </c>
      <c r="J31" s="1">
        <f t="shared" si="0"/>
        <v>-0.15909090909090909</v>
      </c>
      <c r="K31" s="1">
        <v>71</v>
      </c>
      <c r="L31" s="1">
        <v>70</v>
      </c>
      <c r="M31" s="1">
        <f t="shared" si="1"/>
        <v>-1.4285714285714285E-2</v>
      </c>
    </row>
    <row r="32" spans="1:13" x14ac:dyDescent="0.3">
      <c r="A32" s="1" t="s">
        <v>21</v>
      </c>
      <c r="B32" s="1">
        <v>106</v>
      </c>
      <c r="C32" s="1"/>
      <c r="D32" s="1">
        <v>132</v>
      </c>
      <c r="E32" s="1"/>
      <c r="F32" s="1"/>
      <c r="G32" s="1"/>
      <c r="H32" s="1"/>
      <c r="I32" s="1">
        <f t="shared" si="2"/>
        <v>26</v>
      </c>
      <c r="J32" s="1">
        <f t="shared" si="0"/>
        <v>0.24528301886792453</v>
      </c>
      <c r="K32" s="1">
        <v>70</v>
      </c>
      <c r="L32" s="1">
        <v>96</v>
      </c>
      <c r="M32" s="1">
        <f t="shared" si="1"/>
        <v>0.27083333333333331</v>
      </c>
    </row>
    <row r="33" spans="1:13" x14ac:dyDescent="0.3">
      <c r="A33" s="1" t="s">
        <v>21</v>
      </c>
      <c r="B33" s="1">
        <v>93</v>
      </c>
      <c r="C33" s="1"/>
      <c r="D33" s="1"/>
      <c r="E33" s="1">
        <v>135</v>
      </c>
      <c r="F33" s="1"/>
      <c r="G33" s="1"/>
      <c r="H33" s="1"/>
      <c r="I33" s="1">
        <f t="shared" si="2"/>
        <v>42</v>
      </c>
      <c r="J33" s="1">
        <f t="shared" si="0"/>
        <v>0.45161290322580644</v>
      </c>
      <c r="K33" s="1">
        <v>82</v>
      </c>
      <c r="L33" s="1">
        <v>110</v>
      </c>
      <c r="M33" s="1">
        <f t="shared" si="1"/>
        <v>0.25454545454545452</v>
      </c>
    </row>
    <row r="34" spans="1:13" x14ac:dyDescent="0.3">
      <c r="A34" s="1" t="s">
        <v>21</v>
      </c>
      <c r="B34" s="1">
        <v>136</v>
      </c>
      <c r="C34" s="1"/>
      <c r="D34" s="1">
        <v>127</v>
      </c>
      <c r="E34" s="1"/>
      <c r="F34" s="1"/>
      <c r="G34" s="1"/>
      <c r="H34" s="1"/>
      <c r="I34" s="1">
        <f t="shared" si="2"/>
        <v>-9</v>
      </c>
      <c r="J34" s="1">
        <f t="shared" si="0"/>
        <v>-6.6176470588235295E-2</v>
      </c>
      <c r="K34" s="1">
        <v>71</v>
      </c>
      <c r="L34" s="1">
        <v>76</v>
      </c>
      <c r="M34" s="1">
        <f t="shared" si="1"/>
        <v>6.5789473684210523E-2</v>
      </c>
    </row>
    <row r="35" spans="1:13" x14ac:dyDescent="0.3">
      <c r="A35" s="1"/>
      <c r="B35" s="1"/>
      <c r="C35" s="1"/>
      <c r="D35" s="1"/>
      <c r="E35" s="1"/>
      <c r="F35" s="1"/>
      <c r="G35" s="1"/>
      <c r="H35" s="1"/>
      <c r="I35" s="1">
        <f>AVERAGE(I3:I34)</f>
        <v>12.625</v>
      </c>
      <c r="J35" s="1">
        <f t="shared" ref="J35:L35" si="3">AVERAGE(J3:J34)</f>
        <v>0.12521616218684273</v>
      </c>
      <c r="K35" s="1">
        <f t="shared" si="3"/>
        <v>70.125</v>
      </c>
      <c r="L35" s="1">
        <f t="shared" si="3"/>
        <v>88.59375</v>
      </c>
      <c r="M35" s="1"/>
    </row>
    <row r="36" spans="1:1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3">
      <c r="A38" s="1" t="s">
        <v>28</v>
      </c>
      <c r="B38" s="1">
        <v>90</v>
      </c>
      <c r="C38" s="1"/>
      <c r="D38" s="1"/>
      <c r="E38" s="1"/>
      <c r="F38" s="1">
        <v>90</v>
      </c>
      <c r="G38" s="1"/>
      <c r="H38" s="1"/>
      <c r="I38" s="1">
        <f t="shared" si="2"/>
        <v>0</v>
      </c>
      <c r="J38" s="1">
        <f>I38/B38</f>
        <v>0</v>
      </c>
      <c r="K38" s="1"/>
      <c r="L38" s="1"/>
      <c r="M38" s="1"/>
    </row>
    <row r="39" spans="1:13" x14ac:dyDescent="0.3">
      <c r="A39" s="1" t="s">
        <v>28</v>
      </c>
      <c r="B39" s="1">
        <v>84</v>
      </c>
      <c r="C39" s="1"/>
      <c r="D39" s="1">
        <v>82</v>
      </c>
      <c r="E39" s="1"/>
      <c r="F39" s="1"/>
      <c r="G39" s="1"/>
      <c r="H39" s="1"/>
      <c r="I39" s="1">
        <f t="shared" si="2"/>
        <v>-2</v>
      </c>
      <c r="J39" s="1">
        <f t="shared" ref="J39:J69" si="4">I39/B39</f>
        <v>-2.3809523809523808E-2</v>
      </c>
      <c r="K39" s="1">
        <v>88</v>
      </c>
      <c r="L39" s="1">
        <v>74</v>
      </c>
      <c r="M39" s="1">
        <f t="shared" ref="M39:M69" si="5">(L39-K39)/L39</f>
        <v>-0.1891891891891892</v>
      </c>
    </row>
    <row r="40" spans="1:13" x14ac:dyDescent="0.3">
      <c r="A40" s="1" t="s">
        <v>28</v>
      </c>
      <c r="B40" s="1">
        <v>105</v>
      </c>
      <c r="C40" s="1"/>
      <c r="D40" s="1">
        <v>92</v>
      </c>
      <c r="E40" s="1"/>
      <c r="F40" s="1"/>
      <c r="G40" s="1"/>
      <c r="H40" s="1"/>
      <c r="I40" s="1">
        <f t="shared" si="2"/>
        <v>-13</v>
      </c>
      <c r="J40" s="1">
        <f t="shared" si="4"/>
        <v>-0.12380952380952381</v>
      </c>
      <c r="K40" s="1">
        <v>84</v>
      </c>
      <c r="L40" s="1">
        <v>84</v>
      </c>
      <c r="M40" s="1">
        <f t="shared" si="5"/>
        <v>0</v>
      </c>
    </row>
    <row r="41" spans="1:13" x14ac:dyDescent="0.3">
      <c r="A41" s="1" t="s">
        <v>28</v>
      </c>
      <c r="B41" s="1">
        <v>93</v>
      </c>
      <c r="C41" s="1"/>
      <c r="D41" s="1"/>
      <c r="E41" s="1">
        <v>99</v>
      </c>
      <c r="F41" s="1"/>
      <c r="G41" s="1"/>
      <c r="H41" s="1"/>
      <c r="I41" s="1">
        <f t="shared" si="2"/>
        <v>6</v>
      </c>
      <c r="J41" s="1">
        <f t="shared" si="4"/>
        <v>6.4516129032258063E-2</v>
      </c>
      <c r="K41" s="1">
        <v>55</v>
      </c>
      <c r="L41" s="1">
        <v>79</v>
      </c>
      <c r="M41" s="1">
        <f t="shared" si="5"/>
        <v>0.30379746835443039</v>
      </c>
    </row>
    <row r="42" spans="1:13" x14ac:dyDescent="0.3">
      <c r="A42" s="1" t="s">
        <v>28</v>
      </c>
      <c r="B42" s="1">
        <v>89</v>
      </c>
      <c r="C42" s="1"/>
      <c r="D42" s="1"/>
      <c r="E42" s="1"/>
      <c r="F42" s="1"/>
      <c r="G42" s="1">
        <v>104</v>
      </c>
      <c r="H42" s="1"/>
      <c r="I42" s="1">
        <f t="shared" si="2"/>
        <v>15</v>
      </c>
      <c r="J42" s="1">
        <f t="shared" si="4"/>
        <v>0.16853932584269662</v>
      </c>
      <c r="K42" s="1">
        <v>61</v>
      </c>
      <c r="L42" s="1">
        <v>112</v>
      </c>
      <c r="M42" s="1">
        <f t="shared" si="5"/>
        <v>0.45535714285714285</v>
      </c>
    </row>
    <row r="43" spans="1:13" x14ac:dyDescent="0.3">
      <c r="A43" s="1" t="s">
        <v>28</v>
      </c>
      <c r="B43" s="1">
        <v>88</v>
      </c>
      <c r="C43" s="1"/>
      <c r="D43" s="1">
        <v>94</v>
      </c>
      <c r="E43" s="1"/>
      <c r="F43" s="1"/>
      <c r="G43" s="1"/>
      <c r="H43" s="1"/>
      <c r="I43" s="1">
        <f t="shared" si="2"/>
        <v>6</v>
      </c>
      <c r="J43" s="1">
        <f t="shared" si="4"/>
        <v>6.8181818181818177E-2</v>
      </c>
      <c r="K43" s="1">
        <v>61</v>
      </c>
      <c r="L43" s="1">
        <v>97</v>
      </c>
      <c r="M43" s="1">
        <f t="shared" si="5"/>
        <v>0.37113402061855671</v>
      </c>
    </row>
    <row r="44" spans="1:13" x14ac:dyDescent="0.3">
      <c r="A44" s="1" t="s">
        <v>28</v>
      </c>
      <c r="B44" s="1">
        <v>102</v>
      </c>
      <c r="C44" s="1"/>
      <c r="D44" s="1">
        <v>107</v>
      </c>
      <c r="E44" s="1"/>
      <c r="F44" s="1"/>
      <c r="G44" s="1"/>
      <c r="H44" s="1"/>
      <c r="I44" s="1">
        <f t="shared" si="2"/>
        <v>5</v>
      </c>
      <c r="J44" s="1">
        <f t="shared" si="4"/>
        <v>4.9019607843137254E-2</v>
      </c>
      <c r="K44" s="1">
        <v>85</v>
      </c>
      <c r="L44" s="1">
        <v>108</v>
      </c>
      <c r="M44" s="1">
        <f t="shared" si="5"/>
        <v>0.21296296296296297</v>
      </c>
    </row>
    <row r="45" spans="1:13" x14ac:dyDescent="0.3">
      <c r="A45" s="1" t="s">
        <v>28</v>
      </c>
      <c r="B45" s="1">
        <v>112</v>
      </c>
      <c r="C45" s="1"/>
      <c r="D45" s="1"/>
      <c r="E45" s="1">
        <v>129</v>
      </c>
      <c r="F45" s="1"/>
      <c r="G45" s="1"/>
      <c r="H45" s="1"/>
      <c r="I45" s="1">
        <f t="shared" si="2"/>
        <v>17</v>
      </c>
      <c r="J45" s="1">
        <f t="shared" si="4"/>
        <v>0.15178571428571427</v>
      </c>
      <c r="K45" s="1">
        <v>107</v>
      </c>
      <c r="L45" s="1">
        <v>103</v>
      </c>
      <c r="M45" s="1">
        <f t="shared" si="5"/>
        <v>-3.8834951456310676E-2</v>
      </c>
    </row>
    <row r="46" spans="1:13" x14ac:dyDescent="0.3">
      <c r="A46" s="1" t="s">
        <v>28</v>
      </c>
      <c r="B46" s="1">
        <v>106</v>
      </c>
      <c r="C46" s="1"/>
      <c r="D46" s="1"/>
      <c r="E46" s="1">
        <v>112</v>
      </c>
      <c r="F46" s="1"/>
      <c r="G46" s="1"/>
      <c r="H46" s="1"/>
      <c r="I46" s="1">
        <f t="shared" si="2"/>
        <v>6</v>
      </c>
      <c r="J46" s="1">
        <f t="shared" si="4"/>
        <v>5.6603773584905662E-2</v>
      </c>
      <c r="K46" s="1">
        <v>78</v>
      </c>
      <c r="L46" s="1">
        <v>87</v>
      </c>
      <c r="M46" s="1">
        <f t="shared" si="5"/>
        <v>0.10344827586206896</v>
      </c>
    </row>
    <row r="47" spans="1:13" x14ac:dyDescent="0.3">
      <c r="A47" s="1" t="s">
        <v>28</v>
      </c>
      <c r="B47" s="1">
        <v>104</v>
      </c>
      <c r="C47" s="1"/>
      <c r="D47" s="1">
        <v>92</v>
      </c>
      <c r="E47" s="1"/>
      <c r="F47" s="1"/>
      <c r="G47" s="1"/>
      <c r="H47" s="1"/>
      <c r="I47" s="1">
        <f t="shared" si="2"/>
        <v>-12</v>
      </c>
      <c r="J47" s="1">
        <f t="shared" si="4"/>
        <v>-0.11538461538461539</v>
      </c>
      <c r="K47" s="1">
        <v>109</v>
      </c>
      <c r="L47" s="1">
        <v>95</v>
      </c>
      <c r="M47" s="1">
        <f t="shared" si="5"/>
        <v>-0.14736842105263157</v>
      </c>
    </row>
    <row r="48" spans="1:13" x14ac:dyDescent="0.3">
      <c r="A48" s="1" t="s">
        <v>28</v>
      </c>
      <c r="B48" s="1">
        <v>102</v>
      </c>
      <c r="C48" s="1"/>
      <c r="D48" s="1"/>
      <c r="E48" s="1">
        <v>90</v>
      </c>
      <c r="F48" s="1"/>
      <c r="G48" s="1"/>
      <c r="H48" s="1"/>
      <c r="I48" s="1">
        <f t="shared" si="2"/>
        <v>-12</v>
      </c>
      <c r="J48" s="1">
        <f t="shared" si="4"/>
        <v>-0.11764705882352941</v>
      </c>
      <c r="K48" s="1">
        <v>75</v>
      </c>
      <c r="L48" s="1">
        <v>98</v>
      </c>
      <c r="M48" s="1">
        <f t="shared" si="5"/>
        <v>0.23469387755102042</v>
      </c>
    </row>
    <row r="49" spans="1:13" x14ac:dyDescent="0.3">
      <c r="A49" s="1" t="s">
        <v>28</v>
      </c>
      <c r="B49" s="1">
        <v>107</v>
      </c>
      <c r="C49" s="1"/>
      <c r="D49" s="1"/>
      <c r="E49" s="1">
        <v>95</v>
      </c>
      <c r="F49" s="1"/>
      <c r="G49" s="1"/>
      <c r="H49" s="1"/>
      <c r="I49" s="1">
        <f t="shared" si="2"/>
        <v>-12</v>
      </c>
      <c r="J49" s="1">
        <f t="shared" si="4"/>
        <v>-0.11214953271028037</v>
      </c>
      <c r="K49" s="1">
        <v>60</v>
      </c>
      <c r="L49" s="1">
        <v>84</v>
      </c>
      <c r="M49" s="1">
        <f t="shared" si="5"/>
        <v>0.2857142857142857</v>
      </c>
    </row>
    <row r="50" spans="1:13" x14ac:dyDescent="0.3">
      <c r="A50" s="1" t="s">
        <v>28</v>
      </c>
      <c r="B50" s="1">
        <v>88</v>
      </c>
      <c r="C50" s="1">
        <v>75</v>
      </c>
      <c r="D50" s="1"/>
      <c r="E50" s="1"/>
      <c r="F50" s="1"/>
      <c r="G50" s="1"/>
      <c r="H50" s="1"/>
      <c r="I50" s="1">
        <f t="shared" si="2"/>
        <v>-13</v>
      </c>
      <c r="J50" s="1">
        <f t="shared" si="4"/>
        <v>-0.14772727272727273</v>
      </c>
      <c r="K50" s="1">
        <v>53</v>
      </c>
      <c r="L50" s="1">
        <v>66</v>
      </c>
      <c r="M50" s="1">
        <f t="shared" si="5"/>
        <v>0.19696969696969696</v>
      </c>
    </row>
    <row r="51" spans="1:13" x14ac:dyDescent="0.3">
      <c r="A51" s="1" t="s">
        <v>28</v>
      </c>
      <c r="B51" s="1">
        <v>89</v>
      </c>
      <c r="C51" s="1"/>
      <c r="D51" s="1">
        <v>124</v>
      </c>
      <c r="E51" s="1"/>
      <c r="F51" s="1"/>
      <c r="G51" s="1"/>
      <c r="H51" s="1"/>
      <c r="I51" s="1">
        <f t="shared" si="2"/>
        <v>35</v>
      </c>
      <c r="J51" s="1">
        <f t="shared" si="4"/>
        <v>0.39325842696629215</v>
      </c>
      <c r="K51" s="1">
        <v>48</v>
      </c>
      <c r="L51" s="1">
        <v>88</v>
      </c>
      <c r="M51" s="1">
        <f t="shared" si="5"/>
        <v>0.45454545454545453</v>
      </c>
    </row>
    <row r="52" spans="1:13" x14ac:dyDescent="0.3">
      <c r="A52" s="1" t="s">
        <v>28</v>
      </c>
      <c r="B52" s="1">
        <v>93</v>
      </c>
      <c r="C52" s="1"/>
      <c r="D52" s="1">
        <v>96</v>
      </c>
      <c r="E52" s="1"/>
      <c r="F52" s="1"/>
      <c r="G52" s="1"/>
      <c r="H52" s="1"/>
      <c r="I52" s="1">
        <f t="shared" si="2"/>
        <v>3</v>
      </c>
      <c r="J52" s="1">
        <f t="shared" si="4"/>
        <v>3.2258064516129031E-2</v>
      </c>
      <c r="K52" s="1">
        <v>63</v>
      </c>
      <c r="L52" s="1">
        <v>95</v>
      </c>
      <c r="M52" s="1">
        <f t="shared" si="5"/>
        <v>0.33684210526315789</v>
      </c>
    </row>
    <row r="53" spans="1:13" x14ac:dyDescent="0.3">
      <c r="A53" s="1" t="s">
        <v>28</v>
      </c>
      <c r="B53" s="1">
        <v>109</v>
      </c>
      <c r="C53" s="1"/>
      <c r="D53" s="1"/>
      <c r="E53" s="1">
        <v>142</v>
      </c>
      <c r="F53" s="1"/>
      <c r="G53" s="1"/>
      <c r="H53" s="1"/>
      <c r="I53" s="1">
        <f t="shared" si="2"/>
        <v>33</v>
      </c>
      <c r="J53" s="1">
        <f t="shared" si="4"/>
        <v>0.30275229357798167</v>
      </c>
      <c r="K53" s="1">
        <v>67</v>
      </c>
      <c r="L53" s="1">
        <v>90</v>
      </c>
      <c r="M53" s="1">
        <f t="shared" si="5"/>
        <v>0.25555555555555554</v>
      </c>
    </row>
    <row r="54" spans="1:13" x14ac:dyDescent="0.3">
      <c r="A54" s="1" t="s">
        <v>28</v>
      </c>
      <c r="B54" s="1">
        <v>94</v>
      </c>
      <c r="C54" s="1">
        <v>72</v>
      </c>
      <c r="D54" s="1"/>
      <c r="E54" s="1"/>
      <c r="F54" s="1"/>
      <c r="G54" s="1"/>
      <c r="H54" s="1"/>
      <c r="I54" s="1">
        <f t="shared" si="2"/>
        <v>-22</v>
      </c>
      <c r="J54" s="1">
        <f t="shared" si="4"/>
        <v>-0.23404255319148937</v>
      </c>
      <c r="K54" s="1">
        <v>69</v>
      </c>
      <c r="L54" s="1">
        <v>104</v>
      </c>
      <c r="M54" s="1">
        <f t="shared" si="5"/>
        <v>0.33653846153846156</v>
      </c>
    </row>
    <row r="55" spans="1:13" x14ac:dyDescent="0.3">
      <c r="A55" s="1" t="s">
        <v>28</v>
      </c>
      <c r="B55" s="1">
        <v>100</v>
      </c>
      <c r="C55" s="1"/>
      <c r="D55" s="1">
        <v>101</v>
      </c>
      <c r="E55" s="1"/>
      <c r="F55" s="1"/>
      <c r="G55" s="1"/>
      <c r="H55" s="1"/>
      <c r="I55" s="1">
        <f t="shared" si="2"/>
        <v>1</v>
      </c>
      <c r="J55" s="1">
        <f t="shared" si="4"/>
        <v>0.01</v>
      </c>
      <c r="K55" s="1">
        <v>50</v>
      </c>
      <c r="L55" s="1">
        <v>84</v>
      </c>
      <c r="M55" s="1">
        <f t="shared" si="5"/>
        <v>0.40476190476190477</v>
      </c>
    </row>
    <row r="56" spans="1:13" x14ac:dyDescent="0.3">
      <c r="A56" s="1" t="s">
        <v>28</v>
      </c>
      <c r="B56" s="1">
        <v>102</v>
      </c>
      <c r="C56" s="1"/>
      <c r="D56" s="1">
        <v>118</v>
      </c>
      <c r="E56" s="1"/>
      <c r="F56" s="1"/>
      <c r="G56" s="1"/>
      <c r="H56" s="1"/>
      <c r="I56" s="1">
        <f t="shared" si="2"/>
        <v>16</v>
      </c>
      <c r="J56" s="1">
        <f t="shared" si="4"/>
        <v>0.15686274509803921</v>
      </c>
      <c r="K56" s="1">
        <v>98</v>
      </c>
      <c r="L56" s="1">
        <v>96</v>
      </c>
      <c r="M56" s="1">
        <f t="shared" si="5"/>
        <v>-2.0833333333333332E-2</v>
      </c>
    </row>
    <row r="57" spans="1:13" x14ac:dyDescent="0.3">
      <c r="A57" s="1" t="s">
        <v>28</v>
      </c>
      <c r="B57" s="1">
        <v>93</v>
      </c>
      <c r="C57" s="1"/>
      <c r="D57" s="1"/>
      <c r="E57" s="1">
        <v>76</v>
      </c>
      <c r="F57" s="1"/>
      <c r="G57" s="1"/>
      <c r="H57" s="1"/>
      <c r="I57" s="1">
        <f t="shared" si="2"/>
        <v>-17</v>
      </c>
      <c r="J57" s="1">
        <f t="shared" si="4"/>
        <v>-0.18279569892473119</v>
      </c>
      <c r="K57" s="1">
        <v>70</v>
      </c>
      <c r="L57" s="1">
        <v>84</v>
      </c>
      <c r="M57" s="1">
        <f t="shared" si="5"/>
        <v>0.16666666666666666</v>
      </c>
    </row>
    <row r="58" spans="1:13" x14ac:dyDescent="0.3">
      <c r="A58" s="1" t="s">
        <v>28</v>
      </c>
      <c r="B58" s="1">
        <v>93</v>
      </c>
      <c r="C58" s="1"/>
      <c r="D58" s="1"/>
      <c r="E58" s="1">
        <v>119</v>
      </c>
      <c r="F58" s="1"/>
      <c r="G58" s="1"/>
      <c r="H58" s="1"/>
      <c r="I58" s="1">
        <f t="shared" si="2"/>
        <v>26</v>
      </c>
      <c r="J58" s="1">
        <f t="shared" si="4"/>
        <v>0.27956989247311825</v>
      </c>
      <c r="K58" s="1">
        <v>66</v>
      </c>
      <c r="L58" s="1">
        <v>80</v>
      </c>
      <c r="M58" s="1">
        <f t="shared" si="5"/>
        <v>0.17499999999999999</v>
      </c>
    </row>
    <row r="59" spans="1:13" x14ac:dyDescent="0.3">
      <c r="A59" s="1" t="s">
        <v>28</v>
      </c>
      <c r="B59" s="1">
        <v>110</v>
      </c>
      <c r="C59" s="1"/>
      <c r="D59" s="1">
        <v>106</v>
      </c>
      <c r="E59" s="1"/>
      <c r="F59" s="1"/>
      <c r="G59" s="1"/>
      <c r="H59" s="1"/>
      <c r="I59" s="1">
        <f t="shared" si="2"/>
        <v>-4</v>
      </c>
      <c r="J59" s="1">
        <f t="shared" si="4"/>
        <v>-3.6363636363636362E-2</v>
      </c>
      <c r="K59" s="1">
        <v>83</v>
      </c>
      <c r="L59" s="1">
        <v>103</v>
      </c>
      <c r="M59" s="1">
        <f t="shared" si="5"/>
        <v>0.1941747572815534</v>
      </c>
    </row>
    <row r="60" spans="1:13" x14ac:dyDescent="0.3">
      <c r="A60" s="1" t="s">
        <v>28</v>
      </c>
      <c r="B60" s="1">
        <v>95</v>
      </c>
      <c r="C60" s="1"/>
      <c r="D60" s="1">
        <v>101</v>
      </c>
      <c r="E60" s="1"/>
      <c r="F60" s="1"/>
      <c r="G60" s="1"/>
      <c r="H60" s="1"/>
      <c r="I60" s="1">
        <f t="shared" si="2"/>
        <v>6</v>
      </c>
      <c r="J60" s="1">
        <f t="shared" si="4"/>
        <v>6.3157894736842107E-2</v>
      </c>
      <c r="K60" s="1">
        <v>66</v>
      </c>
      <c r="L60" s="1">
        <v>80</v>
      </c>
      <c r="M60" s="1">
        <f t="shared" si="5"/>
        <v>0.17499999999999999</v>
      </c>
    </row>
    <row r="61" spans="1:13" x14ac:dyDescent="0.3">
      <c r="A61" s="1" t="s">
        <v>28</v>
      </c>
      <c r="B61" s="1">
        <v>111</v>
      </c>
      <c r="C61" s="1"/>
      <c r="D61" s="1"/>
      <c r="E61" s="1">
        <v>141</v>
      </c>
      <c r="F61" s="1"/>
      <c r="G61" s="1"/>
      <c r="H61" s="1"/>
      <c r="I61" s="1">
        <f t="shared" si="2"/>
        <v>30</v>
      </c>
      <c r="J61" s="1">
        <f t="shared" si="4"/>
        <v>0.27027027027027029</v>
      </c>
      <c r="K61" s="1">
        <v>93</v>
      </c>
      <c r="L61" s="1">
        <v>91</v>
      </c>
      <c r="M61" s="1">
        <f t="shared" si="5"/>
        <v>-2.197802197802198E-2</v>
      </c>
    </row>
    <row r="62" spans="1:13" x14ac:dyDescent="0.3">
      <c r="A62" s="1" t="s">
        <v>28</v>
      </c>
      <c r="B62" s="1">
        <v>111</v>
      </c>
      <c r="C62" s="1"/>
      <c r="D62" s="1">
        <v>87</v>
      </c>
      <c r="E62" s="1"/>
      <c r="F62" s="1"/>
      <c r="G62" s="1"/>
      <c r="H62" s="1"/>
      <c r="I62" s="1">
        <f t="shared" si="2"/>
        <v>-24</v>
      </c>
      <c r="J62" s="1">
        <f t="shared" si="4"/>
        <v>-0.21621621621621623</v>
      </c>
      <c r="K62" s="1">
        <v>66</v>
      </c>
      <c r="L62" s="1">
        <v>86</v>
      </c>
      <c r="M62" s="1">
        <f t="shared" si="5"/>
        <v>0.23255813953488372</v>
      </c>
    </row>
    <row r="63" spans="1:13" x14ac:dyDescent="0.3">
      <c r="A63" s="1" t="s">
        <v>28</v>
      </c>
      <c r="B63" s="1">
        <v>94</v>
      </c>
      <c r="C63" s="1"/>
      <c r="D63" s="1"/>
      <c r="E63" s="1">
        <v>114</v>
      </c>
      <c r="F63" s="1"/>
      <c r="G63" s="1"/>
      <c r="H63" s="1"/>
      <c r="I63" s="1">
        <f t="shared" si="2"/>
        <v>20</v>
      </c>
      <c r="J63" s="1">
        <f t="shared" si="4"/>
        <v>0.21276595744680851</v>
      </c>
      <c r="K63" s="1">
        <v>66</v>
      </c>
      <c r="L63" s="1">
        <v>69</v>
      </c>
      <c r="M63" s="1">
        <f t="shared" si="5"/>
        <v>4.3478260869565216E-2</v>
      </c>
    </row>
    <row r="64" spans="1:13" x14ac:dyDescent="0.3">
      <c r="A64" s="1" t="s">
        <v>28</v>
      </c>
      <c r="B64" s="1">
        <v>77</v>
      </c>
      <c r="C64" s="1">
        <v>108</v>
      </c>
      <c r="D64" s="1"/>
      <c r="E64" s="1"/>
      <c r="F64" s="1"/>
      <c r="G64" s="1"/>
      <c r="H64" s="1"/>
      <c r="I64" s="1">
        <f t="shared" si="2"/>
        <v>31</v>
      </c>
      <c r="J64" s="1">
        <f t="shared" si="4"/>
        <v>0.40259740259740262</v>
      </c>
      <c r="K64" s="1">
        <v>62</v>
      </c>
      <c r="L64" s="1">
        <v>95</v>
      </c>
      <c r="M64" s="1">
        <f t="shared" si="5"/>
        <v>0.3473684210526316</v>
      </c>
    </row>
    <row r="65" spans="1:13" x14ac:dyDescent="0.3">
      <c r="A65" s="1" t="s">
        <v>28</v>
      </c>
      <c r="B65" s="1">
        <v>108</v>
      </c>
      <c r="C65" s="1"/>
      <c r="D65" s="1">
        <v>92</v>
      </c>
      <c r="E65" s="1"/>
      <c r="F65" s="1"/>
      <c r="G65" s="1"/>
      <c r="H65" s="1"/>
      <c r="I65" s="1">
        <f t="shared" si="2"/>
        <v>-16</v>
      </c>
      <c r="J65" s="1">
        <f t="shared" si="4"/>
        <v>-0.14814814814814814</v>
      </c>
      <c r="K65" s="1">
        <v>75</v>
      </c>
      <c r="L65" s="1">
        <v>99</v>
      </c>
      <c r="M65" s="1">
        <f t="shared" si="5"/>
        <v>0.24242424242424243</v>
      </c>
    </row>
    <row r="66" spans="1:13" x14ac:dyDescent="0.3">
      <c r="A66" s="1" t="s">
        <v>28</v>
      </c>
      <c r="B66" s="1">
        <v>96</v>
      </c>
      <c r="C66" s="1"/>
      <c r="D66" s="1"/>
      <c r="E66" s="1">
        <v>105</v>
      </c>
      <c r="F66" s="1"/>
      <c r="G66" s="1"/>
      <c r="H66" s="1"/>
      <c r="I66" s="1">
        <f t="shared" si="2"/>
        <v>9</v>
      </c>
      <c r="J66" s="1">
        <f t="shared" si="4"/>
        <v>9.375E-2</v>
      </c>
      <c r="K66" s="1">
        <v>73</v>
      </c>
      <c r="L66" s="1">
        <v>74</v>
      </c>
      <c r="M66" s="1">
        <f t="shared" si="5"/>
        <v>1.3513513513513514E-2</v>
      </c>
    </row>
    <row r="67" spans="1:13" x14ac:dyDescent="0.3">
      <c r="A67" s="1" t="s">
        <v>28</v>
      </c>
      <c r="B67" s="1">
        <v>91</v>
      </c>
      <c r="C67" s="1"/>
      <c r="D67" s="1"/>
      <c r="E67" s="1">
        <v>99</v>
      </c>
      <c r="F67" s="1"/>
      <c r="G67" s="1"/>
      <c r="H67" s="1"/>
      <c r="I67" s="1">
        <f t="shared" si="2"/>
        <v>8</v>
      </c>
      <c r="J67" s="1">
        <f t="shared" si="4"/>
        <v>8.7912087912087919E-2</v>
      </c>
      <c r="K67" s="1">
        <v>50</v>
      </c>
      <c r="L67" s="1">
        <v>88</v>
      </c>
      <c r="M67" s="1">
        <f t="shared" si="5"/>
        <v>0.43181818181818182</v>
      </c>
    </row>
    <row r="68" spans="1:13" x14ac:dyDescent="0.3">
      <c r="A68" s="1" t="s">
        <v>28</v>
      </c>
      <c r="B68" s="1">
        <v>90</v>
      </c>
      <c r="C68" s="1"/>
      <c r="D68" s="1"/>
      <c r="E68" s="1">
        <v>141</v>
      </c>
      <c r="F68" s="1"/>
      <c r="G68" s="1"/>
      <c r="H68" s="1"/>
      <c r="I68" s="1">
        <f t="shared" si="2"/>
        <v>51</v>
      </c>
      <c r="J68" s="1">
        <f t="shared" si="4"/>
        <v>0.56666666666666665</v>
      </c>
      <c r="K68" s="1">
        <v>72</v>
      </c>
      <c r="L68" s="1">
        <v>90</v>
      </c>
      <c r="M68" s="1">
        <f t="shared" si="5"/>
        <v>0.2</v>
      </c>
    </row>
    <row r="69" spans="1:13" x14ac:dyDescent="0.3">
      <c r="A69" s="1"/>
      <c r="B69" s="1">
        <v>97.612903225806448</v>
      </c>
      <c r="C69" s="1"/>
      <c r="D69" s="1"/>
      <c r="E69" s="1">
        <v>96.806451612903231</v>
      </c>
      <c r="F69" s="1"/>
      <c r="G69" s="1"/>
      <c r="H69" s="1"/>
      <c r="I69" s="1">
        <f t="shared" ref="I69" si="6">(H69+G69+F69+E69+D69+C69-B69)</f>
        <v>-0.8064516129032171</v>
      </c>
      <c r="J69" s="1">
        <f t="shared" si="4"/>
        <v>-8.2617316589556275E-3</v>
      </c>
      <c r="K69" s="1">
        <v>58</v>
      </c>
      <c r="L69" s="1">
        <v>108</v>
      </c>
      <c r="M69" s="1">
        <f t="shared" si="5"/>
        <v>0.46296296296296297</v>
      </c>
    </row>
    <row r="70" spans="1:13" x14ac:dyDescent="0.3">
      <c r="A70" s="1"/>
      <c r="B70" s="1"/>
      <c r="C70" s="1"/>
      <c r="D70" s="1"/>
      <c r="E70" s="1"/>
      <c r="F70" s="1"/>
      <c r="G70" s="1"/>
      <c r="H70" s="1"/>
      <c r="I70" s="1">
        <f>AVERAGE(I38:I69)</f>
        <v>5.506048387096774</v>
      </c>
      <c r="J70" s="1">
        <f t="shared" ref="J70:L70" si="7">AVERAGE(J38:J69)</f>
        <v>6.1378517477007684E-2</v>
      </c>
      <c r="K70" s="1">
        <f t="shared" si="7"/>
        <v>71.322580645161295</v>
      </c>
      <c r="L70" s="1">
        <f t="shared" si="7"/>
        <v>90.032258064516128</v>
      </c>
      <c r="M7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2" sqref="B2"/>
    </sheetView>
  </sheetViews>
  <sheetFormatPr defaultRowHeight="16.5" x14ac:dyDescent="0.3"/>
  <cols>
    <col min="1" max="1" width="10.875" customWidth="1"/>
    <col min="2" max="2" width="14.875" customWidth="1"/>
    <col min="3" max="3" width="13.125" customWidth="1"/>
  </cols>
  <sheetData>
    <row r="1" spans="1:3" x14ac:dyDescent="0.3">
      <c r="A1" s="1" t="s">
        <v>42</v>
      </c>
      <c r="B1" s="1" t="s">
        <v>43</v>
      </c>
      <c r="C1" s="1" t="s">
        <v>44</v>
      </c>
    </row>
    <row r="2" spans="1:3" x14ac:dyDescent="0.3">
      <c r="A2" s="1" t="s">
        <v>8</v>
      </c>
      <c r="B2" s="1">
        <v>2</v>
      </c>
      <c r="C2" s="1">
        <v>15</v>
      </c>
    </row>
    <row r="3" spans="1:3" x14ac:dyDescent="0.3">
      <c r="A3" s="1" t="s">
        <v>9</v>
      </c>
      <c r="B3" s="1">
        <v>2</v>
      </c>
      <c r="C3" s="1">
        <v>17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workbookViewId="0">
      <selection activeCell="L79" sqref="L79"/>
    </sheetView>
  </sheetViews>
  <sheetFormatPr defaultRowHeight="16.5" x14ac:dyDescent="0.3"/>
  <cols>
    <col min="3" max="3" width="16.75" customWidth="1"/>
    <col min="7" max="7" width="20.625" customWidth="1"/>
    <col min="8" max="9" width="11.25" customWidth="1"/>
    <col min="10" max="10" width="14.625" customWidth="1"/>
  </cols>
  <sheetData>
    <row r="1" spans="1:10" x14ac:dyDescent="0.3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 t="s">
        <v>45</v>
      </c>
      <c r="B2" s="1" t="s">
        <v>54</v>
      </c>
      <c r="C2" s="1" t="s">
        <v>47</v>
      </c>
      <c r="D2" s="1" t="s">
        <v>49</v>
      </c>
      <c r="E2" s="1" t="s">
        <v>46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55</v>
      </c>
    </row>
    <row r="3" spans="1:10" x14ac:dyDescent="0.3">
      <c r="A3" s="1"/>
      <c r="B3" s="2">
        <v>3</v>
      </c>
      <c r="C3" s="2" t="s">
        <v>48</v>
      </c>
      <c r="D3" s="2">
        <v>3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352</v>
      </c>
    </row>
    <row r="4" spans="1:10" x14ac:dyDescent="0.3">
      <c r="A4" s="1"/>
      <c r="B4" s="2">
        <v>5</v>
      </c>
      <c r="C4" s="2"/>
      <c r="D4" s="2">
        <v>4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342</v>
      </c>
    </row>
    <row r="5" spans="1:10" x14ac:dyDescent="0.3">
      <c r="A5" s="1"/>
      <c r="B5" s="2">
        <v>7</v>
      </c>
      <c r="C5" s="2"/>
      <c r="D5" s="2">
        <v>4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230</v>
      </c>
    </row>
    <row r="6" spans="1:10" x14ac:dyDescent="0.3">
      <c r="A6" s="1"/>
      <c r="B6" s="2">
        <v>7</v>
      </c>
      <c r="C6" s="2" t="s">
        <v>48</v>
      </c>
      <c r="D6" s="2">
        <v>2</v>
      </c>
      <c r="E6" s="2">
        <v>1</v>
      </c>
      <c r="F6" s="2">
        <v>1</v>
      </c>
      <c r="G6" s="2">
        <v>0</v>
      </c>
      <c r="H6" s="2">
        <v>0</v>
      </c>
      <c r="I6" s="2">
        <v>0</v>
      </c>
      <c r="J6" s="2">
        <v>346</v>
      </c>
    </row>
    <row r="7" spans="1:10" x14ac:dyDescent="0.3">
      <c r="A7" s="1"/>
      <c r="B7" s="2">
        <v>5</v>
      </c>
      <c r="C7" s="2"/>
      <c r="D7" s="2">
        <v>4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390</v>
      </c>
    </row>
    <row r="8" spans="1:10" x14ac:dyDescent="0.3">
      <c r="A8" s="1"/>
      <c r="B8" s="2">
        <v>7</v>
      </c>
      <c r="C8" s="2" t="s">
        <v>48</v>
      </c>
      <c r="D8" s="2">
        <v>4</v>
      </c>
      <c r="E8" s="2">
        <v>1</v>
      </c>
      <c r="F8" s="2">
        <v>0</v>
      </c>
      <c r="G8" s="2">
        <v>0</v>
      </c>
      <c r="H8" s="2">
        <v>0</v>
      </c>
      <c r="I8" s="2">
        <v>0</v>
      </c>
      <c r="J8" s="2">
        <v>488</v>
      </c>
    </row>
    <row r="9" spans="1:10" x14ac:dyDescent="0.3">
      <c r="A9" s="1"/>
      <c r="B9" s="2">
        <v>2</v>
      </c>
      <c r="C9" s="2" t="s">
        <v>48</v>
      </c>
      <c r="D9" s="2">
        <v>4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443</v>
      </c>
    </row>
    <row r="10" spans="1:10" x14ac:dyDescent="0.3">
      <c r="A10" s="1"/>
      <c r="B10" s="2">
        <v>5</v>
      </c>
      <c r="C10" s="2" t="s">
        <v>48</v>
      </c>
      <c r="D10" s="2">
        <v>4</v>
      </c>
      <c r="E10" s="2">
        <v>1</v>
      </c>
      <c r="F10" s="2">
        <v>1</v>
      </c>
      <c r="G10" s="2">
        <v>0</v>
      </c>
      <c r="H10" s="2">
        <v>0</v>
      </c>
      <c r="I10" s="2">
        <v>0</v>
      </c>
      <c r="J10" s="2">
        <v>176</v>
      </c>
    </row>
    <row r="11" spans="1:10" x14ac:dyDescent="0.3">
      <c r="A11" s="1"/>
      <c r="B11" s="2">
        <v>3</v>
      </c>
      <c r="C11" s="2"/>
      <c r="D11" s="2">
        <v>2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306</v>
      </c>
    </row>
    <row r="12" spans="1:10" x14ac:dyDescent="0.3">
      <c r="A12" s="1"/>
      <c r="B12" s="2">
        <v>5</v>
      </c>
      <c r="C12" s="2"/>
      <c r="D12" s="2">
        <v>4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305</v>
      </c>
    </row>
    <row r="13" spans="1:10" x14ac:dyDescent="0.3">
      <c r="A13" s="1"/>
      <c r="B13" s="2">
        <v>0</v>
      </c>
      <c r="C13" s="2"/>
      <c r="D13" s="2">
        <v>3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330</v>
      </c>
    </row>
    <row r="14" spans="1:10" x14ac:dyDescent="0.3">
      <c r="A14" s="1"/>
      <c r="B14" s="2">
        <v>2</v>
      </c>
      <c r="C14" s="2"/>
      <c r="D14" s="2">
        <v>2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494</v>
      </c>
    </row>
    <row r="15" spans="1:10" x14ac:dyDescent="0.3">
      <c r="A15" s="1"/>
      <c r="B15" s="2">
        <v>7</v>
      </c>
      <c r="C15" s="2" t="s">
        <v>48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480</v>
      </c>
    </row>
    <row r="16" spans="1:10" x14ac:dyDescent="0.3">
      <c r="A16" s="1"/>
      <c r="B16" s="2">
        <v>5</v>
      </c>
      <c r="C16" s="2" t="s">
        <v>48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440</v>
      </c>
    </row>
    <row r="17" spans="1:10" x14ac:dyDescent="0.3">
      <c r="A17" s="1"/>
      <c r="B17" s="2">
        <v>4</v>
      </c>
      <c r="C17" s="2"/>
      <c r="D17" s="2">
        <v>3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340</v>
      </c>
    </row>
    <row r="18" spans="1:10" x14ac:dyDescent="0.3">
      <c r="A18" s="1"/>
      <c r="B18" s="2">
        <v>6</v>
      </c>
      <c r="C18" s="2"/>
      <c r="D18" s="2">
        <v>4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366</v>
      </c>
    </row>
    <row r="19" spans="1:10" x14ac:dyDescent="0.3">
      <c r="A19" s="1"/>
      <c r="B19" s="2">
        <v>7</v>
      </c>
      <c r="C19" s="2" t="s">
        <v>48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286</v>
      </c>
    </row>
    <row r="20" spans="1:10" x14ac:dyDescent="0.3">
      <c r="A20" s="1"/>
      <c r="B20" s="2">
        <v>6</v>
      </c>
      <c r="C20" s="2"/>
      <c r="D20" s="2">
        <v>3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329</v>
      </c>
    </row>
    <row r="21" spans="1:10" x14ac:dyDescent="0.3">
      <c r="A21" s="1"/>
      <c r="B21" s="2">
        <v>5</v>
      </c>
      <c r="C21" s="2" t="s">
        <v>48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250</v>
      </c>
    </row>
    <row r="22" spans="1:10" x14ac:dyDescent="0.3">
      <c r="A22" s="1"/>
      <c r="B22" s="2">
        <v>6</v>
      </c>
      <c r="C22" s="2"/>
      <c r="D22" s="2">
        <v>4</v>
      </c>
      <c r="E22" s="2">
        <v>0</v>
      </c>
      <c r="F22" s="2">
        <v>0</v>
      </c>
      <c r="G22" s="2">
        <v>0</v>
      </c>
      <c r="H22" s="2">
        <v>1</v>
      </c>
      <c r="I22" s="2">
        <v>0</v>
      </c>
      <c r="J22" s="2">
        <v>300</v>
      </c>
    </row>
    <row r="23" spans="1:10" x14ac:dyDescent="0.3">
      <c r="A23" s="1"/>
      <c r="B23" s="2">
        <v>3</v>
      </c>
      <c r="C23" s="2" t="s">
        <v>48</v>
      </c>
      <c r="D23" s="2">
        <v>4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600</v>
      </c>
    </row>
    <row r="24" spans="1:10" x14ac:dyDescent="0.3">
      <c r="A24" s="1"/>
      <c r="B24" s="2">
        <v>4</v>
      </c>
      <c r="C24" s="2" t="s">
        <v>48</v>
      </c>
      <c r="D24" s="2">
        <v>1</v>
      </c>
      <c r="E24" s="2">
        <v>0</v>
      </c>
      <c r="F24" s="2">
        <v>1</v>
      </c>
      <c r="G24" s="2">
        <v>0</v>
      </c>
      <c r="H24" s="2">
        <v>0</v>
      </c>
      <c r="I24" s="2">
        <v>0</v>
      </c>
      <c r="J24" s="2">
        <v>270</v>
      </c>
    </row>
    <row r="25" spans="1:10" x14ac:dyDescent="0.3">
      <c r="A25" s="1"/>
      <c r="B25" s="2">
        <v>8</v>
      </c>
      <c r="C25" s="2" t="s">
        <v>48</v>
      </c>
      <c r="D25" s="2">
        <v>3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311</v>
      </c>
    </row>
    <row r="26" spans="1:10" x14ac:dyDescent="0.3">
      <c r="A26" s="1"/>
      <c r="B26" s="2">
        <v>8</v>
      </c>
      <c r="C26" s="2" t="s">
        <v>48</v>
      </c>
      <c r="D26" s="2">
        <v>4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284</v>
      </c>
    </row>
    <row r="27" spans="1:10" x14ac:dyDescent="0.3">
      <c r="A27" s="1"/>
      <c r="B27" s="2">
        <v>3</v>
      </c>
      <c r="C27" s="2" t="s">
        <v>48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492</v>
      </c>
    </row>
    <row r="28" spans="1:10" x14ac:dyDescent="0.3">
      <c r="A28" s="1"/>
      <c r="B28" s="2">
        <v>3</v>
      </c>
      <c r="C28" s="2"/>
      <c r="D28" s="2">
        <v>3</v>
      </c>
      <c r="E28" s="2">
        <v>1</v>
      </c>
      <c r="F28" s="2">
        <v>1</v>
      </c>
      <c r="G28" s="2">
        <v>0</v>
      </c>
      <c r="H28" s="2">
        <v>0</v>
      </c>
      <c r="I28" s="2">
        <v>0</v>
      </c>
      <c r="J28" s="2">
        <v>240</v>
      </c>
    </row>
    <row r="29" spans="1:10" x14ac:dyDescent="0.3">
      <c r="A29" s="1"/>
      <c r="B29" s="2">
        <v>3</v>
      </c>
      <c r="C29" s="2"/>
      <c r="D29" s="2">
        <v>1</v>
      </c>
      <c r="E29" s="2">
        <v>1</v>
      </c>
      <c r="F29" s="2">
        <v>1</v>
      </c>
      <c r="G29" s="2">
        <v>0</v>
      </c>
      <c r="H29" s="2">
        <v>0</v>
      </c>
      <c r="I29" s="2">
        <v>0</v>
      </c>
      <c r="J29" s="2">
        <v>276</v>
      </c>
    </row>
    <row r="30" spans="1:10" x14ac:dyDescent="0.3">
      <c r="A30" s="1"/>
      <c r="B30" s="2">
        <v>3</v>
      </c>
      <c r="C30" s="2"/>
      <c r="D30" s="2">
        <v>4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365</v>
      </c>
    </row>
    <row r="31" spans="1:10" x14ac:dyDescent="0.3">
      <c r="A31" s="1"/>
      <c r="B31" s="2">
        <v>6</v>
      </c>
      <c r="C31" s="2" t="s">
        <v>48</v>
      </c>
      <c r="D31" s="2">
        <v>3</v>
      </c>
      <c r="E31" s="2">
        <v>0</v>
      </c>
      <c r="F31" s="2">
        <v>0</v>
      </c>
      <c r="G31" s="2">
        <v>0</v>
      </c>
      <c r="H31" s="2">
        <v>1</v>
      </c>
      <c r="I31" s="2">
        <v>0</v>
      </c>
      <c r="J31" s="2">
        <v>357</v>
      </c>
    </row>
    <row r="32" spans="1:10" x14ac:dyDescent="0.3">
      <c r="A32" s="1"/>
      <c r="B32" s="2">
        <v>5</v>
      </c>
      <c r="C32" s="2"/>
      <c r="D32" s="2">
        <v>2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450</v>
      </c>
    </row>
    <row r="33" spans="1:10" x14ac:dyDescent="0.3">
      <c r="A33" s="1"/>
      <c r="B33" s="2">
        <v>6</v>
      </c>
      <c r="C33" s="2" t="s">
        <v>48</v>
      </c>
      <c r="D33" s="2">
        <v>4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225</v>
      </c>
    </row>
    <row r="34" spans="1:10" x14ac:dyDescent="0.3">
      <c r="A34" s="1"/>
      <c r="B34" s="2">
        <v>7</v>
      </c>
      <c r="C34" s="2" t="s">
        <v>48</v>
      </c>
      <c r="D34" s="2">
        <v>4</v>
      </c>
      <c r="E34" s="2">
        <v>0</v>
      </c>
      <c r="F34" s="2">
        <v>0</v>
      </c>
      <c r="G34" s="2">
        <v>0</v>
      </c>
      <c r="H34" s="2">
        <v>1</v>
      </c>
      <c r="I34" s="2">
        <v>0</v>
      </c>
      <c r="J34" s="2">
        <v>314</v>
      </c>
    </row>
    <row r="35" spans="1:10" x14ac:dyDescent="0.3">
      <c r="A35" s="1"/>
      <c r="B35" s="2">
        <f>AVERAGE(B3:B34)</f>
        <v>4.875</v>
      </c>
      <c r="C35" s="2">
        <v>17</v>
      </c>
      <c r="D35" s="2">
        <v>21</v>
      </c>
      <c r="E35" s="2">
        <f>SUM(E3:E34)</f>
        <v>5</v>
      </c>
      <c r="F35" s="2">
        <f>SUM(F3:F34)</f>
        <v>5</v>
      </c>
      <c r="G35" s="2">
        <f t="shared" ref="G35:I35" si="0">SUM(G3:G34)</f>
        <v>0</v>
      </c>
      <c r="H35" s="2">
        <f t="shared" si="0"/>
        <v>4</v>
      </c>
      <c r="I35" s="2">
        <f t="shared" si="0"/>
        <v>0</v>
      </c>
      <c r="J35" s="2">
        <f>AVERAGE(J3:J34)</f>
        <v>349.28125</v>
      </c>
    </row>
    <row r="36" spans="1:10" x14ac:dyDescent="0.3">
      <c r="A36" s="1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 t="s">
        <v>26</v>
      </c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2">
        <v>7</v>
      </c>
      <c r="C39" s="2" t="s">
        <v>48</v>
      </c>
      <c r="D39" s="2">
        <v>2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240</v>
      </c>
    </row>
    <row r="40" spans="1:10" x14ac:dyDescent="0.3">
      <c r="A40" s="1"/>
      <c r="B40" s="2">
        <v>5</v>
      </c>
      <c r="C40" s="2"/>
      <c r="D40" s="2">
        <v>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602</v>
      </c>
    </row>
    <row r="41" spans="1:10" x14ac:dyDescent="0.3">
      <c r="A41" s="1"/>
      <c r="B41" s="2">
        <v>3</v>
      </c>
      <c r="C41" s="2" t="s">
        <v>48</v>
      </c>
      <c r="D41" s="2">
        <v>3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446</v>
      </c>
    </row>
    <row r="42" spans="1:10" x14ac:dyDescent="0.3">
      <c r="A42" s="1"/>
      <c r="B42" s="2">
        <v>4</v>
      </c>
      <c r="C42" s="2" t="s">
        <v>48</v>
      </c>
      <c r="D42" s="2">
        <v>4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369</v>
      </c>
    </row>
    <row r="43" spans="1:10" x14ac:dyDescent="0.3">
      <c r="A43" s="1"/>
      <c r="B43" s="2">
        <v>2</v>
      </c>
      <c r="C43" s="2"/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405</v>
      </c>
    </row>
    <row r="44" spans="1:10" x14ac:dyDescent="0.3">
      <c r="A44" s="1"/>
      <c r="B44" s="2">
        <v>4</v>
      </c>
      <c r="C44" s="2"/>
      <c r="D44" s="2">
        <v>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500</v>
      </c>
    </row>
    <row r="45" spans="1:10" x14ac:dyDescent="0.3">
      <c r="A45" s="1"/>
      <c r="B45" s="2">
        <v>4</v>
      </c>
      <c r="C45" s="2" t="s">
        <v>48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358</v>
      </c>
    </row>
    <row r="46" spans="1:10" x14ac:dyDescent="0.3">
      <c r="A46" s="1"/>
      <c r="B46" s="2">
        <v>0</v>
      </c>
      <c r="C46" s="2"/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500</v>
      </c>
    </row>
    <row r="47" spans="1:10" x14ac:dyDescent="0.3">
      <c r="A47" s="1"/>
      <c r="B47" s="2">
        <v>4</v>
      </c>
      <c r="C47" s="2" t="s">
        <v>48</v>
      </c>
      <c r="D47" s="2">
        <v>2</v>
      </c>
      <c r="E47" s="2">
        <v>1</v>
      </c>
      <c r="F47" s="2">
        <v>0</v>
      </c>
      <c r="G47" s="2">
        <v>0</v>
      </c>
      <c r="H47" s="2">
        <v>0</v>
      </c>
      <c r="I47" s="2">
        <v>0</v>
      </c>
      <c r="J47" s="2">
        <v>300</v>
      </c>
    </row>
    <row r="48" spans="1:10" x14ac:dyDescent="0.3">
      <c r="A48" s="1"/>
      <c r="B48" s="2">
        <v>4</v>
      </c>
      <c r="C48" s="2" t="s">
        <v>48</v>
      </c>
      <c r="D48" s="2">
        <v>2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546</v>
      </c>
    </row>
    <row r="49" spans="1:10" x14ac:dyDescent="0.3">
      <c r="A49" s="1"/>
      <c r="B49" s="2">
        <v>0</v>
      </c>
      <c r="C49" s="2"/>
      <c r="D49" s="2">
        <v>1</v>
      </c>
      <c r="E49" s="2">
        <v>0</v>
      </c>
      <c r="F49" s="2">
        <v>0</v>
      </c>
      <c r="G49" s="2">
        <v>0</v>
      </c>
      <c r="H49" s="2">
        <v>1</v>
      </c>
      <c r="I49" s="2">
        <v>0</v>
      </c>
      <c r="J49" s="2">
        <v>420</v>
      </c>
    </row>
    <row r="50" spans="1:10" x14ac:dyDescent="0.3">
      <c r="A50" s="1"/>
      <c r="B50" s="2">
        <v>2</v>
      </c>
      <c r="C50" s="2"/>
      <c r="D50" s="2">
        <v>2</v>
      </c>
      <c r="E50" s="2">
        <v>0</v>
      </c>
      <c r="F50" s="2">
        <v>0</v>
      </c>
      <c r="G50" s="2">
        <v>1</v>
      </c>
      <c r="H50" s="2">
        <v>1</v>
      </c>
      <c r="I50" s="2">
        <v>0</v>
      </c>
      <c r="J50" s="2">
        <v>490</v>
      </c>
    </row>
    <row r="51" spans="1:10" x14ac:dyDescent="0.3">
      <c r="A51" s="1"/>
      <c r="B51" s="2">
        <v>0</v>
      </c>
      <c r="C51" s="2"/>
      <c r="D51" s="2">
        <v>1</v>
      </c>
      <c r="E51" s="2">
        <v>0</v>
      </c>
      <c r="F51" s="2">
        <v>0</v>
      </c>
      <c r="G51" s="2">
        <v>1</v>
      </c>
      <c r="H51" s="2">
        <v>1</v>
      </c>
      <c r="I51" s="2">
        <v>1</v>
      </c>
      <c r="J51" s="2">
        <v>400</v>
      </c>
    </row>
    <row r="52" spans="1:10" x14ac:dyDescent="0.3">
      <c r="A52" s="1"/>
      <c r="B52" s="2">
        <v>5</v>
      </c>
      <c r="C52" s="2" t="s">
        <v>48</v>
      </c>
      <c r="D52" s="2">
        <v>3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489</v>
      </c>
    </row>
    <row r="53" spans="1:10" x14ac:dyDescent="0.3">
      <c r="A53" s="1"/>
      <c r="B53" s="2">
        <v>3</v>
      </c>
      <c r="C53" s="2"/>
      <c r="D53" s="2">
        <v>1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695</v>
      </c>
    </row>
    <row r="54" spans="1:10" x14ac:dyDescent="0.3">
      <c r="A54" s="1"/>
      <c r="B54" s="2">
        <v>0</v>
      </c>
      <c r="C54" s="2"/>
      <c r="D54" s="2">
        <v>1</v>
      </c>
      <c r="E54" s="2">
        <v>1</v>
      </c>
      <c r="F54" s="2">
        <v>0</v>
      </c>
      <c r="G54" s="2">
        <v>0</v>
      </c>
      <c r="H54" s="2">
        <v>0</v>
      </c>
      <c r="I54" s="2">
        <v>0</v>
      </c>
      <c r="J54" s="2">
        <v>672</v>
      </c>
    </row>
    <row r="55" spans="1:10" x14ac:dyDescent="0.3">
      <c r="A55" s="1"/>
      <c r="B55" s="2">
        <v>0</v>
      </c>
      <c r="C55" s="2"/>
      <c r="D55" s="2">
        <v>4</v>
      </c>
      <c r="E55" s="2">
        <v>0</v>
      </c>
      <c r="F55" s="2">
        <v>0</v>
      </c>
      <c r="G55" s="2">
        <v>1</v>
      </c>
      <c r="H55" s="2">
        <v>0</v>
      </c>
      <c r="I55" s="2">
        <v>1</v>
      </c>
      <c r="J55" s="2">
        <v>500</v>
      </c>
    </row>
    <row r="56" spans="1:10" x14ac:dyDescent="0.3">
      <c r="A56" s="1"/>
      <c r="B56" s="2">
        <v>2</v>
      </c>
      <c r="C56" s="2"/>
      <c r="D56" s="2">
        <v>2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420</v>
      </c>
    </row>
    <row r="57" spans="1:10" x14ac:dyDescent="0.3">
      <c r="A57" s="1"/>
      <c r="B57" s="2">
        <v>2</v>
      </c>
      <c r="C57" s="2"/>
      <c r="D57" s="2">
        <v>1</v>
      </c>
      <c r="E57" s="2">
        <v>1</v>
      </c>
      <c r="F57" s="2">
        <v>0</v>
      </c>
      <c r="G57" s="2">
        <v>0</v>
      </c>
      <c r="H57" s="2">
        <v>0</v>
      </c>
      <c r="I57" s="2">
        <v>0</v>
      </c>
      <c r="J57" s="2">
        <v>420</v>
      </c>
    </row>
    <row r="58" spans="1:10" x14ac:dyDescent="0.3">
      <c r="A58" s="1"/>
      <c r="B58" s="2">
        <v>6</v>
      </c>
      <c r="C58" s="2"/>
      <c r="D58" s="2">
        <v>4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600</v>
      </c>
    </row>
    <row r="59" spans="1:10" x14ac:dyDescent="0.3">
      <c r="A59" s="1"/>
      <c r="B59" s="2">
        <v>3</v>
      </c>
      <c r="C59" s="2" t="s">
        <v>48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520</v>
      </c>
    </row>
    <row r="60" spans="1:10" x14ac:dyDescent="0.3">
      <c r="A60" s="1"/>
      <c r="B60" s="2">
        <v>2</v>
      </c>
      <c r="C60" s="2"/>
      <c r="D60" s="2">
        <v>1</v>
      </c>
      <c r="E60" s="2">
        <v>1</v>
      </c>
      <c r="F60" s="2">
        <v>0</v>
      </c>
      <c r="G60" s="2">
        <v>0</v>
      </c>
      <c r="H60" s="2">
        <v>0</v>
      </c>
      <c r="I60" s="2">
        <v>0</v>
      </c>
      <c r="J60" s="2">
        <v>240</v>
      </c>
    </row>
    <row r="61" spans="1:10" x14ac:dyDescent="0.3">
      <c r="A61" s="1"/>
      <c r="B61" s="2">
        <v>4</v>
      </c>
      <c r="C61" s="2"/>
      <c r="D61" s="2">
        <v>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582</v>
      </c>
    </row>
    <row r="62" spans="1:10" x14ac:dyDescent="0.3">
      <c r="A62" s="1"/>
      <c r="B62" s="2">
        <v>1</v>
      </c>
      <c r="C62" s="2"/>
      <c r="D62" s="2">
        <v>4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345</v>
      </c>
    </row>
    <row r="63" spans="1:10" x14ac:dyDescent="0.3">
      <c r="A63" s="1"/>
      <c r="B63" s="2">
        <v>3</v>
      </c>
      <c r="C63" s="2"/>
      <c r="D63" s="2">
        <v>2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292</v>
      </c>
    </row>
    <row r="64" spans="1:10" x14ac:dyDescent="0.3">
      <c r="A64" s="1"/>
      <c r="B64" s="2">
        <v>2</v>
      </c>
      <c r="C64" s="2"/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344</v>
      </c>
    </row>
    <row r="65" spans="1:10" x14ac:dyDescent="0.3">
      <c r="A65" s="1"/>
      <c r="B65" s="2">
        <v>4</v>
      </c>
      <c r="C65" s="2"/>
      <c r="D65" s="2">
        <v>3</v>
      </c>
      <c r="E65" s="2">
        <v>1</v>
      </c>
      <c r="F65" s="2">
        <v>0</v>
      </c>
      <c r="G65" s="2">
        <v>0</v>
      </c>
      <c r="H65" s="2">
        <v>0</v>
      </c>
      <c r="I65" s="2">
        <v>0</v>
      </c>
      <c r="J65" s="2">
        <v>279</v>
      </c>
    </row>
    <row r="66" spans="1:10" x14ac:dyDescent="0.3">
      <c r="A66" s="1"/>
      <c r="B66" s="2">
        <v>7</v>
      </c>
      <c r="C66" s="2" t="s">
        <v>48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240</v>
      </c>
    </row>
    <row r="67" spans="1:10" x14ac:dyDescent="0.3">
      <c r="A67" s="1"/>
      <c r="B67" s="2">
        <v>3</v>
      </c>
      <c r="C67" s="2"/>
      <c r="D67" s="2">
        <v>2</v>
      </c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2">
        <v>491</v>
      </c>
    </row>
    <row r="68" spans="1:10" x14ac:dyDescent="0.3">
      <c r="A68" s="1"/>
      <c r="B68" s="2">
        <v>2</v>
      </c>
      <c r="C68" s="2"/>
      <c r="D68" s="2">
        <v>2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430</v>
      </c>
    </row>
    <row r="69" spans="1:10" x14ac:dyDescent="0.3">
      <c r="A69" s="1"/>
      <c r="B69" s="2">
        <v>3</v>
      </c>
      <c r="C69" s="2"/>
      <c r="D69" s="2">
        <v>2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290</v>
      </c>
    </row>
    <row r="70" spans="1:10" x14ac:dyDescent="0.3">
      <c r="A70" s="1"/>
      <c r="B70" s="2">
        <v>3</v>
      </c>
      <c r="C70" s="2"/>
      <c r="D70" s="2">
        <v>4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241</v>
      </c>
    </row>
    <row r="71" spans="1:10" x14ac:dyDescent="0.3">
      <c r="A71" s="1"/>
      <c r="B71" s="2">
        <f>AVERAGE(B39:B70)</f>
        <v>2.9375</v>
      </c>
      <c r="C71" s="2">
        <v>9</v>
      </c>
      <c r="D71" s="2">
        <v>8</v>
      </c>
      <c r="E71" s="2">
        <f>SUM(E39:E70)</f>
        <v>7</v>
      </c>
      <c r="F71" s="2">
        <f t="shared" ref="F71:I71" si="1">SUM(F39:F70)</f>
        <v>0</v>
      </c>
      <c r="G71" s="2">
        <f t="shared" si="1"/>
        <v>4</v>
      </c>
      <c r="H71" s="2">
        <f t="shared" si="1"/>
        <v>3</v>
      </c>
      <c r="I71" s="2">
        <f t="shared" si="1"/>
        <v>3</v>
      </c>
      <c r="J71" s="2">
        <f>AVERAGE(J39:J70)</f>
        <v>427.0625</v>
      </c>
    </row>
    <row r="72" spans="1:10" x14ac:dyDescent="0.3">
      <c r="A72" s="1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/>
      <c r="B75" s="1" t="s">
        <v>4</v>
      </c>
      <c r="C75" s="1" t="s">
        <v>47</v>
      </c>
      <c r="D75" s="1" t="s">
        <v>49</v>
      </c>
      <c r="E75" s="1" t="s">
        <v>46</v>
      </c>
      <c r="F75" s="1" t="s">
        <v>50</v>
      </c>
      <c r="G75" s="1" t="s">
        <v>51</v>
      </c>
      <c r="H75" s="1" t="s">
        <v>52</v>
      </c>
      <c r="I75" s="1" t="s">
        <v>53</v>
      </c>
      <c r="J75" s="1" t="s">
        <v>55</v>
      </c>
    </row>
    <row r="76" spans="1:10" x14ac:dyDescent="0.3">
      <c r="A76" s="1" t="s">
        <v>10</v>
      </c>
      <c r="B76" s="1">
        <v>4.875</v>
      </c>
      <c r="C76" s="1">
        <v>17</v>
      </c>
      <c r="D76" s="1">
        <v>21</v>
      </c>
      <c r="E76" s="1">
        <v>5</v>
      </c>
      <c r="F76" s="1">
        <v>5</v>
      </c>
      <c r="G76" s="1">
        <v>0</v>
      </c>
      <c r="H76" s="1">
        <v>4</v>
      </c>
      <c r="I76" s="1">
        <v>0</v>
      </c>
      <c r="J76" s="1">
        <v>349.28125</v>
      </c>
    </row>
    <row r="77" spans="1: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 t="s">
        <v>11</v>
      </c>
      <c r="B78" s="1">
        <v>2.9375</v>
      </c>
      <c r="C78" s="1">
        <v>9</v>
      </c>
      <c r="D78" s="1">
        <v>8</v>
      </c>
      <c r="E78" s="1">
        <v>7</v>
      </c>
      <c r="F78" s="1">
        <v>0</v>
      </c>
      <c r="G78" s="1">
        <v>4</v>
      </c>
      <c r="H78" s="1">
        <v>3</v>
      </c>
      <c r="I78" s="1">
        <v>3</v>
      </c>
      <c r="J78" s="1">
        <v>427.0625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base</vt:lpstr>
      <vt:lpstr>BP&amp;HR</vt:lpstr>
      <vt:lpstr>Hemodynamic changes</vt:lpstr>
      <vt:lpstr>deltaMBP and HR</vt:lpstr>
      <vt:lpstr>complications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emr4</cp:lastModifiedBy>
  <dcterms:created xsi:type="dcterms:W3CDTF">2015-07-23T02:39:54Z</dcterms:created>
  <dcterms:modified xsi:type="dcterms:W3CDTF">2016-04-12T02:31:20Z</dcterms:modified>
</cp:coreProperties>
</file>