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ankatzenschlager/Library/CloudStorage/SynologyDrive-NAS-OD/6_Publikationen/202x x (LAMA vs LATUBE Kinder)/Manuscript/Supplement/"/>
    </mc:Choice>
  </mc:AlternateContent>
  <xr:revisionPtr revIDLastSave="0" documentId="13_ncr:1_{B04A06CA-9899-A245-8431-78AC906308FB}" xr6:coauthVersionLast="47" xr6:coauthVersionMax="47" xr10:uidLastSave="{00000000-0000-0000-0000-000000000000}"/>
  <bookViews>
    <workbookView xWindow="0" yWindow="760" windowWidth="31980" windowHeight="19880" xr2:uid="{536B72A6-6C28-A84D-80FB-41F0A22252B3}"/>
  </bookViews>
  <sheets>
    <sheet name="Datensatz LaMaTuPe" sheetId="1" r:id="rId1"/>
    <sheet name="Legende SPSS" sheetId="6" r:id="rId2"/>
    <sheet name="Glossar" sheetId="2" r:id="rId3"/>
  </sheets>
  <definedNames>
    <definedName name="_xlnm._FilterDatabase" localSheetId="0" hidden="1">'Datensatz LaMaTuPe'!$A$1:$A$255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255" i="1" l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C132" i="1" a="1"/>
  <c r="C132" i="1" s="1"/>
  <c r="P117" i="1"/>
  <c r="P130" i="1"/>
  <c r="O130" i="1"/>
  <c r="C131" i="1" a="1"/>
  <c r="C131" i="1" s="1"/>
  <c r="C130" i="1" a="1"/>
  <c r="C130" i="1" s="1"/>
  <c r="C129" i="1" a="1"/>
  <c r="C129" i="1" s="1"/>
  <c r="O125" i="1"/>
  <c r="C128" i="1" a="1"/>
  <c r="C128" i="1" s="1"/>
  <c r="C127" i="1" a="1"/>
  <c r="C127" i="1" s="1"/>
  <c r="O121" i="1"/>
  <c r="P121" i="1"/>
  <c r="O117" i="1"/>
  <c r="O124" i="1"/>
  <c r="P124" i="1"/>
  <c r="O122" i="1"/>
  <c r="P122" i="1"/>
  <c r="C126" i="1" a="1"/>
  <c r="C126" i="1" s="1"/>
  <c r="C125" i="1" a="1"/>
  <c r="C125" i="1" s="1"/>
  <c r="O123" i="1"/>
  <c r="P123" i="1"/>
  <c r="C124" i="1" a="1"/>
  <c r="C124" i="1" s="1"/>
  <c r="P118" i="1"/>
  <c r="O118" i="1"/>
  <c r="C123" i="1" a="1"/>
  <c r="C123" i="1" s="1"/>
  <c r="C122" i="1" a="1"/>
  <c r="C122" i="1" s="1"/>
  <c r="C121" i="1" a="1"/>
  <c r="C121" i="1" s="1"/>
  <c r="O120" i="1"/>
  <c r="P120" i="1"/>
  <c r="O119" i="1"/>
  <c r="P119" i="1"/>
  <c r="C120" i="1" a="1"/>
  <c r="C120" i="1" s="1"/>
  <c r="O115" i="1"/>
  <c r="P115" i="1"/>
  <c r="C119" i="1" a="1"/>
  <c r="C119" i="1" s="1"/>
  <c r="C118" i="1" a="1"/>
  <c r="C118" i="1" s="1"/>
  <c r="C117" i="1" a="1"/>
  <c r="C117" i="1" s="1"/>
  <c r="O116" i="1"/>
  <c r="P116" i="1"/>
  <c r="O107" i="1"/>
  <c r="P107" i="1"/>
  <c r="C116" i="1" a="1"/>
  <c r="C116" i="1" s="1"/>
  <c r="O114" i="1"/>
  <c r="P114" i="1"/>
  <c r="O112" i="1"/>
  <c r="P112" i="1"/>
  <c r="AL2" i="1"/>
  <c r="C115" i="1" a="1"/>
  <c r="C115" i="1" s="1"/>
  <c r="O113" i="1"/>
  <c r="P113" i="1"/>
  <c r="C114" i="1" a="1"/>
  <c r="C114" i="1" s="1"/>
  <c r="C112" i="1" a="1"/>
  <c r="C112" i="1" s="1"/>
  <c r="C113" i="1" a="1"/>
  <c r="C113" i="1" s="1"/>
  <c r="O111" i="1"/>
  <c r="P111" i="1"/>
  <c r="P105" i="1"/>
  <c r="O105" i="1"/>
  <c r="P102" i="1"/>
  <c r="O102" i="1"/>
  <c r="C111" i="1" l="1" a="1"/>
  <c r="C111" i="1" s="1"/>
  <c r="O109" i="1" l="1"/>
  <c r="P109" i="1"/>
  <c r="C110" i="1" a="1"/>
  <c r="C110" i="1" s="1"/>
  <c r="C109" i="1" a="1"/>
  <c r="C109" i="1" s="1"/>
  <c r="P91" i="1"/>
  <c r="O101" i="1"/>
  <c r="P101" i="1"/>
  <c r="O108" i="1"/>
  <c r="P108" i="1"/>
  <c r="C108" i="1" a="1"/>
  <c r="C108" i="1" s="1"/>
  <c r="O103" i="1"/>
  <c r="P103" i="1"/>
  <c r="O93" i="1"/>
  <c r="P93" i="1"/>
  <c r="O106" i="1"/>
  <c r="P106" i="1"/>
  <c r="C107" i="1" a="1"/>
  <c r="C107" i="1" s="1"/>
  <c r="P96" i="1"/>
  <c r="O96" i="1"/>
  <c r="C106" i="1" a="1"/>
  <c r="C106" i="1" s="1"/>
  <c r="C105" i="1" a="1"/>
  <c r="C105" i="1" s="1"/>
  <c r="P92" i="1"/>
  <c r="O92" i="1"/>
  <c r="O104" i="1"/>
  <c r="P104" i="1"/>
  <c r="O98" i="1"/>
  <c r="P98" i="1"/>
  <c r="C104" i="1" a="1"/>
  <c r="C104" i="1" s="1"/>
  <c r="C103" i="1" a="1"/>
  <c r="C103" i="1" s="1"/>
  <c r="C102" i="1" a="1"/>
  <c r="C102" i="1" s="1"/>
  <c r="C101" i="1" a="1"/>
  <c r="C101" i="1" s="1"/>
  <c r="O91" i="1"/>
  <c r="O100" i="1"/>
  <c r="P100" i="1"/>
  <c r="C100" i="1" a="1"/>
  <c r="C100" i="1" s="1"/>
  <c r="O99" i="1"/>
  <c r="P99" i="1"/>
  <c r="O97" i="1"/>
  <c r="P97" i="1"/>
  <c r="C99" i="1" a="1"/>
  <c r="C99" i="1" s="1"/>
  <c r="C98" i="1" a="1"/>
  <c r="C98" i="1" s="1"/>
  <c r="O95" i="1"/>
  <c r="P95" i="1"/>
  <c r="C97" i="1" a="1"/>
  <c r="C97" i="1" s="1"/>
  <c r="C96" i="1" a="1"/>
  <c r="C96" i="1" s="1"/>
  <c r="O94" i="1"/>
  <c r="P94" i="1"/>
  <c r="C95" i="1" a="1"/>
  <c r="C95" i="1" s="1"/>
  <c r="O90" i="1" l="1"/>
  <c r="P90" i="1"/>
  <c r="C94" i="1" a="1"/>
  <c r="C94" i="1" s="1"/>
  <c r="C93" i="1" a="1"/>
  <c r="C93" i="1" s="1"/>
  <c r="C92" i="1" a="1"/>
  <c r="C92" i="1" s="1"/>
  <c r="P88" i="1"/>
  <c r="P89" i="1"/>
  <c r="C91" i="1" a="1"/>
  <c r="C91" i="1" s="1"/>
  <c r="C90" i="1" a="1"/>
  <c r="C90" i="1" s="1"/>
  <c r="O88" i="1"/>
  <c r="O89" i="1"/>
  <c r="C89" i="1" a="1"/>
  <c r="C89" i="1" s="1"/>
  <c r="C88" i="1" a="1"/>
  <c r="C88" i="1" s="1"/>
  <c r="O87" i="1"/>
  <c r="C87" i="1" a="1"/>
  <c r="C87" i="1" s="1"/>
  <c r="AL3" i="1"/>
  <c r="P32" i="1" l="1"/>
  <c r="O32" i="1"/>
  <c r="O85" i="1"/>
  <c r="O83" i="1" l="1"/>
  <c r="P83" i="1"/>
  <c r="O84" i="1"/>
  <c r="P84" i="1"/>
  <c r="P85" i="1"/>
  <c r="O86" i="1"/>
  <c r="P86" i="1"/>
  <c r="C86" i="1" a="1"/>
  <c r="C86" i="1" s="1"/>
  <c r="C85" i="1" a="1"/>
  <c r="C85" i="1" s="1"/>
  <c r="C84" i="1" l="1" a="1"/>
  <c r="C84" i="1" s="1"/>
  <c r="C83" i="1" a="1"/>
  <c r="C83" i="1" s="1"/>
  <c r="C82" i="1" a="1"/>
  <c r="C82" i="1" s="1"/>
  <c r="C81" i="1" a="1"/>
  <c r="C81" i="1" s="1"/>
  <c r="O47" i="1"/>
  <c r="P47" i="1"/>
  <c r="O74" i="1" l="1"/>
  <c r="P74" i="1"/>
  <c r="P77" i="1" l="1"/>
  <c r="O77" i="1"/>
  <c r="P79" i="1"/>
  <c r="O79" i="1"/>
  <c r="P80" i="1"/>
  <c r="O80" i="1"/>
  <c r="C80" i="1" a="1"/>
  <c r="C80" i="1" s="1"/>
  <c r="C79" i="1" a="1"/>
  <c r="C79" i="1" s="1"/>
  <c r="C78" i="1" a="1"/>
  <c r="C78" i="1" s="1"/>
  <c r="C77" i="1" a="1"/>
  <c r="C77" i="1" s="1"/>
  <c r="O76" i="1" l="1"/>
  <c r="P76" i="1"/>
  <c r="P75" i="1"/>
  <c r="O75" i="1"/>
  <c r="P69" i="1"/>
  <c r="O69" i="1"/>
  <c r="O64" i="1"/>
  <c r="P64" i="1"/>
  <c r="C76" i="1" l="1" a="1"/>
  <c r="C76" i="1" s="1"/>
  <c r="P70" i="1" l="1"/>
  <c r="O70" i="1"/>
  <c r="P67" i="1"/>
  <c r="O67" i="1"/>
  <c r="P72" i="1"/>
  <c r="O72" i="1"/>
  <c r="C75" i="1" a="1"/>
  <c r="C75" i="1" s="1"/>
  <c r="C74" i="1" a="1"/>
  <c r="C74" i="1" s="1"/>
  <c r="C73" i="1" a="1"/>
  <c r="C73" i="1" s="1"/>
  <c r="C72" i="1" l="1" a="1"/>
  <c r="C72" i="1" s="1"/>
  <c r="C71" i="1" l="1" a="1"/>
  <c r="C71" i="1" s="1"/>
  <c r="C70" i="1" l="1" a="1"/>
  <c r="C70" i="1" s="1"/>
  <c r="C69" i="1" a="1"/>
  <c r="C69" i="1" s="1"/>
  <c r="C68" i="1" l="1" a="1"/>
  <c r="C68" i="1" s="1"/>
  <c r="C67" i="1" l="1" a="1"/>
  <c r="C67" i="1" s="1"/>
  <c r="C66" i="1" l="1" a="1"/>
  <c r="C66" i="1" s="1"/>
  <c r="C65" i="1" l="1" a="1"/>
  <c r="C65" i="1" s="1"/>
  <c r="C64" i="1" l="1" a="1"/>
  <c r="C64" i="1" s="1"/>
  <c r="P60" i="1" l="1"/>
  <c r="P61" i="1"/>
  <c r="P63" i="1"/>
  <c r="P66" i="1"/>
  <c r="O60" i="1"/>
  <c r="O61" i="1"/>
  <c r="O63" i="1"/>
  <c r="O66" i="1"/>
  <c r="C63" i="1" l="1" a="1"/>
  <c r="C63" i="1" s="1"/>
  <c r="C62" i="1" l="1" a="1"/>
  <c r="C62" i="1" s="1"/>
  <c r="C61" i="1" l="1" a="1"/>
  <c r="C61" i="1" s="1"/>
  <c r="P58" i="1" l="1"/>
  <c r="P59" i="1"/>
  <c r="O58" i="1"/>
  <c r="O59" i="1"/>
  <c r="C60" i="1" l="1" a="1"/>
  <c r="C60" i="1" s="1"/>
  <c r="C59" i="1" l="1" a="1"/>
  <c r="C59" i="1" s="1"/>
  <c r="C58" i="1" l="1" a="1"/>
  <c r="C58" i="1" s="1"/>
  <c r="P55" i="1" l="1"/>
  <c r="P56" i="1"/>
  <c r="P57" i="1"/>
  <c r="O55" i="1"/>
  <c r="O56" i="1"/>
  <c r="O57" i="1"/>
  <c r="C57" i="1" l="1" a="1"/>
  <c r="C57" i="1" s="1"/>
  <c r="C56" i="1" l="1" a="1"/>
  <c r="C56" i="1" s="1"/>
  <c r="C55" i="1" l="1" a="1"/>
  <c r="C55" i="1" s="1"/>
  <c r="O53" i="1" l="1"/>
  <c r="P53" i="1"/>
  <c r="O54" i="1"/>
  <c r="P54" i="1"/>
  <c r="O52" i="1"/>
  <c r="P52" i="1"/>
  <c r="O51" i="1"/>
  <c r="P51" i="1"/>
  <c r="O46" i="1"/>
  <c r="P46" i="1"/>
  <c r="C54" i="1" a="1"/>
  <c r="C54" i="1" s="1"/>
  <c r="C53" i="1" a="1"/>
  <c r="C53" i="1" s="1"/>
  <c r="C52" i="1" a="1"/>
  <c r="C52" i="1" s="1"/>
  <c r="C51" i="1" l="1" a="1"/>
  <c r="C51" i="1" s="1"/>
  <c r="C50" i="1" a="1"/>
  <c r="C50" i="1" s="1"/>
  <c r="O49" i="1"/>
  <c r="P49" i="1"/>
  <c r="C49" i="1" a="1"/>
  <c r="C49" i="1" s="1"/>
  <c r="C48" i="1" a="1"/>
  <c r="C48" i="1" s="1"/>
  <c r="C47" i="1" a="1"/>
  <c r="C47" i="1" s="1"/>
  <c r="C46" i="1" l="1" a="1"/>
  <c r="C46" i="1" s="1"/>
  <c r="C45" i="1" l="1" a="1"/>
  <c r="C45" i="1" s="1"/>
  <c r="C44" i="1" l="1" a="1"/>
  <c r="C44" i="1" s="1"/>
  <c r="C43" i="1" l="1" a="1"/>
  <c r="C43" i="1" s="1"/>
  <c r="C42" i="1" l="1" a="1"/>
  <c r="C42" i="1" s="1"/>
  <c r="C41" i="1" l="1" a="1"/>
  <c r="C41" i="1" s="1"/>
  <c r="C40" i="1" a="1"/>
  <c r="C40" i="1" s="1"/>
  <c r="C39" i="1" a="1"/>
  <c r="C39" i="1" s="1"/>
  <c r="C38" i="1" l="1" a="1"/>
  <c r="C38" i="1" s="1"/>
  <c r="C37" i="1" l="1" a="1"/>
  <c r="C37" i="1" s="1"/>
  <c r="C36" i="1" l="1" a="1"/>
  <c r="C36" i="1" s="1"/>
  <c r="C35" i="1" a="1"/>
  <c r="C35" i="1" s="1"/>
  <c r="C34" i="1" l="1" a="1"/>
  <c r="C34" i="1" s="1"/>
  <c r="C33" i="1" a="1"/>
  <c r="C33" i="1" s="1"/>
  <c r="C32" i="1" l="1" a="1"/>
  <c r="C32" i="1" s="1"/>
  <c r="C31" i="1" a="1"/>
  <c r="C31" i="1" s="1"/>
  <c r="C30" i="1" l="1" a="1"/>
  <c r="C30" i="1" s="1"/>
  <c r="C29" i="1" a="1"/>
  <c r="C29" i="1" s="1"/>
  <c r="C28" i="1" l="1" a="1"/>
  <c r="C28" i="1" s="1"/>
  <c r="E14" i="2"/>
  <c r="C27" i="1" a="1"/>
  <c r="C27" i="1" s="1"/>
  <c r="C26" i="1" l="1" a="1"/>
  <c r="C26" i="1" s="1"/>
  <c r="C25" i="1" l="1" a="1"/>
  <c r="C25" i="1" s="1"/>
  <c r="C24" i="1" l="1" a="1"/>
  <c r="C24" i="1" s="1"/>
  <c r="C23" i="1" a="1"/>
  <c r="C23" i="1" s="1"/>
  <c r="C22" i="1" l="1" a="1"/>
  <c r="C22" i="1" s="1"/>
  <c r="C21" i="1" l="1" a="1"/>
  <c r="C21" i="1" s="1"/>
  <c r="C20" i="1" l="1" a="1"/>
  <c r="C20" i="1" s="1"/>
  <c r="C15" i="1" l="1" a="1"/>
  <c r="C15" i="1" s="1"/>
  <c r="C16" i="1" a="1"/>
  <c r="C16" i="1" s="1"/>
  <c r="C17" i="1" a="1"/>
  <c r="C17" i="1" s="1"/>
  <c r="C18" i="1" a="1"/>
  <c r="C18" i="1" s="1"/>
  <c r="C19" i="1" a="1"/>
  <c r="C19" i="1" s="1"/>
  <c r="C14" i="1" l="1" a="1"/>
  <c r="C14" i="1" s="1"/>
  <c r="C13" i="1" l="1" a="1"/>
  <c r="C13" i="1" s="1"/>
  <c r="C12" i="1" l="1" a="1"/>
  <c r="C12" i="1" s="1"/>
  <c r="C11" i="1" l="1" a="1"/>
  <c r="C11" i="1" s="1"/>
  <c r="C10" i="1" l="1" a="1"/>
  <c r="C10" i="1" s="1"/>
  <c r="C9" i="1" a="1"/>
  <c r="C9" i="1" s="1"/>
  <c r="C8" i="1" l="1" a="1"/>
  <c r="C8" i="1" s="1"/>
  <c r="C7" i="1" l="1" a="1"/>
  <c r="C7" i="1" s="1"/>
  <c r="AL4" i="1" l="1"/>
  <c r="AL5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3" i="1"/>
  <c r="AL24" i="1"/>
  <c r="AL25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K2" i="1"/>
  <c r="E44" i="2" l="1"/>
  <c r="E31" i="2"/>
  <c r="E15" i="2" a="1"/>
  <c r="E15" i="2" s="1"/>
  <c r="E16" i="2"/>
  <c r="E13" i="2"/>
  <c r="AK3" i="1"/>
  <c r="AK4" i="1"/>
  <c r="AK5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C3" i="1" a="1"/>
  <c r="C3" i="1" s="1"/>
  <c r="C4" i="1" a="1"/>
  <c r="C4" i="1" s="1"/>
  <c r="C5" i="1" a="1"/>
  <c r="C5" i="1" s="1"/>
  <c r="C6" i="1" a="1"/>
  <c r="C6" i="1" s="1"/>
  <c r="C2" i="1" a="1"/>
  <c r="C2" i="1" s="1"/>
  <c r="E12" i="2"/>
  <c r="D125" i="1" l="1"/>
  <c r="D131" i="1"/>
  <c r="D126" i="1"/>
  <c r="D130" i="1"/>
  <c r="D127" i="1"/>
  <c r="D128" i="1"/>
  <c r="D129" i="1"/>
  <c r="D124" i="1"/>
  <c r="D132" i="1"/>
  <c r="D116" i="1"/>
  <c r="D122" i="1"/>
  <c r="D117" i="1"/>
  <c r="D120" i="1"/>
  <c r="D121" i="1"/>
  <c r="D123" i="1"/>
  <c r="D118" i="1"/>
  <c r="D119" i="1"/>
  <c r="D115" i="1"/>
  <c r="D114" i="1"/>
  <c r="D112" i="1"/>
  <c r="D113" i="1"/>
  <c r="D107" i="1"/>
  <c r="D111" i="1"/>
  <c r="D109" i="1"/>
  <c r="D103" i="1"/>
  <c r="D108" i="1"/>
  <c r="D105" i="1"/>
  <c r="D104" i="1"/>
  <c r="D110" i="1"/>
  <c r="D106" i="1"/>
  <c r="D102" i="1"/>
  <c r="D99" i="1"/>
  <c r="D98" i="1"/>
  <c r="D96" i="1"/>
  <c r="D97" i="1"/>
  <c r="D100" i="1"/>
  <c r="D101" i="1"/>
  <c r="D86" i="1"/>
  <c r="D95" i="1"/>
  <c r="D89" i="1"/>
  <c r="D88" i="1"/>
  <c r="D90" i="1"/>
  <c r="D93" i="1"/>
  <c r="D92" i="1"/>
  <c r="D94" i="1"/>
  <c r="D87" i="1"/>
  <c r="D91" i="1"/>
  <c r="D4" i="1"/>
  <c r="D85" i="1"/>
  <c r="D83" i="1"/>
  <c r="D81" i="1"/>
  <c r="D82" i="1"/>
  <c r="D84" i="1"/>
  <c r="D79" i="1"/>
  <c r="D77" i="1"/>
  <c r="D78" i="1"/>
  <c r="D80" i="1"/>
  <c r="D5" i="1"/>
  <c r="D6" i="1"/>
  <c r="D8" i="1"/>
  <c r="D59" i="1"/>
  <c r="D69" i="1"/>
  <c r="D57" i="1"/>
  <c r="D56" i="1"/>
  <c r="D67" i="1"/>
  <c r="D64" i="1"/>
  <c r="D74" i="1"/>
  <c r="D63" i="1"/>
  <c r="D76" i="1"/>
  <c r="D68" i="1"/>
  <c r="D61" i="1"/>
  <c r="D73" i="1"/>
  <c r="D66" i="1"/>
  <c r="D72" i="1"/>
  <c r="D55" i="1"/>
  <c r="D60" i="1"/>
  <c r="D70" i="1"/>
  <c r="D75" i="1"/>
  <c r="D65" i="1"/>
  <c r="D62" i="1"/>
  <c r="D71" i="1"/>
  <c r="D58" i="1"/>
  <c r="D53" i="1"/>
  <c r="D54" i="1"/>
  <c r="D52" i="1"/>
  <c r="D50" i="1"/>
  <c r="D51" i="1"/>
  <c r="D7" i="1"/>
  <c r="D49" i="1"/>
  <c r="D48" i="1"/>
  <c r="D47" i="1"/>
  <c r="D42" i="1"/>
  <c r="D46" i="1"/>
  <c r="D44" i="1"/>
  <c r="D45" i="1"/>
  <c r="D43" i="1"/>
  <c r="D41" i="1"/>
  <c r="D39" i="1"/>
  <c r="D40" i="1"/>
  <c r="D38" i="1"/>
  <c r="D37" i="1"/>
  <c r="D25" i="1"/>
  <c r="D26" i="1"/>
  <c r="D35" i="1"/>
  <c r="D28" i="1"/>
  <c r="D36" i="1"/>
  <c r="D33" i="1"/>
  <c r="D34" i="1"/>
  <c r="D31" i="1"/>
  <c r="D32" i="1"/>
  <c r="D29" i="1"/>
  <c r="D30" i="1"/>
  <c r="D27" i="1"/>
  <c r="D23" i="1"/>
  <c r="D24" i="1"/>
  <c r="D3" i="1"/>
  <c r="D21" i="1"/>
  <c r="D22" i="1"/>
  <c r="D2" i="1"/>
  <c r="D20" i="1"/>
  <c r="D19" i="1"/>
  <c r="D11" i="1"/>
  <c r="D10" i="1"/>
  <c r="D17" i="1"/>
  <c r="D13" i="1"/>
  <c r="D12" i="1"/>
  <c r="D18" i="1"/>
  <c r="D9" i="1"/>
  <c r="D14" i="1"/>
  <c r="D15" i="1"/>
  <c r="D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<sst xmlns="http://schemas.openxmlformats.org/spreadsheetml/2006/main" count="1653" uniqueCount="840">
  <si>
    <t>Pat.-Nr.</t>
  </si>
  <si>
    <t>Einwilligung Datum</t>
  </si>
  <si>
    <t>Einwilligung zurückgezogen</t>
  </si>
  <si>
    <t>Weiterverwendung</t>
  </si>
  <si>
    <t>Nr. Narkoseprotokoll</t>
  </si>
  <si>
    <t>Altersgruppe</t>
  </si>
  <si>
    <t>Geschlecht</t>
  </si>
  <si>
    <t>Körpergröße</t>
  </si>
  <si>
    <t>Gewicht</t>
  </si>
  <si>
    <t>ASA</t>
  </si>
  <si>
    <t>Mallampati</t>
  </si>
  <si>
    <t>Eingriffsdauer</t>
  </si>
  <si>
    <t>Laufende Nummer in Studie nach Einwilligungen ; Prescreening nicht erfasst</t>
  </si>
  <si>
    <t>Datum der Einwilligung in Studie</t>
  </si>
  <si>
    <t>Einwilligung zurückgezogen ja / nein</t>
  </si>
  <si>
    <t>Spalte</t>
  </si>
  <si>
    <t>A</t>
  </si>
  <si>
    <t>B</t>
  </si>
  <si>
    <t>C</t>
  </si>
  <si>
    <t>Beschreibung</t>
  </si>
  <si>
    <t>Auswahlmöglichkeiten / Dropdown</t>
  </si>
  <si>
    <t>keine</t>
  </si>
  <si>
    <t>Datum TT.MM.JJJJ</t>
  </si>
  <si>
    <t>ja</t>
  </si>
  <si>
    <t>nein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</si>
  <si>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</si>
  <si>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</si>
  <si>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</si>
  <si>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</si>
  <si>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</si>
  <si>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</si>
  <si>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</si>
  <si>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</si>
  <si>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</si>
  <si>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</si>
  <si>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</si>
  <si>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</si>
  <si>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</si>
  <si>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</si>
  <si>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</si>
  <si>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T</t>
  </si>
  <si>
    <t>S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</si>
  <si>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</si>
  <si>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</si>
  <si>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</si>
  <si>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</si>
  <si>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</si>
  <si>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</si>
  <si>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</si>
  <si>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</si>
  <si>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</si>
  <si>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</si>
  <si>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</si>
  <si>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</si>
  <si>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</si>
  <si>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Geburtsdatum</t>
  </si>
  <si>
    <t>Datum des Rückzugs der Einwilligung</t>
  </si>
  <si>
    <t>Weiterverwendung der bis dahin erhobenen Daten erlaubt ja / nein</t>
  </si>
  <si>
    <t>Bezeichnung</t>
  </si>
  <si>
    <t>Datum Rückzug</t>
  </si>
  <si>
    <t>Nummer der Narkoseprotokolls</t>
  </si>
  <si>
    <t>Nr. in Altersgruppe</t>
  </si>
  <si>
    <t>Altersgruppe für Statistik</t>
  </si>
  <si>
    <t>Laufende Nummer innerhalb der Altersgruppe. Entspricht Randomisierung</t>
  </si>
  <si>
    <t>Dropdown</t>
  </si>
  <si>
    <t>Dringlichkeit</t>
  </si>
  <si>
    <t>First-Pass-Success</t>
  </si>
  <si>
    <t>Overall-pass-success</t>
  </si>
  <si>
    <t>Opioid</t>
  </si>
  <si>
    <t>Zeichen nicht ausreichender Narkosetiefe</t>
  </si>
  <si>
    <t>Komplikationen während Narkose</t>
  </si>
  <si>
    <t>Komplikationen postop</t>
  </si>
  <si>
    <t>intraop. Schmerztherapie</t>
  </si>
  <si>
    <t>postop. Schmerztherapie</t>
  </si>
  <si>
    <t>Besonderheiten</t>
  </si>
  <si>
    <t>Anästhesist*in</t>
  </si>
  <si>
    <t>Anästhesienummer</t>
  </si>
  <si>
    <t>Facharzt</t>
  </si>
  <si>
    <t>Schwierigkeit Verfahren</t>
  </si>
  <si>
    <t>persönliche Präferenz</t>
  </si>
  <si>
    <t>Hilfe notwendig?</t>
  </si>
  <si>
    <t>Hilfe - Wer?</t>
  </si>
  <si>
    <t>Hilfe - Anästhesienummer</t>
  </si>
  <si>
    <t>C/L-Klassifikation</t>
  </si>
  <si>
    <t>Übernahme durch erfahrenere Kolleg*in</t>
  </si>
  <si>
    <t>Übername - Wer?</t>
  </si>
  <si>
    <t>Übernahme - Anästhesienummer</t>
  </si>
  <si>
    <t>Anzahl Insertionsversuche</t>
  </si>
  <si>
    <t>First-Pass-Success Kolleg*in</t>
  </si>
  <si>
    <t>OP-Datum</t>
  </si>
  <si>
    <t>operierende Fachabteilung</t>
  </si>
  <si>
    <t>Studienarm</t>
  </si>
  <si>
    <t>verwendete Größe</t>
  </si>
  <si>
    <t>erwartete Größe</t>
  </si>
  <si>
    <t>Tidalvolumen</t>
  </si>
  <si>
    <t>Induktion</t>
  </si>
  <si>
    <t>Aufrechterhaltung</t>
  </si>
  <si>
    <t>Alter exakt</t>
  </si>
  <si>
    <t>Behandlungsform</t>
  </si>
  <si>
    <t>Alter in Jahren</t>
  </si>
  <si>
    <t>m</t>
  </si>
  <si>
    <t>w</t>
  </si>
  <si>
    <t>d</t>
  </si>
  <si>
    <t>II</t>
  </si>
  <si>
    <t>III</t>
  </si>
  <si>
    <t>&gt;III</t>
  </si>
  <si>
    <t>fehlt</t>
  </si>
  <si>
    <t>nicht erhoben</t>
  </si>
  <si>
    <t>ambulant</t>
  </si>
  <si>
    <t>stationär</t>
  </si>
  <si>
    <t>U</t>
  </si>
  <si>
    <t>elektiv</t>
  </si>
  <si>
    <t>sofort</t>
  </si>
  <si>
    <t>Notfall</t>
  </si>
  <si>
    <t>LT (Intervention)</t>
  </si>
  <si>
    <t>LaMa (Kontrolle)</t>
  </si>
  <si>
    <t>Insertionserfolg</t>
  </si>
  <si>
    <t>Verfahrenswechsel</t>
  </si>
  <si>
    <t>Anzahl Versuche</t>
  </si>
  <si>
    <t>Insertionszeit</t>
  </si>
  <si>
    <t>Leckagedruck</t>
  </si>
  <si>
    <t>Leckagevolumen absolut</t>
  </si>
  <si>
    <t>Leckagevolumen</t>
  </si>
  <si>
    <t>Relaxans</t>
  </si>
  <si>
    <t>Komplikationen bei Einleitung</t>
  </si>
  <si>
    <t>sonst. Beschwerden</t>
  </si>
  <si>
    <t>Schweregrad</t>
  </si>
  <si>
    <t>Bemerkungen</t>
  </si>
  <si>
    <t>Abweichung</t>
  </si>
  <si>
    <t>Ja</t>
  </si>
  <si>
    <t>Nein</t>
  </si>
  <si>
    <t>AI</t>
  </si>
  <si>
    <t>Ja - LT</t>
  </si>
  <si>
    <t>Ja - LaMa</t>
  </si>
  <si>
    <t>Ja - ETI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</si>
  <si>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</si>
  <si>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</si>
  <si>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</si>
  <si>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</si>
  <si>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</si>
  <si>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</si>
  <si>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</si>
  <si>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</si>
  <si>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</si>
  <si>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</si>
  <si>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</si>
  <si>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</si>
  <si>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</si>
  <si>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AX</t>
  </si>
  <si>
    <t>AW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</si>
  <si>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</si>
  <si>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</si>
  <si>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</si>
  <si>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</si>
  <si>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</si>
  <si>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</si>
  <si>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</si>
  <si>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</si>
  <si>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</si>
  <si>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</si>
  <si>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</si>
  <si>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</si>
  <si>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</si>
  <si>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</si>
  <si>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</si>
  <si>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</si>
  <si>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</si>
  <si>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</si>
  <si>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</si>
  <si>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</si>
  <si>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</si>
  <si>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Explantation Hickman-Katheter</t>
  </si>
  <si>
    <t>Nurofen 250</t>
  </si>
  <si>
    <t>Schmerzen Mund-Rachenraum postop</t>
  </si>
  <si>
    <t>Bleymehl</t>
  </si>
  <si>
    <t>Berufserfahrung</t>
  </si>
  <si>
    <t>Metamizol 380</t>
  </si>
  <si>
    <t>Leistenherniotomie</t>
  </si>
  <si>
    <t>Metallentfernung ESIN MC V Hand rechts</t>
  </si>
  <si>
    <t>Dropout Protokoll</t>
  </si>
  <si>
    <t>Drop-out wegen Protokollverstoß</t>
  </si>
  <si>
    <t>in Klärung</t>
  </si>
  <si>
    <t>OP-Datum ; Mit Geburtsdatum Berechnungsgrundlage für Alter</t>
  </si>
  <si>
    <t>Geburtsdatum ; Mit OP-Datum Berechnungsgrundlage für Alter</t>
  </si>
  <si>
    <t>Exaktes Alter in Jahren, Monaten und Tagen ; Berechnet aus Different OP-Datum und Geburtsdatum</t>
  </si>
  <si>
    <t>Alter in Jahren ; Berechnet aus Different OP-Datum und Geburtsdatum</t>
  </si>
  <si>
    <t>Formel =&gt;</t>
  </si>
  <si>
    <t>Körpergröße in cm</t>
  </si>
  <si>
    <t>Gewicht in kg</t>
  </si>
  <si>
    <t>ASA-Freigabe im Anästhesieprotokoll</t>
  </si>
  <si>
    <t>Mallampati-Score</t>
  </si>
  <si>
    <t>Eingriffsart</t>
  </si>
  <si>
    <t>Art des Eingriffs</t>
  </si>
  <si>
    <t>Freitext</t>
  </si>
  <si>
    <t>Eingriffsdauer in Minuten</t>
  </si>
  <si>
    <t>erwartete Größe der SGA nach Herstellervorgabe</t>
  </si>
  <si>
    <t>tatsächlich verwendete Größe der ersten SGA</t>
  </si>
  <si>
    <t>Kontrolle, ob erwartete und verwendete Größe identisch</t>
  </si>
  <si>
    <t>Abfrage, ob geplante SGA eingelegt werden konnte</t>
  </si>
  <si>
    <t>Abfrage, ob geplante SGA beim ersten Versuch eingelegt werden konnte</t>
  </si>
  <si>
    <t>Anzahl der benötigten Versuche bis Einlage erfolgreich oder Verfahrenswechsel</t>
  </si>
  <si>
    <t>Verfahrenswechsel nötig / erfolgt</t>
  </si>
  <si>
    <t>verwendete Größe der Atemwegssicherung bei Verfahrenswechsel</t>
  </si>
  <si>
    <t>Anzahl der benötigten Versuche des Hilfsmittels nach Verfahrenswechsel</t>
  </si>
  <si>
    <t>Zeit von Abnahme der Maske bis desinitive Atemwegssicherung in Sekunden</t>
  </si>
  <si>
    <t>in cmH2O</t>
  </si>
  <si>
    <t>absolutes Leckagevolumen in ml</t>
  </si>
  <si>
    <t>Tidalvolumen in ml</t>
  </si>
  <si>
    <t>Leckagevolumen in % des Tidalvolumens</t>
  </si>
  <si>
    <t>Gewähltes Medikament und Dosierung zur Narkoseinduktion</t>
  </si>
  <si>
    <t>Gewähltes Medikament und Dosierung zur Narkoseaufrechterhaltung</t>
  </si>
  <si>
    <t>Gewähltes Opioid mit Dosierung</t>
  </si>
  <si>
    <t>Gewähltes Relaxans mit Dosierung</t>
  </si>
  <si>
    <t>Waren Anzeichen für eine nicht ausreichende Narkosetiefe vorhanden?</t>
  </si>
  <si>
    <t>Sind während der Einleitung Komplikationen aufgetreten? Wenn ja, welche?</t>
  </si>
  <si>
    <t>Sind während der Narkose Komplikationen aufgetreten? Wenn ja, welche?</t>
  </si>
  <si>
    <t>Sind postoperativ Komplikationen aufgetreten? Wenn ja, welche?</t>
  </si>
  <si>
    <t>Welche Schmerztherapie wurde intraoperativ durchgeführt?</t>
  </si>
  <si>
    <t>Welche Schmerztherapie wurde postoperativ durchgeführt?</t>
  </si>
  <si>
    <t>NRS-Wert für postoperative Schmerzen im Mund-Rachenraum</t>
  </si>
  <si>
    <t>traten sonstige Beschwerden postoperativ auf?</t>
  </si>
  <si>
    <t>Schweregrad der Beschwerden postoperativ</t>
  </si>
  <si>
    <t>Name Anästhesist*in, der / die SGA eingelegt hat</t>
  </si>
  <si>
    <t>Anästhesienummer des / der Anästhesist*in, der / die SGA eingelegt hat</t>
  </si>
  <si>
    <t>Einwilligung vorhanden?</t>
  </si>
  <si>
    <t>Fragebogen ausgefüllt?</t>
  </si>
  <si>
    <t>Einwilligung des / der Anästhesist*in vorhanden?</t>
  </si>
  <si>
    <t>Ausstehend</t>
  </si>
  <si>
    <t>Geschlecht Anästhesist*in</t>
  </si>
  <si>
    <t>Erfahrung SGA</t>
  </si>
  <si>
    <t>Erfahrung mit primärer SGA vorhanden? Geschätzte Zahl der Anwendungen</t>
  </si>
  <si>
    <t>Berufserfahrung in Jahren</t>
  </si>
  <si>
    <t>subjektiv empfundene Schwierigkeit des durchgeführten Verfahrens</t>
  </si>
  <si>
    <t>Persönliche Präferenz des / der durchführenden Anästhesist*in</t>
  </si>
  <si>
    <t>LT</t>
  </si>
  <si>
    <t>LaMa</t>
  </si>
  <si>
    <t>Keine</t>
  </si>
  <si>
    <t>Keine Angabe</t>
  </si>
  <si>
    <t>Weder noch</t>
  </si>
  <si>
    <t>Sonstige</t>
  </si>
  <si>
    <t>Wurde Hilfe durch Andere im Rahmen der Atemwegssicherung benötigt</t>
  </si>
  <si>
    <t>Name der / des helfenden Anästhesist*in</t>
  </si>
  <si>
    <t>Anästhesienummer des / der helfenden Anästhesist*in</t>
  </si>
  <si>
    <t>IV</t>
  </si>
  <si>
    <t>keine Angabe</t>
  </si>
  <si>
    <t>Cormack-Lehane-Klassifikation, falls ETI erfolgt</t>
  </si>
  <si>
    <t>Weiteres Hilfsmittel erforderlich?</t>
  </si>
  <si>
    <t>Bspw. C-MAC</t>
  </si>
  <si>
    <t>Wurde die Atemwegssicherung komplett durch einen erfahreneren Kollegen / Kollegin übernommen?</t>
  </si>
  <si>
    <t>Name der / des übernehmenden Anästhesist*in</t>
  </si>
  <si>
    <t>Anästhesienummer des / der übernehmenden Anästhesist*in</t>
  </si>
  <si>
    <t>Anzahl Insertionsversuche des / der übernehmenden Anästhesist*in</t>
  </si>
  <si>
    <t>BT</t>
  </si>
  <si>
    <t>BU</t>
  </si>
  <si>
    <t>Resektion Epidermoidzyste retroaurikulär li</t>
  </si>
  <si>
    <t>dringlich</t>
  </si>
  <si>
    <t>Liegedauer SGA</t>
  </si>
  <si>
    <t>Liegedauer der SGA von Intubation bis Extubation in Minuten</t>
  </si>
  <si>
    <t>BV</t>
  </si>
  <si>
    <t>Leckagevolumen absolut [ml/min]</t>
  </si>
  <si>
    <t>AMV</t>
  </si>
  <si>
    <t>Atemminutenvolumen in ml</t>
  </si>
  <si>
    <t>Leckagevolumen / Min</t>
  </si>
  <si>
    <t>Angabe des Leckagevolumens pro Minute als Anteil am Atemminutenvolumen</t>
  </si>
  <si>
    <t>BW</t>
  </si>
  <si>
    <t>BX</t>
  </si>
  <si>
    <t>BY</t>
  </si>
  <si>
    <t>Datensatz</t>
  </si>
  <si>
    <t>Gibt an, ob der Datensatz zu einem/-r Studienteilnehmer*in komplett ist</t>
  </si>
  <si>
    <t>komplett</t>
  </si>
  <si>
    <t>ausstehend</t>
  </si>
  <si>
    <t>unvollständig</t>
  </si>
  <si>
    <t>Drop-Out</t>
  </si>
  <si>
    <t>BZ</t>
  </si>
  <si>
    <t>Metallentfernung Radius re.</t>
  </si>
  <si>
    <t>Metall- und Fadenentfernung Fuß li.</t>
  </si>
  <si>
    <t>Ropivacain 10mg</t>
  </si>
  <si>
    <t>Alfentanil 100</t>
  </si>
  <si>
    <t>Bupivacain 10 + Nurofen</t>
  </si>
  <si>
    <t>kein</t>
  </si>
  <si>
    <t>Radev</t>
  </si>
  <si>
    <t>0,2 Alfentanil, Diclo supp. 50mg</t>
  </si>
  <si>
    <t>siehe Bemerkungen</t>
  </si>
  <si>
    <t>Diclo supp. 50mg</t>
  </si>
  <si>
    <t>LT: Tidalvolumen: 425/220/110ml ; AMV: 4,2/2,1/1,7l  Leckagevolumen: 14ml 300ml/min; LaMa:Tidalvolumen: 229ml; AMV: 4,8l; Leckagevolumen: 18ml, 340ml/min</t>
  </si>
  <si>
    <t>Minimal blutiger Schleim an LaMa ; keine Schmerzen, keine erkennbaree Blutung, keine erkennbaren Schwellungen</t>
  </si>
  <si>
    <t>Popp</t>
  </si>
  <si>
    <t>LT abgeknickt ; Fotos in NAS</t>
  </si>
  <si>
    <t>Hoo</t>
  </si>
  <si>
    <t>Bustamate</t>
  </si>
  <si>
    <t>Zirkumzision</t>
  </si>
  <si>
    <t>Zirkumzision und Exzision Nävus Unterschenkel</t>
  </si>
  <si>
    <t>Hydrocelen-OP</t>
  </si>
  <si>
    <t>Diclo supp. 25, TAP-Block, Illiioinguinalblock; 250 Alfentanil 0,5ml Lokalanästhetikum</t>
  </si>
  <si>
    <t>Dipidolor 2mg</t>
  </si>
  <si>
    <t>2x Peniswurzelblock ; Ibuprofen 125mg supp.</t>
  </si>
  <si>
    <t>Dos Santos Pereira</t>
  </si>
  <si>
    <t>Ferber</t>
  </si>
  <si>
    <t>Ringbandspaltung D1 links</t>
  </si>
  <si>
    <t>Diclofenac supp. 25mg ; Tapblock + Illioinguinalblock</t>
  </si>
  <si>
    <t>Weiss</t>
  </si>
  <si>
    <t>Hodenverlagerung</t>
  </si>
  <si>
    <t>Hypospadiekorrektur</t>
  </si>
  <si>
    <t>Trennung Mittelhandknochen MC 4/5 links</t>
  </si>
  <si>
    <t>Metallentfernung 3 K-Drähte Ellenbogen links</t>
  </si>
  <si>
    <t>Alfentanil 200</t>
  </si>
  <si>
    <t>Diclofenac supp. 12,5 , Alfentanil 100</t>
  </si>
  <si>
    <t>Adler</t>
  </si>
  <si>
    <t>PeniswurzelblockBupivacain 2x 1,3 ml, Nurofen supp. 60mg ; 100 ml Alfentanil</t>
  </si>
  <si>
    <t>Kjaev</t>
  </si>
  <si>
    <t>Leckagedruck nicht erhoben</t>
  </si>
  <si>
    <t>Nurofen 60mg</t>
  </si>
  <si>
    <t>Ziller</t>
  </si>
  <si>
    <t>Leistenherniotomie rechts</t>
  </si>
  <si>
    <t>Kaudalblock</t>
  </si>
  <si>
    <t>Zimmer</t>
  </si>
  <si>
    <t>Zirkumzision, Burried Penis</t>
  </si>
  <si>
    <t>Propofol 50</t>
  </si>
  <si>
    <t>axill. Plexus</t>
  </si>
  <si>
    <t>Kind mit 10kg genau zwischen zwei Größen, zunächst 1x LaMa #1 1/2 eingesetzt (26s); großes Leck (30ml) ; dann Entscheidungsfindung, Extubation und Einsetzen LaMa #2 (25s) ; insg. Insertionszeit 118s, davon 67s Entscheidungsfindung</t>
  </si>
  <si>
    <t>Alfentanil 150</t>
  </si>
  <si>
    <t>Sakralblock + Nurofen 125</t>
  </si>
  <si>
    <t>Metallentfernung 2x ESIN UA rechts</t>
  </si>
  <si>
    <t>2 ; 2,5</t>
  </si>
  <si>
    <t>Nurofen 125</t>
  </si>
  <si>
    <t>1. Versuch (10:25 Uhr) 43s ; 2. Versuch (10:28 Uhr) 40s ; 3. Versuch (10:32 Uhr) 21s</t>
  </si>
  <si>
    <t>Kaudalblock + Nurofen 125</t>
  </si>
  <si>
    <t>10:51 Uhr: Insertionsversuch LT#1 (55s) ; kein CO2, Flow zu niedrig ; 10:57 Uhr: Insertion LaMa #2 in 47s ; Insgesamt: 5:10 Min.</t>
  </si>
  <si>
    <t>ME ESIN UA rechts</t>
  </si>
  <si>
    <t>DJ ex bei dekom. Subpelvinstenose links</t>
  </si>
  <si>
    <t>nicht messbar</t>
  </si>
  <si>
    <t>Märtens</t>
  </si>
  <si>
    <t>Prof. Popp als diensth. OA anwesend</t>
  </si>
  <si>
    <t>Antirefluxplastik links</t>
  </si>
  <si>
    <t>DJ ex links</t>
  </si>
  <si>
    <t>Nurofen 125 supp.</t>
  </si>
  <si>
    <t>Dr. Mohr als diensth. OA anwesend</t>
  </si>
  <si>
    <t>Pyeloplastik</t>
  </si>
  <si>
    <t>Urethralklappenschlitzung</t>
  </si>
  <si>
    <t>CiCi ; Entfernung Raumforderung Nabel</t>
  </si>
  <si>
    <t>Alter in Tagen</t>
  </si>
  <si>
    <t>Alter in Tagen ; Berechnet aus Different OP-Datum und Geburtsdatum</t>
  </si>
  <si>
    <t>Hickman-Katheter-Explantation</t>
  </si>
  <si>
    <t>nicht beurteilbar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</si>
  <si>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</si>
  <si>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</si>
  <si>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</si>
  <si>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</si>
  <si>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</si>
  <si>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</si>
  <si>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</si>
  <si>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</si>
  <si>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</si>
  <si>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Nurofen 125 ; Alfentanil 300</t>
  </si>
  <si>
    <t>Einleitung ohen Opiat ; Alfentanil erst zum Schnitt</t>
  </si>
  <si>
    <t>Knapp</t>
  </si>
  <si>
    <t>Abwehrbewegung der Beine bei Anlage des i.v.-Zugangs nach Atemwegssicherung ; Einleitung über Hickman</t>
  </si>
  <si>
    <t>Ureterocutaneostomie</t>
  </si>
  <si>
    <t>Orchidopexie links + Hydrocelenresektion rechts + Zirkumzision</t>
  </si>
  <si>
    <t>SpO2 77% nach Anlage i.v.-Zugang vor Atemwegssicherung</t>
  </si>
  <si>
    <t>09:37 Uhr: Laryngospasmus bei Ausleitung (SpO2 99%=&gt;72% ; HF: 140/Min. =&gt; 70/Min. ; 15 Propofol ; Schutzreflexe vorhanden, SpO2 ohen Sauerstoff auf 90% ; massiv Sekret an LaMa</t>
  </si>
  <si>
    <t>Nurofen 60 supp.</t>
  </si>
  <si>
    <t>Piritramid 0,25</t>
  </si>
  <si>
    <t>Ferch</t>
  </si>
  <si>
    <t>ca. 650</t>
  </si>
  <si>
    <t>Insertion lt. Dr. Ferch problemlos, jedoch kein CO2 zurück, deshalb Entschluss zum Verfahrenswechsel</t>
  </si>
  <si>
    <t>Kaudalblock + Nurofen 60 supp.</t>
  </si>
  <si>
    <t>ca. 651</t>
  </si>
  <si>
    <t>ca. 652</t>
  </si>
  <si>
    <t>Entfernung Nävus Penisschaft</t>
  </si>
  <si>
    <t>Nävusentfernung Stirn</t>
  </si>
  <si>
    <t>4.8.21: OP-Termin nur als Platzhalter zwecks Randomisierung eingetragen!</t>
  </si>
  <si>
    <t>Antirefluxplastik rechts</t>
  </si>
  <si>
    <t>Alfentanil 50 + Propofol 20</t>
  </si>
  <si>
    <t>Faustovs</t>
  </si>
  <si>
    <t>unbekannt</t>
  </si>
  <si>
    <t>OP-Termin 27.7.21: Kind mit HWI, auf unbestimmte Zeit verschoben ; Insertionszeit: schwierige Insertion, keine Thoraxexkursion, kein CO2, daraufhin Verfahrenswechsel (106s LT + 27s LaMa)</t>
  </si>
  <si>
    <t>1,5 ; 2</t>
  </si>
  <si>
    <t>Kaudalblock + Nurofen 60 supp. + 0,5mg Piritramid</t>
  </si>
  <si>
    <t>Schwierige Insertion, keine Thoraxexkursion kein COS ; Entschluss zum Verfahrenswechsel (LT: 86s La Ma1,5: 18s ; LaMa2:19s</t>
  </si>
  <si>
    <t>Deflux rechts + Zirkumzision</t>
  </si>
  <si>
    <t>Nurofen 60 supp</t>
  </si>
  <si>
    <t>ca. 1000</t>
  </si>
  <si>
    <t>Insertion: 1. Versuch LT#1 44s, undicht, kein CO2, 2. Versuch LT#2 20s, gesamt 104s inkl. Entscheidungsfindung ; Narkosetiefe: Armbewegung bei 2. LT</t>
  </si>
  <si>
    <t>Hypotonie</t>
  </si>
  <si>
    <t>Reaktion auf Schnitt, Mehrfach Bewegung bei schmerzhaften Reizen</t>
  </si>
  <si>
    <t>Insg. 1mg Alfentanil und 3,5mg Piritramid</t>
  </si>
  <si>
    <t>Kaudalblock, Nurofen supp. 125, WAR: 1mg Piritramit + 125mg Nurofen</t>
  </si>
  <si>
    <t>nicht eruierbar</t>
  </si>
  <si>
    <t>Kaudalblock + Nurofen supp. 60</t>
  </si>
  <si>
    <t>23.8.: OP verschoben ; 24.8.=&gt;3.9.</t>
  </si>
  <si>
    <t>Deflux</t>
  </si>
  <si>
    <t>Hydrozelenresektion</t>
  </si>
  <si>
    <t>11:32 Uhr: CO2-Kurve unverändert scharf, spastisches AG bds.</t>
  </si>
  <si>
    <t>Nurofen 125 supp</t>
  </si>
  <si>
    <t>Sander</t>
  </si>
  <si>
    <t>DJ-Wechsel rechts</t>
  </si>
  <si>
    <t>OA-Popp anwesend, initiale Insertionszeit: 34s, kein CO2, entblockt tiefer eingeführt, kurzzeitig CO2, dann erneut entblockt und tiefer eingeführt, kein CO2, nach 9:42 Entschluss zum Verfahrenswechsel auf LaMa ; Insertionszeit LaMa: 19s ; insgesamt 10:44Minuten</t>
  </si>
  <si>
    <t>Inguinalisblock + Diclofenac 50 supp.</t>
  </si>
  <si>
    <t>Hafner</t>
  </si>
  <si>
    <t>ca. 30</t>
  </si>
  <si>
    <t>Alfentanil 100 bei Schnitt ; Nurofen 60 supp.</t>
  </si>
  <si>
    <t>Angelie</t>
  </si>
  <si>
    <t>Fentanyl 0,1 + Remifentanil 0,3 my/kg/min</t>
  </si>
  <si>
    <t>1g Novalgin als Kurzinfusion kurz vor Ausleitung</t>
  </si>
  <si>
    <t>3,5mg Piritramid</t>
  </si>
  <si>
    <t>Bodewald</t>
  </si>
  <si>
    <t>ca. 50</t>
  </si>
  <si>
    <t>Orchidopexie</t>
  </si>
  <si>
    <t>Dietrich</t>
  </si>
  <si>
    <t>DJ ex rechts</t>
  </si>
  <si>
    <t>26 + 12</t>
  </si>
  <si>
    <t>Narkosetiefe fragl., evtl. Pressen gegen LT? ; Lage instabil (VT zw. 30 und 100 ; Leck zw. 0 und 45ml) ; nach Narkosevertiefung nur insuffiziente Besserung, daraufhin Entscheidung zum Verfahrenswechsel</t>
  </si>
  <si>
    <t>Piritramid 0,5mg</t>
  </si>
  <si>
    <t>Barbey</t>
  </si>
  <si>
    <t>&gt; 200</t>
  </si>
  <si>
    <t>Dr. Mohr zufällig anwesend</t>
  </si>
  <si>
    <t>Franziska Peterstorfer zur Einarbeitung dabei</t>
  </si>
  <si>
    <t>Orchidopexie bds.</t>
  </si>
  <si>
    <t>Sakralblock + Nurofen 125 ; 11:25 Uhr: Perfusor Remifentanil</t>
  </si>
  <si>
    <t>Piritramid 1 + 1 + 1 mg</t>
  </si>
  <si>
    <t>Ohnesorge</t>
  </si>
  <si>
    <t>12.10.21: Wg. Infekt am OP-Tag verschoben auf 26.10.21</t>
  </si>
  <si>
    <t>Defluxunterspritzung</t>
  </si>
  <si>
    <t>Circumcision</t>
  </si>
  <si>
    <t>Abfall Tidal- und Minutenvolumen (MV bis 0,88l) ; SpO2 98% =&gt; Narkose vertieft</t>
  </si>
  <si>
    <t>Nurofen 125 supp.; 2x Alfentanil ja 100 ; Peniswurzelblock zum OP-Ende durch Uro</t>
  </si>
  <si>
    <t>DJ-Wechsel links ; Anti-Refluxplastik rechts</t>
  </si>
  <si>
    <t>Intubation</t>
  </si>
  <si>
    <t>Extubation</t>
  </si>
  <si>
    <t>Schnitt</t>
  </si>
  <si>
    <t>Naht Ende</t>
  </si>
  <si>
    <t>11:34 Atemzug nach Reiz (Nadel legen) Schlauch von Lama diskonnektiert</t>
  </si>
  <si>
    <t>Nurofen 60 supp ; Piritramid 0,5 + 0,5mg</t>
  </si>
  <si>
    <t>Alzanbagi</t>
  </si>
  <si>
    <t>&gt;30</t>
  </si>
  <si>
    <t>OA Gruhlke anwesend</t>
  </si>
  <si>
    <t>Orchidopexie bds. ; Zirkumzision</t>
  </si>
  <si>
    <t>Deflux-Unterspritzung</t>
  </si>
  <si>
    <t>CF-Anlage</t>
  </si>
  <si>
    <t>DJ ex + CiCi + ggf. Orchidopexie</t>
  </si>
  <si>
    <t>LT undicht, nicht optimierbar</t>
  </si>
  <si>
    <t>Motsch</t>
  </si>
  <si>
    <t>&gt; 1000</t>
  </si>
  <si>
    <t>niedriges Tidalvomunem. Hohes CO2 =&gt; Lagerung</t>
  </si>
  <si>
    <t>Mutschler</t>
  </si>
  <si>
    <t>&gt;150</t>
  </si>
  <si>
    <t>= Nr.39 Nr.16 ; Erhoben durch Franziska Peterstorfer</t>
  </si>
  <si>
    <t>24 + 20</t>
  </si>
  <si>
    <t>Leckage =&gt; Wechsel auf LaMa #2 , jeweils ein Intubationsversuch</t>
  </si>
  <si>
    <t>Makaric</t>
  </si>
  <si>
    <t>&gt;500</t>
  </si>
  <si>
    <t>Simsek</t>
  </si>
  <si>
    <t>Kein CO2 bei LT =&gt; Wechsel auf LaMa</t>
  </si>
  <si>
    <t>&gt;300</t>
  </si>
  <si>
    <t>Erhoben durch Franzsika Peterstorfer ; Daten beziehen sich auf eingesetzte LaMa!</t>
  </si>
  <si>
    <t>Sakralblock + Nurofen 60 supp.</t>
  </si>
  <si>
    <t>Albertsmeier</t>
  </si>
  <si>
    <t>&gt;400</t>
  </si>
  <si>
    <t>Deflux-Unterspritzung; Antireflux-Plastik</t>
  </si>
  <si>
    <t>Erhoben durch Franziska Peterstorfer</t>
  </si>
  <si>
    <t>Piritramid 1mg</t>
  </si>
  <si>
    <t>CF-Wechsel</t>
  </si>
  <si>
    <t>CiCi</t>
  </si>
  <si>
    <t>tw. Spontansierung</t>
  </si>
  <si>
    <t>Paracetamol 400 mg i.v.</t>
  </si>
  <si>
    <t>Wilk</t>
  </si>
  <si>
    <t>Funikolyse + Orchidopexie</t>
  </si>
  <si>
    <t>Kovalenko</t>
  </si>
  <si>
    <t>&gt;100</t>
  </si>
  <si>
    <t>Anti-Reflux</t>
  </si>
  <si>
    <t>Kang</t>
  </si>
  <si>
    <t xml:space="preserve">Mehrmals fehlende CO2 bei konstanter 100 O2 Sättigung und gleichmäßige Thoraxhebungen </t>
  </si>
  <si>
    <t>PeniswurzelblockBupivacain 2x 1,3 ml, Nurofen supp. 60mg</t>
  </si>
  <si>
    <t>Piritramid</t>
  </si>
  <si>
    <t>&gt;1000</t>
  </si>
  <si>
    <t>Metallentfernung</t>
  </si>
  <si>
    <t>Sakralblock + 125 Nurofen supp.</t>
  </si>
  <si>
    <t>Circumcision + Varikozelenligatur links</t>
  </si>
  <si>
    <t>Nurofen 125 supp. ; Alfentanil 200+100+100 ; Novalgin 40mg ; Piritramit 2mg</t>
  </si>
  <si>
    <t>25-30</t>
  </si>
  <si>
    <t>Abwehrbewegungen bei beiden Insertionsversuchen</t>
  </si>
  <si>
    <t>Peniswurzelblock durch Operateurin ; Alfentanil 200 ; Piritramin 2mg</t>
  </si>
  <si>
    <t>26-31</t>
  </si>
  <si>
    <t>Sakralblock ; Nurofen 60 supp.</t>
  </si>
  <si>
    <t>ca. 51</t>
  </si>
  <si>
    <t>Sakralblock + Nurofen 125 supp.</t>
  </si>
  <si>
    <t>Piritramin 4mg</t>
  </si>
  <si>
    <t>Högerle</t>
  </si>
  <si>
    <t>Einwilligung B. Högerle besorgen ; mündlich eingewilligt während Datenerhebung</t>
  </si>
  <si>
    <t>Kaudalblock + Nurofen 60 supp</t>
  </si>
  <si>
    <t>32 + 30</t>
  </si>
  <si>
    <t>steigende Leckage und CO2 =&gt; Wechsel auf LaMa</t>
  </si>
  <si>
    <t>31 + 12</t>
  </si>
  <si>
    <t>Cystoskopie + DJ bds.</t>
  </si>
  <si>
    <t>Abwehrbewegungen an allen Extremitäten bei Insertion ; Herzfrequenzanstieg</t>
  </si>
  <si>
    <t>25 Fentanyl bei Schnitt ; 4mg Piritramid nach Ausleitung</t>
  </si>
  <si>
    <t>26 + 35</t>
  </si>
  <si>
    <t>Prof. Motsch wünscht LT 2,5 Nach problemloser Insertion dennoch auf LT 3 gewechselt, da 2,5 zu klein</t>
  </si>
  <si>
    <t>plötzlicher Abfall Tidalvolumen ; Aufbebeutelt ; Daur ca. 1 Min.</t>
  </si>
  <si>
    <t>Bustamante Insertioon 1 ; Popp Insertion 2</t>
  </si>
  <si>
    <t>Alfentanil 20 + 50 + 50 ; Propofol 20 ; Remifentanil-Perfusor</t>
  </si>
  <si>
    <t>2. LT ; &gt;100 SGAs</t>
  </si>
  <si>
    <t>CAVE: Ursprüngl. OP-Termin 17.03.2022 =&gt; Verschoben auf 06.05.2022 ; Dadurch Gruppenwechsel von 0-2 auf 3-6 Jahre! Randomisierung jedoch beibehalten</t>
  </si>
  <si>
    <t>Deflux links</t>
  </si>
  <si>
    <t>Propofol 10</t>
  </si>
  <si>
    <t>Clonidin 20 my</t>
  </si>
  <si>
    <t>Ritter</t>
  </si>
  <si>
    <t>15 Kinder</t>
  </si>
  <si>
    <t>OP mehrfach verschoben ; neue AnDOK-Nr: 210.501.100.2257 ; Narkose durchgeführt am 12.05.2022</t>
  </si>
  <si>
    <t>Peniswurzelblock 1,5ml pro Seite ; Nurofen 60 supp. ; Alfentnail 50 + 50 ; Piritramid 0,5mg vor Ausleitung</t>
  </si>
  <si>
    <t>ca. 40</t>
  </si>
  <si>
    <t>Orchidopexie links</t>
  </si>
  <si>
    <t>DJ ex</t>
  </si>
  <si>
    <t>Kind 109;57 = Kind 76;38</t>
  </si>
  <si>
    <t>Deflux rechts</t>
  </si>
  <si>
    <t>Nurofen 125 supp. + Kaudalblock</t>
  </si>
  <si>
    <t>&gt; 100 SGAs</t>
  </si>
  <si>
    <t>Kind 113;60 = Kind 64;31</t>
  </si>
  <si>
    <t>kurzzeitig obstruktive etCO2-Kurve ; LT bei Lagerung verdreht =&gt; Neufixierung o.B.</t>
  </si>
  <si>
    <t>Metamizol 450mg introp als KI</t>
  </si>
  <si>
    <t>3. LT ; &gt;100 SGAs</t>
  </si>
  <si>
    <t>Abwehrbewegung bei Einführen LT in Mundraum ; nicht als Narkosetiefe gewertet ; So mit anwesendem OA Popp besprochen</t>
  </si>
  <si>
    <t>Alfentanil 150 + 100</t>
  </si>
  <si>
    <t>Gruneberg</t>
  </si>
  <si>
    <t>Defluxunterspritzung bds.</t>
  </si>
  <si>
    <t>Plötzlicher Abfall Tidalvolumen ; am Ehesten bei Gegenpressen ; Narkose vertieft ; Singultus</t>
  </si>
  <si>
    <t>Alfentanil 100 nach Lagerung + weitere 100 bei Schnitt</t>
  </si>
  <si>
    <t>Tourelle</t>
  </si>
  <si>
    <t>Kinder: 5 ; Erw.: ca. 500</t>
  </si>
  <si>
    <t>11.8.21: OP verschoben 12.=&gt;26.8. ; 25.8.21: OP auf unbestimmt verschoben =&gt; 07.06.2022 ; Beide Eltern in Schleuse anwesend ; Nachfrage ob Studienteilnahme weiter erwünscht ; Deutlich bejaht (mündl. Einwilligung) ; Narkosetiefe bei Insertion: Anziehen aller Extremitäten</t>
  </si>
  <si>
    <t>Kind 114;11 = Kind 106;9 ; Mündliche Aufklärung und Einschluss durch OA Popp</t>
  </si>
  <si>
    <t>DJ ex bds.</t>
  </si>
  <si>
    <t>Priscariu</t>
  </si>
  <si>
    <t>Offene Reposition mit K-Draht / Schrauben</t>
  </si>
  <si>
    <t>Dorsch</t>
  </si>
  <si>
    <t>Erhebung durch S. Katzenschlager</t>
  </si>
  <si>
    <t>Paracetamol 250 supp.</t>
  </si>
  <si>
    <t>Theisen</t>
  </si>
  <si>
    <t>300 insg. ; 5 Kinder</t>
  </si>
  <si>
    <t>Metallentfernung 2x ESIN UA links</t>
  </si>
  <si>
    <t>DJ ex. Bds.</t>
  </si>
  <si>
    <t>Mair</t>
  </si>
  <si>
    <t>unruhig / schläfrig</t>
  </si>
  <si>
    <t>2x Clonidin</t>
  </si>
  <si>
    <t>500 insg. ; 20 Kinder</t>
  </si>
  <si>
    <t>Reposition ; K-Drähte</t>
  </si>
  <si>
    <t>Leistenherniotomie links</t>
  </si>
  <si>
    <t>Kaudalblock + Nurofen 125 supp.</t>
  </si>
  <si>
    <t>Redl</t>
  </si>
  <si>
    <t>Zug der K-Drähte</t>
  </si>
  <si>
    <t>Maskenbeatmung schwierig, zügige LaMa-Insertion</t>
  </si>
  <si>
    <t>Axillärer Plexus, Diclofenac 25 supp.</t>
  </si>
  <si>
    <t>Al-Zouabi</t>
  </si>
  <si>
    <t>30-40</t>
  </si>
  <si>
    <t>Exzision der Raumforderung infraaurikulär links</t>
  </si>
  <si>
    <t>Nurofen 125 supp. + Lokalanästhesie Ellenbeuge</t>
  </si>
  <si>
    <t>ca. 5 - 10</t>
  </si>
  <si>
    <t>3 Versuche LT-Insertion ; 1x obstruktive Kurve, dann kein CO2 ; Mehrfache Versuche der Reposition ; Relaxierung ; Dann Entschluss Wechsel auf LaMa ; Minimale SpO2 88%</t>
  </si>
  <si>
    <t>Müller</t>
  </si>
  <si>
    <t>Erhebung durch S. Katzenschlager ; Bewertung Atemweg: Einführung 6 ; Beatmung: 10</t>
  </si>
  <si>
    <t>Datensatz vollständig ; Besprechen ob Dropout wegen Relaxierung</t>
  </si>
  <si>
    <t>Stuhlausräumung und Rektumstufenbiopsie</t>
  </si>
  <si>
    <t>Reposition =&gt; Tieferes Einführen</t>
  </si>
  <si>
    <t>Häufige Reposition notwendig ; Bronchospasmus bei Ausleitung ; mit Inhalation stabil in WAR</t>
  </si>
  <si>
    <t>Paracetamol 300mg i.v.</t>
  </si>
  <si>
    <t>Diclofenac 25mg supp.</t>
  </si>
  <si>
    <t>Metallentfernung 1x ESIN li. UA</t>
  </si>
  <si>
    <t>ME 2x ESIN re UA</t>
  </si>
  <si>
    <t>ME 2 ESIN UA li</t>
  </si>
  <si>
    <t>47+54+28s</t>
  </si>
  <si>
    <t>Wechsel LT 2 auf 2,5 bei Laryngospasmus Wechsel auf LaMa 2,5</t>
  </si>
  <si>
    <t>Laryngospasmus bei Extubation =&gt; Inhalation</t>
  </si>
  <si>
    <t>UCY, ggf. Re-Klappenschlitzung</t>
  </si>
  <si>
    <t>Resektion Vaginalpolyp</t>
  </si>
  <si>
    <t>58 + 67</t>
  </si>
  <si>
    <t>LT 4 zu groß, zwei Versuche ; BMV ; Wechsel auf LT#3 ; LT4 blutig bei Extubation</t>
  </si>
  <si>
    <t>Diclofenac 50mg + Peniswurzelblock</t>
  </si>
  <si>
    <t>Ilioinguinalis- und Iliohypogastricusblock+ Nurofen 125 supp. ; Alfentanil 100</t>
  </si>
  <si>
    <t>ME Schraube linker EB</t>
  </si>
  <si>
    <t>Diclofenac upp.</t>
  </si>
  <si>
    <t>Erhebung durch S. Katzenschlager , kein MVLeak, da nur Perseus in Eingriffsraum</t>
  </si>
  <si>
    <t>16 + 23 + 66</t>
  </si>
  <si>
    <t>Spastik, mehrfache Absaugung =&gt; Wechsel auf LM ; Weiter anhaltende Symptomatik =&gt; Wwechsel auf ET</t>
  </si>
  <si>
    <t>Jacobi</t>
  </si>
  <si>
    <t>Schreckenberger</t>
  </si>
  <si>
    <t>Erst Wechsel von LT1 auf LaMa1,5 Unterstützung durch Schreckenberger, dann Übernahme durch Schreckenberger bei ETI C/L I mit BURP</t>
  </si>
  <si>
    <t>Verschoben 16.8. =&gt; 23.8. ; Erhebung durch S. Katzenschlager</t>
  </si>
  <si>
    <t>LaMa 1,5 =&gt; ET 4,5 ungecufft</t>
  </si>
  <si>
    <t>Abwehrbewegungen bei BMV</t>
  </si>
  <si>
    <t>Novalgin 900mg</t>
  </si>
  <si>
    <t>Neuenfeldt</t>
  </si>
  <si>
    <t>Diclofenac 12,5mg supp.</t>
  </si>
  <si>
    <t>ME 2 ESIN OA li</t>
  </si>
  <si>
    <t>Erhebung durch F. Schmitt</t>
  </si>
  <si>
    <t>59+24</t>
  </si>
  <si>
    <t>LT nur mit Fixierung dicht =&gt; Wechsel auf LaMa durch Assistenzarzt</t>
  </si>
  <si>
    <t>DJ-Wechsel links</t>
  </si>
  <si>
    <t>Novalgin 1g</t>
  </si>
  <si>
    <t>Nekrosektomie</t>
  </si>
  <si>
    <t>50s + 34s</t>
  </si>
  <si>
    <t>CO2-Kurve spastisch, Versuch Reposition, wechselnde Tidalvolumina =&gt; Entscheidung Wechsle auf LaMa</t>
  </si>
  <si>
    <t>Voltaren 25mg supp.</t>
  </si>
  <si>
    <t>Piredda</t>
  </si>
  <si>
    <t>Erhebung durch Kaltschmidt / Mohr</t>
  </si>
  <si>
    <t>Entfernung ESIN Radius links</t>
  </si>
  <si>
    <t>107 + 51 + 32</t>
  </si>
  <si>
    <t>Keine Beatmung durch LT möglich =&gt; Reposition =&gt; Problem weiterhin =&gt; LaMa ; LT blutig</t>
  </si>
  <si>
    <t>Schulz</t>
  </si>
  <si>
    <t>Fremdkörperentfernung Fuß rechts</t>
  </si>
  <si>
    <t>Erhebung durch A. Zivkovic</t>
  </si>
  <si>
    <t>43+37+20+22s</t>
  </si>
  <si>
    <t>1.LT zu klein (nur mit Esmarch dicht zu bekommen); 2. Versuch kein CO2 =&gt; Reposition Nur dich mit Esmarch =&gt; LaMa : Blut an 2. LT (2,5 nach Insertion + Reposition)</t>
  </si>
  <si>
    <t>Blut an LaMa</t>
  </si>
  <si>
    <t>Zivkovic</t>
  </si>
  <si>
    <t>Assistenz bei Reposition und Beatmungsoptimierung ; Übernahme der LaMa</t>
  </si>
  <si>
    <t>Novalgin 500mg</t>
  </si>
  <si>
    <t>Novalgin 450mg</t>
  </si>
  <si>
    <t>Rektum PE, Stuhl ex</t>
  </si>
  <si>
    <t>Katzenschlager</t>
  </si>
  <si>
    <t>ME Tibia rechts 2x ESIN</t>
  </si>
  <si>
    <t>Fried</t>
  </si>
  <si>
    <t>Leckagedruck bei VSD, mehreren Herz-Ops und Z.n. Schlaganfall nicht durchgeführt ; Erhebung durch S. Katzenschlager</t>
  </si>
  <si>
    <t>Mayer</t>
  </si>
  <si>
    <t>Metallentfernung 2x ESIN links</t>
  </si>
  <si>
    <t>ME ESIN Unterschenkel rechts</t>
  </si>
  <si>
    <t>CiCI</t>
  </si>
  <si>
    <t>LT ex bei Dislokation durch Beatmungsschlauch, Sekret an LT</t>
  </si>
  <si>
    <t>Laryngospasmus bei Extubation</t>
  </si>
  <si>
    <t>Bogus</t>
  </si>
  <si>
    <t>Erhebung durch S. Katzenschlager ; MIC-Einsatz bei Einleitung</t>
  </si>
  <si>
    <t>ME ESIN Tibia links</t>
  </si>
  <si>
    <t>40+35+18</t>
  </si>
  <si>
    <t>Bei erster Mundöffnugn Abwehrbewegungen =&gt; Narkose vertieft =&gt; Erste Insertion: Kein CO2, keine Thoraxexkursionen =&gt; Reposition: CO2-Kurve gut, Prof. Motsch unzufrieden =&gt; Wechsel auf LaMa</t>
  </si>
  <si>
    <t>Novalgin 400mg</t>
  </si>
  <si>
    <t>Cornelius</t>
  </si>
  <si>
    <t>Abtragung Exostose Tibia rechts</t>
  </si>
  <si>
    <t>Wechsel auf LaMa intraop bei keone Beatmung nach Lagerung ; Schleim auf LT</t>
  </si>
  <si>
    <t>Erhebung durch S. Katzenschlager ; Verfahren mit Insertion LT und intraop Wechsel auf LaMa klären</t>
  </si>
  <si>
    <t>Clonidin 15µg</t>
  </si>
  <si>
    <t>Erster LT zu klein (wie eig. Erwartet)</t>
  </si>
  <si>
    <t>Esmarch zur Aufrechterhaltung der Ventilation erforderlich</t>
  </si>
  <si>
    <t>Paracetamol 500</t>
  </si>
  <si>
    <t>Schulz P</t>
  </si>
  <si>
    <t>Auf Grund Pflegestreik verschoben auf 4.11. ; Erhebung durch S. Mohr</t>
  </si>
  <si>
    <t>ME ESIN UA li</t>
  </si>
  <si>
    <t>Piritramid 2mg</t>
  </si>
  <si>
    <t>ME Hüfte links 2x Schrauben</t>
  </si>
  <si>
    <t>ME UA re ESIN</t>
  </si>
  <si>
    <t>ME 2x ESIN rechter Oberarm</t>
  </si>
  <si>
    <t>?</t>
  </si>
  <si>
    <t>Piritramid 2mg + 30µg Clonidin</t>
  </si>
  <si>
    <t>Nachträglich eingeschlossen, da Einwilligungserklärung nicht vorlag ; Erhebung durch A. Zivkovic ; NRS postop "++" lt. Protokoll</t>
  </si>
  <si>
    <t>Piritramid 1,5mg</t>
  </si>
  <si>
    <t>Erhebung durch S. Decker ; NRS postop "++" lt. Protokoll</t>
  </si>
  <si>
    <t>Diclofenac 50mg supp.</t>
  </si>
  <si>
    <t>Erhebung durch S. Decker ; AnDok unvollständig ; keine In-/Extubationszeit, keine LaMa-Größe angegeben</t>
  </si>
  <si>
    <t>1: ja</t>
  </si>
  <si>
    <t>0: nein</t>
  </si>
  <si>
    <t>2: in Klärung</t>
  </si>
  <si>
    <t>1: 0-2 Jahre</t>
  </si>
  <si>
    <t>2: 3-6 Jahre</t>
  </si>
  <si>
    <t>3: 7-11 Jahre</t>
  </si>
  <si>
    <t>4: 12-17 Jahre</t>
  </si>
  <si>
    <t>w:1</t>
  </si>
  <si>
    <t>m:2</t>
  </si>
  <si>
    <t>I:1</t>
  </si>
  <si>
    <t>II:2</t>
  </si>
  <si>
    <t>III:3</t>
  </si>
  <si>
    <t>0: nicht erhoben</t>
  </si>
  <si>
    <t>1: ambulant</t>
  </si>
  <si>
    <t>2: stationär</t>
  </si>
  <si>
    <t>1: elektiv</t>
  </si>
  <si>
    <t>1: Kinderchirurgie</t>
  </si>
  <si>
    <t>2: Urologie</t>
  </si>
  <si>
    <t>3: Gynäkologie</t>
  </si>
  <si>
    <t>1: LaMa</t>
  </si>
  <si>
    <t>2: LT</t>
  </si>
  <si>
    <t>Abweichung erwartete - verwendete Größe</t>
  </si>
  <si>
    <t>0: Nein</t>
  </si>
  <si>
    <t>1: auf LaMa</t>
  </si>
  <si>
    <t>2: auf ETI</t>
  </si>
  <si>
    <t>Dosis</t>
  </si>
  <si>
    <t>100 + 30 + 30</t>
  </si>
  <si>
    <t>20 + 45</t>
  </si>
  <si>
    <t>180 + 20</t>
  </si>
  <si>
    <t>35 + 15</t>
  </si>
  <si>
    <t>200 + 50 + 50</t>
  </si>
  <si>
    <t>120 + 50</t>
  </si>
  <si>
    <t>150 + 50</t>
  </si>
  <si>
    <t>80 + 20 + 100</t>
  </si>
  <si>
    <t>50 + 50</t>
  </si>
  <si>
    <t>50 + 35 + 15</t>
  </si>
  <si>
    <t>15 + 10</t>
  </si>
  <si>
    <t>30 + 10</t>
  </si>
  <si>
    <t>15 + 10 + 20</t>
  </si>
  <si>
    <t>50 + 25</t>
  </si>
  <si>
    <t>50 + 20 + 20 + 10 + 20</t>
  </si>
  <si>
    <t>50 + 30</t>
  </si>
  <si>
    <t>250 + 50ml/h</t>
  </si>
  <si>
    <t>50 + 20 + 30 + 20</t>
  </si>
  <si>
    <t xml:space="preserve"> 30 + 20</t>
  </si>
  <si>
    <t>65 + 20</t>
  </si>
  <si>
    <t>130 + 30</t>
  </si>
  <si>
    <t>50 + 10</t>
  </si>
  <si>
    <t>90 + 30</t>
  </si>
  <si>
    <t>80 + 30</t>
  </si>
  <si>
    <t>200 + Propofol Perfusor 6mg/kg/h</t>
  </si>
  <si>
    <t>30 + 20</t>
  </si>
  <si>
    <t>200 + 50</t>
  </si>
  <si>
    <t>8mg/kgKG/h P</t>
  </si>
  <si>
    <t>120 + 30</t>
  </si>
  <si>
    <t>150 + 30</t>
  </si>
  <si>
    <t>50 + 20</t>
  </si>
  <si>
    <t>80 + 20</t>
  </si>
  <si>
    <t>120 + 20</t>
  </si>
  <si>
    <t>100 + 40 + 20</t>
  </si>
  <si>
    <t>1: Propofol</t>
  </si>
  <si>
    <t>2: Propofol + Sevofluran</t>
  </si>
  <si>
    <t>3: Propofol + Sevofluran + Lachgas</t>
  </si>
  <si>
    <t>4: Sevofluran</t>
  </si>
  <si>
    <t>5. Sevofluran + Lachgas</t>
  </si>
  <si>
    <t>1: Sevofluran</t>
  </si>
  <si>
    <t>2: TIVA</t>
  </si>
  <si>
    <t>3: Propofol Blousgaben</t>
  </si>
  <si>
    <t>300 + 200</t>
  </si>
  <si>
    <t>0,5 + 0,25 + 0,25</t>
  </si>
  <si>
    <t>200 + 100</t>
  </si>
  <si>
    <t>200 + insg. 450</t>
  </si>
  <si>
    <t>50 + 50 + 50 + 50</t>
  </si>
  <si>
    <t>400 + 200</t>
  </si>
  <si>
    <t>100 + 100</t>
  </si>
  <si>
    <t>150 + 150</t>
  </si>
  <si>
    <t>0,3 P</t>
  </si>
  <si>
    <t>0,2 P</t>
  </si>
  <si>
    <t>0,2P</t>
  </si>
  <si>
    <t>0,1 P</t>
  </si>
  <si>
    <t>1: Alfentanil</t>
  </si>
  <si>
    <t>2: Fentanyl</t>
  </si>
  <si>
    <t>3: Remifentanil</t>
  </si>
  <si>
    <t>4: Fentanyl + Remifentanil</t>
  </si>
  <si>
    <t>0: kein Opioid</t>
  </si>
  <si>
    <t>1: nein</t>
  </si>
  <si>
    <t>2: Mivacurium</t>
  </si>
  <si>
    <t>Komplikationen bein Einleitung</t>
  </si>
  <si>
    <t>Schluckauf</t>
  </si>
  <si>
    <t>LaMa zu klein ; insg. 3 Min. überlegt ob Wechsel auf Größe 2 oder nicht</t>
  </si>
  <si>
    <t>Vagusreiz durch LT (HF&lt;55); kein Sättigungsabfall ; Viel Magensekret abgesaugt</t>
  </si>
  <si>
    <t>LaMa zu klein ; 11:21 Insertion 1. LaMa (40s) ; 11:25 Entschluss zum Wechsel ; 11:28 Insertion 2. LaMa (54s)</t>
  </si>
  <si>
    <t>1. LT (2,5) nicht dicht ; Wechsel auf 2. LT (2) ; nicht dicht ; Wechsel auf 1. LT (2,5) ; jedoch keine Sättigungsabfälle, Bradycardie o.Ä.</t>
  </si>
  <si>
    <t>1. Insertionsversuch: 51s, kein CO2 ; Erneuter Versuch (insg. 174s) kurzzeitig CO2, jedoch Leckage, Thoraxhebung keine Senkung ; Versuch Lageoptimierung bis 481s ; Nach 481s Entschluss Verfahrenswechsel ; Nach 506s LaMa eingeführt (25s)</t>
  </si>
  <si>
    <t>2x SpO2 &lt; 75% ; Hypotonie (MAD 27)</t>
  </si>
  <si>
    <t>Leckage immer zw. 20 und 40% ; bis zu 60ml</t>
  </si>
  <si>
    <t>SpO2 lange Zeit bei 96% ; RR &lt;50mmHg</t>
  </si>
  <si>
    <t>LT permanent lagerungsinstabil</t>
  </si>
  <si>
    <t>verschleimt</t>
  </si>
  <si>
    <t>SpO2 85% nach Extubation</t>
  </si>
  <si>
    <t>Blutiges Sekret an LT, jedoch keine weiteren Beschwerden</t>
  </si>
  <si>
    <t>SpO2 &lt; 90% ; blutiges Sekret abgesaugt</t>
  </si>
  <si>
    <t>SpO2 95% über 2 Minuten nach Extubation</t>
  </si>
  <si>
    <t>inadäquates Wachwerden in Exzitation</t>
  </si>
  <si>
    <t>minimal blutiges Sekret an Absaugkatheter, SpO2 &lt; 95% (min. 82%)</t>
  </si>
  <si>
    <t>minimal blutiges Sekret an LaMa-Spitze</t>
  </si>
  <si>
    <t>Sonst. Beschwerden</t>
  </si>
  <si>
    <t>1: Heiserkeit</t>
  </si>
  <si>
    <t>GEschlecht</t>
  </si>
  <si>
    <t>Facharzt / Fachärztin</t>
  </si>
  <si>
    <t>Persönliche Präferenz SGA</t>
  </si>
  <si>
    <t>0: kein</t>
  </si>
  <si>
    <t>1: Keine Angabe</t>
  </si>
  <si>
    <t>2: LaMa</t>
  </si>
  <si>
    <t>3: LT</t>
  </si>
  <si>
    <t>Hilfe notwendig</t>
  </si>
  <si>
    <t>Übernahme</t>
  </si>
  <si>
    <t>Diclofenac 25mg supp. + Alfentanil 20</t>
  </si>
  <si>
    <t>ca. 60</t>
  </si>
  <si>
    <t>Spastische CO2-Kurve, keine ausreichende Beatmung =&gt; Wechsel auf LaMa</t>
  </si>
  <si>
    <t>Diclofenac 25mg supp. + Alfentanil 150 + 150</t>
  </si>
  <si>
    <t>500mg Metamizol als KI</t>
  </si>
  <si>
    <t>Alfentanil 500 + 400</t>
  </si>
  <si>
    <t>Naevusexzision Scapulae</t>
  </si>
  <si>
    <t>ME 3x K-Draht links Hüfte</t>
  </si>
  <si>
    <t>Metall Ex re UA</t>
  </si>
  <si>
    <t>ME ESIN UA links</t>
  </si>
  <si>
    <t>DJ-Anlage</t>
  </si>
  <si>
    <t>Deflux bds.</t>
  </si>
  <si>
    <t>DJ-Wechsel bds.</t>
  </si>
  <si>
    <t>ME ESIN rechts</t>
  </si>
  <si>
    <t>UCY in Resektionsbereitschaft</t>
  </si>
  <si>
    <t>2,5 ; 2,0</t>
  </si>
  <si>
    <t>51+50+35</t>
  </si>
  <si>
    <t>43 + 27</t>
  </si>
  <si>
    <t>37 + 31</t>
  </si>
  <si>
    <t>2. LaMa: 2,0 ; 3. LaMa: i-gel 2,5 ; ET: 5,0</t>
  </si>
  <si>
    <t>59 + 31 + 501+ 50</t>
  </si>
  <si>
    <t>130 + 20 ; Perfusor: 8 =&gt; 6</t>
  </si>
  <si>
    <t>50+ 10</t>
  </si>
  <si>
    <t>150 ; Perfusor 5</t>
  </si>
  <si>
    <t>100 + 40</t>
  </si>
  <si>
    <t>100 + 50</t>
  </si>
  <si>
    <t>0,1=&gt; 0,17 =&gt; 0,12</t>
  </si>
  <si>
    <t>150 + P 0,2</t>
  </si>
  <si>
    <t>400 + P 0,2</t>
  </si>
  <si>
    <t>5: Alfentanil + Remifentanil</t>
  </si>
  <si>
    <t>4mg</t>
  </si>
  <si>
    <t>Bei erster Insertion Narkose zu flach</t>
  </si>
  <si>
    <t>Beide LT nur mit Esmarch möglich, sonst keine Ventilation ; 1x SpO2 83% bei Wechsel LT 2,5 auf 2,0 ; Bei Absaugung vor Wechsel auf LaMa blutig</t>
  </si>
  <si>
    <t>LT: Keine Thoraxexkurionen, kein CO2 ; nach Reposition spastische Atemkurve =&gt; Versuch Optimierung erfolglo =&gt; LaMa</t>
  </si>
  <si>
    <t>Alle LaMas undicht ; bei Laryngoskopie große Tonsillen aufgefallen</t>
  </si>
  <si>
    <t>Abwehrbewegungen bei Schnitt</t>
  </si>
  <si>
    <t>Leckage um 30ml / 400ml/min bei VT 165 und AMV 2300ml ; trotz Verneblung, Otriven, Anpassung der Beatmung und Reposition keine Verbesserung der Leckage</t>
  </si>
  <si>
    <t>Kopf überstrecken häufig notwendig</t>
  </si>
  <si>
    <t>Bei Seitenlagerung plötzlich keine Ventilation mehr mit LT möglich ; Wechsel auf LaMa problemlos</t>
  </si>
  <si>
    <t>gerin blutiges Sekret an LaMa ; Laryngospasmus nach Extubation</t>
  </si>
  <si>
    <t>Bronchospasmus mit SpO2 bis auf 71% =&gt; mit O2 + Wendl in AWR</t>
  </si>
  <si>
    <t>Diclofenac 50 supp.</t>
  </si>
  <si>
    <t>Paracetamol 325 µg</t>
  </si>
  <si>
    <t>Diclofenac</t>
  </si>
  <si>
    <t>Diclofenac 25 mg + Novalgin 600mg</t>
  </si>
  <si>
    <t>Narkosevertiefung mit Steigerung Laufrate Remifentanil auf bis zu 0,15 µg/kgKG/min</t>
  </si>
  <si>
    <t>Voltaren 50,g + Novalgin 800µg + Fentanyl 0,05mg</t>
  </si>
  <si>
    <t>Sakralblock</t>
  </si>
  <si>
    <t>Novalgin 1g als KI</t>
  </si>
  <si>
    <t>Novalgin 100mg</t>
  </si>
  <si>
    <t>Paracetamol 250mg supp. + Alfentanil 100</t>
  </si>
  <si>
    <t>Novalgin 500mg + 2mg Piritramid</t>
  </si>
  <si>
    <t xml:space="preserve">Diclofenac 50 supp. ; PWB durch Urologie ; </t>
  </si>
  <si>
    <t>Khalfaoui</t>
  </si>
  <si>
    <t>Wimmer</t>
  </si>
  <si>
    <t>Valot</t>
  </si>
  <si>
    <t>Schäfer</t>
  </si>
  <si>
    <t>Fricke</t>
  </si>
  <si>
    <t>Keßler</t>
  </si>
  <si>
    <t>Heners</t>
  </si>
  <si>
    <t>Einwilligung Hr. Wimmer mündlich erfolgt im Beisein FA J.Schäfer</t>
  </si>
  <si>
    <t>2.2. auf 14.2. verschoben ; 1. Insertion: 08:10 Uhr ; 2. (LaMa): 08:14 Uhr</t>
  </si>
  <si>
    <t>Kind 106 und 114</t>
  </si>
  <si>
    <t>Erhebung durch S. Katzenschlager ; 1. Versuch LaMa 09:24 ; 2. Versuch LaMa 09:27 ; 3. Versuch i-gel 09:31 ; 4. Versuch ET 09:37</t>
  </si>
  <si>
    <t>Paracetamol 250mg supp.</t>
  </si>
  <si>
    <t>Zeit definitive SGA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</si>
</sst>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4" fillId="2" borderId="1" applyNumberFormat="0" applyAlignment="0" applyProtection="0"/>
    <xf numFmtId="0" fontId="5" fillId="0" borderId="2" applyNumberFormat="0" applyFill="0" applyAlignment="0" applyProtection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7" fillId="0" borderId="0" xfId="4"/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2" xfId="3"/>
    <xf numFmtId="0" fontId="4" fillId="2" borderId="1" xfId="2"/>
    <xf numFmtId="20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49" fontId="0" fillId="0" borderId="0" xfId="0" applyNumberFormat="1" applyAlignment="1">
      <alignment horizontal="center"/>
    </xf>
  </cellXfs>
  <cellStyles count="5">
    <cellStyle name="Calculation" xfId="2" builtinId="22"/>
    <cellStyle name="Explanatory Text" xfId="4" builtinId="53" customBuiltin="1"/>
    <cellStyle name="Linked Cell" xfId="3" builtinId="24"/>
    <cellStyle name="Normal" xfId="0" builtinId="0"/>
    <cellStyle name="Per cent" xfId="1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A35C-FF3C-F84A-873E-83008C879785}">
  <dimension ref="A1:CA255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A46" sqref="A46"/>
    </sheetView>
  </sheetViews>
  <sheetFormatPr baseColWidth="10" defaultColWidth="10.83203125" defaultRowHeight="16" x14ac:dyDescent="0.2"/>
  <cols>
    <col min="1" max="1" width="12.1640625" style="2" customWidth="1"/>
    <col min="2" max="2" width="13.33203125" style="2" customWidth="1"/>
    <col min="3" max="3" width="11.6640625" style="2" customWidth="1"/>
    <col min="4" max="4" width="16.5" style="2" customWidth="1"/>
    <col min="5" max="5" width="10" style="2" customWidth="1"/>
    <col min="6" max="6" width="10.83203125" style="2"/>
    <col min="7" max="7" width="8" style="2" customWidth="1"/>
    <col min="8" max="8" width="5.33203125" style="2" customWidth="1"/>
    <col min="9" max="9" width="12.5" style="2" customWidth="1"/>
    <col min="10" max="10" width="36.33203125" style="2" customWidth="1"/>
    <col min="11" max="11" width="9.5" style="2" bestFit="1" customWidth="1"/>
    <col min="12" max="12" width="9.83203125" style="2" bestFit="1" customWidth="1"/>
    <col min="13" max="13" width="8.1640625" style="2" bestFit="1" customWidth="1"/>
    <col min="14" max="14" width="9.6640625" style="2" bestFit="1" customWidth="1"/>
    <col min="15" max="15" width="12.33203125" style="2" customWidth="1"/>
    <col min="16" max="16" width="13.1640625" style="2" customWidth="1"/>
    <col min="17" max="17" width="17.83203125" style="2" customWidth="1"/>
    <col min="18" max="18" width="11.6640625" style="2" customWidth="1"/>
    <col min="19" max="19" width="23.6640625" style="2" customWidth="1"/>
    <col min="20" max="20" width="14.6640625" style="2" customWidth="1"/>
    <col min="21" max="21" width="15" style="2" customWidth="1"/>
    <col min="22" max="22" width="16.33203125" style="2" customWidth="1"/>
    <col min="23" max="23" width="15" style="2" customWidth="1"/>
    <col min="24" max="24" width="18.33203125" style="2" customWidth="1"/>
    <col min="25" max="25" width="16.5" style="2" customWidth="1"/>
    <col min="26" max="26" width="15" style="2" customWidth="1"/>
    <col min="27" max="27" width="17.1640625" style="2" customWidth="1"/>
    <col min="28" max="29" width="17.33203125" style="2" customWidth="1"/>
    <col min="30" max="30" width="14.6640625" style="2" customWidth="1"/>
    <col min="31" max="31" width="16.6640625" style="2" bestFit="1" customWidth="1"/>
    <col min="32" max="32" width="20.33203125" style="2" customWidth="1"/>
    <col min="33" max="34" width="24.83203125" style="2" customWidth="1"/>
    <col min="35" max="36" width="12.5" style="2" customWidth="1"/>
    <col min="37" max="38" width="28.6640625" style="2" customWidth="1"/>
    <col min="39" max="40" width="29.33203125" style="2" customWidth="1"/>
    <col min="41" max="41" width="21" style="2" customWidth="1"/>
    <col min="42" max="43" width="18.33203125" style="2" customWidth="1"/>
    <col min="44" max="45" width="14.83203125" style="2" customWidth="1"/>
    <col min="46" max="46" width="35.6640625" style="2" bestFit="1" customWidth="1"/>
    <col min="47" max="48" width="26.5" style="2" customWidth="1"/>
    <col min="49" max="50" width="31.5" style="2" customWidth="1"/>
    <col min="51" max="52" width="23.33203125" style="2" customWidth="1"/>
    <col min="53" max="54" width="22" style="2" customWidth="1"/>
    <col min="55" max="55" width="22.83203125" style="2" customWidth="1"/>
    <col min="56" max="56" width="33.5" style="2" customWidth="1"/>
    <col min="57" max="57" width="17.6640625" style="2" customWidth="1"/>
    <col min="58" max="58" width="14.83203125" style="2" customWidth="1"/>
    <col min="59" max="59" width="15" style="2" customWidth="1"/>
    <col min="60" max="60" width="17.5" style="2" customWidth="1"/>
    <col min="61" max="61" width="10.83203125" style="2"/>
    <col min="62" max="62" width="20.5" style="2" customWidth="1"/>
    <col min="63" max="63" width="10.83203125" style="2"/>
    <col min="64" max="64" width="14.33203125" style="2" customWidth="1"/>
    <col min="65" max="65" width="21.6640625" style="2" customWidth="1"/>
    <col min="66" max="66" width="19.1640625" style="2" customWidth="1"/>
    <col min="67" max="67" width="15.83203125" style="2" customWidth="1"/>
    <col min="68" max="68" width="20.6640625" style="2" customWidth="1"/>
    <col min="69" max="69" width="23.33203125" style="2" customWidth="1"/>
    <col min="70" max="70" width="15.5" style="2" customWidth="1"/>
    <col min="71" max="71" width="30.1640625" style="2" customWidth="1"/>
    <col min="72" max="72" width="34.6640625" style="2" customWidth="1"/>
    <col min="73" max="73" width="17.1640625" style="2" customWidth="1"/>
    <col min="74" max="74" width="28.83203125" style="2" customWidth="1"/>
    <col min="75" max="75" width="23.6640625" style="2" customWidth="1"/>
    <col min="76" max="76" width="25" style="2" customWidth="1"/>
    <col min="77" max="77" width="53.5" style="2" customWidth="1"/>
    <col min="78" max="16384" width="10.83203125" style="2"/>
  </cols>
  <sheetData>
    <row r="1" spans="1:77" x14ac:dyDescent="0.2">
      <c r="A1" s="2" t="s">
        <v>267</v>
      </c>
      <c r="B1" s="2" t="s">
        <v>99</v>
      </c>
      <c r="C1" s="2" t="s">
        <v>5</v>
      </c>
      <c r="D1" s="2" t="s">
        <v>61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191</v>
      </c>
      <c r="K1" s="2" t="s">
        <v>428</v>
      </c>
      <c r="L1" s="2" t="s">
        <v>429</v>
      </c>
      <c r="M1" s="2" t="s">
        <v>430</v>
      </c>
      <c r="N1" s="2" t="s">
        <v>431</v>
      </c>
      <c r="O1" s="2" t="s">
        <v>11</v>
      </c>
      <c r="P1" s="2" t="s">
        <v>256</v>
      </c>
      <c r="Q1" s="2" t="s">
        <v>98</v>
      </c>
      <c r="R1" s="2" t="s">
        <v>65</v>
      </c>
      <c r="S1" s="2" t="s">
        <v>90</v>
      </c>
      <c r="T1" s="2" t="s">
        <v>91</v>
      </c>
      <c r="U1" s="2" t="s">
        <v>93</v>
      </c>
      <c r="V1" s="2" t="s">
        <v>92</v>
      </c>
      <c r="W1" s="2" t="s">
        <v>128</v>
      </c>
      <c r="X1" s="2" t="s">
        <v>67</v>
      </c>
      <c r="Y1" s="2" t="s">
        <v>66</v>
      </c>
      <c r="Z1" s="2" t="s">
        <v>116</v>
      </c>
      <c r="AA1" s="2" t="s">
        <v>117</v>
      </c>
      <c r="AB1" s="2" t="s">
        <v>92</v>
      </c>
      <c r="AC1" s="2" t="s">
        <v>118</v>
      </c>
      <c r="AD1" s="2" t="s">
        <v>119</v>
      </c>
      <c r="AE1" s="2" t="s">
        <v>839</v>
      </c>
      <c r="AF1" s="2" t="s">
        <v>120</v>
      </c>
      <c r="AG1" s="2" t="s">
        <v>121</v>
      </c>
      <c r="AH1" s="2" t="s">
        <v>121</v>
      </c>
      <c r="AI1" s="2" t="s">
        <v>94</v>
      </c>
      <c r="AJ1" s="2" t="s">
        <v>260</v>
      </c>
      <c r="AK1" s="2" t="s">
        <v>122</v>
      </c>
      <c r="AL1" s="2" t="s">
        <v>262</v>
      </c>
      <c r="AM1" s="2" t="s">
        <v>95</v>
      </c>
      <c r="AN1" s="2" t="s">
        <v>682</v>
      </c>
      <c r="AO1" s="2" t="s">
        <v>96</v>
      </c>
      <c r="AP1" s="2" t="s">
        <v>68</v>
      </c>
      <c r="AQ1" s="2" t="s">
        <v>682</v>
      </c>
      <c r="AR1" s="2" t="s">
        <v>123</v>
      </c>
      <c r="AS1" s="2" t="s">
        <v>682</v>
      </c>
      <c r="AT1" s="2" t="s">
        <v>69</v>
      </c>
      <c r="AU1" s="2" t="s">
        <v>124</v>
      </c>
      <c r="AW1" s="2" t="s">
        <v>70</v>
      </c>
      <c r="AY1" s="2" t="s">
        <v>71</v>
      </c>
      <c r="BA1" s="2" t="s">
        <v>72</v>
      </c>
      <c r="BC1" s="2" t="s">
        <v>73</v>
      </c>
      <c r="BD1" s="2" t="s">
        <v>173</v>
      </c>
      <c r="BE1" s="2" t="s">
        <v>125</v>
      </c>
      <c r="BF1" s="2" t="s">
        <v>74</v>
      </c>
      <c r="BG1" s="2" t="s">
        <v>75</v>
      </c>
      <c r="BH1" s="2" t="s">
        <v>76</v>
      </c>
      <c r="BI1" s="2" t="s">
        <v>6</v>
      </c>
      <c r="BJ1" s="2" t="s">
        <v>229</v>
      </c>
      <c r="BK1" s="2" t="s">
        <v>77</v>
      </c>
      <c r="BL1" s="2" t="s">
        <v>175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246</v>
      </c>
      <c r="BT1" s="2" t="s">
        <v>84</v>
      </c>
      <c r="BU1" s="2" t="s">
        <v>85</v>
      </c>
      <c r="BV1" s="2" t="s">
        <v>86</v>
      </c>
      <c r="BW1" s="2" t="s">
        <v>87</v>
      </c>
      <c r="BX1" s="2" t="s">
        <v>88</v>
      </c>
      <c r="BY1" s="2" t="s">
        <v>127</v>
      </c>
    </row>
    <row r="2" spans="1:77" x14ac:dyDescent="0.2">
      <c r="A2" s="2" t="s">
        <v>269</v>
      </c>
      <c r="B2" s="15">
        <v>4</v>
      </c>
      <c r="C2" s="2" t="str" cm="1">
        <f t="array" ref="C2">_xlfn.IFS(B2&lt;3, "1", B2&lt;7, "2", B2&lt;12, "3", B2&lt;18, "4", B2&gt;18, "Fehler")</f>
        <v>2</v>
      </c>
      <c r="D2" s="4">
        <f>IF(COUNTIF($C$2:C2,C2),COUNTIF($C$2:C2,C2),"")</f>
        <v>1</v>
      </c>
      <c r="E2" s="2">
        <v>2</v>
      </c>
      <c r="F2" s="2">
        <v>107</v>
      </c>
      <c r="G2" s="2">
        <v>24</v>
      </c>
      <c r="H2" s="2">
        <v>2</v>
      </c>
      <c r="I2" s="2">
        <v>0</v>
      </c>
      <c r="J2" s="3" t="s">
        <v>171</v>
      </c>
      <c r="K2" s="3"/>
      <c r="L2" s="3"/>
      <c r="M2" s="3"/>
      <c r="N2" s="3"/>
      <c r="O2" s="2">
        <v>8</v>
      </c>
      <c r="P2" s="2">
        <v>45</v>
      </c>
      <c r="Q2" s="2">
        <v>1</v>
      </c>
      <c r="R2" s="2">
        <v>1</v>
      </c>
      <c r="S2" s="2">
        <v>1</v>
      </c>
      <c r="T2" s="2">
        <v>2</v>
      </c>
      <c r="U2" s="2">
        <v>2</v>
      </c>
      <c r="V2" s="2">
        <v>2</v>
      </c>
      <c r="W2" s="2" t="str">
        <f t="shared" ref="W2:W47" si="0">IF(V2=U2,"0","1")</f>
        <v>0</v>
      </c>
      <c r="X2" s="2">
        <v>0</v>
      </c>
      <c r="Y2" s="2">
        <v>0</v>
      </c>
      <c r="Z2" s="2">
        <v>2</v>
      </c>
      <c r="AA2" s="2">
        <v>1</v>
      </c>
      <c r="AB2" s="2">
        <v>2.5</v>
      </c>
      <c r="AC2" s="2">
        <v>1</v>
      </c>
      <c r="AD2" s="2">
        <v>136</v>
      </c>
      <c r="AF2" s="2">
        <v>23</v>
      </c>
      <c r="AG2" s="2">
        <v>19</v>
      </c>
      <c r="AH2" s="2">
        <v>250</v>
      </c>
      <c r="AI2" s="2">
        <v>190</v>
      </c>
      <c r="AJ2" s="2">
        <v>3800</v>
      </c>
      <c r="AK2" s="5">
        <f>AG2/AI2</f>
        <v>0.1</v>
      </c>
      <c r="AL2" s="5">
        <f>AH2/AJ2</f>
        <v>6.5789473684210523E-2</v>
      </c>
      <c r="AM2" s="2">
        <v>1</v>
      </c>
      <c r="AN2" s="2" t="s">
        <v>683</v>
      </c>
      <c r="AO2" s="2">
        <v>1</v>
      </c>
      <c r="AP2" s="2">
        <v>1</v>
      </c>
      <c r="AQ2" s="2" t="s">
        <v>725</v>
      </c>
      <c r="AR2" s="2">
        <v>1</v>
      </c>
      <c r="AT2" s="2">
        <v>1</v>
      </c>
      <c r="AU2" s="2">
        <v>0</v>
      </c>
      <c r="AW2" s="2">
        <v>0</v>
      </c>
      <c r="AY2" s="2">
        <v>1</v>
      </c>
      <c r="AZ2" s="2" t="s">
        <v>756</v>
      </c>
      <c r="BA2" s="2" t="s">
        <v>172</v>
      </c>
      <c r="BC2" s="2" t="s">
        <v>176</v>
      </c>
      <c r="BD2" s="2">
        <v>0</v>
      </c>
      <c r="BE2" s="2">
        <v>0</v>
      </c>
      <c r="BF2" s="2" t="s">
        <v>21</v>
      </c>
      <c r="BG2" s="2" t="s">
        <v>174</v>
      </c>
      <c r="BH2" s="2">
        <v>518</v>
      </c>
      <c r="BI2" s="2">
        <v>1</v>
      </c>
      <c r="BK2" s="2">
        <v>1</v>
      </c>
      <c r="BL2" s="2">
        <v>6</v>
      </c>
      <c r="BM2" s="2">
        <v>2</v>
      </c>
      <c r="BN2" s="2">
        <v>0</v>
      </c>
      <c r="BO2" s="2">
        <v>0</v>
      </c>
      <c r="BT2" s="2">
        <v>0</v>
      </c>
    </row>
    <row r="3" spans="1:77" x14ac:dyDescent="0.2">
      <c r="A3" s="2" t="s">
        <v>269</v>
      </c>
      <c r="B3" s="2">
        <v>0</v>
      </c>
      <c r="C3" s="2" t="str" cm="1">
        <f t="array" ref="C3">_xlfn.IFS(B3&lt;3, "1", B3&lt;7, "2", B3&lt;12, "3", B3&lt;18, "4", B3&gt;18, "Fehler")</f>
        <v>1</v>
      </c>
      <c r="D3" s="4">
        <f>IF(COUNTIF($C$2:C3,C3),COUNTIF($C$2:C3,C3),"")</f>
        <v>1</v>
      </c>
      <c r="E3" s="2">
        <v>2</v>
      </c>
      <c r="F3" s="2">
        <v>55</v>
      </c>
      <c r="G3" s="2">
        <v>4.8</v>
      </c>
      <c r="H3" s="2">
        <v>1</v>
      </c>
      <c r="I3" s="2">
        <v>0</v>
      </c>
      <c r="J3" s="2" t="s">
        <v>177</v>
      </c>
      <c r="O3" s="2">
        <v>28</v>
      </c>
      <c r="P3" s="2">
        <v>100</v>
      </c>
      <c r="Q3" s="2">
        <v>2</v>
      </c>
      <c r="R3" s="2">
        <v>1</v>
      </c>
      <c r="S3" s="2">
        <v>1</v>
      </c>
      <c r="T3" s="2">
        <v>2</v>
      </c>
      <c r="U3" s="2">
        <v>0</v>
      </c>
      <c r="V3" s="2">
        <v>1</v>
      </c>
      <c r="W3" s="2" t="str">
        <f t="shared" si="0"/>
        <v>1</v>
      </c>
      <c r="X3" s="2">
        <v>0</v>
      </c>
      <c r="Y3" s="2">
        <v>0</v>
      </c>
      <c r="Z3" s="2">
        <v>1</v>
      </c>
      <c r="AA3" s="2">
        <v>1</v>
      </c>
      <c r="AB3" s="2">
        <v>1</v>
      </c>
      <c r="AC3" s="2">
        <v>1</v>
      </c>
      <c r="AD3" s="2">
        <v>55</v>
      </c>
      <c r="AF3" s="2">
        <v>30</v>
      </c>
      <c r="AG3" s="2">
        <v>14</v>
      </c>
      <c r="AH3" s="2">
        <v>200</v>
      </c>
      <c r="AI3" s="2">
        <v>50</v>
      </c>
      <c r="AJ3" s="2">
        <v>1500</v>
      </c>
      <c r="AK3" s="5">
        <f t="shared" ref="AK3:AK48" si="1">AG3/AI3</f>
        <v>0.28000000000000003</v>
      </c>
      <c r="AL3" s="5">
        <f>AH3/AJ3</f>
        <v>0.13333333333333333</v>
      </c>
      <c r="AM3" s="2">
        <v>1</v>
      </c>
      <c r="AN3" s="2" t="s">
        <v>684</v>
      </c>
      <c r="AO3" s="2">
        <v>1</v>
      </c>
      <c r="AP3" s="2">
        <v>1</v>
      </c>
      <c r="AQ3" s="2">
        <v>50</v>
      </c>
      <c r="AR3" s="2">
        <v>1</v>
      </c>
      <c r="AT3" s="2">
        <v>1</v>
      </c>
      <c r="AU3" s="2">
        <v>0</v>
      </c>
      <c r="AW3" s="2">
        <v>1</v>
      </c>
      <c r="AX3" s="2" t="s">
        <v>751</v>
      </c>
      <c r="AY3" s="2">
        <v>1</v>
      </c>
      <c r="AZ3" s="2" t="s">
        <v>755</v>
      </c>
      <c r="BA3" s="2" t="s">
        <v>276</v>
      </c>
      <c r="BC3" s="2" t="s">
        <v>21</v>
      </c>
      <c r="BD3" s="2">
        <v>0</v>
      </c>
      <c r="BE3" s="2">
        <v>0</v>
      </c>
      <c r="BF3" s="2" t="s">
        <v>21</v>
      </c>
      <c r="BG3" s="2" t="s">
        <v>174</v>
      </c>
      <c r="BH3" s="2">
        <v>518</v>
      </c>
      <c r="BI3" s="2">
        <v>1</v>
      </c>
      <c r="BK3" s="2">
        <v>1</v>
      </c>
      <c r="BL3" s="2">
        <v>6</v>
      </c>
      <c r="BM3" s="2">
        <v>2</v>
      </c>
      <c r="BN3" s="2">
        <v>0</v>
      </c>
      <c r="BO3" s="2">
        <v>0</v>
      </c>
      <c r="BT3" s="2">
        <v>0</v>
      </c>
    </row>
    <row r="4" spans="1:77" x14ac:dyDescent="0.2">
      <c r="A4" s="2" t="s">
        <v>269</v>
      </c>
      <c r="B4" s="2">
        <v>14</v>
      </c>
      <c r="C4" s="2" t="str" cm="1">
        <f t="array" ref="C4">_xlfn.IFS(B4&lt;3, "1", B4&lt;7, "2", B4&lt;12, "3", B4&lt;18, "4", B4&gt;18, "Fehler")</f>
        <v>4</v>
      </c>
      <c r="D4" s="4">
        <f>IF(COUNTIF($C$2:C4,C4),COUNTIF($C$2:C4,C4),"")</f>
        <v>1</v>
      </c>
      <c r="E4" s="2">
        <v>2</v>
      </c>
      <c r="F4" s="2">
        <v>175</v>
      </c>
      <c r="G4" s="2">
        <v>58</v>
      </c>
      <c r="H4" s="2">
        <v>1</v>
      </c>
      <c r="I4" s="2">
        <v>0</v>
      </c>
      <c r="J4" s="2" t="s">
        <v>178</v>
      </c>
      <c r="O4" s="2">
        <v>11</v>
      </c>
      <c r="P4" s="2">
        <v>41</v>
      </c>
      <c r="Q4" s="2">
        <v>1</v>
      </c>
      <c r="R4" s="2">
        <v>1</v>
      </c>
      <c r="S4" s="2">
        <v>1</v>
      </c>
      <c r="T4" s="2">
        <v>2</v>
      </c>
      <c r="U4" s="2">
        <v>4</v>
      </c>
      <c r="V4" s="2">
        <v>4</v>
      </c>
      <c r="W4" s="2" t="str">
        <f t="shared" si="0"/>
        <v>0</v>
      </c>
      <c r="X4" s="2">
        <v>1</v>
      </c>
      <c r="Y4" s="2">
        <v>0</v>
      </c>
      <c r="Z4" s="2">
        <v>2</v>
      </c>
      <c r="AA4" s="2">
        <v>1</v>
      </c>
      <c r="AB4" s="2">
        <v>4</v>
      </c>
      <c r="AC4" s="2">
        <v>1</v>
      </c>
      <c r="AD4" s="2">
        <v>19</v>
      </c>
      <c r="AF4" s="2">
        <v>14</v>
      </c>
      <c r="AG4" s="2">
        <v>21</v>
      </c>
      <c r="AH4" s="2">
        <v>300</v>
      </c>
      <c r="AI4" s="2">
        <v>433</v>
      </c>
      <c r="AJ4" s="2">
        <v>6100</v>
      </c>
      <c r="AK4" s="5">
        <f t="shared" si="1"/>
        <v>4.8498845265588918E-2</v>
      </c>
      <c r="AL4" s="5">
        <f t="shared" ref="AL4:AL48" si="2">AH4/AJ4</f>
        <v>4.9180327868852458E-2</v>
      </c>
      <c r="AM4" s="2">
        <v>1</v>
      </c>
      <c r="AN4" s="2" t="s">
        <v>685</v>
      </c>
      <c r="AO4" s="2">
        <v>1</v>
      </c>
      <c r="AP4" s="2">
        <v>1</v>
      </c>
      <c r="AR4" s="2">
        <v>1</v>
      </c>
      <c r="AT4" s="2">
        <v>1</v>
      </c>
      <c r="AU4" s="2">
        <v>0</v>
      </c>
      <c r="AW4" s="2">
        <v>0</v>
      </c>
      <c r="AY4" s="2">
        <v>0</v>
      </c>
      <c r="BA4" s="2" t="s">
        <v>281</v>
      </c>
      <c r="BC4" s="2" t="s">
        <v>21</v>
      </c>
      <c r="BD4" s="2">
        <v>1</v>
      </c>
      <c r="BE4" s="2">
        <v>0</v>
      </c>
      <c r="BF4" s="2" t="s">
        <v>21</v>
      </c>
      <c r="BG4" s="2" t="s">
        <v>280</v>
      </c>
      <c r="BH4" s="2">
        <v>429</v>
      </c>
      <c r="BI4" s="2">
        <v>2</v>
      </c>
      <c r="BK4" s="2">
        <v>0</v>
      </c>
      <c r="BL4" s="2">
        <v>3</v>
      </c>
      <c r="BM4" s="2" t="s">
        <v>343</v>
      </c>
      <c r="BN4" s="2">
        <v>2</v>
      </c>
      <c r="BO4" s="2">
        <v>0</v>
      </c>
      <c r="BT4" s="2">
        <v>0</v>
      </c>
    </row>
    <row r="5" spans="1:77" x14ac:dyDescent="0.2">
      <c r="A5" s="2" t="s">
        <v>269</v>
      </c>
      <c r="B5" s="2">
        <v>1</v>
      </c>
      <c r="C5" s="2" t="str" cm="1">
        <f t="array" ref="C5">_xlfn.IFS(B5&lt;3, "1", B5&lt;7, "2", B5&lt;12, "3", B5&lt;18, "4", B5&gt;18, "Fehler")</f>
        <v>1</v>
      </c>
      <c r="D5" s="4">
        <f>IF(COUNTIF($C$2:C5,C5),COUNTIF($C$2:C5,C5),"")</f>
        <v>2</v>
      </c>
      <c r="E5" s="2">
        <v>1</v>
      </c>
      <c r="F5" s="2">
        <v>85</v>
      </c>
      <c r="G5" s="2">
        <v>9</v>
      </c>
      <c r="H5" s="2">
        <v>1</v>
      </c>
      <c r="I5" s="2">
        <v>0</v>
      </c>
      <c r="J5" s="2" t="s">
        <v>254</v>
      </c>
      <c r="O5" s="2">
        <v>12</v>
      </c>
      <c r="P5" s="2">
        <v>40</v>
      </c>
      <c r="Q5" s="2">
        <v>1</v>
      </c>
      <c r="R5" s="2">
        <v>1</v>
      </c>
      <c r="S5" s="2">
        <v>1</v>
      </c>
      <c r="T5" s="2">
        <v>1</v>
      </c>
      <c r="U5" s="2">
        <v>1.5</v>
      </c>
      <c r="V5" s="2">
        <v>2</v>
      </c>
      <c r="W5" s="2" t="str">
        <f t="shared" si="0"/>
        <v>1</v>
      </c>
      <c r="X5" s="2">
        <v>1</v>
      </c>
      <c r="Y5" s="2">
        <v>1</v>
      </c>
      <c r="Z5" s="2">
        <v>1</v>
      </c>
      <c r="AA5" s="2">
        <v>0</v>
      </c>
      <c r="AD5" s="2">
        <v>19</v>
      </c>
      <c r="AE5" s="2">
        <v>19</v>
      </c>
      <c r="AF5" s="2">
        <v>12</v>
      </c>
      <c r="AG5" s="2">
        <v>25</v>
      </c>
      <c r="AH5" s="2">
        <v>310</v>
      </c>
      <c r="AI5" s="2">
        <v>75</v>
      </c>
      <c r="AJ5" s="2">
        <v>1600</v>
      </c>
      <c r="AK5" s="5">
        <f t="shared" si="1"/>
        <v>0.33333333333333331</v>
      </c>
      <c r="AL5" s="5">
        <f t="shared" si="2"/>
        <v>0.19375000000000001</v>
      </c>
      <c r="AM5" s="2">
        <v>1</v>
      </c>
      <c r="AN5" s="2" t="s">
        <v>686</v>
      </c>
      <c r="AO5" s="2">
        <v>1</v>
      </c>
      <c r="AP5" s="2">
        <v>1</v>
      </c>
      <c r="AQ5" s="2">
        <v>100</v>
      </c>
      <c r="AR5" s="2">
        <v>1</v>
      </c>
      <c r="AT5" s="2">
        <v>0</v>
      </c>
      <c r="AU5" s="2">
        <v>0</v>
      </c>
      <c r="AW5" s="2">
        <v>0</v>
      </c>
      <c r="AY5" s="2">
        <v>0</v>
      </c>
      <c r="BA5" s="2" t="s">
        <v>278</v>
      </c>
      <c r="BC5" s="2" t="s">
        <v>279</v>
      </c>
      <c r="BD5" s="2">
        <v>4</v>
      </c>
      <c r="BE5" s="2">
        <v>0</v>
      </c>
      <c r="BF5" s="2" t="s">
        <v>21</v>
      </c>
      <c r="BG5" s="2" t="s">
        <v>280</v>
      </c>
      <c r="BH5" s="2">
        <v>429</v>
      </c>
      <c r="BI5" s="2">
        <v>2</v>
      </c>
      <c r="BK5" s="2">
        <v>0</v>
      </c>
      <c r="BL5" s="2">
        <v>3</v>
      </c>
      <c r="BM5" s="2" t="s">
        <v>343</v>
      </c>
      <c r="BN5" s="2">
        <v>2</v>
      </c>
      <c r="BO5" s="2">
        <v>0</v>
      </c>
      <c r="BT5" s="2">
        <v>0</v>
      </c>
    </row>
    <row r="6" spans="1:77" x14ac:dyDescent="0.2">
      <c r="A6" s="2" t="s">
        <v>269</v>
      </c>
      <c r="B6" s="2">
        <v>9</v>
      </c>
      <c r="C6" s="2" t="str" cm="1">
        <f t="array" ref="C6">_xlfn.IFS(B6&lt;3, "1", B6&lt;7, "2", B6&lt;12, "3", B6&lt;18, "4", B6&gt;18, "Fehler")</f>
        <v>3</v>
      </c>
      <c r="D6" s="4">
        <f>IF(COUNTIF($C$2:C6,C6),COUNTIF($C$2:C6,C6),"")</f>
        <v>1</v>
      </c>
      <c r="E6" s="2">
        <v>2</v>
      </c>
      <c r="F6" s="2">
        <v>140</v>
      </c>
      <c r="G6" s="2">
        <v>39</v>
      </c>
      <c r="H6" s="2">
        <v>1</v>
      </c>
      <c r="I6" s="2">
        <v>2</v>
      </c>
      <c r="J6" s="2" t="s">
        <v>274</v>
      </c>
      <c r="O6" s="2">
        <v>14</v>
      </c>
      <c r="P6" s="2">
        <v>65</v>
      </c>
      <c r="Q6" s="2">
        <v>1</v>
      </c>
      <c r="R6" s="2">
        <v>1</v>
      </c>
      <c r="S6" s="2">
        <v>1</v>
      </c>
      <c r="T6" s="2">
        <v>2</v>
      </c>
      <c r="U6" s="2">
        <v>2.5</v>
      </c>
      <c r="V6" s="2">
        <v>2.5</v>
      </c>
      <c r="W6" s="2" t="str">
        <f t="shared" si="0"/>
        <v>0</v>
      </c>
      <c r="X6" s="2">
        <v>0</v>
      </c>
      <c r="Y6" s="2">
        <v>0</v>
      </c>
      <c r="Z6" s="2">
        <v>2</v>
      </c>
      <c r="AA6" s="2">
        <v>1</v>
      </c>
      <c r="AB6" s="2">
        <v>3</v>
      </c>
      <c r="AC6" s="2">
        <v>2</v>
      </c>
      <c r="AD6" s="2">
        <v>64</v>
      </c>
      <c r="AF6" s="2">
        <v>14</v>
      </c>
      <c r="AG6" s="2" t="s">
        <v>282</v>
      </c>
      <c r="AK6" s="5"/>
      <c r="AL6" s="5"/>
      <c r="AM6" s="2">
        <v>1</v>
      </c>
      <c r="AN6" s="2" t="s">
        <v>687</v>
      </c>
      <c r="AO6" s="2">
        <v>1</v>
      </c>
      <c r="AP6" s="2">
        <v>1</v>
      </c>
      <c r="AQ6" s="2" t="s">
        <v>726</v>
      </c>
      <c r="AR6" s="2">
        <v>1</v>
      </c>
      <c r="AT6" s="2">
        <v>1</v>
      </c>
      <c r="AU6" s="2">
        <v>0</v>
      </c>
      <c r="AW6" s="2">
        <v>0</v>
      </c>
      <c r="AY6" s="2">
        <v>1</v>
      </c>
      <c r="AZ6" s="2" t="s">
        <v>285</v>
      </c>
      <c r="BA6" s="2" t="s">
        <v>283</v>
      </c>
      <c r="BC6" s="2" t="s">
        <v>21</v>
      </c>
      <c r="BD6" s="2">
        <v>0</v>
      </c>
      <c r="BF6" s="2" t="s">
        <v>287</v>
      </c>
      <c r="BG6" s="2" t="s">
        <v>280</v>
      </c>
      <c r="BH6" s="2">
        <v>429</v>
      </c>
      <c r="BI6" s="2">
        <v>2</v>
      </c>
      <c r="BK6" s="2">
        <v>0</v>
      </c>
      <c r="BL6" s="2">
        <v>3</v>
      </c>
      <c r="BM6" s="2" t="s">
        <v>343</v>
      </c>
      <c r="BN6" s="2">
        <v>2</v>
      </c>
      <c r="BO6" s="2">
        <v>1</v>
      </c>
      <c r="BP6" s="2" t="s">
        <v>286</v>
      </c>
      <c r="BT6" s="2">
        <v>0</v>
      </c>
      <c r="BY6" s="2" t="s">
        <v>284</v>
      </c>
    </row>
    <row r="7" spans="1:77" x14ac:dyDescent="0.2">
      <c r="A7" s="2" t="s">
        <v>269</v>
      </c>
      <c r="B7" s="2">
        <v>1</v>
      </c>
      <c r="C7" s="2" t="str" cm="1">
        <f t="array" ref="C7">_xlfn.IFS(B7&lt;3, "1", B7&lt;7, "2", B7&lt;12, "3", B7&lt;18, "4", B7&gt;18, "Fehler")</f>
        <v>1</v>
      </c>
      <c r="D7" s="4">
        <f>IF(COUNTIF($C$2:C7,C7),COUNTIF($C$2:C7,C7),"")</f>
        <v>3</v>
      </c>
      <c r="E7" s="2">
        <v>1</v>
      </c>
      <c r="F7" s="2">
        <v>74</v>
      </c>
      <c r="G7" s="2">
        <v>9</v>
      </c>
      <c r="H7" s="2">
        <v>1</v>
      </c>
      <c r="I7" s="2">
        <v>0</v>
      </c>
      <c r="J7" s="2" t="s">
        <v>275</v>
      </c>
      <c r="O7" s="2">
        <v>4</v>
      </c>
      <c r="P7" s="2">
        <v>26</v>
      </c>
      <c r="Q7" s="2">
        <v>1</v>
      </c>
      <c r="R7" s="2">
        <v>1</v>
      </c>
      <c r="S7" s="2">
        <v>1</v>
      </c>
      <c r="T7" s="2">
        <v>2</v>
      </c>
      <c r="U7" s="2">
        <v>1</v>
      </c>
      <c r="V7" s="2">
        <v>1</v>
      </c>
      <c r="W7" s="2" t="str">
        <f t="shared" si="0"/>
        <v>0</v>
      </c>
      <c r="X7" s="2">
        <v>1</v>
      </c>
      <c r="Y7" s="2">
        <v>1</v>
      </c>
      <c r="Z7" s="2">
        <v>1</v>
      </c>
      <c r="AA7" s="2">
        <v>0</v>
      </c>
      <c r="AD7" s="2">
        <v>25</v>
      </c>
      <c r="AE7" s="2">
        <v>25</v>
      </c>
      <c r="AF7" s="2">
        <v>35</v>
      </c>
      <c r="AG7" s="2">
        <v>1</v>
      </c>
      <c r="AH7" s="2">
        <v>50</v>
      </c>
      <c r="AI7" s="2">
        <v>70</v>
      </c>
      <c r="AJ7" s="2">
        <v>2200</v>
      </c>
      <c r="AK7" s="5">
        <f t="shared" si="1"/>
        <v>1.4285714285714285E-2</v>
      </c>
      <c r="AL7" s="5">
        <f t="shared" si="2"/>
        <v>2.2727272727272728E-2</v>
      </c>
      <c r="AM7" s="2">
        <v>1</v>
      </c>
      <c r="AN7" s="2">
        <v>60</v>
      </c>
      <c r="AO7" s="2">
        <v>1</v>
      </c>
      <c r="AP7" s="2">
        <v>1</v>
      </c>
      <c r="AQ7" s="2">
        <v>100</v>
      </c>
      <c r="AR7" s="2">
        <v>1</v>
      </c>
      <c r="AT7" s="2">
        <v>0</v>
      </c>
      <c r="AU7" s="2">
        <v>0</v>
      </c>
      <c r="AW7" s="2">
        <v>0</v>
      </c>
      <c r="AY7" s="2">
        <v>0</v>
      </c>
      <c r="BA7" s="2" t="s">
        <v>21</v>
      </c>
      <c r="BC7" s="2" t="s">
        <v>21</v>
      </c>
      <c r="BD7" s="2">
        <v>0</v>
      </c>
      <c r="BE7" s="2">
        <v>0</v>
      </c>
      <c r="BG7" s="2" t="s">
        <v>288</v>
      </c>
      <c r="BI7" s="2">
        <v>1</v>
      </c>
      <c r="BK7" s="2">
        <v>0</v>
      </c>
      <c r="BL7" s="2">
        <v>5</v>
      </c>
      <c r="BM7" s="2" t="s">
        <v>343</v>
      </c>
      <c r="BN7" s="2">
        <v>0</v>
      </c>
      <c r="BO7" s="2">
        <v>0</v>
      </c>
      <c r="BT7" s="2">
        <v>0</v>
      </c>
    </row>
    <row r="8" spans="1:77" x14ac:dyDescent="0.2">
      <c r="A8" s="2" t="s">
        <v>269</v>
      </c>
      <c r="B8" s="2">
        <v>12</v>
      </c>
      <c r="C8" s="2" t="str" cm="1">
        <f t="array" ref="C8">_xlfn.IFS(B8&lt;3, "1", B8&lt;7, "2", B8&lt;12, "3", B8&lt;18, "4", B8&gt;18, "Fehler")</f>
        <v>4</v>
      </c>
      <c r="D8" s="4">
        <f>IF(COUNTIF($C$2:C8,C8),COUNTIF($C$2:C8,C8),"")</f>
        <v>2</v>
      </c>
      <c r="E8" s="2">
        <v>1</v>
      </c>
      <c r="F8" s="2">
        <v>140</v>
      </c>
      <c r="G8" s="2">
        <v>28.5</v>
      </c>
      <c r="H8" s="2">
        <v>3</v>
      </c>
      <c r="I8" s="2">
        <v>1</v>
      </c>
      <c r="J8" s="2" t="s">
        <v>171</v>
      </c>
      <c r="O8" s="2">
        <v>12</v>
      </c>
      <c r="P8" s="2">
        <v>47</v>
      </c>
      <c r="Q8" s="2">
        <v>1</v>
      </c>
      <c r="R8" s="2">
        <v>1</v>
      </c>
      <c r="S8" s="2">
        <v>1</v>
      </c>
      <c r="T8" s="2">
        <v>1</v>
      </c>
      <c r="U8" s="2">
        <v>2.5</v>
      </c>
      <c r="V8" s="2">
        <v>2.5</v>
      </c>
      <c r="W8" s="2" t="str">
        <f t="shared" si="0"/>
        <v>0</v>
      </c>
      <c r="X8" s="2">
        <v>1</v>
      </c>
      <c r="Y8" s="2">
        <v>1</v>
      </c>
      <c r="Z8" s="2">
        <v>1</v>
      </c>
      <c r="AA8" s="2">
        <v>0</v>
      </c>
      <c r="AD8" s="2">
        <v>37</v>
      </c>
      <c r="AE8" s="2">
        <v>37</v>
      </c>
      <c r="AF8" s="2">
        <v>16</v>
      </c>
      <c r="AG8" s="2">
        <v>5</v>
      </c>
      <c r="AH8" s="2">
        <v>50</v>
      </c>
      <c r="AI8" s="2">
        <v>232</v>
      </c>
      <c r="AJ8" s="2">
        <v>4600</v>
      </c>
      <c r="AK8" s="5">
        <f t="shared" si="1"/>
        <v>2.1551724137931036E-2</v>
      </c>
      <c r="AL8" s="5">
        <f t="shared" si="2"/>
        <v>1.0869565217391304E-2</v>
      </c>
      <c r="AM8" s="2">
        <v>1</v>
      </c>
      <c r="AN8" s="2">
        <v>160</v>
      </c>
      <c r="AO8" s="2">
        <v>1</v>
      </c>
      <c r="AP8" s="2">
        <v>1</v>
      </c>
      <c r="AQ8" s="2">
        <v>500</v>
      </c>
      <c r="AR8" s="2">
        <v>1</v>
      </c>
      <c r="AT8" s="2">
        <v>0</v>
      </c>
      <c r="AU8" s="2">
        <v>0</v>
      </c>
      <c r="AW8" s="2">
        <v>0</v>
      </c>
      <c r="AY8" s="2">
        <v>0</v>
      </c>
      <c r="BA8" s="2" t="s">
        <v>21</v>
      </c>
      <c r="BC8" s="2" t="s">
        <v>21</v>
      </c>
      <c r="BD8" s="2">
        <v>0</v>
      </c>
      <c r="BE8" s="2">
        <v>1</v>
      </c>
      <c r="BF8" s="2" t="s">
        <v>21</v>
      </c>
      <c r="BG8" s="2" t="s">
        <v>289</v>
      </c>
      <c r="BH8" s="2">
        <v>460</v>
      </c>
      <c r="BI8" s="2">
        <v>1</v>
      </c>
      <c r="BK8" s="2">
        <v>0</v>
      </c>
      <c r="BN8" s="2">
        <v>0</v>
      </c>
      <c r="BO8" s="2">
        <v>0</v>
      </c>
      <c r="BT8" s="2">
        <v>0</v>
      </c>
    </row>
    <row r="9" spans="1:77" x14ac:dyDescent="0.2">
      <c r="A9" s="2" t="s">
        <v>269</v>
      </c>
      <c r="B9" s="2">
        <v>7</v>
      </c>
      <c r="C9" s="2" t="str" cm="1">
        <f t="array" ref="C9">_xlfn.IFS(B9&lt;3, "1", B9&lt;7, "2", B9&lt;12, "3", B9&lt;18, "4", B9&gt;18, "Fehler")</f>
        <v>3</v>
      </c>
      <c r="D9" s="4">
        <f>IF(COUNTIF($C$2:C9,C9),COUNTIF($C$2:C9,C9),"")</f>
        <v>2</v>
      </c>
      <c r="E9" s="2">
        <v>2</v>
      </c>
      <c r="F9" s="2">
        <v>144</v>
      </c>
      <c r="G9" s="2">
        <v>34</v>
      </c>
      <c r="H9" s="2">
        <v>2</v>
      </c>
      <c r="I9" s="2">
        <v>0</v>
      </c>
      <c r="J9" s="2" t="s">
        <v>177</v>
      </c>
      <c r="O9" s="2">
        <v>51</v>
      </c>
      <c r="P9" s="2">
        <v>90</v>
      </c>
      <c r="Q9" s="2">
        <v>1</v>
      </c>
      <c r="R9" s="2">
        <v>1</v>
      </c>
      <c r="S9" s="2">
        <v>1</v>
      </c>
      <c r="T9" s="2">
        <v>1</v>
      </c>
      <c r="U9" s="2">
        <v>3</v>
      </c>
      <c r="V9" s="2">
        <v>3</v>
      </c>
      <c r="W9" s="2" t="str">
        <f t="shared" si="0"/>
        <v>0</v>
      </c>
      <c r="X9" s="2">
        <v>1</v>
      </c>
      <c r="Y9" s="2">
        <v>1</v>
      </c>
      <c r="Z9" s="2">
        <v>1</v>
      </c>
      <c r="AA9" s="2">
        <v>0</v>
      </c>
      <c r="AD9" s="2">
        <v>38</v>
      </c>
      <c r="AE9" s="2">
        <v>38</v>
      </c>
      <c r="AF9" s="2">
        <v>14</v>
      </c>
      <c r="AG9" s="2">
        <v>50</v>
      </c>
      <c r="AH9" s="2">
        <v>550</v>
      </c>
      <c r="AI9" s="2">
        <v>270</v>
      </c>
      <c r="AJ9" s="2">
        <v>5000</v>
      </c>
      <c r="AK9" s="5">
        <f t="shared" si="1"/>
        <v>0.18518518518518517</v>
      </c>
      <c r="AL9" s="5">
        <f t="shared" si="2"/>
        <v>0.11</v>
      </c>
      <c r="AM9" s="2">
        <v>1</v>
      </c>
      <c r="AN9" s="2">
        <v>100</v>
      </c>
      <c r="AO9" s="2">
        <v>1</v>
      </c>
      <c r="AP9" s="2">
        <v>1</v>
      </c>
      <c r="AQ9" s="2">
        <v>250</v>
      </c>
      <c r="AR9" s="2">
        <v>1</v>
      </c>
      <c r="AT9" s="2">
        <v>0</v>
      </c>
      <c r="AU9" s="2">
        <v>0</v>
      </c>
      <c r="AW9" s="2">
        <v>0</v>
      </c>
      <c r="AY9" s="2">
        <v>0</v>
      </c>
      <c r="BA9" s="2" t="s">
        <v>293</v>
      </c>
      <c r="BC9" s="2" t="s">
        <v>294</v>
      </c>
      <c r="BD9" s="2">
        <v>0</v>
      </c>
      <c r="BE9" s="2">
        <v>1</v>
      </c>
      <c r="BF9" s="2" t="s">
        <v>21</v>
      </c>
      <c r="BG9" s="2" t="s">
        <v>288</v>
      </c>
      <c r="BI9" s="2">
        <v>1</v>
      </c>
      <c r="BK9" s="2">
        <v>0</v>
      </c>
      <c r="BL9" s="2">
        <v>5</v>
      </c>
      <c r="BM9" s="2">
        <v>0</v>
      </c>
      <c r="BN9" s="2">
        <v>0</v>
      </c>
      <c r="BO9" s="2">
        <v>0</v>
      </c>
      <c r="BT9" s="2">
        <v>0</v>
      </c>
    </row>
    <row r="10" spans="1:77" x14ac:dyDescent="0.2">
      <c r="A10" s="2" t="s">
        <v>269</v>
      </c>
      <c r="B10" s="2">
        <v>6</v>
      </c>
      <c r="C10" s="2" t="str" cm="1">
        <f t="array" ref="C10">_xlfn.IFS(B10&lt;3, "1", B10&lt;7, "2", B10&lt;12, "3", B10&lt;18, "4", B10&gt;18, "Fehler")</f>
        <v>2</v>
      </c>
      <c r="D10" s="4">
        <f>IF(COUNTIF($C$2:C10,C10),COUNTIF($C$2:C10,C10),"")</f>
        <v>2</v>
      </c>
      <c r="E10" s="2">
        <v>2</v>
      </c>
      <c r="G10" s="2">
        <v>22.5</v>
      </c>
      <c r="H10" s="2">
        <v>1</v>
      </c>
      <c r="I10" s="2">
        <v>0</v>
      </c>
      <c r="J10" s="2" t="s">
        <v>290</v>
      </c>
      <c r="O10" s="2">
        <v>57</v>
      </c>
      <c r="P10" s="2">
        <v>74</v>
      </c>
      <c r="Q10" s="2">
        <v>1</v>
      </c>
      <c r="R10" s="2">
        <v>1</v>
      </c>
      <c r="S10" s="2">
        <v>1</v>
      </c>
      <c r="T10" s="2">
        <v>2</v>
      </c>
      <c r="U10" s="2">
        <v>2</v>
      </c>
      <c r="V10" s="2">
        <v>2</v>
      </c>
      <c r="W10" s="2" t="str">
        <f t="shared" si="0"/>
        <v>0</v>
      </c>
      <c r="X10" s="2">
        <v>1</v>
      </c>
      <c r="Y10" s="2">
        <v>1</v>
      </c>
      <c r="Z10" s="2">
        <v>1</v>
      </c>
      <c r="AA10" s="2">
        <v>0</v>
      </c>
      <c r="AD10" s="2">
        <v>19</v>
      </c>
      <c r="AE10" s="2">
        <v>19</v>
      </c>
      <c r="AF10" s="2">
        <v>35</v>
      </c>
      <c r="AG10" s="2">
        <v>0</v>
      </c>
      <c r="AH10" s="2">
        <v>0</v>
      </c>
      <c r="AI10" s="2">
        <v>220</v>
      </c>
      <c r="AJ10" s="2">
        <v>4000</v>
      </c>
      <c r="AK10" s="5">
        <f t="shared" si="1"/>
        <v>0</v>
      </c>
      <c r="AL10" s="5">
        <f t="shared" si="2"/>
        <v>0</v>
      </c>
      <c r="AM10" s="2">
        <v>1</v>
      </c>
      <c r="AN10" s="2">
        <v>130</v>
      </c>
      <c r="AO10" s="2">
        <v>1</v>
      </c>
      <c r="AP10" s="2">
        <v>1</v>
      </c>
      <c r="AQ10" s="2">
        <v>600</v>
      </c>
      <c r="AR10" s="2">
        <v>1</v>
      </c>
      <c r="AT10" s="2">
        <v>0</v>
      </c>
      <c r="AU10" s="2">
        <v>1</v>
      </c>
      <c r="AV10" s="2" t="s">
        <v>745</v>
      </c>
      <c r="AW10" s="2">
        <v>1</v>
      </c>
      <c r="AX10" s="2" t="s">
        <v>745</v>
      </c>
      <c r="AY10" s="2">
        <v>1</v>
      </c>
      <c r="AZ10" s="2" t="s">
        <v>757</v>
      </c>
      <c r="BA10" s="2" t="s">
        <v>295</v>
      </c>
      <c r="BC10" s="2" t="s">
        <v>21</v>
      </c>
      <c r="BD10" s="2">
        <v>0</v>
      </c>
      <c r="BE10" s="2">
        <v>0</v>
      </c>
      <c r="BG10" s="2" t="s">
        <v>297</v>
      </c>
      <c r="BH10" s="2">
        <v>247</v>
      </c>
      <c r="BI10" s="2">
        <v>1</v>
      </c>
      <c r="BK10" s="2">
        <v>1</v>
      </c>
      <c r="BL10" s="2">
        <v>9</v>
      </c>
      <c r="BM10" s="2">
        <v>0</v>
      </c>
      <c r="BN10" s="2">
        <v>2</v>
      </c>
      <c r="BO10" s="2">
        <v>0</v>
      </c>
      <c r="BT10" s="2">
        <v>0</v>
      </c>
    </row>
    <row r="11" spans="1:77" x14ac:dyDescent="0.2">
      <c r="A11" s="2" t="s">
        <v>269</v>
      </c>
      <c r="B11" s="2">
        <v>5</v>
      </c>
      <c r="C11" s="2" t="str" cm="1">
        <f t="array" ref="C11">_xlfn.IFS(B11&lt;3, "1", B11&lt;7, "2", B11&lt;12, "3", B11&lt;18, "4", B11&gt;18, "Fehler")</f>
        <v>2</v>
      </c>
      <c r="D11" s="4">
        <f>IF(COUNTIF($C$2:C11,C11),COUNTIF($C$2:C11,C11),"")</f>
        <v>3</v>
      </c>
      <c r="E11" s="2">
        <v>2</v>
      </c>
      <c r="F11" s="2">
        <v>80</v>
      </c>
      <c r="G11" s="2">
        <v>21.3</v>
      </c>
      <c r="H11" s="2">
        <v>1</v>
      </c>
      <c r="I11" s="2">
        <v>1</v>
      </c>
      <c r="J11" s="2" t="s">
        <v>290</v>
      </c>
      <c r="O11" s="2">
        <v>32</v>
      </c>
      <c r="P11" s="2">
        <v>53</v>
      </c>
      <c r="Q11" s="2">
        <v>1</v>
      </c>
      <c r="R11" s="2">
        <v>1</v>
      </c>
      <c r="S11" s="2">
        <v>1</v>
      </c>
      <c r="T11" s="2">
        <v>1</v>
      </c>
      <c r="U11" s="2">
        <v>2.5</v>
      </c>
      <c r="V11" s="2">
        <v>2.5</v>
      </c>
      <c r="W11" s="2" t="str">
        <f t="shared" si="0"/>
        <v>0</v>
      </c>
      <c r="X11" s="2">
        <v>1</v>
      </c>
      <c r="Y11" s="2">
        <v>1</v>
      </c>
      <c r="Z11" s="2">
        <v>1</v>
      </c>
      <c r="AA11" s="2">
        <v>0</v>
      </c>
      <c r="AD11" s="2">
        <v>30</v>
      </c>
      <c r="AE11" s="2">
        <v>30</v>
      </c>
      <c r="AF11" s="2">
        <v>15</v>
      </c>
      <c r="AG11" s="2">
        <v>40</v>
      </c>
      <c r="AH11" s="2">
        <v>700</v>
      </c>
      <c r="AI11" s="2">
        <v>200</v>
      </c>
      <c r="AJ11" s="2">
        <v>4800</v>
      </c>
      <c r="AK11" s="5">
        <f t="shared" si="1"/>
        <v>0.2</v>
      </c>
      <c r="AL11" s="5">
        <f t="shared" si="2"/>
        <v>0.14583333333333334</v>
      </c>
      <c r="AM11" s="2">
        <v>1</v>
      </c>
      <c r="AN11" s="2">
        <v>110</v>
      </c>
      <c r="AO11" s="2">
        <v>1</v>
      </c>
      <c r="AP11" s="2">
        <v>1</v>
      </c>
      <c r="AQ11" s="2">
        <v>300</v>
      </c>
      <c r="AR11" s="2">
        <v>1</v>
      </c>
      <c r="AT11" s="2">
        <v>0</v>
      </c>
      <c r="AU11" s="2">
        <v>0</v>
      </c>
      <c r="AW11" s="2">
        <v>1</v>
      </c>
      <c r="AX11" s="2" t="s">
        <v>752</v>
      </c>
      <c r="AY11" s="2">
        <v>1</v>
      </c>
      <c r="AZ11" s="2" t="s">
        <v>758</v>
      </c>
      <c r="BA11" s="2" t="s">
        <v>295</v>
      </c>
      <c r="BG11" s="2" t="s">
        <v>296</v>
      </c>
      <c r="BH11" s="2">
        <v>385</v>
      </c>
      <c r="BI11" s="2">
        <v>2</v>
      </c>
      <c r="BK11" s="2">
        <v>0</v>
      </c>
      <c r="BL11" s="2">
        <v>4</v>
      </c>
      <c r="BT11" s="2">
        <v>0</v>
      </c>
    </row>
    <row r="12" spans="1:77" x14ac:dyDescent="0.2">
      <c r="A12" s="2" t="s">
        <v>269</v>
      </c>
      <c r="B12" s="2">
        <v>2</v>
      </c>
      <c r="C12" s="2" t="str" cm="1">
        <f t="array" ref="C12">_xlfn.IFS(B12&lt;3, "1", B12&lt;7, "2", B12&lt;12, "3", B12&lt;18, "4", B12&gt;18, "Fehler")</f>
        <v>1</v>
      </c>
      <c r="D12" s="4">
        <f>IF(COUNTIF($C$2:C12,C12),COUNTIF($C$2:C12,C12),"")</f>
        <v>4</v>
      </c>
      <c r="E12" s="2">
        <v>2</v>
      </c>
      <c r="G12" s="2">
        <v>13</v>
      </c>
      <c r="H12" s="2">
        <v>1</v>
      </c>
      <c r="I12" s="2">
        <v>0</v>
      </c>
      <c r="J12" s="2" t="s">
        <v>291</v>
      </c>
      <c r="O12" s="2">
        <v>62</v>
      </c>
      <c r="P12" s="2">
        <v>98</v>
      </c>
      <c r="Q12" s="2">
        <v>1</v>
      </c>
      <c r="R12" s="2">
        <v>1</v>
      </c>
      <c r="S12" s="2">
        <v>1</v>
      </c>
      <c r="T12" s="2">
        <v>1</v>
      </c>
      <c r="U12" s="2">
        <v>2</v>
      </c>
      <c r="V12" s="2">
        <v>2</v>
      </c>
      <c r="W12" s="2" t="str">
        <f t="shared" si="0"/>
        <v>0</v>
      </c>
      <c r="X12" s="2">
        <v>1</v>
      </c>
      <c r="Y12" s="2">
        <v>1</v>
      </c>
      <c r="Z12" s="2">
        <v>1</v>
      </c>
      <c r="AA12" s="2">
        <v>0</v>
      </c>
      <c r="AD12" s="2">
        <v>40</v>
      </c>
      <c r="AE12" s="2">
        <v>40</v>
      </c>
      <c r="AG12" s="2">
        <v>8</v>
      </c>
      <c r="AH12" s="2">
        <v>60</v>
      </c>
      <c r="AI12" s="2">
        <v>120</v>
      </c>
      <c r="AJ12" s="2">
        <v>2600</v>
      </c>
      <c r="AK12" s="5">
        <f t="shared" si="1"/>
        <v>6.6666666666666666E-2</v>
      </c>
      <c r="AL12" s="5">
        <f t="shared" si="2"/>
        <v>2.3076923076923078E-2</v>
      </c>
      <c r="AM12" s="2">
        <v>1</v>
      </c>
      <c r="AN12" s="2">
        <v>65</v>
      </c>
      <c r="AO12" s="2">
        <v>1</v>
      </c>
      <c r="AP12" s="2">
        <v>1</v>
      </c>
      <c r="AQ12" s="2" t="s">
        <v>727</v>
      </c>
      <c r="AR12" s="2">
        <v>1</v>
      </c>
      <c r="AT12" s="2">
        <v>1</v>
      </c>
      <c r="AU12" s="2">
        <v>0</v>
      </c>
      <c r="AW12" s="2">
        <v>0</v>
      </c>
      <c r="AY12" s="2">
        <v>1</v>
      </c>
      <c r="AZ12" s="2" t="s">
        <v>759</v>
      </c>
      <c r="BA12" s="2" t="s">
        <v>308</v>
      </c>
      <c r="BC12" s="2" t="s">
        <v>21</v>
      </c>
      <c r="BD12" s="2">
        <v>0</v>
      </c>
      <c r="BE12" s="2">
        <v>0</v>
      </c>
      <c r="BG12" s="2" t="s">
        <v>309</v>
      </c>
      <c r="BH12" s="2">
        <v>447</v>
      </c>
      <c r="BI12" s="2">
        <v>2</v>
      </c>
      <c r="BK12" s="2">
        <v>0</v>
      </c>
      <c r="BL12" s="2">
        <v>4</v>
      </c>
      <c r="BM12" s="2" t="s">
        <v>244</v>
      </c>
      <c r="BN12" s="2">
        <v>1</v>
      </c>
      <c r="BO12" s="2">
        <v>0</v>
      </c>
      <c r="BT12" s="2">
        <v>0</v>
      </c>
      <c r="BY12" s="2" t="s">
        <v>310</v>
      </c>
    </row>
    <row r="13" spans="1:77" x14ac:dyDescent="0.2">
      <c r="A13" s="2" t="s">
        <v>269</v>
      </c>
      <c r="B13" s="2">
        <v>13</v>
      </c>
      <c r="C13" s="2" t="str" cm="1">
        <f t="array" ref="C13">_xlfn.IFS(B13&lt;3, "1", B13&lt;7, "2", B13&lt;12, "3", B13&lt;18, "4", B13&gt;18, "Fehler")</f>
        <v>4</v>
      </c>
      <c r="D13" s="4">
        <f>IF(COUNTIF($C$2:C13,C13),COUNTIF($C$2:C13,C13),"")</f>
        <v>3</v>
      </c>
      <c r="E13" s="2">
        <v>2</v>
      </c>
      <c r="F13" s="2">
        <v>164</v>
      </c>
      <c r="G13" s="2">
        <v>43</v>
      </c>
      <c r="H13" s="2">
        <v>2</v>
      </c>
      <c r="I13" s="2">
        <v>0</v>
      </c>
      <c r="J13" s="2" t="s">
        <v>292</v>
      </c>
      <c r="O13" s="2">
        <v>40</v>
      </c>
      <c r="P13" s="2">
        <v>82</v>
      </c>
      <c r="Q13" s="2">
        <v>1</v>
      </c>
      <c r="R13" s="2">
        <v>1</v>
      </c>
      <c r="S13" s="2">
        <v>1</v>
      </c>
      <c r="T13" s="2">
        <v>2</v>
      </c>
      <c r="U13" s="2">
        <v>4</v>
      </c>
      <c r="V13" s="2">
        <v>4</v>
      </c>
      <c r="W13" s="2" t="str">
        <f t="shared" si="0"/>
        <v>0</v>
      </c>
      <c r="X13" s="2">
        <v>1</v>
      </c>
      <c r="Y13" s="2">
        <v>1</v>
      </c>
      <c r="Z13" s="2">
        <v>1</v>
      </c>
      <c r="AA13" s="2">
        <v>0</v>
      </c>
      <c r="AD13" s="2">
        <v>14</v>
      </c>
      <c r="AE13" s="2">
        <v>14</v>
      </c>
      <c r="AF13" s="2">
        <v>35</v>
      </c>
      <c r="AG13" s="2">
        <v>5</v>
      </c>
      <c r="AH13" s="2">
        <v>50</v>
      </c>
      <c r="AI13" s="2">
        <v>300</v>
      </c>
      <c r="AJ13" s="2">
        <v>6000</v>
      </c>
      <c r="AK13" s="5">
        <f t="shared" si="1"/>
        <v>1.6666666666666666E-2</v>
      </c>
      <c r="AL13" s="5">
        <f t="shared" si="2"/>
        <v>8.3333333333333332E-3</v>
      </c>
      <c r="AM13" s="2">
        <v>1</v>
      </c>
      <c r="AN13" s="2">
        <v>200</v>
      </c>
      <c r="AO13" s="2">
        <v>1</v>
      </c>
      <c r="AP13" s="2">
        <v>1</v>
      </c>
      <c r="AQ13" s="2">
        <v>500</v>
      </c>
      <c r="AR13" s="2">
        <v>1</v>
      </c>
      <c r="AT13" s="2">
        <v>0</v>
      </c>
      <c r="AU13" s="2">
        <v>0</v>
      </c>
      <c r="AW13" s="2">
        <v>0</v>
      </c>
      <c r="AY13" s="2">
        <v>1</v>
      </c>
      <c r="AZ13" s="2" t="s">
        <v>760</v>
      </c>
      <c r="BA13" s="2" t="s">
        <v>299</v>
      </c>
      <c r="BC13" s="2" t="s">
        <v>21</v>
      </c>
      <c r="BD13" s="2">
        <v>0</v>
      </c>
      <c r="BE13" s="2">
        <v>0</v>
      </c>
      <c r="BG13" s="2" t="s">
        <v>300</v>
      </c>
      <c r="BI13" s="2">
        <v>2</v>
      </c>
      <c r="BK13" s="2">
        <v>0</v>
      </c>
      <c r="BL13" s="2">
        <v>5</v>
      </c>
      <c r="BM13" s="2">
        <v>1</v>
      </c>
      <c r="BN13" s="2">
        <v>2</v>
      </c>
      <c r="BO13" s="2">
        <v>0</v>
      </c>
      <c r="BT13" s="2">
        <v>0</v>
      </c>
    </row>
    <row r="14" spans="1:77" x14ac:dyDescent="0.2">
      <c r="A14" s="2" t="s">
        <v>269</v>
      </c>
      <c r="B14" s="2">
        <v>1</v>
      </c>
      <c r="C14" s="2" t="str" cm="1">
        <f t="array" ref="C14">_xlfn.IFS(B14&lt;3, "1", B14&lt;7, "2", B14&lt;12, "3", B14&lt;18, "4", B14&gt;18, "Fehler")</f>
        <v>1</v>
      </c>
      <c r="D14" s="4">
        <f>IF(COUNTIF($C$2:C14,C14),COUNTIF($C$2:C14,C14),"")</f>
        <v>5</v>
      </c>
      <c r="E14" s="2">
        <v>1</v>
      </c>
      <c r="F14" s="2">
        <v>80</v>
      </c>
      <c r="G14" s="2">
        <v>9.5</v>
      </c>
      <c r="H14" s="2">
        <v>1</v>
      </c>
      <c r="I14" s="2">
        <v>0</v>
      </c>
      <c r="J14" s="2" t="s">
        <v>298</v>
      </c>
      <c r="O14" s="2">
        <v>12</v>
      </c>
      <c r="P14" s="2">
        <v>44</v>
      </c>
      <c r="Q14" s="2">
        <v>1</v>
      </c>
      <c r="R14" s="2">
        <v>1</v>
      </c>
      <c r="S14" s="2">
        <v>1</v>
      </c>
      <c r="T14" s="2">
        <v>1</v>
      </c>
      <c r="U14" s="2">
        <v>1.5</v>
      </c>
      <c r="V14" s="2">
        <v>1.5</v>
      </c>
      <c r="W14" s="2" t="str">
        <f t="shared" si="0"/>
        <v>0</v>
      </c>
      <c r="X14" s="2">
        <v>1</v>
      </c>
      <c r="Y14" s="2">
        <v>1</v>
      </c>
      <c r="Z14" s="2">
        <v>1</v>
      </c>
      <c r="AA14" s="2">
        <v>0</v>
      </c>
      <c r="AD14" s="2">
        <v>36</v>
      </c>
      <c r="AE14" s="2">
        <v>36</v>
      </c>
      <c r="AF14" s="2">
        <v>14</v>
      </c>
      <c r="AG14" s="2">
        <v>4</v>
      </c>
      <c r="AH14" s="2">
        <v>20</v>
      </c>
      <c r="AI14" s="2">
        <v>70</v>
      </c>
      <c r="AJ14" s="2">
        <v>2700</v>
      </c>
      <c r="AK14" s="5">
        <f t="shared" si="1"/>
        <v>5.7142857142857141E-2</v>
      </c>
      <c r="AL14" s="5">
        <f t="shared" si="2"/>
        <v>7.4074074074074077E-3</v>
      </c>
      <c r="AM14" s="2">
        <v>2</v>
      </c>
      <c r="AN14" s="2">
        <v>25</v>
      </c>
      <c r="AO14" s="2">
        <v>1</v>
      </c>
      <c r="AP14" s="2">
        <v>1</v>
      </c>
      <c r="AQ14" s="2">
        <v>400</v>
      </c>
      <c r="AR14" s="2">
        <v>1</v>
      </c>
      <c r="AT14" s="2">
        <v>0</v>
      </c>
      <c r="AU14" s="2">
        <v>1</v>
      </c>
      <c r="AV14" s="2" t="s">
        <v>746</v>
      </c>
      <c r="AW14" s="2">
        <v>0</v>
      </c>
      <c r="AY14" s="2">
        <v>0</v>
      </c>
      <c r="BA14" s="2" t="s">
        <v>311</v>
      </c>
      <c r="BC14" s="2" t="s">
        <v>21</v>
      </c>
      <c r="BD14" s="2">
        <v>0</v>
      </c>
      <c r="BE14" s="2">
        <v>0</v>
      </c>
      <c r="BG14" s="2" t="s">
        <v>312</v>
      </c>
      <c r="BH14" s="2">
        <v>490</v>
      </c>
      <c r="BI14" s="2">
        <v>2</v>
      </c>
      <c r="BK14" s="2">
        <v>0</v>
      </c>
      <c r="BL14" s="2">
        <v>4.5</v>
      </c>
      <c r="BM14" s="2">
        <v>2</v>
      </c>
      <c r="BN14" s="2">
        <v>0</v>
      </c>
      <c r="BO14" s="2">
        <v>0</v>
      </c>
      <c r="BT14" s="2">
        <v>0</v>
      </c>
    </row>
    <row r="15" spans="1:77" x14ac:dyDescent="0.2">
      <c r="A15" s="2" t="s">
        <v>269</v>
      </c>
      <c r="B15" s="2">
        <v>0</v>
      </c>
      <c r="C15" s="2" t="str" cm="1">
        <f t="array" ref="C15">_xlfn.IFS(B15&lt;3, "1", B15&lt;7, "2", B15&lt;12, "3", B15&lt;18, "4", B15&gt;18, "Fehler")</f>
        <v>1</v>
      </c>
      <c r="D15" s="4">
        <f>IF(COUNTIF($C$2:C15,C15),COUNTIF($C$2:C15,C15),"")</f>
        <v>6</v>
      </c>
      <c r="E15" s="2">
        <v>2</v>
      </c>
      <c r="F15" s="2">
        <v>65</v>
      </c>
      <c r="G15" s="2">
        <v>8.6999999999999993</v>
      </c>
      <c r="H15" s="2">
        <v>1</v>
      </c>
      <c r="I15" s="2">
        <v>0</v>
      </c>
      <c r="J15" s="2" t="s">
        <v>316</v>
      </c>
      <c r="O15" s="2">
        <v>112</v>
      </c>
      <c r="P15" s="2">
        <v>146</v>
      </c>
      <c r="Q15" s="2">
        <v>1</v>
      </c>
      <c r="R15" s="2">
        <v>1</v>
      </c>
      <c r="S15" s="2">
        <v>1</v>
      </c>
      <c r="T15" s="2">
        <v>2</v>
      </c>
      <c r="U15" s="2">
        <v>1</v>
      </c>
      <c r="V15" s="2">
        <v>1</v>
      </c>
      <c r="W15" s="2" t="str">
        <f t="shared" si="0"/>
        <v>0</v>
      </c>
      <c r="X15" s="2">
        <v>1</v>
      </c>
      <c r="Y15" s="2">
        <v>1</v>
      </c>
      <c r="Z15" s="2">
        <v>1</v>
      </c>
      <c r="AA15" s="2">
        <v>0</v>
      </c>
      <c r="AD15" s="2">
        <v>44</v>
      </c>
      <c r="AE15" s="2">
        <v>44</v>
      </c>
      <c r="AF15" s="2">
        <v>35</v>
      </c>
      <c r="AG15" s="2">
        <v>0</v>
      </c>
      <c r="AH15" s="2">
        <v>0</v>
      </c>
      <c r="AI15" s="2">
        <v>80</v>
      </c>
      <c r="AJ15" s="2">
        <v>1600</v>
      </c>
      <c r="AK15" s="5">
        <f t="shared" si="1"/>
        <v>0</v>
      </c>
      <c r="AL15" s="5">
        <f t="shared" si="2"/>
        <v>0</v>
      </c>
      <c r="AM15" s="2">
        <v>1</v>
      </c>
      <c r="AN15" s="2">
        <v>50</v>
      </c>
      <c r="AO15" s="2">
        <v>1</v>
      </c>
      <c r="AP15" s="2">
        <v>1</v>
      </c>
      <c r="AQ15" s="2">
        <v>200</v>
      </c>
      <c r="AR15" s="2">
        <v>1</v>
      </c>
      <c r="AT15" s="2">
        <v>0</v>
      </c>
      <c r="AU15" s="2">
        <v>0</v>
      </c>
      <c r="AW15" s="2">
        <v>0</v>
      </c>
      <c r="AY15" s="2">
        <v>0</v>
      </c>
      <c r="BA15" s="2" t="s">
        <v>21</v>
      </c>
      <c r="BC15" s="2" t="s">
        <v>21</v>
      </c>
      <c r="BD15" s="2">
        <v>0</v>
      </c>
      <c r="BE15" s="2">
        <v>0</v>
      </c>
      <c r="BG15" s="2" t="s">
        <v>315</v>
      </c>
      <c r="BH15" s="2">
        <v>533</v>
      </c>
      <c r="BI15" s="2">
        <v>1</v>
      </c>
      <c r="BK15" s="2">
        <v>0</v>
      </c>
      <c r="BL15" s="2">
        <v>4.5</v>
      </c>
      <c r="BM15" s="2">
        <v>3</v>
      </c>
      <c r="BN15" s="2">
        <v>0</v>
      </c>
      <c r="BO15" s="2">
        <v>0</v>
      </c>
      <c r="BT15" s="2">
        <v>0</v>
      </c>
    </row>
    <row r="16" spans="1:77" x14ac:dyDescent="0.2">
      <c r="A16" s="2" t="s">
        <v>269</v>
      </c>
      <c r="B16" s="2">
        <v>1</v>
      </c>
      <c r="C16" s="2" t="str" cm="1">
        <f t="array" ref="C16">_xlfn.IFS(B16&lt;3, "1", B16&lt;7, "2", B16&lt;12, "3", B16&lt;18, "4", B16&gt;18, "Fehler")</f>
        <v>1</v>
      </c>
      <c r="D16" s="4">
        <f>IF(COUNTIF($C$2:C16,C16),COUNTIF($C$2:C16,C16),"")</f>
        <v>7</v>
      </c>
      <c r="E16" s="2">
        <v>2</v>
      </c>
      <c r="F16" s="2">
        <v>86</v>
      </c>
      <c r="G16" s="2">
        <v>10</v>
      </c>
      <c r="H16" s="2">
        <v>1</v>
      </c>
      <c r="I16" s="2">
        <v>0</v>
      </c>
      <c r="J16" s="2" t="s">
        <v>302</v>
      </c>
      <c r="O16" s="2">
        <v>120</v>
      </c>
      <c r="P16" s="2">
        <v>159</v>
      </c>
      <c r="Q16" s="2">
        <v>2</v>
      </c>
      <c r="R16" s="2">
        <v>1</v>
      </c>
      <c r="S16" s="2">
        <v>1</v>
      </c>
      <c r="T16" s="2">
        <v>2</v>
      </c>
      <c r="U16" s="2">
        <v>1</v>
      </c>
      <c r="V16" s="2">
        <v>1</v>
      </c>
      <c r="W16" s="2" t="str">
        <f t="shared" si="0"/>
        <v>0</v>
      </c>
      <c r="X16" s="2">
        <v>0</v>
      </c>
      <c r="Y16" s="2">
        <v>0</v>
      </c>
      <c r="Z16" s="2">
        <v>1</v>
      </c>
      <c r="AA16" s="2">
        <v>1</v>
      </c>
      <c r="AB16" s="2">
        <v>2</v>
      </c>
      <c r="AC16" s="2">
        <v>1</v>
      </c>
      <c r="AF16" s="2">
        <v>30</v>
      </c>
      <c r="AG16" s="2">
        <v>0</v>
      </c>
      <c r="AH16" s="2">
        <v>0</v>
      </c>
      <c r="AI16" s="2">
        <v>79</v>
      </c>
      <c r="AJ16" s="2">
        <v>1800</v>
      </c>
      <c r="AK16" s="5">
        <f t="shared" si="1"/>
        <v>0</v>
      </c>
      <c r="AL16" s="5">
        <f t="shared" si="2"/>
        <v>0</v>
      </c>
      <c r="AM16" s="2">
        <v>2</v>
      </c>
      <c r="AN16" s="2">
        <v>50</v>
      </c>
      <c r="AO16" s="2">
        <v>1</v>
      </c>
      <c r="AP16" s="2">
        <v>1</v>
      </c>
      <c r="AQ16" s="2">
        <v>200</v>
      </c>
      <c r="AR16" s="2">
        <v>1</v>
      </c>
      <c r="AT16" s="2">
        <v>0</v>
      </c>
      <c r="AU16" s="2">
        <v>0</v>
      </c>
      <c r="AW16" s="2">
        <v>0</v>
      </c>
      <c r="AY16" s="2">
        <v>0</v>
      </c>
      <c r="BA16" s="2" t="s">
        <v>326</v>
      </c>
      <c r="BC16" s="2" t="s">
        <v>21</v>
      </c>
      <c r="BD16" s="2">
        <v>0</v>
      </c>
      <c r="BE16" s="2">
        <v>0</v>
      </c>
      <c r="BF16" s="2" t="s">
        <v>21</v>
      </c>
      <c r="BG16" s="2" t="s">
        <v>280</v>
      </c>
      <c r="BH16" s="2">
        <v>429</v>
      </c>
      <c r="BI16" s="2">
        <v>2</v>
      </c>
      <c r="BK16" s="2">
        <v>0</v>
      </c>
      <c r="BL16" s="2">
        <v>3</v>
      </c>
      <c r="BM16" s="2">
        <v>1</v>
      </c>
      <c r="BN16" s="2">
        <v>2</v>
      </c>
      <c r="BO16" s="2">
        <v>0</v>
      </c>
      <c r="BT16" s="2">
        <v>0</v>
      </c>
      <c r="BY16" s="2" t="s">
        <v>327</v>
      </c>
    </row>
    <row r="17" spans="1:77" x14ac:dyDescent="0.2">
      <c r="A17" s="2" t="s">
        <v>269</v>
      </c>
      <c r="B17" s="2">
        <v>0</v>
      </c>
      <c r="C17" s="2" t="str" cm="1">
        <f t="array" ref="C17">_xlfn.IFS(B17&lt;3, "1", B17&lt;7, "2", B17&lt;12, "3", B17&lt;18, "4", B17&gt;18, "Fehler")</f>
        <v>1</v>
      </c>
      <c r="D17" s="4">
        <f>IF(COUNTIF($C$2:C17,C17),COUNTIF($C$2:C17,C17),"")</f>
        <v>8</v>
      </c>
      <c r="E17" s="2">
        <v>2</v>
      </c>
      <c r="F17" s="2">
        <v>84</v>
      </c>
      <c r="G17" s="2">
        <v>10</v>
      </c>
      <c r="H17" s="2">
        <v>1</v>
      </c>
      <c r="I17" s="2">
        <v>0</v>
      </c>
      <c r="J17" s="2" t="s">
        <v>303</v>
      </c>
      <c r="O17" s="2">
        <v>101</v>
      </c>
      <c r="P17" s="2">
        <v>150</v>
      </c>
      <c r="Q17" s="2">
        <v>2</v>
      </c>
      <c r="R17" s="2">
        <v>1</v>
      </c>
      <c r="S17" s="2">
        <v>1</v>
      </c>
      <c r="T17" s="2">
        <v>1</v>
      </c>
      <c r="U17" s="2">
        <v>1.5</v>
      </c>
      <c r="V17" s="2">
        <v>1.5</v>
      </c>
      <c r="W17" s="2" t="str">
        <f t="shared" si="0"/>
        <v>0</v>
      </c>
      <c r="X17" s="2">
        <v>1</v>
      </c>
      <c r="Y17" s="2">
        <v>0</v>
      </c>
      <c r="Z17" s="2">
        <v>2</v>
      </c>
      <c r="AA17" s="2">
        <v>0</v>
      </c>
      <c r="AB17" s="2">
        <v>2</v>
      </c>
      <c r="AC17" s="2">
        <v>1</v>
      </c>
      <c r="AD17" s="2">
        <v>118</v>
      </c>
      <c r="AE17" s="2">
        <v>25</v>
      </c>
      <c r="AF17" s="2">
        <v>21</v>
      </c>
      <c r="AG17" s="2">
        <v>5</v>
      </c>
      <c r="AH17" s="2">
        <v>120</v>
      </c>
      <c r="AI17" s="2">
        <v>90</v>
      </c>
      <c r="AJ17" s="2">
        <v>2200</v>
      </c>
      <c r="AK17" s="5">
        <f t="shared" si="1"/>
        <v>5.5555555555555552E-2</v>
      </c>
      <c r="AL17" s="5">
        <f t="shared" si="2"/>
        <v>5.4545454545454543E-2</v>
      </c>
      <c r="AM17" s="2">
        <v>1</v>
      </c>
      <c r="AN17" s="2">
        <v>45</v>
      </c>
      <c r="AO17" s="2">
        <v>1</v>
      </c>
      <c r="AP17" s="2">
        <v>1</v>
      </c>
      <c r="AQ17" s="2">
        <v>200</v>
      </c>
      <c r="AR17" s="2">
        <v>1</v>
      </c>
      <c r="AT17" s="2">
        <v>1</v>
      </c>
      <c r="AU17" s="2">
        <v>0</v>
      </c>
      <c r="AW17" s="2">
        <v>0</v>
      </c>
      <c r="AY17" s="2">
        <v>0</v>
      </c>
      <c r="BA17" s="2" t="s">
        <v>318</v>
      </c>
      <c r="BC17" s="2" t="s">
        <v>21</v>
      </c>
      <c r="BD17" s="2">
        <v>0</v>
      </c>
      <c r="BE17" s="2">
        <v>0</v>
      </c>
      <c r="BG17" s="2" t="s">
        <v>312</v>
      </c>
      <c r="BH17" s="2">
        <v>490</v>
      </c>
      <c r="BI17" s="2">
        <v>2</v>
      </c>
      <c r="BK17" s="2">
        <v>0</v>
      </c>
      <c r="BL17" s="2">
        <v>4.5</v>
      </c>
      <c r="BM17" s="2">
        <v>4</v>
      </c>
      <c r="BN17" s="2">
        <v>0</v>
      </c>
      <c r="BO17" s="2">
        <v>0</v>
      </c>
      <c r="BT17" s="2">
        <v>0</v>
      </c>
      <c r="BY17" s="2" t="s">
        <v>319</v>
      </c>
    </row>
    <row r="18" spans="1:77" x14ac:dyDescent="0.2">
      <c r="A18" s="2" t="s">
        <v>269</v>
      </c>
      <c r="B18" s="2">
        <v>9</v>
      </c>
      <c r="C18" s="2" t="str" cm="1">
        <f t="array" ref="C18">_xlfn.IFS(B18&lt;3, "1", B18&lt;7, "2", B18&lt;12, "3", B18&lt;18, "4", B18&gt;18, "Fehler")</f>
        <v>3</v>
      </c>
      <c r="D18" s="4">
        <f>IF(COUNTIF($C$2:C18,C18),COUNTIF($C$2:C18,C18),"")</f>
        <v>3</v>
      </c>
      <c r="E18" s="2">
        <v>2</v>
      </c>
      <c r="F18" s="2">
        <v>140</v>
      </c>
      <c r="G18" s="2">
        <v>28</v>
      </c>
      <c r="H18" s="2">
        <v>2</v>
      </c>
      <c r="I18" s="2">
        <v>0</v>
      </c>
      <c r="J18" s="2" t="s">
        <v>304</v>
      </c>
      <c r="O18" s="2">
        <v>5</v>
      </c>
      <c r="P18" s="2">
        <v>38</v>
      </c>
      <c r="Q18" s="2">
        <v>1</v>
      </c>
      <c r="R18" s="2">
        <v>1</v>
      </c>
      <c r="S18" s="2">
        <v>1</v>
      </c>
      <c r="T18" s="2">
        <v>1</v>
      </c>
      <c r="U18" s="2">
        <v>2.5</v>
      </c>
      <c r="V18" s="2">
        <v>2.5</v>
      </c>
      <c r="W18" s="2" t="str">
        <f t="shared" si="0"/>
        <v>0</v>
      </c>
      <c r="X18" s="2">
        <v>1</v>
      </c>
      <c r="Y18" s="2">
        <v>1</v>
      </c>
      <c r="Z18" s="2">
        <v>1</v>
      </c>
      <c r="AA18" s="2">
        <v>0</v>
      </c>
      <c r="AD18" s="2">
        <v>39</v>
      </c>
      <c r="AE18" s="2">
        <v>39</v>
      </c>
      <c r="AF18" s="2">
        <v>18</v>
      </c>
      <c r="AG18" s="2">
        <v>0</v>
      </c>
      <c r="AH18" s="2">
        <v>0</v>
      </c>
      <c r="AI18" s="2">
        <v>200</v>
      </c>
      <c r="AJ18" s="2">
        <v>4400</v>
      </c>
      <c r="AK18" s="5">
        <f t="shared" si="1"/>
        <v>0</v>
      </c>
      <c r="AL18" s="5">
        <f t="shared" si="2"/>
        <v>0</v>
      </c>
      <c r="AM18" s="2">
        <v>1</v>
      </c>
      <c r="AN18" s="2" t="s">
        <v>688</v>
      </c>
      <c r="AO18" s="2">
        <v>1</v>
      </c>
      <c r="AP18" s="2">
        <v>1</v>
      </c>
      <c r="AQ18" s="2">
        <v>200</v>
      </c>
      <c r="AR18" s="2">
        <v>1</v>
      </c>
      <c r="AT18" s="2">
        <v>1</v>
      </c>
      <c r="AU18" s="2">
        <v>0</v>
      </c>
      <c r="AW18" s="2">
        <v>0</v>
      </c>
      <c r="AY18" s="2">
        <v>0</v>
      </c>
      <c r="BA18" s="2" t="s">
        <v>306</v>
      </c>
      <c r="BC18" s="2" t="s">
        <v>21</v>
      </c>
      <c r="BD18" s="2">
        <v>0</v>
      </c>
      <c r="BE18" s="2">
        <v>1</v>
      </c>
      <c r="BF18" s="2" t="s">
        <v>21</v>
      </c>
      <c r="BG18" s="2" t="s">
        <v>307</v>
      </c>
      <c r="BH18" s="2">
        <v>377</v>
      </c>
      <c r="BI18" s="2">
        <v>2</v>
      </c>
      <c r="BK18" s="2">
        <v>0</v>
      </c>
      <c r="BL18" s="2">
        <v>4</v>
      </c>
      <c r="BM18" s="2">
        <v>0</v>
      </c>
      <c r="BN18" s="2">
        <v>2</v>
      </c>
      <c r="BO18" s="2">
        <v>0</v>
      </c>
      <c r="BT18" s="2">
        <v>0</v>
      </c>
    </row>
    <row r="19" spans="1:77" x14ac:dyDescent="0.2">
      <c r="A19" s="2" t="s">
        <v>269</v>
      </c>
      <c r="B19" s="2">
        <v>0</v>
      </c>
      <c r="C19" s="2" t="str" cm="1">
        <f t="array" ref="C19">_xlfn.IFS(B19&lt;3, "1", B19&lt;7, "2", B19&lt;12, "3", B19&lt;18, "4", B19&gt;18, "Fehler")</f>
        <v>1</v>
      </c>
      <c r="D19" s="4">
        <f>IF(COUNTIF($C$2:C19,C19),COUNTIF($C$2:C19,C19),"")</f>
        <v>9</v>
      </c>
      <c r="E19" s="2">
        <v>2</v>
      </c>
      <c r="F19" s="2">
        <v>85</v>
      </c>
      <c r="G19" s="2">
        <v>12</v>
      </c>
      <c r="H19" s="2">
        <v>1</v>
      </c>
      <c r="I19" s="2">
        <v>0</v>
      </c>
      <c r="J19" s="2" t="s">
        <v>301</v>
      </c>
      <c r="O19" s="2">
        <v>58</v>
      </c>
      <c r="P19" s="2">
        <v>88</v>
      </c>
      <c r="Q19" s="2">
        <v>2</v>
      </c>
      <c r="R19" s="2">
        <v>1</v>
      </c>
      <c r="S19" s="2">
        <v>1</v>
      </c>
      <c r="T19" s="2">
        <v>2</v>
      </c>
      <c r="U19" s="2">
        <v>2</v>
      </c>
      <c r="V19" s="2">
        <v>2</v>
      </c>
      <c r="W19" s="2" t="str">
        <f t="shared" si="0"/>
        <v>0</v>
      </c>
      <c r="X19" s="2">
        <v>0</v>
      </c>
      <c r="Y19" s="2">
        <v>0</v>
      </c>
      <c r="Z19" s="2">
        <v>1</v>
      </c>
      <c r="AA19" s="2">
        <v>1</v>
      </c>
      <c r="AB19" s="2">
        <v>2</v>
      </c>
      <c r="AC19" s="2">
        <v>1</v>
      </c>
      <c r="AD19" s="2">
        <v>124</v>
      </c>
      <c r="AF19" s="2">
        <v>25</v>
      </c>
      <c r="AG19" s="2">
        <v>0</v>
      </c>
      <c r="AH19" s="2">
        <v>0</v>
      </c>
      <c r="AI19" s="2">
        <v>80</v>
      </c>
      <c r="AJ19" s="2">
        <v>2700</v>
      </c>
      <c r="AK19" s="5">
        <f t="shared" si="1"/>
        <v>0</v>
      </c>
      <c r="AL19" s="5">
        <f t="shared" si="2"/>
        <v>0</v>
      </c>
      <c r="AM19" s="2">
        <v>1</v>
      </c>
      <c r="AN19" s="2">
        <v>40</v>
      </c>
      <c r="AO19" s="2">
        <v>1</v>
      </c>
      <c r="AP19" s="2">
        <v>1</v>
      </c>
      <c r="AQ19" s="2">
        <v>600</v>
      </c>
      <c r="AR19" s="2">
        <v>1</v>
      </c>
      <c r="AT19" s="2">
        <v>0</v>
      </c>
      <c r="AU19" s="2">
        <v>1</v>
      </c>
      <c r="AV19" s="2" t="s">
        <v>747</v>
      </c>
      <c r="AW19" s="2">
        <v>1</v>
      </c>
      <c r="AX19" s="2" t="s">
        <v>753</v>
      </c>
      <c r="AY19" s="2">
        <v>1</v>
      </c>
      <c r="AZ19" s="2" t="s">
        <v>761</v>
      </c>
      <c r="BA19" s="2" t="s">
        <v>314</v>
      </c>
      <c r="BC19" s="2" t="s">
        <v>21</v>
      </c>
      <c r="BD19" s="2">
        <v>0</v>
      </c>
      <c r="BE19" s="2">
        <v>0</v>
      </c>
      <c r="BG19" s="2" t="s">
        <v>315</v>
      </c>
      <c r="BH19" s="2">
        <v>533</v>
      </c>
      <c r="BI19" s="2">
        <v>1</v>
      </c>
      <c r="BK19" s="2">
        <v>0</v>
      </c>
      <c r="BL19" s="2">
        <v>4.5</v>
      </c>
      <c r="BN19" s="2">
        <v>0</v>
      </c>
      <c r="BO19" s="2">
        <v>0</v>
      </c>
      <c r="BT19" s="2">
        <v>0</v>
      </c>
    </row>
    <row r="20" spans="1:77" x14ac:dyDescent="0.2">
      <c r="A20" s="2" t="s">
        <v>269</v>
      </c>
      <c r="B20" s="2">
        <v>4</v>
      </c>
      <c r="C20" s="2" t="str" cm="1">
        <f t="array" ref="C20">_xlfn.IFS(B20&lt;3, "1", B20&lt;7, "2", B20&lt;12, "3", B20&lt;18, "4", B20&gt;18, "Fehler")</f>
        <v>2</v>
      </c>
      <c r="D20" s="4">
        <f>IF(COUNTIF($C$2:C20,C20),COUNTIF($C$2:C20,C20),"")</f>
        <v>4</v>
      </c>
      <c r="E20" s="2">
        <v>1</v>
      </c>
      <c r="G20" s="2">
        <v>16.5</v>
      </c>
      <c r="H20" s="2">
        <v>1</v>
      </c>
      <c r="I20" s="2">
        <v>2</v>
      </c>
      <c r="J20" s="2" t="s">
        <v>313</v>
      </c>
      <c r="O20" s="2">
        <v>38</v>
      </c>
      <c r="P20" s="2">
        <v>78</v>
      </c>
      <c r="Q20" s="2">
        <v>2</v>
      </c>
      <c r="R20" s="2">
        <v>1</v>
      </c>
      <c r="S20" s="2">
        <v>1</v>
      </c>
      <c r="T20" s="2">
        <v>1</v>
      </c>
      <c r="U20" s="2">
        <v>2</v>
      </c>
      <c r="V20" s="2">
        <v>2</v>
      </c>
      <c r="W20" s="2" t="str">
        <f t="shared" si="0"/>
        <v>0</v>
      </c>
      <c r="X20" s="2">
        <v>1</v>
      </c>
      <c r="Y20" s="2">
        <v>0</v>
      </c>
      <c r="Z20" s="2">
        <v>2</v>
      </c>
      <c r="AA20" s="2">
        <v>0</v>
      </c>
      <c r="AB20" s="2">
        <v>2.5</v>
      </c>
      <c r="AC20" s="2">
        <v>1</v>
      </c>
      <c r="AD20" s="2">
        <v>94</v>
      </c>
      <c r="AE20" s="2">
        <v>94</v>
      </c>
      <c r="AF20" s="2">
        <v>20</v>
      </c>
      <c r="AG20" s="2">
        <v>0</v>
      </c>
      <c r="AH20" s="2">
        <v>0</v>
      </c>
      <c r="AI20" s="2">
        <v>115</v>
      </c>
      <c r="AJ20" s="2">
        <v>3500</v>
      </c>
      <c r="AK20" s="5">
        <f t="shared" si="1"/>
        <v>0</v>
      </c>
      <c r="AL20" s="5">
        <f t="shared" si="2"/>
        <v>0</v>
      </c>
      <c r="AM20" s="2">
        <v>1</v>
      </c>
      <c r="AN20" s="2">
        <v>70</v>
      </c>
      <c r="AO20" s="2">
        <v>1</v>
      </c>
      <c r="AP20" s="2">
        <v>1</v>
      </c>
      <c r="AQ20" s="2">
        <v>150</v>
      </c>
      <c r="AR20" s="2">
        <v>1</v>
      </c>
      <c r="AT20" s="2">
        <v>0</v>
      </c>
      <c r="AU20" s="2">
        <v>1</v>
      </c>
      <c r="AV20" s="2" t="s">
        <v>748</v>
      </c>
      <c r="AW20" s="2">
        <v>0</v>
      </c>
      <c r="AY20" s="2">
        <v>0</v>
      </c>
      <c r="BA20" s="2" t="s">
        <v>321</v>
      </c>
      <c r="BC20" s="2" t="s">
        <v>21</v>
      </c>
      <c r="BD20" s="2">
        <v>0</v>
      </c>
      <c r="BE20" s="2">
        <v>0</v>
      </c>
      <c r="BF20" s="2" t="s">
        <v>21</v>
      </c>
      <c r="BG20" s="2" t="s">
        <v>315</v>
      </c>
      <c r="BH20" s="2">
        <v>533</v>
      </c>
      <c r="BI20" s="2">
        <v>1</v>
      </c>
      <c r="BK20" s="2">
        <v>0</v>
      </c>
      <c r="BL20" s="2">
        <v>4.5</v>
      </c>
      <c r="BM20" s="2">
        <v>3</v>
      </c>
      <c r="BN20" s="2">
        <v>0</v>
      </c>
      <c r="BO20" s="2">
        <v>0</v>
      </c>
      <c r="BT20" s="2">
        <v>0</v>
      </c>
    </row>
    <row r="21" spans="1:77" x14ac:dyDescent="0.2">
      <c r="A21" s="2" t="s">
        <v>269</v>
      </c>
      <c r="B21" s="2">
        <v>9</v>
      </c>
      <c r="C21" s="2" t="str" cm="1">
        <f t="array" ref="C21">_xlfn.IFS(B21&lt;3, "1", B21&lt;7, "2", B21&lt;12, "3", B21&lt;18, "4", B21&gt;18, "Fehler")</f>
        <v>3</v>
      </c>
      <c r="D21" s="4">
        <f>IF(COUNTIF($C$2:C21,C21),COUNTIF($C$2:C21,C21),"")</f>
        <v>4</v>
      </c>
      <c r="E21" s="2">
        <v>2</v>
      </c>
      <c r="F21" s="2">
        <v>132</v>
      </c>
      <c r="G21" s="2">
        <v>25</v>
      </c>
      <c r="H21" s="2">
        <v>1</v>
      </c>
      <c r="I21" s="2">
        <v>0</v>
      </c>
      <c r="J21" s="2" t="s">
        <v>322</v>
      </c>
      <c r="O21" s="2">
        <v>54</v>
      </c>
      <c r="P21" s="2">
        <v>73</v>
      </c>
      <c r="Q21" s="2">
        <v>2</v>
      </c>
      <c r="R21" s="2">
        <v>1</v>
      </c>
      <c r="S21" s="2">
        <v>1</v>
      </c>
      <c r="T21" s="2">
        <v>2</v>
      </c>
      <c r="U21" s="2">
        <v>2.5</v>
      </c>
      <c r="V21" s="2">
        <v>2.5</v>
      </c>
      <c r="W21" s="2" t="str">
        <f t="shared" si="0"/>
        <v>0</v>
      </c>
      <c r="X21" s="2">
        <v>1</v>
      </c>
      <c r="Y21" s="2">
        <v>0</v>
      </c>
      <c r="Z21" s="2">
        <v>3</v>
      </c>
      <c r="AA21" s="2">
        <v>0</v>
      </c>
      <c r="AB21" s="2" t="s">
        <v>323</v>
      </c>
      <c r="AC21" s="2">
        <v>1</v>
      </c>
      <c r="AE21" s="2">
        <v>21</v>
      </c>
      <c r="AF21" s="2">
        <v>18</v>
      </c>
      <c r="AG21" s="2">
        <v>3</v>
      </c>
      <c r="AH21" s="2">
        <v>30</v>
      </c>
      <c r="AI21" s="2">
        <v>210</v>
      </c>
      <c r="AJ21" s="2">
        <v>4500</v>
      </c>
      <c r="AK21" s="5">
        <f t="shared" si="1"/>
        <v>1.4285714285714285E-2</v>
      </c>
      <c r="AL21" s="5">
        <f t="shared" si="2"/>
        <v>6.6666666666666671E-3</v>
      </c>
      <c r="AM21" s="2">
        <v>1</v>
      </c>
      <c r="AN21" s="2" t="s">
        <v>689</v>
      </c>
      <c r="AO21" s="2">
        <v>1</v>
      </c>
      <c r="AP21" s="2">
        <v>1</v>
      </c>
      <c r="AQ21" s="2">
        <v>300</v>
      </c>
      <c r="AR21" s="2">
        <v>1</v>
      </c>
      <c r="AT21" s="2">
        <v>0</v>
      </c>
      <c r="AU21" s="2">
        <v>1</v>
      </c>
      <c r="AV21" s="2" t="s">
        <v>749</v>
      </c>
      <c r="AW21" s="2">
        <v>1</v>
      </c>
      <c r="AX21" s="2" t="s">
        <v>754</v>
      </c>
      <c r="AY21" s="2">
        <v>0</v>
      </c>
      <c r="BA21" s="2" t="s">
        <v>324</v>
      </c>
      <c r="BC21" s="2" t="s">
        <v>21</v>
      </c>
      <c r="BD21" s="2">
        <v>0</v>
      </c>
      <c r="BE21" s="2">
        <v>0</v>
      </c>
      <c r="BF21" s="2" t="s">
        <v>21</v>
      </c>
      <c r="BG21" s="2" t="s">
        <v>280</v>
      </c>
      <c r="BH21" s="2">
        <v>429</v>
      </c>
      <c r="BI21" s="2">
        <v>2</v>
      </c>
      <c r="BK21" s="2">
        <v>0</v>
      </c>
      <c r="BL21" s="2">
        <v>3</v>
      </c>
      <c r="BM21" s="2">
        <v>8</v>
      </c>
      <c r="BN21" s="2">
        <v>2</v>
      </c>
      <c r="BO21" s="2">
        <v>1</v>
      </c>
      <c r="BP21" s="2" t="s">
        <v>286</v>
      </c>
      <c r="BT21" s="2">
        <v>1</v>
      </c>
      <c r="BU21" s="2" t="s">
        <v>286</v>
      </c>
      <c r="BW21" s="2">
        <v>1</v>
      </c>
      <c r="BX21" s="2" t="s">
        <v>23</v>
      </c>
      <c r="BY21" s="2" t="s">
        <v>325</v>
      </c>
    </row>
    <row r="22" spans="1:77" x14ac:dyDescent="0.2">
      <c r="A22" s="2" t="s">
        <v>269</v>
      </c>
      <c r="B22" s="2">
        <v>5</v>
      </c>
      <c r="C22" s="2" t="str" cm="1">
        <f t="array" ref="C22">_xlfn.IFS(B22&lt;3, "1", B22&lt;7, "2", B22&lt;12, "3", B22&lt;18, "4", B22&gt;18, "Fehler")</f>
        <v>2</v>
      </c>
      <c r="D22" s="4">
        <f>IF(COUNTIF($C$2:C22,C22),COUNTIF($C$2:C22,C22),"")</f>
        <v>5</v>
      </c>
      <c r="E22" s="2">
        <v>1</v>
      </c>
      <c r="F22" s="2">
        <v>105</v>
      </c>
      <c r="G22" s="2">
        <v>18.5</v>
      </c>
      <c r="H22" s="2">
        <v>2</v>
      </c>
      <c r="I22" s="2">
        <v>0</v>
      </c>
      <c r="J22" s="2" t="s">
        <v>329</v>
      </c>
      <c r="O22" s="2">
        <v>5</v>
      </c>
      <c r="P22" s="2">
        <v>50</v>
      </c>
      <c r="Q22" s="2">
        <v>1</v>
      </c>
      <c r="R22" s="2">
        <v>1</v>
      </c>
      <c r="S22" s="2">
        <v>2</v>
      </c>
      <c r="T22" s="2">
        <v>2</v>
      </c>
      <c r="U22" s="2">
        <v>2</v>
      </c>
      <c r="V22" s="2">
        <v>2</v>
      </c>
      <c r="W22" s="2" t="str">
        <f t="shared" si="0"/>
        <v>0</v>
      </c>
      <c r="X22" s="2">
        <v>0</v>
      </c>
      <c r="Y22" s="2">
        <v>0</v>
      </c>
      <c r="Z22" s="2">
        <v>3</v>
      </c>
      <c r="AA22" s="2">
        <v>1</v>
      </c>
      <c r="AB22" s="2">
        <v>2</v>
      </c>
      <c r="AC22" s="2">
        <v>1</v>
      </c>
      <c r="AD22" s="2">
        <v>506</v>
      </c>
      <c r="AF22" s="2">
        <v>20</v>
      </c>
      <c r="AG22" s="2">
        <v>32</v>
      </c>
      <c r="AH22" s="2" t="s">
        <v>330</v>
      </c>
      <c r="AI22" s="2">
        <v>210</v>
      </c>
      <c r="AJ22" s="2">
        <v>4500</v>
      </c>
      <c r="AK22" s="5">
        <f t="shared" si="1"/>
        <v>0.15238095238095239</v>
      </c>
      <c r="AL22" s="5"/>
      <c r="AM22" s="2">
        <v>1</v>
      </c>
      <c r="AN22" s="2" t="s">
        <v>690</v>
      </c>
      <c r="AO22" s="2">
        <v>1</v>
      </c>
      <c r="AP22" s="2">
        <v>1</v>
      </c>
      <c r="AQ22" s="2">
        <v>400</v>
      </c>
      <c r="AR22" s="2">
        <v>1</v>
      </c>
      <c r="AT22" s="2">
        <v>1</v>
      </c>
      <c r="AU22" s="2">
        <v>1</v>
      </c>
      <c r="AV22" s="2" t="s">
        <v>750</v>
      </c>
      <c r="AW22" s="2">
        <v>0</v>
      </c>
      <c r="AY22" s="2">
        <v>1</v>
      </c>
      <c r="AZ22" s="2" t="s">
        <v>762</v>
      </c>
      <c r="BA22" s="2" t="s">
        <v>21</v>
      </c>
      <c r="BC22" s="2" t="s">
        <v>21</v>
      </c>
      <c r="BD22" s="2">
        <v>1</v>
      </c>
      <c r="BE22" s="2">
        <v>0</v>
      </c>
      <c r="BG22" s="2" t="s">
        <v>331</v>
      </c>
      <c r="BH22" s="2">
        <v>342</v>
      </c>
      <c r="BI22" s="2">
        <v>2</v>
      </c>
      <c r="BK22" s="2">
        <v>0</v>
      </c>
      <c r="BL22" s="2">
        <v>6</v>
      </c>
      <c r="BM22" s="2">
        <v>2</v>
      </c>
      <c r="BN22" s="2">
        <v>2</v>
      </c>
      <c r="BO22" s="2">
        <v>0</v>
      </c>
      <c r="BT22" s="2">
        <v>0</v>
      </c>
      <c r="BY22" s="2" t="s">
        <v>332</v>
      </c>
    </row>
    <row r="23" spans="1:77" x14ac:dyDescent="0.2">
      <c r="A23" s="2" t="s">
        <v>269</v>
      </c>
      <c r="B23" s="2">
        <v>4</v>
      </c>
      <c r="C23" s="2" t="str" cm="1">
        <f t="array" ref="C23">_xlfn.IFS(B23&lt;3, "1", B23&lt;7, "2", B23&lt;12, "3", B23&lt;18, "4", B23&gt;18, "Fehler")</f>
        <v>2</v>
      </c>
      <c r="D23" s="4">
        <f>IF(COUNTIF($C$2:C23,C23),COUNTIF($C$2:C23,C23),"")</f>
        <v>6</v>
      </c>
      <c r="E23" s="2">
        <v>1</v>
      </c>
      <c r="F23" s="2">
        <v>98</v>
      </c>
      <c r="G23" s="2">
        <v>14.7</v>
      </c>
      <c r="H23" s="2">
        <v>1</v>
      </c>
      <c r="I23" s="2">
        <v>0</v>
      </c>
      <c r="J23" s="2" t="s">
        <v>333</v>
      </c>
      <c r="O23" s="2">
        <v>85</v>
      </c>
      <c r="P23" s="2">
        <v>142</v>
      </c>
      <c r="Q23" s="2">
        <v>2</v>
      </c>
      <c r="R23" s="2">
        <v>1</v>
      </c>
      <c r="S23" s="2">
        <v>2</v>
      </c>
      <c r="T23" s="2">
        <v>1</v>
      </c>
      <c r="U23" s="2">
        <v>2</v>
      </c>
      <c r="V23" s="2">
        <v>2</v>
      </c>
      <c r="W23" s="2" t="str">
        <f t="shared" si="0"/>
        <v>0</v>
      </c>
      <c r="X23" s="2">
        <v>1</v>
      </c>
      <c r="Y23" s="2">
        <v>1</v>
      </c>
      <c r="Z23" s="2">
        <v>1</v>
      </c>
      <c r="AA23" s="2">
        <v>0</v>
      </c>
      <c r="AD23" s="2">
        <v>24</v>
      </c>
      <c r="AE23" s="2">
        <v>24</v>
      </c>
      <c r="AF23" s="2">
        <v>30</v>
      </c>
      <c r="AG23" s="2">
        <v>8</v>
      </c>
      <c r="AH23" s="2">
        <v>110</v>
      </c>
      <c r="AI23" s="2">
        <v>114</v>
      </c>
      <c r="AJ23" s="2">
        <v>2600</v>
      </c>
      <c r="AK23" s="5">
        <f t="shared" si="1"/>
        <v>7.0175438596491224E-2</v>
      </c>
      <c r="AL23" s="5">
        <f t="shared" si="2"/>
        <v>4.230769230769231E-2</v>
      </c>
      <c r="AM23" s="2">
        <v>1</v>
      </c>
      <c r="AN23" s="2" t="s">
        <v>691</v>
      </c>
      <c r="AO23" s="2">
        <v>1</v>
      </c>
      <c r="AP23" s="2">
        <v>1</v>
      </c>
      <c r="AQ23" s="2" t="s">
        <v>728</v>
      </c>
      <c r="AR23" s="2">
        <v>1</v>
      </c>
      <c r="AT23" s="2">
        <v>0</v>
      </c>
      <c r="AU23" s="2">
        <v>0</v>
      </c>
      <c r="AW23" s="2">
        <v>0</v>
      </c>
      <c r="AY23" s="2">
        <v>0</v>
      </c>
      <c r="BC23" s="2" t="s">
        <v>314</v>
      </c>
      <c r="BD23" s="2">
        <v>0</v>
      </c>
      <c r="BE23" s="2">
        <v>0</v>
      </c>
      <c r="BG23" s="2" t="s">
        <v>363</v>
      </c>
      <c r="BH23" s="2">
        <v>520</v>
      </c>
      <c r="BI23" s="2">
        <v>1</v>
      </c>
      <c r="BJ23" s="2" t="s">
        <v>368</v>
      </c>
      <c r="BK23" s="2">
        <v>0</v>
      </c>
      <c r="BL23" s="2">
        <v>4</v>
      </c>
      <c r="BM23" s="2">
        <v>1</v>
      </c>
      <c r="BN23" s="2">
        <v>2</v>
      </c>
      <c r="BO23" s="2">
        <v>0</v>
      </c>
      <c r="BT23" s="2">
        <v>0</v>
      </c>
    </row>
    <row r="24" spans="1:77" x14ac:dyDescent="0.2">
      <c r="A24" s="2" t="s">
        <v>269</v>
      </c>
      <c r="B24" s="2">
        <v>4</v>
      </c>
      <c r="C24" s="2" t="str" cm="1">
        <f t="array" ref="C24">_xlfn.IFS(B24&lt;3, "1", B24&lt;7, "2", B24&lt;12, "3", B24&lt;18, "4", B24&gt;18, "Fehler")</f>
        <v>2</v>
      </c>
      <c r="D24" s="4">
        <f>IF(COUNTIF($C$2:C24,C24),COUNTIF($C$2:C24,C24),"")</f>
        <v>7</v>
      </c>
      <c r="E24" s="2">
        <v>1</v>
      </c>
      <c r="F24" s="2">
        <v>108</v>
      </c>
      <c r="G24" s="2">
        <v>17</v>
      </c>
      <c r="H24" s="2">
        <v>1</v>
      </c>
      <c r="I24" s="2">
        <v>0</v>
      </c>
      <c r="J24" s="2" t="s">
        <v>334</v>
      </c>
      <c r="O24" s="2">
        <v>3</v>
      </c>
      <c r="P24" s="2">
        <v>48</v>
      </c>
      <c r="Q24" s="2">
        <v>1</v>
      </c>
      <c r="R24" s="2">
        <v>1</v>
      </c>
      <c r="S24" s="2">
        <v>2</v>
      </c>
      <c r="T24" s="2">
        <v>2</v>
      </c>
      <c r="U24" s="2">
        <v>2</v>
      </c>
      <c r="V24" s="2">
        <v>2</v>
      </c>
      <c r="W24" s="2" t="str">
        <f t="shared" si="0"/>
        <v>0</v>
      </c>
      <c r="X24" s="2">
        <v>1</v>
      </c>
      <c r="Y24" s="2">
        <v>1</v>
      </c>
      <c r="Z24" s="2">
        <v>1</v>
      </c>
      <c r="AA24" s="2">
        <v>0</v>
      </c>
      <c r="AD24" s="2">
        <v>22</v>
      </c>
      <c r="AE24" s="2">
        <v>22</v>
      </c>
      <c r="AF24" s="2">
        <v>30</v>
      </c>
      <c r="AG24" s="2">
        <v>0</v>
      </c>
      <c r="AH24" s="2">
        <v>0</v>
      </c>
      <c r="AI24" s="2">
        <v>130</v>
      </c>
      <c r="AJ24" s="2">
        <v>4200</v>
      </c>
      <c r="AK24" s="5">
        <f t="shared" si="1"/>
        <v>0</v>
      </c>
      <c r="AL24" s="5">
        <f t="shared" si="2"/>
        <v>0</v>
      </c>
      <c r="AM24" s="2">
        <v>2</v>
      </c>
      <c r="AN24" s="2" t="s">
        <v>692</v>
      </c>
      <c r="AO24" s="2">
        <v>1</v>
      </c>
      <c r="AP24" s="2">
        <v>1</v>
      </c>
      <c r="AQ24" s="2" t="s">
        <v>709</v>
      </c>
      <c r="AR24" s="2">
        <v>1</v>
      </c>
      <c r="AT24" s="2">
        <v>0</v>
      </c>
      <c r="AU24" s="2">
        <v>0</v>
      </c>
      <c r="AW24" s="2">
        <v>0</v>
      </c>
      <c r="AY24" s="2">
        <v>0</v>
      </c>
      <c r="BA24" s="2" t="s">
        <v>335</v>
      </c>
      <c r="BC24" s="2" t="s">
        <v>21</v>
      </c>
      <c r="BD24" s="2">
        <v>0</v>
      </c>
      <c r="BE24" s="2">
        <v>0</v>
      </c>
      <c r="BG24" s="2" t="s">
        <v>288</v>
      </c>
      <c r="BI24" s="2">
        <v>1</v>
      </c>
      <c r="BK24" s="2">
        <v>0</v>
      </c>
      <c r="BL24" s="2">
        <v>5</v>
      </c>
      <c r="BM24" s="2">
        <v>0</v>
      </c>
      <c r="BN24" s="2">
        <v>0</v>
      </c>
      <c r="BO24" s="2">
        <v>0</v>
      </c>
      <c r="BT24" s="2">
        <v>0</v>
      </c>
      <c r="BY24" s="2" t="s">
        <v>336</v>
      </c>
    </row>
    <row r="25" spans="1:77" x14ac:dyDescent="0.2">
      <c r="A25" s="2" t="s">
        <v>269</v>
      </c>
      <c r="B25" s="2">
        <v>1</v>
      </c>
      <c r="C25" s="2" t="str" cm="1">
        <f t="array" ref="C25">_xlfn.IFS(B25&lt;3, "1", B25&lt;7, "2", B25&lt;12, "3", B25&lt;18, "4", B25&gt;18, "Fehler")</f>
        <v>1</v>
      </c>
      <c r="D25" s="4">
        <f>IF(COUNTIF($C$2:C25,C25),COUNTIF($C$2:C25,C25),"")</f>
        <v>10</v>
      </c>
      <c r="E25" s="2">
        <v>1</v>
      </c>
      <c r="F25" s="2">
        <v>82</v>
      </c>
      <c r="G25" s="2">
        <v>12</v>
      </c>
      <c r="H25" s="2">
        <v>1</v>
      </c>
      <c r="I25" s="2">
        <v>0</v>
      </c>
      <c r="J25" s="2" t="s">
        <v>372</v>
      </c>
      <c r="O25" s="2">
        <v>83</v>
      </c>
      <c r="P25" s="2">
        <v>155</v>
      </c>
      <c r="Q25" s="2">
        <v>2</v>
      </c>
      <c r="R25" s="2">
        <v>1</v>
      </c>
      <c r="S25" s="2">
        <v>2</v>
      </c>
      <c r="T25" s="2">
        <v>2</v>
      </c>
      <c r="U25" s="2">
        <v>2</v>
      </c>
      <c r="V25" s="2">
        <v>2</v>
      </c>
      <c r="W25" s="2" t="str">
        <f t="shared" si="0"/>
        <v>0</v>
      </c>
      <c r="X25" s="2">
        <v>0</v>
      </c>
      <c r="Y25" s="2">
        <v>0</v>
      </c>
      <c r="Z25" s="2">
        <v>1</v>
      </c>
      <c r="AA25" s="2">
        <v>1</v>
      </c>
      <c r="AB25" s="2">
        <v>2</v>
      </c>
      <c r="AC25" s="2">
        <v>1</v>
      </c>
      <c r="AD25" s="2">
        <v>133</v>
      </c>
      <c r="AF25" s="2">
        <v>22</v>
      </c>
      <c r="AG25" s="2">
        <v>0</v>
      </c>
      <c r="AH25" s="2">
        <v>0</v>
      </c>
      <c r="AI25" s="2">
        <v>70</v>
      </c>
      <c r="AJ25" s="2">
        <v>2000</v>
      </c>
      <c r="AK25" s="5">
        <f t="shared" si="1"/>
        <v>0</v>
      </c>
      <c r="AL25" s="5">
        <f t="shared" si="2"/>
        <v>0</v>
      </c>
      <c r="AM25" s="2">
        <v>3</v>
      </c>
      <c r="AN25" s="2">
        <v>40</v>
      </c>
      <c r="AO25" s="2">
        <v>1</v>
      </c>
      <c r="AP25" s="2">
        <v>1</v>
      </c>
      <c r="AQ25" s="2">
        <v>200</v>
      </c>
      <c r="AR25" s="2">
        <v>1</v>
      </c>
      <c r="AT25" s="2">
        <v>0</v>
      </c>
      <c r="AU25" s="2">
        <v>0</v>
      </c>
      <c r="AW25" s="2">
        <v>0</v>
      </c>
      <c r="AY25" s="2">
        <v>0</v>
      </c>
      <c r="BA25" s="2" t="s">
        <v>373</v>
      </c>
      <c r="BC25" s="2" t="s">
        <v>366</v>
      </c>
      <c r="BD25" s="2">
        <v>0</v>
      </c>
      <c r="BE25" s="2">
        <v>0</v>
      </c>
      <c r="BG25" s="2" t="s">
        <v>374</v>
      </c>
      <c r="BH25" s="2">
        <v>423</v>
      </c>
      <c r="BI25" s="2">
        <v>2</v>
      </c>
      <c r="BJ25" s="2" t="s">
        <v>375</v>
      </c>
      <c r="BK25" s="2">
        <v>0</v>
      </c>
      <c r="BL25" s="2">
        <v>5</v>
      </c>
      <c r="BM25" s="2">
        <v>1</v>
      </c>
      <c r="BN25" s="2">
        <v>2</v>
      </c>
      <c r="BO25" s="2">
        <v>0</v>
      </c>
      <c r="BT25" s="2">
        <v>0</v>
      </c>
      <c r="BY25" s="2" t="s">
        <v>376</v>
      </c>
    </row>
    <row r="26" spans="1:77" x14ac:dyDescent="0.2">
      <c r="A26" s="2" t="s">
        <v>269</v>
      </c>
      <c r="B26" s="2">
        <v>0</v>
      </c>
      <c r="C26" s="2" t="str" cm="1">
        <f t="array" ref="C26">_xlfn.IFS(B26&lt;3, "1", B26&lt;7, "2", B26&lt;12, "3", B26&lt;18, "4", B26&gt;18, "Fehler")</f>
        <v>1</v>
      </c>
      <c r="D26" s="4">
        <f>IF(COUNTIF($C$2:C26,C26),COUNTIF($C$2:C26,C26),"")</f>
        <v>11</v>
      </c>
      <c r="E26" s="2">
        <v>2</v>
      </c>
      <c r="F26" s="2">
        <v>63</v>
      </c>
      <c r="G26" s="2">
        <v>5.74</v>
      </c>
      <c r="H26" s="2">
        <v>1</v>
      </c>
      <c r="I26" s="2">
        <v>0</v>
      </c>
      <c r="J26" s="2" t="s">
        <v>338</v>
      </c>
      <c r="O26" s="2">
        <v>6</v>
      </c>
      <c r="P26" s="2">
        <v>81</v>
      </c>
      <c r="Q26" s="2">
        <v>2</v>
      </c>
      <c r="R26" s="2">
        <v>1</v>
      </c>
      <c r="S26" s="2">
        <v>2</v>
      </c>
      <c r="T26" s="2">
        <v>2</v>
      </c>
      <c r="U26" s="2">
        <v>1</v>
      </c>
      <c r="V26" s="2">
        <v>1</v>
      </c>
      <c r="W26" s="2" t="str">
        <f t="shared" si="0"/>
        <v>0</v>
      </c>
      <c r="X26" s="2">
        <v>0</v>
      </c>
      <c r="Y26" s="2">
        <v>0</v>
      </c>
      <c r="Z26" s="2">
        <v>1</v>
      </c>
      <c r="AA26" s="2">
        <v>1</v>
      </c>
      <c r="AB26" s="2">
        <v>1.5</v>
      </c>
      <c r="AC26" s="2">
        <v>1</v>
      </c>
      <c r="AD26" s="2">
        <v>80</v>
      </c>
      <c r="AF26" s="2">
        <v>16</v>
      </c>
      <c r="AG26" s="2">
        <v>2</v>
      </c>
      <c r="AH26" s="2" t="s">
        <v>330</v>
      </c>
      <c r="AI26" s="2">
        <v>40</v>
      </c>
      <c r="AJ26" s="2">
        <v>1400</v>
      </c>
      <c r="AK26" s="5">
        <f t="shared" si="1"/>
        <v>0.05</v>
      </c>
      <c r="AL26" s="5"/>
      <c r="AM26" s="2">
        <v>3</v>
      </c>
      <c r="AN26" s="2" t="s">
        <v>693</v>
      </c>
      <c r="AO26" s="2">
        <v>1</v>
      </c>
      <c r="AP26" s="2">
        <v>1</v>
      </c>
      <c r="AQ26" s="2" t="s">
        <v>691</v>
      </c>
      <c r="AR26" s="2">
        <v>1</v>
      </c>
      <c r="AT26" s="2">
        <v>0</v>
      </c>
      <c r="AU26" s="2">
        <v>1</v>
      </c>
      <c r="AV26" s="2" t="s">
        <v>359</v>
      </c>
      <c r="AW26" s="2">
        <v>1</v>
      </c>
      <c r="AX26" s="2" t="s">
        <v>360</v>
      </c>
      <c r="AY26" s="2">
        <v>0</v>
      </c>
      <c r="BA26" s="2" t="s">
        <v>361</v>
      </c>
      <c r="BC26" s="2" t="s">
        <v>362</v>
      </c>
      <c r="BD26" s="2">
        <v>0</v>
      </c>
      <c r="BE26" s="2">
        <v>0</v>
      </c>
      <c r="BG26" s="2" t="s">
        <v>363</v>
      </c>
      <c r="BH26" s="2">
        <v>520</v>
      </c>
      <c r="BI26" s="2">
        <v>1</v>
      </c>
      <c r="BJ26" s="2" t="s">
        <v>364</v>
      </c>
      <c r="BK26" s="2">
        <v>0</v>
      </c>
      <c r="BL26" s="2">
        <v>4</v>
      </c>
      <c r="BM26" s="2">
        <v>1</v>
      </c>
      <c r="BN26" s="2">
        <v>2</v>
      </c>
      <c r="BO26" s="2">
        <v>0</v>
      </c>
      <c r="BT26" s="2">
        <v>0</v>
      </c>
      <c r="BY26" s="2" t="s">
        <v>365</v>
      </c>
    </row>
    <row r="27" spans="1:77" x14ac:dyDescent="0.2">
      <c r="A27" s="2" t="s">
        <v>269</v>
      </c>
      <c r="B27" s="2">
        <v>1</v>
      </c>
      <c r="C27" s="2" t="str" cm="1">
        <f t="array" ref="C27">_xlfn.IFS(B27&lt;3, "1", B27&lt;7, "2", B27&lt;12, "3", B27&lt;18, "4", B27&gt;18, "Fehler")</f>
        <v>1</v>
      </c>
      <c r="D27" s="4">
        <f>IF(COUNTIF($C$2:C27,C27),COUNTIF($C$2:C27,C27),"")</f>
        <v>12</v>
      </c>
      <c r="E27" s="2">
        <v>2</v>
      </c>
      <c r="F27" s="2">
        <v>80</v>
      </c>
      <c r="G27" s="2">
        <v>10.3</v>
      </c>
      <c r="H27" s="2">
        <v>1</v>
      </c>
      <c r="I27" s="2">
        <v>0</v>
      </c>
      <c r="J27" s="2" t="s">
        <v>339</v>
      </c>
      <c r="O27" s="2">
        <v>48</v>
      </c>
      <c r="P27" s="2">
        <v>106</v>
      </c>
      <c r="Q27" s="2">
        <v>2</v>
      </c>
      <c r="R27" s="2">
        <v>1</v>
      </c>
      <c r="S27" s="2">
        <v>2</v>
      </c>
      <c r="T27" s="2">
        <v>2</v>
      </c>
      <c r="U27" s="2">
        <v>1</v>
      </c>
      <c r="V27" s="2">
        <v>1</v>
      </c>
      <c r="W27" s="2" t="str">
        <f t="shared" si="0"/>
        <v>0</v>
      </c>
      <c r="X27" s="2">
        <v>0</v>
      </c>
      <c r="Y27" s="2">
        <v>0</v>
      </c>
      <c r="Z27" s="2">
        <v>1</v>
      </c>
      <c r="AA27" s="2">
        <v>1</v>
      </c>
      <c r="AB27" s="2" t="s">
        <v>377</v>
      </c>
      <c r="AC27" s="2">
        <v>2</v>
      </c>
      <c r="AD27" s="2">
        <v>123</v>
      </c>
      <c r="AF27" s="2">
        <v>23</v>
      </c>
      <c r="AG27" s="2">
        <v>4</v>
      </c>
      <c r="AH27" s="2">
        <v>130</v>
      </c>
      <c r="AI27" s="2">
        <v>100</v>
      </c>
      <c r="AJ27" s="2">
        <v>2100</v>
      </c>
      <c r="AK27" s="5">
        <f t="shared" si="1"/>
        <v>0.04</v>
      </c>
      <c r="AL27" s="5">
        <f t="shared" si="2"/>
        <v>6.1904761904761907E-2</v>
      </c>
      <c r="AM27" s="2">
        <v>3</v>
      </c>
      <c r="AN27" s="2" t="s">
        <v>694</v>
      </c>
      <c r="AO27" s="2">
        <v>1</v>
      </c>
      <c r="AP27" s="2">
        <v>1</v>
      </c>
      <c r="AQ27" s="2">
        <v>200</v>
      </c>
      <c r="AR27" s="2">
        <v>1</v>
      </c>
      <c r="AT27" s="2">
        <v>0</v>
      </c>
      <c r="AU27" s="2">
        <v>0</v>
      </c>
      <c r="AW27" s="2">
        <v>0</v>
      </c>
      <c r="AY27" s="2">
        <v>0</v>
      </c>
      <c r="BA27" s="2" t="s">
        <v>277</v>
      </c>
      <c r="BC27" s="2" t="s">
        <v>378</v>
      </c>
      <c r="BD27" s="2">
        <v>0</v>
      </c>
      <c r="BE27" s="2">
        <v>0</v>
      </c>
      <c r="BG27" s="2" t="s">
        <v>374</v>
      </c>
      <c r="BH27" s="2">
        <v>423</v>
      </c>
      <c r="BI27" s="2">
        <v>2</v>
      </c>
      <c r="BJ27" s="2" t="s">
        <v>375</v>
      </c>
      <c r="BK27" s="2">
        <v>0</v>
      </c>
      <c r="BL27" s="2">
        <v>5</v>
      </c>
      <c r="BM27" s="2">
        <v>1</v>
      </c>
      <c r="BN27" s="2">
        <v>2</v>
      </c>
      <c r="BO27" s="2">
        <v>0</v>
      </c>
      <c r="BT27" s="2">
        <v>0</v>
      </c>
      <c r="BY27" s="2" t="s">
        <v>379</v>
      </c>
    </row>
    <row r="28" spans="1:77" x14ac:dyDescent="0.2">
      <c r="A28" s="2" t="s">
        <v>269</v>
      </c>
      <c r="B28" s="2">
        <v>4</v>
      </c>
      <c r="C28" s="2" t="str" cm="1">
        <f t="array" ref="C28">_xlfn.IFS(B28&lt;3, "1", B28&lt;7, "2", B28&lt;12, "3", B28&lt;18, "4", B28&gt;18, "Fehler")</f>
        <v>2</v>
      </c>
      <c r="D28" s="4">
        <f>IF(COUNTIF($C$2:C28,C28),COUNTIF($C$2:C28,C28),"")</f>
        <v>8</v>
      </c>
      <c r="E28" s="2">
        <v>2</v>
      </c>
      <c r="F28" s="2">
        <v>103</v>
      </c>
      <c r="G28" s="2">
        <v>15.8</v>
      </c>
      <c r="H28" s="2">
        <v>3</v>
      </c>
      <c r="I28" s="2">
        <v>0</v>
      </c>
      <c r="J28" s="2" t="s">
        <v>342</v>
      </c>
      <c r="O28" s="2">
        <v>15</v>
      </c>
      <c r="P28" s="2">
        <v>41</v>
      </c>
      <c r="Q28" s="2">
        <v>2</v>
      </c>
      <c r="R28" s="2">
        <v>1</v>
      </c>
      <c r="S28" s="2">
        <v>1</v>
      </c>
      <c r="T28" s="2">
        <v>1</v>
      </c>
      <c r="U28" s="2">
        <v>2</v>
      </c>
      <c r="V28" s="2">
        <v>2</v>
      </c>
      <c r="W28" s="2" t="str">
        <f t="shared" si="0"/>
        <v>0</v>
      </c>
      <c r="X28" s="2">
        <v>1</v>
      </c>
      <c r="Y28" s="2">
        <v>1</v>
      </c>
      <c r="Z28" s="2">
        <v>1</v>
      </c>
      <c r="AA28" s="2">
        <v>0</v>
      </c>
      <c r="AD28" s="2">
        <v>27</v>
      </c>
      <c r="AE28" s="2">
        <v>27</v>
      </c>
      <c r="AF28" s="2">
        <v>18</v>
      </c>
      <c r="AG28" s="2">
        <v>5</v>
      </c>
      <c r="AH28" s="2">
        <v>40</v>
      </c>
      <c r="AI28" s="2">
        <v>105</v>
      </c>
      <c r="AJ28" s="2">
        <v>3400</v>
      </c>
      <c r="AK28" s="5">
        <f t="shared" si="1"/>
        <v>4.7619047619047616E-2</v>
      </c>
      <c r="AL28" s="5">
        <f t="shared" si="2"/>
        <v>1.1764705882352941E-2</v>
      </c>
      <c r="AM28" s="2">
        <v>1</v>
      </c>
      <c r="AN28" s="2">
        <v>50</v>
      </c>
      <c r="AO28" s="2">
        <v>1</v>
      </c>
      <c r="AP28" s="2">
        <v>0</v>
      </c>
      <c r="AR28" s="2">
        <v>1</v>
      </c>
      <c r="AT28" s="2">
        <v>1</v>
      </c>
      <c r="AU28" s="2">
        <v>0</v>
      </c>
      <c r="AW28" s="2">
        <v>0</v>
      </c>
      <c r="AY28" s="2">
        <v>0</v>
      </c>
      <c r="BA28" s="2" t="s">
        <v>353</v>
      </c>
      <c r="BC28" s="2" t="s">
        <v>21</v>
      </c>
      <c r="BD28" s="2">
        <v>0</v>
      </c>
      <c r="BE28" s="2">
        <v>0</v>
      </c>
      <c r="BF28" s="2" t="s">
        <v>354</v>
      </c>
      <c r="BG28" s="2" t="s">
        <v>355</v>
      </c>
      <c r="BH28" s="2">
        <v>440</v>
      </c>
      <c r="BI28" s="2">
        <v>1</v>
      </c>
      <c r="BK28" s="2">
        <v>0</v>
      </c>
      <c r="BL28" s="2">
        <v>4.5</v>
      </c>
      <c r="BM28" s="2">
        <v>0</v>
      </c>
      <c r="BN28" s="2">
        <v>2</v>
      </c>
      <c r="BO28" s="2">
        <v>0</v>
      </c>
      <c r="BT28" s="2">
        <v>0</v>
      </c>
      <c r="BY28" s="2" t="s">
        <v>356</v>
      </c>
    </row>
    <row r="29" spans="1:77" x14ac:dyDescent="0.2">
      <c r="A29" s="2" t="s">
        <v>269</v>
      </c>
      <c r="B29" s="2">
        <v>1</v>
      </c>
      <c r="C29" s="2" t="str" cm="1">
        <f t="array" ref="C29">_xlfn.IFS(B29&lt;3, "1", B29&lt;7, "2", B29&lt;12, "3", B29&lt;18, "4", B29&gt;18, "Fehler")</f>
        <v>1</v>
      </c>
      <c r="D29" s="4">
        <f>IF(COUNTIF($C$2:C29,C29),COUNTIF($C$2:C29,C29),"")</f>
        <v>13</v>
      </c>
      <c r="E29" s="2">
        <v>2</v>
      </c>
      <c r="F29" s="2">
        <v>80</v>
      </c>
      <c r="G29" s="2">
        <v>11.2</v>
      </c>
      <c r="H29" s="2">
        <v>1</v>
      </c>
      <c r="I29" s="2">
        <v>0</v>
      </c>
      <c r="J29" s="2" t="s">
        <v>380</v>
      </c>
      <c r="O29" s="2">
        <v>40</v>
      </c>
      <c r="P29" s="2">
        <v>92</v>
      </c>
      <c r="Q29" s="2">
        <v>1</v>
      </c>
      <c r="R29" s="2">
        <v>1</v>
      </c>
      <c r="S29" s="2">
        <v>2</v>
      </c>
      <c r="T29" s="2">
        <v>1</v>
      </c>
      <c r="U29" s="2">
        <v>2</v>
      </c>
      <c r="V29" s="2">
        <v>2</v>
      </c>
      <c r="W29" s="2" t="str">
        <f t="shared" si="0"/>
        <v>0</v>
      </c>
      <c r="X29" s="2">
        <v>1</v>
      </c>
      <c r="Y29" s="2">
        <v>1</v>
      </c>
      <c r="Z29" s="2">
        <v>1</v>
      </c>
      <c r="AA29" s="2">
        <v>0</v>
      </c>
      <c r="AD29" s="2">
        <v>12</v>
      </c>
      <c r="AE29" s="2">
        <v>12</v>
      </c>
      <c r="AF29" s="2">
        <v>21</v>
      </c>
      <c r="AG29" s="2">
        <v>7</v>
      </c>
      <c r="AH29" s="2">
        <v>110</v>
      </c>
      <c r="AI29" s="2">
        <v>80</v>
      </c>
      <c r="AJ29" s="2">
        <v>2300</v>
      </c>
      <c r="AK29" s="5">
        <f t="shared" si="1"/>
        <v>8.7499999999999994E-2</v>
      </c>
      <c r="AL29" s="5">
        <f t="shared" si="2"/>
        <v>4.7826086956521741E-2</v>
      </c>
      <c r="AM29" s="2">
        <v>3</v>
      </c>
      <c r="AN29" s="2">
        <v>30</v>
      </c>
      <c r="AO29" s="2">
        <v>1</v>
      </c>
      <c r="AP29" s="2">
        <v>1</v>
      </c>
      <c r="AQ29" s="2">
        <v>200</v>
      </c>
      <c r="AR29" s="2">
        <v>1</v>
      </c>
      <c r="AT29" s="2">
        <v>0</v>
      </c>
      <c r="AU29" s="2">
        <v>0</v>
      </c>
      <c r="AW29" s="2">
        <v>0</v>
      </c>
      <c r="AY29" s="2">
        <v>0</v>
      </c>
      <c r="BA29" s="2" t="s">
        <v>21</v>
      </c>
      <c r="BC29" s="2" t="s">
        <v>366</v>
      </c>
      <c r="BD29" s="2">
        <v>0</v>
      </c>
      <c r="BE29" s="2">
        <v>0</v>
      </c>
      <c r="BG29" s="2" t="s">
        <v>374</v>
      </c>
      <c r="BH29" s="2">
        <v>423</v>
      </c>
      <c r="BI29" s="2">
        <v>2</v>
      </c>
      <c r="BJ29" s="2" t="s">
        <v>375</v>
      </c>
      <c r="BK29" s="2">
        <v>0</v>
      </c>
      <c r="BL29" s="2">
        <v>5</v>
      </c>
      <c r="BM29" s="2">
        <v>1</v>
      </c>
      <c r="BN29" s="2">
        <v>2</v>
      </c>
      <c r="BO29" s="2">
        <v>0</v>
      </c>
      <c r="BT29" s="2">
        <v>0</v>
      </c>
    </row>
    <row r="30" spans="1:77" x14ac:dyDescent="0.2">
      <c r="A30" s="2" t="s">
        <v>269</v>
      </c>
      <c r="B30" s="2">
        <v>0</v>
      </c>
      <c r="C30" s="2" t="str" cm="1">
        <f t="array" ref="C30">_xlfn.IFS(B30&lt;3, "1", B30&lt;7, "2", B30&lt;12, "3", B30&lt;18, "4", B30&gt;18, "Fehler")</f>
        <v>1</v>
      </c>
      <c r="D30" s="4">
        <f>IF(COUNTIF($C$2:C30,C30),COUNTIF($C$2:C30,C30),"")</f>
        <v>14</v>
      </c>
      <c r="E30" s="2">
        <v>2</v>
      </c>
      <c r="F30" s="2">
        <v>60</v>
      </c>
      <c r="G30" s="2">
        <v>5.2</v>
      </c>
      <c r="H30" s="2">
        <v>3</v>
      </c>
      <c r="I30" s="2">
        <v>0</v>
      </c>
      <c r="J30" s="2" t="s">
        <v>357</v>
      </c>
      <c r="O30" s="2">
        <v>102</v>
      </c>
      <c r="P30" s="2">
        <v>192</v>
      </c>
      <c r="Q30" s="2">
        <v>2</v>
      </c>
      <c r="R30" s="2">
        <v>1</v>
      </c>
      <c r="S30" s="2">
        <v>2</v>
      </c>
      <c r="T30" s="2">
        <v>2</v>
      </c>
      <c r="U30" s="2">
        <v>1</v>
      </c>
      <c r="V30" s="2">
        <v>1</v>
      </c>
      <c r="W30" s="2" t="str">
        <f t="shared" si="0"/>
        <v>0</v>
      </c>
      <c r="X30" s="2">
        <v>0</v>
      </c>
      <c r="Y30" s="2">
        <v>0</v>
      </c>
      <c r="Z30" s="2">
        <v>1</v>
      </c>
      <c r="AA30" s="2">
        <v>1</v>
      </c>
      <c r="AB30" s="2">
        <v>1.5</v>
      </c>
      <c r="AC30" s="2">
        <v>1</v>
      </c>
      <c r="AD30" s="2">
        <v>82</v>
      </c>
      <c r="AF30" s="2">
        <v>35</v>
      </c>
      <c r="AG30" s="2">
        <v>10</v>
      </c>
      <c r="AH30" s="2">
        <v>190</v>
      </c>
      <c r="AI30" s="2">
        <v>40</v>
      </c>
      <c r="AJ30" s="2">
        <v>1200</v>
      </c>
      <c r="AK30" s="5">
        <f t="shared" si="1"/>
        <v>0.25</v>
      </c>
      <c r="AL30" s="5">
        <f t="shared" si="2"/>
        <v>0.15833333333333333</v>
      </c>
      <c r="AM30" s="2">
        <v>2</v>
      </c>
      <c r="AN30" s="2" t="s">
        <v>695</v>
      </c>
      <c r="AO30" s="2">
        <v>1</v>
      </c>
      <c r="AP30" s="2">
        <v>1</v>
      </c>
      <c r="AQ30" s="2" t="s">
        <v>729</v>
      </c>
      <c r="AR30" s="2">
        <v>1</v>
      </c>
      <c r="AT30" s="2">
        <v>0</v>
      </c>
      <c r="AU30" s="2">
        <v>0</v>
      </c>
      <c r="AW30" s="2">
        <v>0</v>
      </c>
      <c r="AY30" s="2">
        <v>0</v>
      </c>
      <c r="BC30" s="2" t="s">
        <v>366</v>
      </c>
      <c r="BD30" s="2">
        <v>0</v>
      </c>
      <c r="BE30" s="2">
        <v>0</v>
      </c>
      <c r="BG30" s="2" t="s">
        <v>363</v>
      </c>
      <c r="BH30" s="2">
        <v>520</v>
      </c>
      <c r="BI30" s="2">
        <v>1</v>
      </c>
      <c r="BJ30" s="2" t="s">
        <v>367</v>
      </c>
      <c r="BK30" s="2">
        <v>0</v>
      </c>
      <c r="BL30" s="2">
        <v>4</v>
      </c>
      <c r="BM30" s="2">
        <v>4</v>
      </c>
      <c r="BN30" s="2">
        <v>2</v>
      </c>
      <c r="BO30" s="2">
        <v>0</v>
      </c>
      <c r="BT30" s="2">
        <v>0</v>
      </c>
      <c r="BY30" s="2" t="s">
        <v>365</v>
      </c>
    </row>
    <row r="31" spans="1:77" x14ac:dyDescent="0.2">
      <c r="A31" s="2" t="s">
        <v>269</v>
      </c>
      <c r="B31" s="2">
        <v>1</v>
      </c>
      <c r="C31" s="2" t="str" cm="1">
        <f t="array" ref="C31">_xlfn.IFS(B31&lt;3, "1", B31&lt;7, "2", B31&lt;12, "3", B31&lt;18, "4", B31&gt;18, "Fehler")</f>
        <v>1</v>
      </c>
      <c r="D31" s="4">
        <f>IF(COUNTIF($C$2:C31,C31),COUNTIF($C$2:C31,C31),"")</f>
        <v>15</v>
      </c>
      <c r="E31" s="2">
        <v>2</v>
      </c>
      <c r="F31" s="2">
        <v>90</v>
      </c>
      <c r="G31" s="2">
        <v>19</v>
      </c>
      <c r="H31" s="2">
        <v>1</v>
      </c>
      <c r="I31" s="2">
        <v>0</v>
      </c>
      <c r="J31" s="2" t="s">
        <v>358</v>
      </c>
      <c r="O31" s="2">
        <v>114</v>
      </c>
      <c r="P31" s="2">
        <v>182</v>
      </c>
      <c r="Q31" s="2">
        <v>2</v>
      </c>
      <c r="R31" s="2">
        <v>1</v>
      </c>
      <c r="S31" s="2">
        <v>2</v>
      </c>
      <c r="T31" s="2">
        <v>1</v>
      </c>
      <c r="U31" s="2">
        <v>2</v>
      </c>
      <c r="V31" s="2">
        <v>2</v>
      </c>
      <c r="W31" s="2" t="str">
        <f t="shared" si="0"/>
        <v>0</v>
      </c>
      <c r="X31" s="2">
        <v>1</v>
      </c>
      <c r="Y31" s="2">
        <v>1</v>
      </c>
      <c r="Z31" s="2">
        <v>1</v>
      </c>
      <c r="AA31" s="2">
        <v>0</v>
      </c>
      <c r="AD31" s="2">
        <v>24</v>
      </c>
      <c r="AE31" s="2">
        <v>24</v>
      </c>
      <c r="AF31" s="2">
        <v>21</v>
      </c>
      <c r="AG31" s="2">
        <v>4</v>
      </c>
      <c r="AH31" s="2">
        <v>70</v>
      </c>
      <c r="AI31" s="2">
        <v>114</v>
      </c>
      <c r="AJ31" s="2">
        <v>3500</v>
      </c>
      <c r="AK31" s="5">
        <f t="shared" si="1"/>
        <v>3.5087719298245612E-2</v>
      </c>
      <c r="AL31" s="5">
        <f t="shared" si="2"/>
        <v>0.02</v>
      </c>
      <c r="AM31" s="2">
        <v>4</v>
      </c>
      <c r="AO31" s="2">
        <v>1</v>
      </c>
      <c r="AP31" s="2">
        <v>1</v>
      </c>
      <c r="AQ31" s="2">
        <v>200</v>
      </c>
      <c r="AR31" s="2">
        <v>1</v>
      </c>
      <c r="AT31" s="2">
        <v>0</v>
      </c>
      <c r="AU31" s="2">
        <v>1</v>
      </c>
      <c r="AV31" s="2" t="s">
        <v>384</v>
      </c>
      <c r="AW31" s="2">
        <v>1</v>
      </c>
      <c r="AX31" s="2" t="s">
        <v>385</v>
      </c>
      <c r="AY31" s="2">
        <v>0</v>
      </c>
      <c r="BA31" s="2" t="s">
        <v>386</v>
      </c>
      <c r="BC31" s="2" t="s">
        <v>387</v>
      </c>
      <c r="BD31" s="2" t="s">
        <v>388</v>
      </c>
      <c r="BE31" s="2">
        <v>0</v>
      </c>
      <c r="BG31" s="2" t="s">
        <v>296</v>
      </c>
      <c r="BH31" s="2">
        <v>385</v>
      </c>
      <c r="BI31" s="2">
        <v>2</v>
      </c>
      <c r="BJ31" s="2" t="s">
        <v>375</v>
      </c>
      <c r="BK31" s="2">
        <v>0</v>
      </c>
      <c r="BL31" s="2">
        <v>4</v>
      </c>
      <c r="BM31" s="2">
        <v>1</v>
      </c>
      <c r="BN31" s="2">
        <v>2</v>
      </c>
      <c r="BO31" s="2">
        <v>0</v>
      </c>
      <c r="BT31" s="2">
        <v>0</v>
      </c>
    </row>
    <row r="32" spans="1:77" x14ac:dyDescent="0.2">
      <c r="A32" s="2" t="s">
        <v>269</v>
      </c>
      <c r="B32" s="2">
        <v>2</v>
      </c>
      <c r="C32" s="2" t="str" cm="1">
        <f t="array" ref="C32">_xlfn.IFS(B32&lt;3, "1", B32&lt;7, "2", B32&lt;12, "3", B32&lt;18, "4", B32&gt;18, "Fehler")</f>
        <v>1</v>
      </c>
      <c r="D32" s="4">
        <f>IF(COUNTIF($C$2:C32,C32),COUNTIF($C$2:C32,C32),"")</f>
        <v>16</v>
      </c>
      <c r="E32" s="2">
        <v>1</v>
      </c>
      <c r="F32" s="2">
        <v>100</v>
      </c>
      <c r="G32" s="2">
        <v>14.4</v>
      </c>
      <c r="H32" s="2">
        <v>2</v>
      </c>
      <c r="I32" s="2">
        <v>0</v>
      </c>
      <c r="J32" s="2" t="s">
        <v>525</v>
      </c>
      <c r="K32" s="13">
        <v>0.40069444444444446</v>
      </c>
      <c r="L32" s="13">
        <v>0.44513888888888892</v>
      </c>
      <c r="M32" s="13">
        <v>0.42569444444444443</v>
      </c>
      <c r="N32" s="13">
        <v>0.43541666666666662</v>
      </c>
      <c r="O32" s="2">
        <f>(N32-M32)*1440</f>
        <v>13.99999999999995</v>
      </c>
      <c r="P32" s="2">
        <f>(L32-K32)*1440</f>
        <v>64.000000000000014</v>
      </c>
      <c r="Q32" s="2">
        <v>1</v>
      </c>
      <c r="R32" s="2">
        <v>1</v>
      </c>
      <c r="S32" s="2">
        <v>2</v>
      </c>
      <c r="T32" s="2">
        <v>1</v>
      </c>
      <c r="U32" s="2">
        <v>2</v>
      </c>
      <c r="V32" s="2">
        <v>2</v>
      </c>
      <c r="W32" s="2" t="str">
        <f t="shared" si="0"/>
        <v>0</v>
      </c>
      <c r="X32" s="2">
        <v>1</v>
      </c>
      <c r="Y32" s="2">
        <v>1</v>
      </c>
      <c r="Z32" s="2">
        <v>1</v>
      </c>
      <c r="AA32" s="2">
        <v>0</v>
      </c>
      <c r="AD32" s="2">
        <v>32</v>
      </c>
      <c r="AE32" s="2">
        <v>32</v>
      </c>
      <c r="AF32" s="2">
        <v>30</v>
      </c>
      <c r="AG32" s="2">
        <v>3</v>
      </c>
      <c r="AH32" s="2">
        <v>0</v>
      </c>
      <c r="AI32" s="2">
        <v>126</v>
      </c>
      <c r="AJ32" s="2">
        <v>3300</v>
      </c>
      <c r="AK32" s="5">
        <f t="shared" si="1"/>
        <v>2.3809523809523808E-2</v>
      </c>
      <c r="AL32" s="5">
        <f t="shared" si="2"/>
        <v>0</v>
      </c>
      <c r="AM32" s="2">
        <v>4</v>
      </c>
      <c r="AO32" s="2">
        <v>1</v>
      </c>
      <c r="AP32" s="2">
        <v>1</v>
      </c>
      <c r="AQ32" s="2">
        <v>100</v>
      </c>
      <c r="AR32" s="2">
        <v>1</v>
      </c>
      <c r="AT32" s="2">
        <v>1</v>
      </c>
      <c r="AU32" s="2">
        <v>0</v>
      </c>
      <c r="AW32" s="2">
        <v>1</v>
      </c>
      <c r="AX32" s="2" t="s">
        <v>526</v>
      </c>
      <c r="AY32" s="2">
        <v>0</v>
      </c>
      <c r="BA32" s="2" t="s">
        <v>527</v>
      </c>
      <c r="BC32" s="2" t="s">
        <v>335</v>
      </c>
      <c r="BD32" s="2">
        <v>1</v>
      </c>
      <c r="BE32" s="2">
        <v>0</v>
      </c>
      <c r="BG32" s="2" t="s">
        <v>528</v>
      </c>
      <c r="BH32" s="2">
        <v>450</v>
      </c>
      <c r="BI32" s="2">
        <v>2</v>
      </c>
      <c r="BJ32" s="2" t="s">
        <v>529</v>
      </c>
      <c r="BK32" s="2">
        <v>0</v>
      </c>
      <c r="BL32" s="2">
        <v>4.5</v>
      </c>
      <c r="BM32" s="2">
        <v>2</v>
      </c>
      <c r="BN32" s="2">
        <v>2</v>
      </c>
      <c r="BO32" s="2">
        <v>0</v>
      </c>
      <c r="BT32" s="2">
        <v>0</v>
      </c>
      <c r="BY32" s="2" t="s">
        <v>530</v>
      </c>
    </row>
    <row r="33" spans="1:78" x14ac:dyDescent="0.2">
      <c r="A33" s="2" t="s">
        <v>269</v>
      </c>
      <c r="B33" s="2">
        <v>12</v>
      </c>
      <c r="C33" s="2" t="str" cm="1">
        <f t="array" ref="C33">_xlfn.IFS(B33&lt;3, "1", B33&lt;7, "2", B33&lt;12, "3", B33&lt;18, "4", B33&gt;18, "Fehler")</f>
        <v>4</v>
      </c>
      <c r="D33" s="4">
        <f>IF(COUNTIF($C$2:C33,C33),COUNTIF($C$2:C33,C33),"")</f>
        <v>4</v>
      </c>
      <c r="E33" s="2">
        <v>2</v>
      </c>
      <c r="F33" s="2">
        <v>144</v>
      </c>
      <c r="G33" s="2">
        <v>33.5</v>
      </c>
      <c r="H33" s="2">
        <v>2</v>
      </c>
      <c r="I33" s="2">
        <v>0</v>
      </c>
      <c r="J33" s="2" t="s">
        <v>369</v>
      </c>
      <c r="O33" s="2">
        <v>11</v>
      </c>
      <c r="P33" s="2">
        <v>49</v>
      </c>
      <c r="Q33" s="2">
        <v>1</v>
      </c>
      <c r="R33" s="2">
        <v>1</v>
      </c>
      <c r="S33" s="2">
        <v>1</v>
      </c>
      <c r="T33" s="2">
        <v>1</v>
      </c>
      <c r="U33" s="2">
        <v>3</v>
      </c>
      <c r="V33" s="2">
        <v>3</v>
      </c>
      <c r="W33" s="2" t="str">
        <f t="shared" si="0"/>
        <v>0</v>
      </c>
      <c r="X33" s="2">
        <v>1</v>
      </c>
      <c r="Y33" s="2">
        <v>1</v>
      </c>
      <c r="Z33" s="2">
        <v>1</v>
      </c>
      <c r="AA33" s="2">
        <v>0</v>
      </c>
      <c r="AD33" s="2">
        <v>32</v>
      </c>
      <c r="AE33" s="2">
        <v>32</v>
      </c>
      <c r="AF33" s="2">
        <v>20</v>
      </c>
      <c r="AG33" s="2">
        <v>37</v>
      </c>
      <c r="AH33" s="2">
        <v>610</v>
      </c>
      <c r="AI33" s="2">
        <v>275</v>
      </c>
      <c r="AJ33" s="2">
        <v>4500</v>
      </c>
      <c r="AK33" s="5">
        <f t="shared" si="1"/>
        <v>0.13454545454545455</v>
      </c>
      <c r="AL33" s="5">
        <f t="shared" si="2"/>
        <v>0.13555555555555557</v>
      </c>
      <c r="AM33" s="2">
        <v>1</v>
      </c>
      <c r="AN33" s="2">
        <v>150</v>
      </c>
      <c r="AO33" s="2">
        <v>1</v>
      </c>
      <c r="AP33" s="2">
        <v>1</v>
      </c>
      <c r="AQ33" s="2">
        <v>300</v>
      </c>
      <c r="AR33" s="2">
        <v>1</v>
      </c>
      <c r="AT33" s="2">
        <v>0</v>
      </c>
      <c r="AU33" s="2">
        <v>0</v>
      </c>
      <c r="AW33" s="2">
        <v>0</v>
      </c>
      <c r="AY33" s="2">
        <v>0</v>
      </c>
      <c r="BA33" s="2" t="s">
        <v>398</v>
      </c>
      <c r="BC33" s="2" t="s">
        <v>21</v>
      </c>
      <c r="BD33" s="2">
        <v>0</v>
      </c>
      <c r="BE33" s="2">
        <v>0</v>
      </c>
      <c r="BG33" s="2" t="s">
        <v>399</v>
      </c>
      <c r="BH33" s="2">
        <v>338</v>
      </c>
      <c r="BI33" s="2">
        <v>1</v>
      </c>
      <c r="BJ33" s="2" t="s">
        <v>400</v>
      </c>
      <c r="BK33" s="2">
        <v>0</v>
      </c>
      <c r="BL33" s="2">
        <v>5</v>
      </c>
      <c r="BM33" s="2">
        <v>0</v>
      </c>
      <c r="BN33" s="2">
        <v>2</v>
      </c>
      <c r="BO33" s="2">
        <v>0</v>
      </c>
      <c r="BT33" s="2">
        <v>0</v>
      </c>
    </row>
    <row r="34" spans="1:78" x14ac:dyDescent="0.2">
      <c r="A34" s="2" t="s">
        <v>269</v>
      </c>
      <c r="B34" s="2">
        <v>1</v>
      </c>
      <c r="C34" s="2" t="str" cm="1">
        <f t="array" ref="C34">_xlfn.IFS(B34&lt;3, "1", B34&lt;7, "2", B34&lt;12, "3", B34&lt;18, "4", B34&gt;18, "Fehler")</f>
        <v>1</v>
      </c>
      <c r="D34" s="4">
        <f>IF(COUNTIF($C$2:C34,C34),COUNTIF($C$2:C34,C34),"")</f>
        <v>17</v>
      </c>
      <c r="E34" s="2">
        <v>2</v>
      </c>
      <c r="F34" s="2">
        <v>80</v>
      </c>
      <c r="G34" s="2">
        <v>11</v>
      </c>
      <c r="H34" s="2">
        <v>1</v>
      </c>
      <c r="I34" s="2">
        <v>0</v>
      </c>
      <c r="J34" s="2" t="s">
        <v>370</v>
      </c>
      <c r="O34" s="2">
        <v>22</v>
      </c>
      <c r="P34" s="2">
        <v>47</v>
      </c>
      <c r="Q34" s="2">
        <v>1</v>
      </c>
      <c r="R34" s="2">
        <v>1</v>
      </c>
      <c r="S34" s="2">
        <v>1</v>
      </c>
      <c r="T34" s="2">
        <v>1</v>
      </c>
      <c r="U34" s="2">
        <v>2</v>
      </c>
      <c r="V34" s="2">
        <v>2</v>
      </c>
      <c r="W34" s="2" t="str">
        <f t="shared" si="0"/>
        <v>0</v>
      </c>
      <c r="X34" s="2">
        <v>1</v>
      </c>
      <c r="Y34" s="2">
        <v>1</v>
      </c>
      <c r="Z34" s="2">
        <v>1</v>
      </c>
      <c r="AA34" s="2">
        <v>0</v>
      </c>
      <c r="AD34" s="2">
        <v>20</v>
      </c>
      <c r="AE34" s="2">
        <v>20</v>
      </c>
      <c r="AF34" s="2">
        <v>21</v>
      </c>
      <c r="AG34" s="2">
        <v>0</v>
      </c>
      <c r="AH34" s="2">
        <v>0</v>
      </c>
      <c r="AI34" s="2">
        <v>79</v>
      </c>
      <c r="AJ34" s="2">
        <v>3200</v>
      </c>
      <c r="AK34" s="5">
        <f t="shared" si="1"/>
        <v>0</v>
      </c>
      <c r="AL34" s="5">
        <f t="shared" si="2"/>
        <v>0</v>
      </c>
      <c r="AM34" s="2">
        <v>1</v>
      </c>
      <c r="AN34" s="2" t="s">
        <v>696</v>
      </c>
      <c r="AO34" s="2">
        <v>1</v>
      </c>
      <c r="AP34" s="2">
        <v>1</v>
      </c>
      <c r="AQ34" s="2">
        <v>100</v>
      </c>
      <c r="AR34" s="2">
        <v>1</v>
      </c>
      <c r="AT34" s="2">
        <v>0</v>
      </c>
      <c r="AU34" s="2">
        <v>0</v>
      </c>
      <c r="AW34" s="2">
        <v>0</v>
      </c>
      <c r="AY34" s="2">
        <v>0</v>
      </c>
      <c r="BA34" s="2" t="s">
        <v>401</v>
      </c>
      <c r="BC34" s="2" t="s">
        <v>21</v>
      </c>
      <c r="BD34" s="2">
        <v>0</v>
      </c>
      <c r="BE34" s="2">
        <v>0</v>
      </c>
      <c r="BG34" s="2" t="s">
        <v>402</v>
      </c>
      <c r="BH34" s="2">
        <v>537</v>
      </c>
      <c r="BI34" s="2">
        <v>1</v>
      </c>
      <c r="BJ34" s="2" t="s">
        <v>375</v>
      </c>
      <c r="BK34" s="2">
        <v>0</v>
      </c>
      <c r="BL34" s="2">
        <v>5</v>
      </c>
      <c r="BM34" s="2">
        <v>0</v>
      </c>
      <c r="BN34" s="2">
        <v>0</v>
      </c>
      <c r="BO34" s="2">
        <v>0</v>
      </c>
      <c r="BT34" s="2">
        <v>0</v>
      </c>
      <c r="BY34" s="2" t="s">
        <v>390</v>
      </c>
    </row>
    <row r="35" spans="1:78" x14ac:dyDescent="0.2">
      <c r="A35" s="2" t="s">
        <v>270</v>
      </c>
      <c r="B35" s="2">
        <v>5</v>
      </c>
      <c r="C35" s="2" t="str" cm="1">
        <f t="array" ref="C35">_xlfn.IFS(B35&lt;3, "1", B35&lt;7, "2", B35&lt;12, "3", B35&lt;18, "4", B35&gt;18, "Fehler")</f>
        <v>2</v>
      </c>
      <c r="D35" s="4">
        <f>IF(COUNTIF($C$2:C35,C35),COUNTIF($C$2:C35,C35),"")</f>
        <v>9</v>
      </c>
      <c r="E35" s="2">
        <v>2</v>
      </c>
      <c r="G35" s="2">
        <v>20</v>
      </c>
      <c r="J35" s="2" t="s">
        <v>177</v>
      </c>
      <c r="W35" s="2" t="str">
        <f t="shared" si="0"/>
        <v>0</v>
      </c>
      <c r="AK35" s="5" t="e">
        <f t="shared" si="1"/>
        <v>#DIV/0!</v>
      </c>
      <c r="AL35" s="5" t="e">
        <f t="shared" si="2"/>
        <v>#DIV/0!</v>
      </c>
      <c r="BY35" s="2" t="s">
        <v>371</v>
      </c>
    </row>
    <row r="36" spans="1:78" x14ac:dyDescent="0.2">
      <c r="A36" s="2" t="s">
        <v>269</v>
      </c>
      <c r="B36" s="2">
        <v>2</v>
      </c>
      <c r="C36" s="2" t="str" cm="1">
        <f t="array" ref="C36">_xlfn.IFS(B36&lt;3, "1", B36&lt;7, "2", B36&lt;12, "3", B36&lt;18, "4", B36&gt;18, "Fehler")</f>
        <v>1</v>
      </c>
      <c r="D36" s="4">
        <f>IF(COUNTIF($C$2:C36,C36),COUNTIF($C$2:C36,C36),"")</f>
        <v>18</v>
      </c>
      <c r="E36" s="2">
        <v>2</v>
      </c>
      <c r="F36" s="2">
        <v>86</v>
      </c>
      <c r="G36" s="2">
        <v>11.2</v>
      </c>
      <c r="H36" s="2">
        <v>2</v>
      </c>
      <c r="I36" s="2">
        <v>0</v>
      </c>
      <c r="J36" s="2" t="s">
        <v>342</v>
      </c>
      <c r="O36" s="2">
        <v>6</v>
      </c>
      <c r="P36" s="2">
        <v>34</v>
      </c>
      <c r="Q36" s="2">
        <v>1</v>
      </c>
      <c r="R36" s="2">
        <v>1</v>
      </c>
      <c r="S36" s="2">
        <v>1</v>
      </c>
      <c r="T36" s="2">
        <v>2</v>
      </c>
      <c r="U36" s="2">
        <v>1</v>
      </c>
      <c r="V36" s="2">
        <v>2</v>
      </c>
      <c r="W36" s="2" t="str">
        <f t="shared" si="0"/>
        <v>1</v>
      </c>
      <c r="X36" s="2">
        <v>1</v>
      </c>
      <c r="Y36" s="2">
        <v>0</v>
      </c>
      <c r="Z36" s="2">
        <v>2</v>
      </c>
      <c r="AA36" s="2">
        <v>0</v>
      </c>
      <c r="AD36" s="2">
        <v>64</v>
      </c>
      <c r="AE36" s="2">
        <v>64</v>
      </c>
      <c r="AF36" s="2">
        <v>35</v>
      </c>
      <c r="AG36" s="2">
        <v>0</v>
      </c>
      <c r="AH36" s="2">
        <v>0</v>
      </c>
      <c r="AI36" s="2">
        <v>126</v>
      </c>
      <c r="AJ36" s="2">
        <v>2700</v>
      </c>
      <c r="AK36" s="5">
        <f t="shared" si="1"/>
        <v>0</v>
      </c>
      <c r="AL36" s="5">
        <f t="shared" si="2"/>
        <v>0</v>
      </c>
      <c r="AM36" s="2">
        <v>1</v>
      </c>
      <c r="AN36" s="2" t="s">
        <v>697</v>
      </c>
      <c r="AO36" s="2">
        <v>1</v>
      </c>
      <c r="AP36" s="2">
        <v>1</v>
      </c>
      <c r="AQ36" s="2">
        <v>200</v>
      </c>
      <c r="AR36" s="2">
        <v>1</v>
      </c>
      <c r="AT36" s="2">
        <v>1</v>
      </c>
      <c r="AU36" s="2">
        <v>0</v>
      </c>
      <c r="AW36" s="2">
        <v>0</v>
      </c>
      <c r="AY36" s="2">
        <v>0</v>
      </c>
      <c r="BA36" s="2" t="s">
        <v>277</v>
      </c>
      <c r="BC36" s="2" t="s">
        <v>381</v>
      </c>
      <c r="BD36" s="2">
        <v>0</v>
      </c>
      <c r="BE36" s="2">
        <v>0</v>
      </c>
      <c r="BG36" s="2" t="s">
        <v>300</v>
      </c>
      <c r="BH36" s="2">
        <v>489</v>
      </c>
      <c r="BI36" s="2">
        <v>2</v>
      </c>
      <c r="BJ36" s="2" t="s">
        <v>382</v>
      </c>
      <c r="BK36" s="2">
        <v>0</v>
      </c>
      <c r="BL36" s="2">
        <v>6</v>
      </c>
      <c r="BM36" s="2">
        <v>2</v>
      </c>
      <c r="BN36" s="2">
        <v>2</v>
      </c>
      <c r="BO36" s="2">
        <v>0</v>
      </c>
      <c r="BT36" s="2">
        <v>0</v>
      </c>
      <c r="BY36" s="2" t="s">
        <v>383</v>
      </c>
    </row>
    <row r="37" spans="1:78" x14ac:dyDescent="0.2">
      <c r="A37" s="2" t="s">
        <v>269</v>
      </c>
      <c r="B37" s="2">
        <v>1</v>
      </c>
      <c r="C37" s="2" t="str" cm="1">
        <f t="array" ref="C37">_xlfn.IFS(B37&lt;3, "1", B37&lt;7, "2", B37&lt;12, "3", B37&lt;18, "4", B37&gt;18, "Fehler")</f>
        <v>1</v>
      </c>
      <c r="D37" s="4">
        <f>IF(COUNTIF($C$2:C37,C37),COUNTIF($C$2:C37,C37),"")</f>
        <v>19</v>
      </c>
      <c r="E37" s="2">
        <v>1</v>
      </c>
      <c r="F37" s="2">
        <v>85</v>
      </c>
      <c r="G37" s="2">
        <v>12</v>
      </c>
      <c r="H37" s="2">
        <v>1</v>
      </c>
      <c r="I37" s="2">
        <v>0</v>
      </c>
      <c r="J37" s="2" t="s">
        <v>337</v>
      </c>
      <c r="O37" s="2">
        <v>78</v>
      </c>
      <c r="P37" s="2">
        <v>142</v>
      </c>
      <c r="Q37" s="2">
        <v>2</v>
      </c>
      <c r="R37" s="2">
        <v>1</v>
      </c>
      <c r="S37" s="2">
        <v>2</v>
      </c>
      <c r="T37" s="2">
        <v>1</v>
      </c>
      <c r="U37" s="2">
        <v>2</v>
      </c>
      <c r="V37" s="2">
        <v>2</v>
      </c>
      <c r="W37" s="2" t="str">
        <f t="shared" si="0"/>
        <v>0</v>
      </c>
      <c r="X37" s="2">
        <v>1</v>
      </c>
      <c r="Y37" s="2">
        <v>1</v>
      </c>
      <c r="Z37" s="2">
        <v>1</v>
      </c>
      <c r="AA37" s="2">
        <v>0</v>
      </c>
      <c r="AD37" s="2">
        <v>24</v>
      </c>
      <c r="AE37" s="2">
        <v>24</v>
      </c>
      <c r="AF37" s="2">
        <v>20</v>
      </c>
      <c r="AG37" s="2">
        <v>4</v>
      </c>
      <c r="AH37" s="2">
        <v>80</v>
      </c>
      <c r="AI37" s="2">
        <v>100</v>
      </c>
      <c r="AJ37" s="2">
        <v>2600</v>
      </c>
      <c r="AK37" s="5">
        <f t="shared" si="1"/>
        <v>0.04</v>
      </c>
      <c r="AL37" s="5">
        <f t="shared" si="2"/>
        <v>3.0769230769230771E-2</v>
      </c>
      <c r="AM37" s="2">
        <v>2</v>
      </c>
      <c r="AN37" s="2">
        <v>50</v>
      </c>
      <c r="AO37" s="2">
        <v>1</v>
      </c>
      <c r="AP37" s="2">
        <v>1</v>
      </c>
      <c r="AQ37" s="2">
        <v>200</v>
      </c>
      <c r="AR37" s="2">
        <v>1</v>
      </c>
      <c r="AT37" s="2">
        <v>0</v>
      </c>
      <c r="AU37" s="2">
        <v>0</v>
      </c>
      <c r="AW37" s="2">
        <v>0</v>
      </c>
      <c r="AY37" s="2">
        <v>0</v>
      </c>
      <c r="BA37" s="2" t="s">
        <v>21</v>
      </c>
      <c r="BC37" s="2" t="s">
        <v>389</v>
      </c>
      <c r="BD37" s="2">
        <v>0</v>
      </c>
      <c r="BE37" s="2">
        <v>0</v>
      </c>
      <c r="BG37" s="2" t="s">
        <v>296</v>
      </c>
      <c r="BH37" s="2">
        <v>385</v>
      </c>
      <c r="BI37" s="2">
        <v>2</v>
      </c>
      <c r="BJ37" s="2" t="s">
        <v>375</v>
      </c>
      <c r="BK37" s="2">
        <v>0</v>
      </c>
      <c r="BL37" s="2">
        <v>4</v>
      </c>
      <c r="BM37" s="2">
        <v>1</v>
      </c>
      <c r="BN37" s="2">
        <v>2</v>
      </c>
      <c r="BO37" s="2">
        <v>0</v>
      </c>
      <c r="BT37" s="2">
        <v>0</v>
      </c>
    </row>
    <row r="38" spans="1:78" x14ac:dyDescent="0.2">
      <c r="A38" s="2" t="s">
        <v>269</v>
      </c>
      <c r="B38" s="2">
        <v>4</v>
      </c>
      <c r="C38" s="2" t="str" cm="1">
        <f t="array" ref="C38">_xlfn.IFS(B38&lt;3, "1", B38&lt;7, "2", B38&lt;12, "3", B38&lt;18, "4", B38&gt;18, "Fehler")</f>
        <v>2</v>
      </c>
      <c r="D38" s="4">
        <f>IF(COUNTIF($C$2:C38,C38),COUNTIF($C$2:C38,C38),"")</f>
        <v>10</v>
      </c>
      <c r="E38" s="2">
        <v>1</v>
      </c>
      <c r="F38" s="2">
        <v>94</v>
      </c>
      <c r="G38" s="2">
        <v>12</v>
      </c>
      <c r="H38" s="2">
        <v>1</v>
      </c>
      <c r="I38" s="2">
        <v>0</v>
      </c>
      <c r="J38" s="2" t="s">
        <v>391</v>
      </c>
      <c r="O38" s="2">
        <v>32</v>
      </c>
      <c r="P38" s="2">
        <v>60</v>
      </c>
      <c r="Q38" s="2">
        <v>2</v>
      </c>
      <c r="R38" s="2">
        <v>1</v>
      </c>
      <c r="S38" s="2">
        <v>2</v>
      </c>
      <c r="T38" s="2">
        <v>1</v>
      </c>
      <c r="U38" s="2">
        <v>2</v>
      </c>
      <c r="V38" s="2">
        <v>2</v>
      </c>
      <c r="W38" s="2" t="str">
        <f t="shared" si="0"/>
        <v>0</v>
      </c>
      <c r="X38" s="2">
        <v>1</v>
      </c>
      <c r="Y38" s="2">
        <v>1</v>
      </c>
      <c r="Z38" s="2">
        <v>1</v>
      </c>
      <c r="AA38" s="2">
        <v>0</v>
      </c>
      <c r="AD38" s="2">
        <v>22</v>
      </c>
      <c r="AE38" s="2">
        <v>22</v>
      </c>
      <c r="AF38" s="2">
        <v>35</v>
      </c>
      <c r="AG38" s="2">
        <v>7</v>
      </c>
      <c r="AH38" s="2">
        <v>190</v>
      </c>
      <c r="AI38" s="2">
        <v>78</v>
      </c>
      <c r="AJ38" s="2">
        <v>2300</v>
      </c>
      <c r="AK38" s="5">
        <f t="shared" si="1"/>
        <v>8.9743589743589744E-2</v>
      </c>
      <c r="AL38" s="5">
        <f t="shared" si="2"/>
        <v>8.2608695652173908E-2</v>
      </c>
      <c r="AM38" s="2">
        <v>2</v>
      </c>
      <c r="AN38" s="2">
        <v>20</v>
      </c>
      <c r="AO38" s="2">
        <v>1</v>
      </c>
      <c r="AP38" s="2">
        <v>1</v>
      </c>
      <c r="AQ38" s="2">
        <v>200</v>
      </c>
      <c r="AR38" s="2">
        <v>1</v>
      </c>
      <c r="AT38" s="2">
        <v>0</v>
      </c>
      <c r="AU38" s="2">
        <v>1</v>
      </c>
      <c r="AV38" s="2" t="s">
        <v>393</v>
      </c>
      <c r="AW38" s="2">
        <v>0</v>
      </c>
      <c r="AY38" s="2">
        <v>0</v>
      </c>
      <c r="BA38" s="2" t="s">
        <v>21</v>
      </c>
      <c r="BC38" s="2" t="s">
        <v>394</v>
      </c>
      <c r="BD38" s="2">
        <v>0</v>
      </c>
      <c r="BE38" s="2">
        <v>0</v>
      </c>
      <c r="BG38" s="2" t="s">
        <v>395</v>
      </c>
      <c r="BH38" s="2">
        <v>449</v>
      </c>
      <c r="BI38" s="2">
        <v>1</v>
      </c>
      <c r="BJ38" s="2" t="s">
        <v>375</v>
      </c>
      <c r="BK38" s="2">
        <v>0</v>
      </c>
      <c r="BL38" s="2">
        <v>3</v>
      </c>
      <c r="BM38" s="2">
        <v>0</v>
      </c>
      <c r="BN38" s="2">
        <v>0</v>
      </c>
      <c r="BO38" s="2">
        <v>0</v>
      </c>
      <c r="BT38" s="2">
        <v>0</v>
      </c>
    </row>
    <row r="39" spans="1:78" x14ac:dyDescent="0.2">
      <c r="A39" s="2" t="s">
        <v>269</v>
      </c>
      <c r="B39" s="2">
        <v>7</v>
      </c>
      <c r="C39" s="2" t="str" cm="1">
        <f t="array" ref="C39">_xlfn.IFS(B39&lt;3, "1", B39&lt;7, "2", B39&lt;12, "3", B39&lt;18, "4", B39&gt;18, "Fehler")</f>
        <v>3</v>
      </c>
      <c r="D39" s="4">
        <f>IF(COUNTIF($C$2:C39,C39),COUNTIF($C$2:C39,C39),"")</f>
        <v>5</v>
      </c>
      <c r="E39" s="2">
        <v>2</v>
      </c>
      <c r="F39" s="2">
        <v>135</v>
      </c>
      <c r="G39" s="2">
        <v>30</v>
      </c>
      <c r="H39" s="2">
        <v>1</v>
      </c>
      <c r="I39" s="2">
        <v>0</v>
      </c>
      <c r="J39" s="2" t="s">
        <v>396</v>
      </c>
      <c r="O39" s="2">
        <v>19</v>
      </c>
      <c r="P39" s="2">
        <v>57</v>
      </c>
      <c r="Q39" s="2">
        <v>1</v>
      </c>
      <c r="R39" s="2">
        <v>1</v>
      </c>
      <c r="S39" s="2">
        <v>2</v>
      </c>
      <c r="T39" s="2">
        <v>2</v>
      </c>
      <c r="U39" s="2">
        <v>2.5</v>
      </c>
      <c r="V39" s="2">
        <v>2.5</v>
      </c>
      <c r="W39" s="2" t="str">
        <f t="shared" si="0"/>
        <v>0</v>
      </c>
      <c r="X39" s="2">
        <v>0</v>
      </c>
      <c r="Y39" s="2">
        <v>0</v>
      </c>
      <c r="Z39" s="2">
        <v>3</v>
      </c>
      <c r="AA39" s="2">
        <v>1</v>
      </c>
      <c r="AB39" s="2">
        <v>2.5</v>
      </c>
      <c r="AC39" s="2">
        <v>1</v>
      </c>
      <c r="AD39" s="2">
        <v>644</v>
      </c>
      <c r="AF39" s="2">
        <v>35</v>
      </c>
      <c r="AG39" s="2">
        <v>30</v>
      </c>
      <c r="AH39" s="2">
        <v>390</v>
      </c>
      <c r="AI39" s="2">
        <v>250</v>
      </c>
      <c r="AJ39" s="2">
        <v>4500</v>
      </c>
      <c r="AK39" s="5">
        <f t="shared" si="1"/>
        <v>0.12</v>
      </c>
      <c r="AL39" s="5">
        <f t="shared" si="2"/>
        <v>8.666666666666667E-2</v>
      </c>
      <c r="AM39" s="2">
        <v>2</v>
      </c>
      <c r="AN39" s="2" t="s">
        <v>698</v>
      </c>
      <c r="AO39" s="2">
        <v>1</v>
      </c>
      <c r="AP39" s="2">
        <v>1</v>
      </c>
      <c r="AQ39" s="2" t="s">
        <v>730</v>
      </c>
      <c r="AR39" s="2">
        <v>1</v>
      </c>
      <c r="AT39" s="2">
        <v>0</v>
      </c>
      <c r="AU39" s="2">
        <v>0</v>
      </c>
      <c r="AW39" s="2">
        <v>0</v>
      </c>
      <c r="AY39" s="2">
        <v>0</v>
      </c>
      <c r="BA39" s="2" t="s">
        <v>21</v>
      </c>
      <c r="BC39" s="2" t="s">
        <v>394</v>
      </c>
      <c r="BD39" s="2">
        <v>0</v>
      </c>
      <c r="BE39" s="2">
        <v>0</v>
      </c>
      <c r="BG39" s="2" t="s">
        <v>395</v>
      </c>
      <c r="BH39" s="2">
        <v>449</v>
      </c>
      <c r="BI39" s="2">
        <v>1</v>
      </c>
      <c r="BJ39" s="2" t="s">
        <v>375</v>
      </c>
      <c r="BK39" s="2">
        <v>0</v>
      </c>
      <c r="BL39" s="2">
        <v>3</v>
      </c>
      <c r="BM39" s="2">
        <v>9</v>
      </c>
      <c r="BN39" s="2">
        <v>2</v>
      </c>
      <c r="BO39" s="2">
        <v>0</v>
      </c>
      <c r="BT39" s="2">
        <v>0</v>
      </c>
      <c r="BY39" s="2" t="s">
        <v>397</v>
      </c>
    </row>
    <row r="40" spans="1:78" x14ac:dyDescent="0.2">
      <c r="A40" s="2" t="s">
        <v>269</v>
      </c>
      <c r="B40" s="2">
        <v>13</v>
      </c>
      <c r="C40" s="2" t="str" cm="1">
        <f t="array" ref="C40">_xlfn.IFS(B40&lt;3, "1", B40&lt;7, "2", B40&lt;12, "3", B40&lt;18, "4", B40&gt;18, "Fehler")</f>
        <v>4</v>
      </c>
      <c r="D40" s="4">
        <f>IF(COUNTIF($C$2:C40,C40),COUNTIF($C$2:C40,C40),"")</f>
        <v>5</v>
      </c>
      <c r="E40" s="2">
        <v>2</v>
      </c>
      <c r="F40" s="2">
        <v>165</v>
      </c>
      <c r="G40" s="2">
        <v>72</v>
      </c>
      <c r="H40" s="2">
        <v>2</v>
      </c>
      <c r="I40" s="2">
        <v>0</v>
      </c>
      <c r="J40" s="2" t="s">
        <v>392</v>
      </c>
      <c r="O40" s="2">
        <v>48</v>
      </c>
      <c r="P40" s="2">
        <v>103</v>
      </c>
      <c r="Q40" s="2">
        <v>2</v>
      </c>
      <c r="R40" s="2">
        <v>1</v>
      </c>
      <c r="S40" s="2">
        <v>2</v>
      </c>
      <c r="T40" s="2">
        <v>2</v>
      </c>
      <c r="U40" s="2">
        <v>4</v>
      </c>
      <c r="V40" s="2">
        <v>4</v>
      </c>
      <c r="W40" s="2" t="str">
        <f t="shared" si="0"/>
        <v>0</v>
      </c>
      <c r="X40" s="2">
        <v>1</v>
      </c>
      <c r="Y40" s="2">
        <v>1</v>
      </c>
      <c r="Z40" s="2">
        <v>1</v>
      </c>
      <c r="AA40" s="2">
        <v>0</v>
      </c>
      <c r="AD40" s="2">
        <v>35</v>
      </c>
      <c r="AE40" s="2">
        <v>35</v>
      </c>
      <c r="AF40" s="2">
        <v>35</v>
      </c>
      <c r="AG40" s="2">
        <v>4</v>
      </c>
      <c r="AH40" s="2">
        <v>40</v>
      </c>
      <c r="AI40" s="2">
        <v>474</v>
      </c>
      <c r="AJ40" s="2">
        <v>7500</v>
      </c>
      <c r="AK40" s="5">
        <f t="shared" si="1"/>
        <v>8.4388185654008432E-3</v>
      </c>
      <c r="AL40" s="5">
        <f t="shared" si="2"/>
        <v>5.3333333333333332E-3</v>
      </c>
      <c r="AM40" s="2">
        <v>1</v>
      </c>
      <c r="AN40" s="2" t="s">
        <v>699</v>
      </c>
      <c r="AO40" s="2">
        <v>2</v>
      </c>
      <c r="AP40" s="2">
        <v>4</v>
      </c>
      <c r="AQ40" s="2" t="s">
        <v>403</v>
      </c>
      <c r="AR40" s="2">
        <v>1</v>
      </c>
      <c r="AT40" s="2">
        <v>0</v>
      </c>
      <c r="AU40" s="2">
        <v>0</v>
      </c>
      <c r="AW40" s="2">
        <v>0</v>
      </c>
      <c r="AY40" s="2">
        <v>0</v>
      </c>
      <c r="BA40" s="2" t="s">
        <v>404</v>
      </c>
      <c r="BC40" s="2" t="s">
        <v>405</v>
      </c>
      <c r="BD40" s="2">
        <v>0</v>
      </c>
      <c r="BE40" s="2">
        <v>0</v>
      </c>
      <c r="BG40" s="2" t="s">
        <v>406</v>
      </c>
      <c r="BH40" s="2">
        <v>265</v>
      </c>
      <c r="BI40" s="2">
        <v>1</v>
      </c>
      <c r="BJ40" s="2" t="s">
        <v>407</v>
      </c>
      <c r="BK40" s="2">
        <v>0</v>
      </c>
      <c r="BL40" s="2">
        <v>5.5</v>
      </c>
      <c r="BM40" s="2">
        <v>2</v>
      </c>
      <c r="BN40" s="2">
        <v>2</v>
      </c>
      <c r="BO40" s="2">
        <v>0</v>
      </c>
      <c r="BT40" s="2">
        <v>0</v>
      </c>
    </row>
    <row r="41" spans="1:78" x14ac:dyDescent="0.2">
      <c r="A41" s="2" t="s">
        <v>269</v>
      </c>
      <c r="B41" s="2">
        <v>4</v>
      </c>
      <c r="C41" s="2" t="str" cm="1">
        <f t="array" ref="C41">_xlfn.IFS(B41&lt;3, "1", B41&lt;7, "2", B41&lt;12, "3", B41&lt;18, "4", B41&gt;18, "Fehler")</f>
        <v>2</v>
      </c>
      <c r="D41" s="4">
        <f>IF(COUNTIF($C$2:C41,C41),COUNTIF($C$2:C41,C41),"")</f>
        <v>11</v>
      </c>
      <c r="E41" s="2">
        <v>1</v>
      </c>
      <c r="F41" s="2">
        <v>101.5</v>
      </c>
      <c r="G41" s="2">
        <v>15.4</v>
      </c>
      <c r="H41" s="2">
        <v>2</v>
      </c>
      <c r="I41" s="2">
        <v>1</v>
      </c>
      <c r="J41" s="2" t="s">
        <v>391</v>
      </c>
      <c r="O41" s="2">
        <v>5</v>
      </c>
      <c r="P41" s="2">
        <v>50</v>
      </c>
      <c r="Q41" s="2">
        <v>1</v>
      </c>
      <c r="R41" s="2">
        <v>1</v>
      </c>
      <c r="S41" s="2">
        <v>2</v>
      </c>
      <c r="T41" s="2">
        <v>1</v>
      </c>
      <c r="U41" s="2">
        <v>2</v>
      </c>
      <c r="V41" s="2">
        <v>2</v>
      </c>
      <c r="W41" s="2" t="str">
        <f t="shared" si="0"/>
        <v>0</v>
      </c>
      <c r="X41" s="2">
        <v>1</v>
      </c>
      <c r="Y41" s="2">
        <v>1</v>
      </c>
      <c r="Z41" s="2">
        <v>1</v>
      </c>
      <c r="AA41" s="2">
        <v>0</v>
      </c>
      <c r="AD41" s="2">
        <v>25</v>
      </c>
      <c r="AE41" s="2">
        <v>25</v>
      </c>
      <c r="AF41" s="2">
        <v>25</v>
      </c>
      <c r="AG41" s="2">
        <v>7</v>
      </c>
      <c r="AH41" s="2">
        <v>60</v>
      </c>
      <c r="AI41" s="2">
        <v>117</v>
      </c>
      <c r="AJ41" s="2">
        <v>2300</v>
      </c>
      <c r="AK41" s="5">
        <f t="shared" si="1"/>
        <v>5.9829059829059832E-2</v>
      </c>
      <c r="AL41" s="5">
        <f t="shared" si="2"/>
        <v>2.6086956521739129E-2</v>
      </c>
      <c r="AM41" s="2">
        <v>1</v>
      </c>
      <c r="AN41" s="2">
        <v>70</v>
      </c>
      <c r="AO41" s="2">
        <v>1</v>
      </c>
      <c r="AP41" s="2">
        <v>1</v>
      </c>
      <c r="AQ41" s="2">
        <v>200</v>
      </c>
      <c r="AR41" s="2">
        <v>1</v>
      </c>
      <c r="AT41" s="2">
        <v>0</v>
      </c>
      <c r="AU41" s="2">
        <v>0</v>
      </c>
      <c r="AW41" s="2">
        <v>0</v>
      </c>
      <c r="AY41" s="2">
        <v>0</v>
      </c>
      <c r="BA41" s="2" t="s">
        <v>21</v>
      </c>
      <c r="BC41" s="2" t="s">
        <v>21</v>
      </c>
      <c r="BD41" s="2">
        <v>0</v>
      </c>
      <c r="BE41" s="2">
        <v>0</v>
      </c>
      <c r="BG41" s="2" t="s">
        <v>409</v>
      </c>
      <c r="BH41" s="2">
        <v>432</v>
      </c>
      <c r="BI41" s="2">
        <v>2</v>
      </c>
      <c r="BJ41" s="2" t="s">
        <v>375</v>
      </c>
      <c r="BK41" s="2">
        <v>0</v>
      </c>
      <c r="BL41" s="2">
        <v>3</v>
      </c>
      <c r="BM41" s="2">
        <v>0</v>
      </c>
      <c r="BN41" s="2">
        <v>0</v>
      </c>
      <c r="BO41" s="2">
        <v>0</v>
      </c>
      <c r="BT41" s="2">
        <v>0</v>
      </c>
    </row>
    <row r="42" spans="1:78" x14ac:dyDescent="0.2">
      <c r="A42" s="2" t="s">
        <v>270</v>
      </c>
      <c r="B42" s="2">
        <v>0</v>
      </c>
      <c r="C42" s="2" t="str" cm="1">
        <f t="array" ref="C42">_xlfn.IFS(B42&lt;3, "1", B42&lt;7, "2", B42&lt;12, "3", B42&lt;18, "4", B42&gt;18, "Fehler")</f>
        <v>1</v>
      </c>
      <c r="D42" s="4">
        <f>IF(COUNTIF($C$2:C42,C42),COUNTIF($C$2:C42,C42),"")</f>
        <v>20</v>
      </c>
      <c r="E42" s="2">
        <v>2</v>
      </c>
      <c r="H42" s="2">
        <v>1</v>
      </c>
      <c r="I42" s="2">
        <v>0</v>
      </c>
      <c r="J42" s="2" t="s">
        <v>408</v>
      </c>
      <c r="R42" s="2">
        <v>1</v>
      </c>
      <c r="S42" s="2">
        <v>2</v>
      </c>
      <c r="T42" s="2">
        <v>2</v>
      </c>
      <c r="W42" s="2" t="str">
        <f t="shared" si="0"/>
        <v>0</v>
      </c>
      <c r="AK42" s="5" t="e">
        <f t="shared" si="1"/>
        <v>#DIV/0!</v>
      </c>
      <c r="AL42" s="5" t="e">
        <f t="shared" si="2"/>
        <v>#DIV/0!</v>
      </c>
      <c r="BY42" s="2" t="s">
        <v>422</v>
      </c>
    </row>
    <row r="43" spans="1:78" x14ac:dyDescent="0.2">
      <c r="A43" s="2" t="s">
        <v>270</v>
      </c>
      <c r="B43" s="2">
        <v>3</v>
      </c>
      <c r="C43" s="2" t="str" cm="1">
        <f t="array" ref="C43">_xlfn.IFS(B43&lt;3, "1", B43&lt;7, "2", B43&lt;12, "3", B43&lt;18, "4", B43&gt;18, "Fehler")</f>
        <v>2</v>
      </c>
      <c r="D43" s="4">
        <f>IF(COUNTIF($C$2:C43,C43),COUNTIF($C$2:C43,C43),"")</f>
        <v>12</v>
      </c>
      <c r="E43" s="2">
        <v>2</v>
      </c>
      <c r="J43" s="2" t="s">
        <v>290</v>
      </c>
      <c r="R43" s="2">
        <v>1</v>
      </c>
      <c r="S43" s="2">
        <v>2</v>
      </c>
      <c r="T43" s="2">
        <v>2</v>
      </c>
      <c r="W43" s="2" t="str">
        <f t="shared" si="0"/>
        <v>0</v>
      </c>
      <c r="AK43" s="5" t="e">
        <f t="shared" si="1"/>
        <v>#DIV/0!</v>
      </c>
      <c r="AL43" s="5" t="e">
        <f t="shared" si="2"/>
        <v>#DIV/0!</v>
      </c>
    </row>
    <row r="44" spans="1:78" x14ac:dyDescent="0.2">
      <c r="A44" s="2" t="s">
        <v>269</v>
      </c>
      <c r="B44" s="2">
        <v>5</v>
      </c>
      <c r="C44" s="2" t="str" cm="1">
        <f t="array" ref="C44">_xlfn.IFS(B44&lt;3, "1", B44&lt;7, "2", B44&lt;12, "3", B44&lt;18, "4", B44&gt;18, "Fehler")</f>
        <v>2</v>
      </c>
      <c r="D44" s="4">
        <f>IF(COUNTIF($C$2:C44,C44),COUNTIF($C$2:C44,C44),"")</f>
        <v>13</v>
      </c>
      <c r="E44" s="2">
        <v>2</v>
      </c>
      <c r="F44" s="2">
        <v>121</v>
      </c>
      <c r="G44" s="2">
        <v>22</v>
      </c>
      <c r="H44" s="2">
        <v>2</v>
      </c>
      <c r="I44" s="2">
        <v>0</v>
      </c>
      <c r="J44" s="2" t="s">
        <v>418</v>
      </c>
      <c r="O44" s="2">
        <v>64</v>
      </c>
      <c r="P44" s="2">
        <v>108</v>
      </c>
      <c r="Q44" s="2">
        <v>1</v>
      </c>
      <c r="R44" s="2">
        <v>1</v>
      </c>
      <c r="S44" s="2">
        <v>2</v>
      </c>
      <c r="T44" s="2">
        <v>1</v>
      </c>
      <c r="U44" s="2">
        <v>2.5</v>
      </c>
      <c r="V44" s="2">
        <v>2.5</v>
      </c>
      <c r="W44" s="2" t="str">
        <f t="shared" si="0"/>
        <v>0</v>
      </c>
      <c r="X44" s="2">
        <v>1</v>
      </c>
      <c r="Y44" s="2">
        <v>1</v>
      </c>
      <c r="Z44" s="2">
        <v>1</v>
      </c>
      <c r="AA44" s="2">
        <v>0</v>
      </c>
      <c r="AD44" s="2">
        <v>44</v>
      </c>
      <c r="AE44" s="2">
        <v>44</v>
      </c>
      <c r="AF44" s="2">
        <v>35</v>
      </c>
      <c r="AG44" s="2">
        <v>0</v>
      </c>
      <c r="AH44" s="2">
        <v>0</v>
      </c>
      <c r="AI44" s="2">
        <v>180</v>
      </c>
      <c r="AJ44" s="2">
        <v>4200</v>
      </c>
      <c r="AK44" s="5">
        <f t="shared" si="1"/>
        <v>0</v>
      </c>
      <c r="AL44" s="5">
        <f t="shared" si="2"/>
        <v>0</v>
      </c>
      <c r="AM44" s="2">
        <v>1</v>
      </c>
      <c r="AN44" s="2" t="s">
        <v>700</v>
      </c>
      <c r="AO44" s="2">
        <v>1</v>
      </c>
      <c r="AP44" s="2">
        <v>1</v>
      </c>
      <c r="AQ44" s="2" t="s">
        <v>709</v>
      </c>
      <c r="AR44" s="2">
        <v>1</v>
      </c>
      <c r="AT44" s="2">
        <v>0</v>
      </c>
      <c r="AU44" s="2">
        <v>0</v>
      </c>
      <c r="AW44" s="2">
        <v>0</v>
      </c>
      <c r="AY44" s="2">
        <v>0</v>
      </c>
      <c r="BA44" s="2" t="s">
        <v>419</v>
      </c>
      <c r="BC44" s="2" t="s">
        <v>420</v>
      </c>
      <c r="BD44" s="2">
        <v>2</v>
      </c>
      <c r="BE44" s="2">
        <v>0</v>
      </c>
      <c r="BG44" s="2" t="s">
        <v>421</v>
      </c>
      <c r="BH44" s="2">
        <v>398</v>
      </c>
      <c r="BI44" s="2">
        <v>1</v>
      </c>
      <c r="BJ44" s="2" t="s">
        <v>375</v>
      </c>
      <c r="BK44" s="2">
        <v>0</v>
      </c>
      <c r="BL44" s="2">
        <v>4</v>
      </c>
      <c r="BM44" s="2">
        <v>1</v>
      </c>
      <c r="BN44" s="2">
        <v>2</v>
      </c>
      <c r="BO44" s="2">
        <v>0</v>
      </c>
      <c r="BT44" s="2">
        <v>0</v>
      </c>
    </row>
    <row r="45" spans="1:78" x14ac:dyDescent="0.2">
      <c r="A45" s="2" t="s">
        <v>269</v>
      </c>
      <c r="B45" s="2">
        <v>1</v>
      </c>
      <c r="C45" s="2" t="str" cm="1">
        <f t="array" ref="C45">_xlfn.IFS(B45&lt;3, "1", B45&lt;7, "2", B45&lt;12, "3", B45&lt;18, "4", B45&gt;18, "Fehler")</f>
        <v>1</v>
      </c>
      <c r="D45" s="4">
        <f>IF(COUNTIF($C$2:C45,C45),COUNTIF($C$2:C45,C45),"")</f>
        <v>21</v>
      </c>
      <c r="E45" s="2">
        <v>2</v>
      </c>
      <c r="F45" s="2">
        <v>80</v>
      </c>
      <c r="G45" s="2">
        <v>11</v>
      </c>
      <c r="H45" s="2">
        <v>2</v>
      </c>
      <c r="I45" s="2">
        <v>0</v>
      </c>
      <c r="J45" s="2" t="s">
        <v>410</v>
      </c>
      <c r="O45" s="2">
        <v>12</v>
      </c>
      <c r="P45" s="2">
        <v>53</v>
      </c>
      <c r="Q45" s="2">
        <v>1</v>
      </c>
      <c r="R45" s="2">
        <v>1</v>
      </c>
      <c r="S45" s="2">
        <v>2</v>
      </c>
      <c r="T45" s="2">
        <v>2</v>
      </c>
      <c r="U45" s="2">
        <v>1</v>
      </c>
      <c r="V45" s="2">
        <v>1</v>
      </c>
      <c r="W45" s="2" t="str">
        <f t="shared" si="0"/>
        <v>0</v>
      </c>
      <c r="X45" s="2">
        <v>0</v>
      </c>
      <c r="Y45" s="2">
        <v>0</v>
      </c>
      <c r="Z45" s="2">
        <v>1</v>
      </c>
      <c r="AA45" s="2">
        <v>1</v>
      </c>
      <c r="AB45" s="2">
        <v>2</v>
      </c>
      <c r="AC45" s="2">
        <v>1</v>
      </c>
      <c r="AD45" s="2" t="s">
        <v>411</v>
      </c>
      <c r="AF45" s="2">
        <v>999</v>
      </c>
      <c r="AG45" s="2">
        <v>0</v>
      </c>
      <c r="AH45" s="2" t="s">
        <v>330</v>
      </c>
      <c r="AI45" s="2">
        <v>76</v>
      </c>
      <c r="AJ45" s="2">
        <v>2200</v>
      </c>
      <c r="AK45" s="5">
        <f t="shared" si="1"/>
        <v>0</v>
      </c>
      <c r="AL45" s="5"/>
      <c r="AM45" s="2">
        <v>2</v>
      </c>
      <c r="AN45" s="2" t="s">
        <v>701</v>
      </c>
      <c r="AO45" s="2">
        <v>1</v>
      </c>
      <c r="AP45" s="2">
        <v>1</v>
      </c>
      <c r="AQ45" s="2">
        <v>150</v>
      </c>
      <c r="AR45" s="2">
        <v>1</v>
      </c>
      <c r="AT45" s="2">
        <v>1</v>
      </c>
      <c r="AU45" s="2">
        <v>1</v>
      </c>
      <c r="AV45" s="2" t="s">
        <v>412</v>
      </c>
      <c r="AW45" s="2">
        <v>0</v>
      </c>
      <c r="AY45" s="2">
        <v>0</v>
      </c>
      <c r="BA45" s="2" t="s">
        <v>361</v>
      </c>
      <c r="BC45" s="2" t="s">
        <v>413</v>
      </c>
      <c r="BD45" s="2">
        <v>0</v>
      </c>
      <c r="BE45" s="2">
        <v>0</v>
      </c>
      <c r="BG45" s="2" t="s">
        <v>414</v>
      </c>
      <c r="BH45" s="2">
        <v>383</v>
      </c>
      <c r="BI45" s="2">
        <v>1</v>
      </c>
      <c r="BJ45" s="2" t="s">
        <v>415</v>
      </c>
      <c r="BK45" s="2">
        <v>0</v>
      </c>
      <c r="BL45" s="2">
        <v>4.5</v>
      </c>
      <c r="BM45" s="2">
        <v>6</v>
      </c>
      <c r="BN45" s="2">
        <v>2</v>
      </c>
      <c r="BO45" s="2">
        <v>0</v>
      </c>
      <c r="BT45" s="2">
        <v>0</v>
      </c>
      <c r="BY45" s="2" t="s">
        <v>416</v>
      </c>
      <c r="BZ45" s="6" t="s">
        <v>417</v>
      </c>
    </row>
    <row r="46" spans="1:78" x14ac:dyDescent="0.2">
      <c r="A46" s="2" t="s">
        <v>269</v>
      </c>
      <c r="B46" s="2">
        <v>4</v>
      </c>
      <c r="C46" s="2" t="str" cm="1">
        <f t="array" ref="C46">_xlfn.IFS(B46&lt;3, "1", B46&lt;7, "2", B46&lt;12, "3", B46&lt;18, "4", B46&gt;18, "Fehler")</f>
        <v>2</v>
      </c>
      <c r="D46" s="4">
        <f>IF(COUNTIF($C$2:C46,C46),COUNTIF($C$2:C46,C46),"")</f>
        <v>14</v>
      </c>
      <c r="E46" s="2">
        <v>1</v>
      </c>
      <c r="F46" s="2">
        <v>96</v>
      </c>
      <c r="G46" s="2">
        <v>13</v>
      </c>
      <c r="H46" s="2">
        <v>3</v>
      </c>
      <c r="I46" s="2">
        <v>0</v>
      </c>
      <c r="J46" s="2" t="s">
        <v>423</v>
      </c>
      <c r="K46" s="13">
        <v>0.34236111111111112</v>
      </c>
      <c r="L46" s="13">
        <v>0.38194444444444442</v>
      </c>
      <c r="M46" s="13">
        <v>0.3666666666666667</v>
      </c>
      <c r="N46" s="13">
        <v>0.37708333333333338</v>
      </c>
      <c r="O46" s="2">
        <f>(N46-M46)*1440</f>
        <v>15.000000000000027</v>
      </c>
      <c r="P46" s="2">
        <f>(L46-K46)*1440</f>
        <v>56.999999999999957</v>
      </c>
      <c r="Q46" s="2">
        <v>2</v>
      </c>
      <c r="R46" s="2">
        <v>1</v>
      </c>
      <c r="S46" s="2">
        <v>2</v>
      </c>
      <c r="T46" s="2">
        <v>2</v>
      </c>
      <c r="U46" s="2">
        <v>2</v>
      </c>
      <c r="V46" s="2">
        <v>2</v>
      </c>
      <c r="W46" s="2" t="str">
        <f t="shared" si="0"/>
        <v>0</v>
      </c>
      <c r="X46" s="2">
        <v>0</v>
      </c>
      <c r="Y46" s="2">
        <v>0</v>
      </c>
      <c r="Z46" s="2">
        <v>1</v>
      </c>
      <c r="AA46" s="2">
        <v>1</v>
      </c>
      <c r="AB46" s="2">
        <v>2</v>
      </c>
      <c r="AC46" s="2">
        <v>1</v>
      </c>
      <c r="AD46" s="2">
        <v>29</v>
      </c>
      <c r="AF46" s="2">
        <v>999</v>
      </c>
      <c r="AG46" s="2">
        <v>40</v>
      </c>
      <c r="AH46" s="2" t="s">
        <v>107</v>
      </c>
      <c r="AI46" s="2">
        <v>73</v>
      </c>
      <c r="AJ46" s="2">
        <v>2200</v>
      </c>
      <c r="AK46" s="5">
        <f t="shared" si="1"/>
        <v>0.54794520547945202</v>
      </c>
      <c r="AL46" s="5"/>
      <c r="AM46" s="2">
        <v>4</v>
      </c>
      <c r="AO46" s="2">
        <v>1</v>
      </c>
      <c r="AP46" s="2">
        <v>1</v>
      </c>
      <c r="AQ46" s="2">
        <v>160</v>
      </c>
      <c r="AR46" s="2">
        <v>1</v>
      </c>
      <c r="AT46" s="2">
        <v>0</v>
      </c>
      <c r="AU46" s="2">
        <v>1</v>
      </c>
      <c r="AV46" s="2" t="s">
        <v>441</v>
      </c>
      <c r="AW46" s="2">
        <v>0</v>
      </c>
      <c r="AY46" s="2">
        <v>0</v>
      </c>
      <c r="BA46" s="2" t="s">
        <v>361</v>
      </c>
      <c r="BC46" s="2" t="s">
        <v>21</v>
      </c>
      <c r="BD46" s="2">
        <v>0</v>
      </c>
      <c r="BE46" s="2">
        <v>0</v>
      </c>
      <c r="BG46" s="2" t="s">
        <v>442</v>
      </c>
      <c r="BH46" s="2">
        <v>2</v>
      </c>
      <c r="BI46" s="2">
        <v>2</v>
      </c>
      <c r="BJ46" s="2" t="s">
        <v>443</v>
      </c>
      <c r="BK46" s="2">
        <v>1</v>
      </c>
      <c r="BL46" s="2">
        <v>44</v>
      </c>
      <c r="BM46" s="2">
        <v>0</v>
      </c>
      <c r="BN46" s="2">
        <v>0</v>
      </c>
      <c r="BO46" s="2">
        <v>0</v>
      </c>
      <c r="BT46" s="2">
        <v>0</v>
      </c>
      <c r="BY46" s="2" t="s">
        <v>460</v>
      </c>
    </row>
    <row r="47" spans="1:78" x14ac:dyDescent="0.2">
      <c r="A47" s="2" t="s">
        <v>269</v>
      </c>
      <c r="B47" s="2">
        <v>1</v>
      </c>
      <c r="C47" s="2" t="str" cm="1">
        <f t="array" ref="C47">_xlfn.IFS(B47&lt;3, "1", B47&lt;7, "2", B47&lt;12, "3", B47&lt;18, "4", B47&gt;18, "Fehler")</f>
        <v>1</v>
      </c>
      <c r="D47" s="4">
        <f>IF(COUNTIF($C$2:C47,C47),COUNTIF($C$2:C47,C47),"")</f>
        <v>22</v>
      </c>
      <c r="E47" s="2">
        <v>2</v>
      </c>
      <c r="F47" s="2">
        <v>90</v>
      </c>
      <c r="G47" s="2">
        <v>12</v>
      </c>
      <c r="H47" s="2">
        <v>3</v>
      </c>
      <c r="I47" s="2">
        <v>0</v>
      </c>
      <c r="J47" s="2" t="s">
        <v>424</v>
      </c>
      <c r="K47" s="13">
        <v>0.32777777777777778</v>
      </c>
      <c r="L47" s="13">
        <v>0.40833333333333338</v>
      </c>
      <c r="M47" s="13">
        <v>0.36805555555555558</v>
      </c>
      <c r="N47" s="13">
        <v>0.4069444444444445</v>
      </c>
      <c r="O47" s="2">
        <f>(N47-M47)*1440</f>
        <v>56.000000000000043</v>
      </c>
      <c r="P47" s="2">
        <f>(L47-K47)*1440</f>
        <v>116.00000000000007</v>
      </c>
      <c r="Q47" s="2">
        <v>1</v>
      </c>
      <c r="R47" s="2">
        <v>1</v>
      </c>
      <c r="S47" s="2">
        <v>2</v>
      </c>
      <c r="T47" s="2">
        <v>2</v>
      </c>
      <c r="U47" s="2">
        <v>1</v>
      </c>
      <c r="V47" s="2">
        <v>1</v>
      </c>
      <c r="W47" s="2" t="str">
        <f t="shared" si="0"/>
        <v>0</v>
      </c>
      <c r="X47" s="2">
        <v>1</v>
      </c>
      <c r="Y47" s="2">
        <v>1</v>
      </c>
      <c r="Z47" s="2">
        <v>1</v>
      </c>
      <c r="AA47" s="2">
        <v>0</v>
      </c>
      <c r="AD47" s="2">
        <v>20</v>
      </c>
      <c r="AE47" s="2">
        <v>20</v>
      </c>
      <c r="AF47" s="2">
        <v>35</v>
      </c>
      <c r="AG47" s="2">
        <v>1</v>
      </c>
      <c r="AH47" s="2">
        <v>20</v>
      </c>
      <c r="AI47" s="2">
        <v>92</v>
      </c>
      <c r="AJ47" s="2">
        <v>2200</v>
      </c>
      <c r="AK47" s="5">
        <f t="shared" si="1"/>
        <v>1.0869565217391304E-2</v>
      </c>
      <c r="AL47" s="5">
        <f t="shared" si="2"/>
        <v>9.0909090909090905E-3</v>
      </c>
      <c r="AM47" s="2">
        <v>3</v>
      </c>
      <c r="AN47" s="2">
        <v>40</v>
      </c>
      <c r="AO47" s="2">
        <v>1</v>
      </c>
      <c r="AP47" s="2">
        <v>1</v>
      </c>
      <c r="AQ47" s="2">
        <v>100</v>
      </c>
      <c r="AR47" s="2">
        <v>1</v>
      </c>
      <c r="AT47" s="2">
        <v>0</v>
      </c>
      <c r="AU47" s="2">
        <v>0</v>
      </c>
      <c r="AW47" s="2">
        <v>0</v>
      </c>
      <c r="AY47" s="2">
        <v>0</v>
      </c>
      <c r="BA47" s="2" t="s">
        <v>510</v>
      </c>
      <c r="BC47" s="2" t="s">
        <v>21</v>
      </c>
      <c r="BD47" s="2">
        <v>0</v>
      </c>
      <c r="BE47" s="2">
        <v>0</v>
      </c>
      <c r="BG47" s="2" t="s">
        <v>466</v>
      </c>
      <c r="BH47" s="2">
        <v>389</v>
      </c>
      <c r="BI47" s="2">
        <v>2</v>
      </c>
      <c r="BJ47" s="2" t="s">
        <v>511</v>
      </c>
      <c r="BK47" s="2">
        <v>0</v>
      </c>
      <c r="BL47" s="2">
        <v>4.9000000000000004</v>
      </c>
      <c r="BM47" s="2">
        <v>2</v>
      </c>
      <c r="BN47" s="2">
        <v>2</v>
      </c>
      <c r="BO47" s="2">
        <v>0</v>
      </c>
      <c r="BT47" s="2">
        <v>0</v>
      </c>
      <c r="BY47" s="2" t="s">
        <v>509</v>
      </c>
    </row>
    <row r="48" spans="1:78" x14ac:dyDescent="0.2">
      <c r="A48" s="2" t="s">
        <v>269</v>
      </c>
      <c r="B48" s="2">
        <v>3</v>
      </c>
      <c r="C48" s="2" t="str" cm="1">
        <f t="array" ref="C48">_xlfn.IFS(B48&lt;3, "1", B48&lt;7, "2", B48&lt;12, "3", B48&lt;18, "4", B48&gt;18, "Fehler")</f>
        <v>2</v>
      </c>
      <c r="D48" s="4">
        <f>IF(COUNTIF($C$2:C48,C48),COUNTIF($C$2:C48,C48),"")</f>
        <v>15</v>
      </c>
      <c r="E48" s="2">
        <v>2</v>
      </c>
      <c r="F48" s="2">
        <v>100</v>
      </c>
      <c r="G48" s="2">
        <v>16.600000000000001</v>
      </c>
      <c r="H48" s="2">
        <v>1</v>
      </c>
      <c r="I48" s="2">
        <v>0</v>
      </c>
      <c r="J48" s="2" t="s">
        <v>424</v>
      </c>
      <c r="O48" s="2">
        <v>35</v>
      </c>
      <c r="P48" s="2">
        <v>65</v>
      </c>
      <c r="Q48" s="2">
        <v>1</v>
      </c>
      <c r="R48" s="2">
        <v>1</v>
      </c>
      <c r="S48" s="2">
        <v>2</v>
      </c>
      <c r="T48" s="2">
        <v>1</v>
      </c>
      <c r="U48" s="2">
        <v>2</v>
      </c>
      <c r="V48" s="2">
        <v>2</v>
      </c>
      <c r="W48" s="2" t="str">
        <f t="shared" ref="W48:W97" si="3">IF(V48=U48,"0","1")</f>
        <v>0</v>
      </c>
      <c r="X48" s="2">
        <v>1</v>
      </c>
      <c r="Y48" s="2">
        <v>1</v>
      </c>
      <c r="Z48" s="2">
        <v>1</v>
      </c>
      <c r="AA48" s="2">
        <v>0</v>
      </c>
      <c r="AD48" s="2">
        <v>27</v>
      </c>
      <c r="AE48" s="2">
        <v>27</v>
      </c>
      <c r="AF48" s="2">
        <v>30</v>
      </c>
      <c r="AG48" s="2">
        <v>15</v>
      </c>
      <c r="AH48" s="2">
        <v>100</v>
      </c>
      <c r="AI48" s="2">
        <v>150</v>
      </c>
      <c r="AJ48" s="2">
        <v>3100</v>
      </c>
      <c r="AK48" s="5">
        <f t="shared" si="1"/>
        <v>0.1</v>
      </c>
      <c r="AL48" s="5">
        <f t="shared" si="2"/>
        <v>3.2258064516129031E-2</v>
      </c>
      <c r="AM48" s="2">
        <v>1</v>
      </c>
      <c r="AN48" s="2">
        <v>75</v>
      </c>
      <c r="AO48" s="2">
        <v>1</v>
      </c>
      <c r="AP48" s="2">
        <v>1</v>
      </c>
      <c r="AQ48" s="2">
        <v>300</v>
      </c>
      <c r="AR48" s="2">
        <v>1</v>
      </c>
      <c r="AT48" s="2">
        <v>1</v>
      </c>
      <c r="AU48" s="2">
        <v>0</v>
      </c>
      <c r="AW48" s="2">
        <v>1</v>
      </c>
      <c r="AX48" s="2" t="s">
        <v>425</v>
      </c>
      <c r="AY48" s="2">
        <v>0</v>
      </c>
      <c r="BA48" s="2" t="s">
        <v>426</v>
      </c>
      <c r="BC48" s="2" t="s">
        <v>279</v>
      </c>
      <c r="BD48" s="2">
        <v>0</v>
      </c>
      <c r="BE48" s="2">
        <v>0</v>
      </c>
      <c r="BG48" s="2" t="s">
        <v>312</v>
      </c>
      <c r="BH48" s="2">
        <v>490</v>
      </c>
      <c r="BI48" s="2">
        <v>2</v>
      </c>
      <c r="BJ48" s="2" t="s">
        <v>400</v>
      </c>
      <c r="BK48" s="2">
        <v>0</v>
      </c>
      <c r="BL48" s="2">
        <v>5</v>
      </c>
      <c r="BM48" s="2">
        <v>2</v>
      </c>
      <c r="BN48" s="2">
        <v>0</v>
      </c>
      <c r="BO48" s="2">
        <v>0</v>
      </c>
      <c r="BT48" s="2">
        <v>0</v>
      </c>
    </row>
    <row r="49" spans="1:77" x14ac:dyDescent="0.2">
      <c r="A49" s="2" t="s">
        <v>269</v>
      </c>
      <c r="B49" s="2">
        <v>1</v>
      </c>
      <c r="C49" s="2" t="str" cm="1">
        <f t="array" ref="C49">_xlfn.IFS(B49&lt;3, "1", B49&lt;7, "2", B49&lt;12, "3", B49&lt;18, "4", B49&gt;18, "Fehler")</f>
        <v>1</v>
      </c>
      <c r="D49" s="4">
        <f>IF(COUNTIF($C$2:C49,C49),COUNTIF($C$2:C49,C49),"")</f>
        <v>23</v>
      </c>
      <c r="E49" s="2">
        <v>2</v>
      </c>
      <c r="F49" s="2">
        <v>80</v>
      </c>
      <c r="G49" s="2">
        <v>10.7</v>
      </c>
      <c r="H49" s="2">
        <v>1</v>
      </c>
      <c r="I49" s="2">
        <v>0</v>
      </c>
      <c r="J49" s="2" t="s">
        <v>427</v>
      </c>
      <c r="K49" s="13">
        <v>0.47638888888888892</v>
      </c>
      <c r="L49" s="13">
        <v>0.58263888888888882</v>
      </c>
      <c r="M49" s="13">
        <v>0.52430555555555558</v>
      </c>
      <c r="N49" s="13">
        <v>0.5805555555555556</v>
      </c>
      <c r="O49" s="2">
        <f>(N49-M49)*1440</f>
        <v>81.000000000000028</v>
      </c>
      <c r="P49" s="2">
        <f>(L49-K49)*1440</f>
        <v>152.99999999999986</v>
      </c>
      <c r="Q49" s="2">
        <v>2</v>
      </c>
      <c r="R49" s="2">
        <v>1</v>
      </c>
      <c r="S49" s="2">
        <v>2</v>
      </c>
      <c r="T49" s="2">
        <v>1</v>
      </c>
      <c r="U49" s="2">
        <v>2</v>
      </c>
      <c r="V49" s="2">
        <v>2</v>
      </c>
      <c r="W49" s="2" t="str">
        <f t="shared" si="3"/>
        <v>0</v>
      </c>
      <c r="X49" s="2">
        <v>1</v>
      </c>
      <c r="Y49" s="2">
        <v>1</v>
      </c>
      <c r="Z49" s="2">
        <v>1</v>
      </c>
      <c r="AA49" s="2">
        <v>0</v>
      </c>
      <c r="AD49" s="2">
        <v>23</v>
      </c>
      <c r="AE49" s="2">
        <v>23</v>
      </c>
      <c r="AF49" s="2">
        <v>25</v>
      </c>
      <c r="AG49" s="2">
        <v>6</v>
      </c>
      <c r="AH49" s="2">
        <v>180</v>
      </c>
      <c r="AI49" s="2">
        <v>70</v>
      </c>
      <c r="AJ49" s="2">
        <v>1800</v>
      </c>
      <c r="AK49" s="5">
        <f t="shared" ref="AK49:AK97" si="4">AG49/AI49</f>
        <v>8.5714285714285715E-2</v>
      </c>
      <c r="AL49" s="5">
        <f t="shared" ref="AL49:AL97" si="5">AH49/AJ49</f>
        <v>0.1</v>
      </c>
      <c r="AM49" s="2">
        <v>4</v>
      </c>
      <c r="AO49" s="2">
        <v>1</v>
      </c>
      <c r="AP49" s="2">
        <v>2</v>
      </c>
      <c r="AQ49" s="2">
        <v>20</v>
      </c>
      <c r="AR49" s="2">
        <v>1</v>
      </c>
      <c r="AT49" s="2">
        <v>1</v>
      </c>
      <c r="AU49" s="2">
        <v>1</v>
      </c>
      <c r="AV49" s="2" t="s">
        <v>432</v>
      </c>
      <c r="AW49" s="2">
        <v>0</v>
      </c>
      <c r="AY49" s="2">
        <v>0</v>
      </c>
      <c r="BA49" s="2" t="s">
        <v>314</v>
      </c>
      <c r="BC49" s="2" t="s">
        <v>433</v>
      </c>
      <c r="BD49" s="2">
        <v>0</v>
      </c>
      <c r="BE49" s="2">
        <v>1</v>
      </c>
      <c r="BG49" s="2" t="s">
        <v>434</v>
      </c>
      <c r="BH49" s="2">
        <v>363</v>
      </c>
      <c r="BI49" s="2">
        <v>2</v>
      </c>
      <c r="BJ49" s="2" t="s">
        <v>435</v>
      </c>
      <c r="BK49" s="2">
        <v>0</v>
      </c>
      <c r="BL49" s="2">
        <v>5</v>
      </c>
      <c r="BM49" s="2">
        <v>0</v>
      </c>
      <c r="BN49" s="2">
        <v>2</v>
      </c>
      <c r="BO49" s="2">
        <v>0</v>
      </c>
      <c r="BT49" s="2">
        <v>0</v>
      </c>
      <c r="BY49" s="2" t="s">
        <v>436</v>
      </c>
    </row>
    <row r="50" spans="1:77" x14ac:dyDescent="0.2">
      <c r="A50" s="2" t="s">
        <v>270</v>
      </c>
      <c r="B50" s="2">
        <v>5</v>
      </c>
      <c r="C50" s="2" t="str" cm="1">
        <f t="array" ref="C50">_xlfn.IFS(B50&lt;3, "1", B50&lt;7, "2", B50&lt;12, "3", B50&lt;18, "4", B50&gt;18, "Fehler")</f>
        <v>2</v>
      </c>
      <c r="D50" s="4">
        <f>IF(COUNTIF($C$2:C50,C50),COUNTIF($C$2:C50,C50),"")</f>
        <v>16</v>
      </c>
      <c r="E50" s="2">
        <v>2</v>
      </c>
      <c r="F50" s="2">
        <v>120</v>
      </c>
      <c r="G50" s="2">
        <v>23</v>
      </c>
      <c r="H50" s="2">
        <v>2</v>
      </c>
      <c r="I50" s="2">
        <v>0</v>
      </c>
      <c r="J50" s="2" t="s">
        <v>437</v>
      </c>
      <c r="Q50" s="2">
        <v>2</v>
      </c>
      <c r="R50" s="2">
        <v>1</v>
      </c>
      <c r="S50" s="2">
        <v>2</v>
      </c>
      <c r="T50" s="2">
        <v>1</v>
      </c>
      <c r="W50" s="2" t="str">
        <f t="shared" si="3"/>
        <v>0</v>
      </c>
      <c r="AK50" s="5" t="e">
        <f t="shared" si="4"/>
        <v>#DIV/0!</v>
      </c>
      <c r="AL50" s="5" t="e">
        <f t="shared" si="5"/>
        <v>#DIV/0!</v>
      </c>
    </row>
    <row r="51" spans="1:77" x14ac:dyDescent="0.2">
      <c r="A51" s="2" t="s">
        <v>269</v>
      </c>
      <c r="B51" s="2">
        <v>1</v>
      </c>
      <c r="C51" s="2" t="str" cm="1">
        <f t="array" ref="C51">_xlfn.IFS(B51&lt;3, "1", B51&lt;7, "2", B51&lt;12, "3", B51&lt;18, "4", B51&gt;18, "Fehler")</f>
        <v>1</v>
      </c>
      <c r="D51" s="4">
        <f>IF(COUNTIF($C$2:C51,C51),COUNTIF($C$2:C51,C51),"")</f>
        <v>24</v>
      </c>
      <c r="E51" s="2">
        <v>1</v>
      </c>
      <c r="F51" s="2">
        <v>83</v>
      </c>
      <c r="G51" s="2">
        <v>12</v>
      </c>
      <c r="H51" s="2">
        <v>2</v>
      </c>
      <c r="I51" s="2">
        <v>0</v>
      </c>
      <c r="J51" s="2" t="s">
        <v>334</v>
      </c>
      <c r="K51" s="13">
        <v>0.3611111111111111</v>
      </c>
      <c r="L51" s="13">
        <v>0.3923611111111111</v>
      </c>
      <c r="M51" s="13">
        <v>0.37986111111111115</v>
      </c>
      <c r="N51" s="13">
        <v>0.3833333333333333</v>
      </c>
      <c r="O51" s="2">
        <f t="shared" ref="O51" si="6">(N51-M51)*1440</f>
        <v>4.9999999999999023</v>
      </c>
      <c r="P51" s="2">
        <f t="shared" ref="P51" si="7">(L51-K51)*1440</f>
        <v>45</v>
      </c>
      <c r="Q51" s="2">
        <v>1</v>
      </c>
      <c r="R51" s="2">
        <v>1</v>
      </c>
      <c r="S51" s="2">
        <v>2</v>
      </c>
      <c r="T51" s="2">
        <v>1</v>
      </c>
      <c r="U51" s="2">
        <v>2</v>
      </c>
      <c r="V51" s="2">
        <v>2</v>
      </c>
      <c r="W51" s="2" t="str">
        <f t="shared" si="3"/>
        <v>0</v>
      </c>
      <c r="X51" s="2">
        <v>1</v>
      </c>
      <c r="Y51" s="2">
        <v>1</v>
      </c>
      <c r="Z51" s="2">
        <v>1</v>
      </c>
      <c r="AA51" s="2">
        <v>0</v>
      </c>
      <c r="AD51" s="2">
        <v>38</v>
      </c>
      <c r="AE51" s="2">
        <v>38</v>
      </c>
      <c r="AF51" s="2">
        <v>999</v>
      </c>
      <c r="AG51" s="2">
        <v>5</v>
      </c>
      <c r="AH51" s="2">
        <v>60</v>
      </c>
      <c r="AI51" s="2">
        <v>100</v>
      </c>
      <c r="AJ51" s="2">
        <v>1800</v>
      </c>
      <c r="AK51" s="5">
        <f t="shared" si="4"/>
        <v>0.05</v>
      </c>
      <c r="AL51" s="5">
        <f t="shared" si="5"/>
        <v>3.3333333333333333E-2</v>
      </c>
      <c r="AM51" s="2">
        <v>1</v>
      </c>
      <c r="AN51" s="2">
        <v>40</v>
      </c>
      <c r="AO51" s="2">
        <v>1</v>
      </c>
      <c r="AP51" s="2">
        <v>1</v>
      </c>
      <c r="AQ51" s="2">
        <v>100</v>
      </c>
      <c r="AR51" s="2">
        <v>1</v>
      </c>
      <c r="AT51" s="2">
        <v>0</v>
      </c>
      <c r="AU51" s="2">
        <v>0</v>
      </c>
      <c r="AW51" s="2">
        <v>1</v>
      </c>
      <c r="AX51" s="2" t="s">
        <v>444</v>
      </c>
      <c r="AY51" s="2">
        <v>0</v>
      </c>
      <c r="BA51" s="2" t="s">
        <v>21</v>
      </c>
      <c r="BC51" s="2" t="s">
        <v>21</v>
      </c>
      <c r="BD51" s="2">
        <v>0</v>
      </c>
      <c r="BE51" s="2">
        <v>0</v>
      </c>
      <c r="BG51" s="2" t="s">
        <v>445</v>
      </c>
      <c r="BH51" s="2">
        <v>493</v>
      </c>
      <c r="BI51" s="2">
        <v>1</v>
      </c>
      <c r="BJ51" s="2" t="s">
        <v>446</v>
      </c>
      <c r="BK51" s="2">
        <v>0</v>
      </c>
      <c r="BL51" s="2">
        <v>1.5</v>
      </c>
      <c r="BM51" s="2">
        <v>0</v>
      </c>
      <c r="BN51" s="2">
        <v>0</v>
      </c>
      <c r="BO51" s="2">
        <v>0</v>
      </c>
      <c r="BT51" s="2">
        <v>0</v>
      </c>
      <c r="BY51" s="14" t="s">
        <v>447</v>
      </c>
    </row>
    <row r="52" spans="1:77" x14ac:dyDescent="0.2">
      <c r="A52" s="2" t="s">
        <v>269</v>
      </c>
      <c r="B52" s="2">
        <v>1</v>
      </c>
      <c r="C52" s="2" t="str" cm="1">
        <f t="array" ref="C52">_xlfn.IFS(B52&lt;3, "1", B52&lt;7, "2", B52&lt;12, "3", B52&lt;18, "4", B52&gt;18, "Fehler")</f>
        <v>1</v>
      </c>
      <c r="D52" s="4">
        <f>IF(COUNTIF($C$2:C52,C52),COUNTIF($C$2:C52,C52),"")</f>
        <v>25</v>
      </c>
      <c r="E52" s="2">
        <v>1</v>
      </c>
      <c r="F52" s="2">
        <v>80</v>
      </c>
      <c r="G52" s="2">
        <v>10</v>
      </c>
      <c r="H52" s="2">
        <v>2</v>
      </c>
      <c r="I52" s="2">
        <v>0</v>
      </c>
      <c r="J52" s="2" t="s">
        <v>438</v>
      </c>
      <c r="K52" s="13">
        <v>0.48541666666666666</v>
      </c>
      <c r="L52" s="13">
        <v>0.53888888888888886</v>
      </c>
      <c r="M52" s="13">
        <v>0.50694444444444442</v>
      </c>
      <c r="N52" s="13">
        <v>0.52916666666666667</v>
      </c>
      <c r="O52" s="2">
        <f t="shared" ref="O52" si="8">(N52-M52)*1440</f>
        <v>32.000000000000043</v>
      </c>
      <c r="P52" s="2">
        <f t="shared" ref="P52" si="9">(L52-K52)*1440</f>
        <v>76.999999999999972</v>
      </c>
      <c r="Q52" s="2">
        <v>1</v>
      </c>
      <c r="R52" s="2">
        <v>1</v>
      </c>
      <c r="S52" s="2">
        <v>2</v>
      </c>
      <c r="T52" s="2">
        <v>1</v>
      </c>
      <c r="U52" s="2">
        <v>2</v>
      </c>
      <c r="V52" s="2">
        <v>1.5</v>
      </c>
      <c r="W52" s="2" t="str">
        <f t="shared" si="3"/>
        <v>1</v>
      </c>
      <c r="X52" s="2">
        <v>1</v>
      </c>
      <c r="Y52" s="2">
        <v>0</v>
      </c>
      <c r="Z52" s="2">
        <v>1</v>
      </c>
      <c r="AA52" s="2">
        <v>0</v>
      </c>
      <c r="AB52" s="2">
        <v>2</v>
      </c>
      <c r="AC52" s="2">
        <v>1</v>
      </c>
      <c r="AD52" s="2" t="s">
        <v>448</v>
      </c>
      <c r="AE52" s="2">
        <v>20</v>
      </c>
      <c r="AF52" s="2">
        <v>31</v>
      </c>
      <c r="AG52" s="2">
        <v>0</v>
      </c>
      <c r="AH52" s="2">
        <v>20</v>
      </c>
      <c r="AI52" s="2">
        <v>112</v>
      </c>
      <c r="AJ52" s="2">
        <v>2300</v>
      </c>
      <c r="AK52" s="5">
        <f t="shared" si="4"/>
        <v>0</v>
      </c>
      <c r="AL52" s="5">
        <f t="shared" si="5"/>
        <v>8.6956521739130436E-3</v>
      </c>
      <c r="AM52" s="2">
        <v>3</v>
      </c>
      <c r="AN52" s="2">
        <v>10</v>
      </c>
      <c r="AO52" s="2">
        <v>1</v>
      </c>
      <c r="AP52" s="2">
        <v>1</v>
      </c>
      <c r="AQ52" s="2">
        <v>100</v>
      </c>
      <c r="AR52" s="2">
        <v>1</v>
      </c>
      <c r="AT52" s="2">
        <v>0</v>
      </c>
      <c r="AU52" s="2">
        <v>1</v>
      </c>
      <c r="AV52" s="2" t="s">
        <v>449</v>
      </c>
      <c r="AW52" s="2">
        <v>0</v>
      </c>
      <c r="AY52" s="2">
        <v>0</v>
      </c>
      <c r="BA52" s="2" t="s">
        <v>394</v>
      </c>
      <c r="BC52" s="2" t="s">
        <v>279</v>
      </c>
      <c r="BD52" s="2">
        <v>0</v>
      </c>
      <c r="BE52" s="2">
        <v>0</v>
      </c>
      <c r="BG52" s="2" t="s">
        <v>450</v>
      </c>
      <c r="BH52" s="2">
        <v>388</v>
      </c>
      <c r="BI52" s="2">
        <v>1</v>
      </c>
      <c r="BJ52" s="2" t="s">
        <v>451</v>
      </c>
      <c r="BK52" s="2">
        <v>0</v>
      </c>
      <c r="BL52" s="2">
        <v>5</v>
      </c>
      <c r="BM52" s="2">
        <v>0</v>
      </c>
      <c r="BN52" s="2">
        <v>0</v>
      </c>
      <c r="BO52" s="2">
        <v>0</v>
      </c>
      <c r="BT52" s="2">
        <v>0</v>
      </c>
      <c r="BY52" s="2" t="s">
        <v>460</v>
      </c>
    </row>
    <row r="53" spans="1:77" x14ac:dyDescent="0.2">
      <c r="A53" s="2" t="s">
        <v>269</v>
      </c>
      <c r="B53" s="2">
        <v>6</v>
      </c>
      <c r="C53" s="2" t="str" cm="1">
        <f t="array" ref="C53">_xlfn.IFS(B53&lt;3, "1", B53&lt;7, "2", B53&lt;12, "3", B53&lt;18, "4", B53&gt;18, "Fehler")</f>
        <v>2</v>
      </c>
      <c r="D53" s="4">
        <f>IF(COUNTIF($C$2:C53,C53),COUNTIF($C$2:C53,C53),"")</f>
        <v>17</v>
      </c>
      <c r="E53" s="2">
        <v>2</v>
      </c>
      <c r="F53" s="2">
        <v>117</v>
      </c>
      <c r="G53" s="2">
        <v>20</v>
      </c>
      <c r="H53" s="2">
        <v>2</v>
      </c>
      <c r="I53" s="2">
        <v>0</v>
      </c>
      <c r="J53" s="2" t="s">
        <v>439</v>
      </c>
      <c r="K53" s="13">
        <v>0.33333333333333331</v>
      </c>
      <c r="L53" s="13">
        <v>0.3576388888888889</v>
      </c>
      <c r="M53" s="13">
        <v>0.34375</v>
      </c>
      <c r="N53" s="13">
        <v>0.3520833333333333</v>
      </c>
      <c r="O53" s="2">
        <f t="shared" ref="O53:O54" si="10">(N53-M53)*1440</f>
        <v>11.999999999999957</v>
      </c>
      <c r="P53" s="2">
        <f t="shared" ref="P53:P54" si="11">(L53-K53)*1440</f>
        <v>35.000000000000036</v>
      </c>
      <c r="Q53" s="2">
        <v>1</v>
      </c>
      <c r="R53" s="2">
        <v>1</v>
      </c>
      <c r="S53" s="2">
        <v>2</v>
      </c>
      <c r="T53" s="2">
        <v>2</v>
      </c>
      <c r="U53" s="2">
        <v>2</v>
      </c>
      <c r="V53" s="2">
        <v>2</v>
      </c>
      <c r="W53" s="2" t="str">
        <f t="shared" si="3"/>
        <v>0</v>
      </c>
      <c r="X53" s="2">
        <v>0</v>
      </c>
      <c r="Y53" s="2">
        <v>0</v>
      </c>
      <c r="Z53" s="2">
        <v>1</v>
      </c>
      <c r="AA53" s="2">
        <v>1</v>
      </c>
      <c r="AB53" s="2">
        <v>2</v>
      </c>
      <c r="AC53" s="2">
        <v>1</v>
      </c>
      <c r="AD53" s="2">
        <v>34</v>
      </c>
      <c r="AF53" s="2">
        <v>30</v>
      </c>
      <c r="AG53" s="2">
        <v>0</v>
      </c>
      <c r="AH53" s="2">
        <v>0</v>
      </c>
      <c r="AI53" s="2">
        <v>180</v>
      </c>
      <c r="AJ53" s="2">
        <v>4300</v>
      </c>
      <c r="AK53" s="5">
        <f t="shared" si="4"/>
        <v>0</v>
      </c>
      <c r="AL53" s="5">
        <f t="shared" si="5"/>
        <v>0</v>
      </c>
      <c r="AM53" s="2">
        <v>4</v>
      </c>
      <c r="AO53" s="2">
        <v>1</v>
      </c>
      <c r="AP53" s="2">
        <v>1</v>
      </c>
      <c r="AQ53" s="2">
        <v>200</v>
      </c>
      <c r="AR53" s="2">
        <v>1</v>
      </c>
      <c r="AT53" s="2">
        <v>0</v>
      </c>
      <c r="AU53" s="2">
        <v>1</v>
      </c>
      <c r="AV53" s="2" t="s">
        <v>453</v>
      </c>
      <c r="AW53" s="2">
        <v>0</v>
      </c>
      <c r="AY53" s="2">
        <v>0</v>
      </c>
      <c r="BA53" s="2" t="s">
        <v>335</v>
      </c>
      <c r="BC53" s="2" t="s">
        <v>21</v>
      </c>
      <c r="BD53" s="2">
        <v>0</v>
      </c>
      <c r="BE53" s="2">
        <v>1</v>
      </c>
      <c r="BG53" s="2" t="s">
        <v>457</v>
      </c>
      <c r="BH53" s="2">
        <v>498</v>
      </c>
      <c r="BI53" s="2">
        <v>1</v>
      </c>
      <c r="BJ53" s="2" t="s">
        <v>454</v>
      </c>
      <c r="BK53" s="2">
        <v>0</v>
      </c>
      <c r="BL53" s="2">
        <v>1.5</v>
      </c>
      <c r="BM53" s="2">
        <v>0</v>
      </c>
      <c r="BN53" s="2">
        <v>2</v>
      </c>
      <c r="BO53" s="2">
        <v>0</v>
      </c>
      <c r="BT53" s="2">
        <v>0</v>
      </c>
      <c r="BY53" s="2" t="s">
        <v>455</v>
      </c>
    </row>
    <row r="54" spans="1:77" x14ac:dyDescent="0.2">
      <c r="A54" s="2" t="s">
        <v>269</v>
      </c>
      <c r="B54" s="2">
        <v>1</v>
      </c>
      <c r="C54" s="2" t="str" cm="1">
        <f t="array" ref="C54">_xlfn.IFS(B54&lt;3, "1", B54&lt;7, "2", B54&lt;12, "3", B54&lt;18, "4", B54&gt;18, "Fehler")</f>
        <v>1</v>
      </c>
      <c r="D54" s="4">
        <f>IF(COUNTIF($C$2:C54,C54),COUNTIF($C$2:C54,C54),"")</f>
        <v>26</v>
      </c>
      <c r="E54" s="2">
        <v>2</v>
      </c>
      <c r="F54" s="2">
        <v>80</v>
      </c>
      <c r="G54" s="2">
        <v>10.8</v>
      </c>
      <c r="H54" s="2">
        <v>2</v>
      </c>
      <c r="I54" s="2">
        <v>0</v>
      </c>
      <c r="J54" s="2" t="s">
        <v>440</v>
      </c>
      <c r="K54" s="13">
        <v>0.3888888888888889</v>
      </c>
      <c r="L54" s="13">
        <v>0.49305555555555558</v>
      </c>
      <c r="M54" s="13">
        <v>0.43055555555555558</v>
      </c>
      <c r="N54" s="13">
        <v>0.4861111111111111</v>
      </c>
      <c r="O54" s="2">
        <f t="shared" si="10"/>
        <v>79.999999999999957</v>
      </c>
      <c r="P54" s="2">
        <f t="shared" si="11"/>
        <v>150.00000000000003</v>
      </c>
      <c r="Q54" s="2">
        <v>1</v>
      </c>
      <c r="R54" s="2">
        <v>1</v>
      </c>
      <c r="S54" s="2">
        <v>2</v>
      </c>
      <c r="T54" s="2">
        <v>2</v>
      </c>
      <c r="U54" s="2">
        <v>1</v>
      </c>
      <c r="V54" s="2">
        <v>1</v>
      </c>
      <c r="W54" s="2" t="str">
        <f t="shared" si="3"/>
        <v>0</v>
      </c>
      <c r="X54" s="2">
        <v>1</v>
      </c>
      <c r="Y54" s="2">
        <v>1</v>
      </c>
      <c r="Z54" s="2">
        <v>1</v>
      </c>
      <c r="AA54" s="2">
        <v>0</v>
      </c>
      <c r="AD54" s="2">
        <v>19</v>
      </c>
      <c r="AE54" s="2">
        <v>19</v>
      </c>
      <c r="AF54" s="2">
        <v>25</v>
      </c>
      <c r="AG54" s="2">
        <v>0</v>
      </c>
      <c r="AH54" s="2">
        <v>0</v>
      </c>
      <c r="AI54" s="2">
        <v>65</v>
      </c>
      <c r="AJ54" s="2">
        <v>1700</v>
      </c>
      <c r="AK54" s="5">
        <f t="shared" si="4"/>
        <v>0</v>
      </c>
      <c r="AL54" s="5">
        <f t="shared" si="5"/>
        <v>0</v>
      </c>
      <c r="AM54" s="2">
        <v>4</v>
      </c>
      <c r="AO54" s="2">
        <v>1</v>
      </c>
      <c r="AP54" s="2">
        <v>1</v>
      </c>
      <c r="AQ54" s="2" t="s">
        <v>731</v>
      </c>
      <c r="AR54" s="2">
        <v>1</v>
      </c>
      <c r="AT54" s="2">
        <v>0</v>
      </c>
      <c r="AU54" s="2">
        <v>0</v>
      </c>
      <c r="AW54" s="2">
        <v>0</v>
      </c>
      <c r="AY54" s="2">
        <v>0</v>
      </c>
      <c r="BA54" s="2" t="s">
        <v>456</v>
      </c>
      <c r="BC54" s="2" t="s">
        <v>21</v>
      </c>
      <c r="BD54" s="2">
        <v>0</v>
      </c>
      <c r="BE54" s="2">
        <v>1</v>
      </c>
      <c r="BG54" s="2" t="s">
        <v>457</v>
      </c>
      <c r="BH54" s="2">
        <v>498</v>
      </c>
      <c r="BI54" s="2">
        <v>1</v>
      </c>
      <c r="BJ54" s="2" t="s">
        <v>458</v>
      </c>
      <c r="BK54" s="2">
        <v>0</v>
      </c>
      <c r="BL54" s="2">
        <v>1.5</v>
      </c>
      <c r="BM54" s="2">
        <v>0</v>
      </c>
      <c r="BN54" s="2">
        <v>2</v>
      </c>
      <c r="BO54" s="2">
        <v>0</v>
      </c>
      <c r="BT54" s="2">
        <v>0</v>
      </c>
      <c r="BY54" s="2" t="s">
        <v>460</v>
      </c>
    </row>
    <row r="55" spans="1:77" x14ac:dyDescent="0.2">
      <c r="A55" s="2" t="s">
        <v>269</v>
      </c>
      <c r="B55" s="2">
        <v>0</v>
      </c>
      <c r="C55" s="2" t="str" cm="1">
        <f t="array" ref="C55">_xlfn.IFS(B55&lt;3, "1", B55&lt;7, "2", B55&lt;12, "3", B55&lt;18, "4", B55&gt;18, "Fehler")</f>
        <v>1</v>
      </c>
      <c r="D55" s="4">
        <f>IF(COUNTIF($C$2:C55,C55),COUNTIF($C$2:C55,C55),"")</f>
        <v>27</v>
      </c>
      <c r="E55" s="2">
        <v>1</v>
      </c>
      <c r="F55" s="2">
        <v>68</v>
      </c>
      <c r="G55" s="2">
        <v>7.1</v>
      </c>
      <c r="H55" s="2">
        <v>1</v>
      </c>
      <c r="I55" s="2">
        <v>0</v>
      </c>
      <c r="J55" s="2" t="s">
        <v>438</v>
      </c>
      <c r="K55" s="13">
        <v>0.34652777777777777</v>
      </c>
      <c r="L55" s="13">
        <v>0.39930555555555558</v>
      </c>
      <c r="M55" s="13">
        <v>0.38194444444444442</v>
      </c>
      <c r="N55" s="13">
        <v>0.3923611111111111</v>
      </c>
      <c r="O55" s="2">
        <f t="shared" ref="O55:O66" si="12">(N55-M55)*1440</f>
        <v>15.000000000000027</v>
      </c>
      <c r="P55" s="2">
        <f t="shared" ref="P55:P66" si="13">(L55-K55)*1440</f>
        <v>76.000000000000057</v>
      </c>
      <c r="Q55" s="2">
        <v>2</v>
      </c>
      <c r="R55" s="2">
        <v>1</v>
      </c>
      <c r="S55" s="2">
        <v>2</v>
      </c>
      <c r="T55" s="2">
        <v>1</v>
      </c>
      <c r="U55" s="2">
        <v>1.5</v>
      </c>
      <c r="V55" s="2">
        <v>1.5</v>
      </c>
      <c r="W55" s="2" t="str">
        <f t="shared" si="3"/>
        <v>0</v>
      </c>
      <c r="X55" s="2">
        <v>1</v>
      </c>
      <c r="Y55" s="2">
        <v>1</v>
      </c>
      <c r="Z55" s="2">
        <v>1</v>
      </c>
      <c r="AA55" s="2">
        <v>0</v>
      </c>
      <c r="AB55" s="2">
        <v>1.5</v>
      </c>
      <c r="AC55" s="2">
        <v>1</v>
      </c>
      <c r="AD55" s="2">
        <v>44</v>
      </c>
      <c r="AE55" s="2">
        <v>44</v>
      </c>
      <c r="AF55" s="2">
        <v>25</v>
      </c>
      <c r="AG55" s="2">
        <v>0</v>
      </c>
      <c r="AH55" s="2">
        <v>0</v>
      </c>
      <c r="AI55" s="2">
        <v>80</v>
      </c>
      <c r="AJ55" s="2">
        <v>2400</v>
      </c>
      <c r="AK55" s="5">
        <f t="shared" si="4"/>
        <v>0</v>
      </c>
      <c r="AL55" s="5">
        <f t="shared" si="5"/>
        <v>0</v>
      </c>
      <c r="AM55" s="2">
        <v>2</v>
      </c>
      <c r="AN55" s="2">
        <v>40</v>
      </c>
      <c r="AO55" s="2">
        <v>1</v>
      </c>
      <c r="AP55" s="2">
        <v>1</v>
      </c>
      <c r="AQ55" s="2">
        <v>100</v>
      </c>
      <c r="AR55" s="2">
        <v>1</v>
      </c>
      <c r="AT55" s="2">
        <v>0</v>
      </c>
      <c r="AU55" s="2">
        <v>0</v>
      </c>
      <c r="AW55" s="2">
        <v>0</v>
      </c>
      <c r="AY55" s="2">
        <v>0</v>
      </c>
      <c r="BA55" s="2" t="s">
        <v>361</v>
      </c>
      <c r="BC55" s="2" t="s">
        <v>21</v>
      </c>
      <c r="BD55" s="2">
        <v>0</v>
      </c>
      <c r="BE55" s="2">
        <v>0</v>
      </c>
      <c r="BG55" s="2" t="s">
        <v>421</v>
      </c>
      <c r="BH55" s="2">
        <v>398</v>
      </c>
      <c r="BI55" s="2">
        <v>1</v>
      </c>
      <c r="BJ55" s="2" t="s">
        <v>375</v>
      </c>
      <c r="BK55" s="2">
        <v>0</v>
      </c>
      <c r="BL55" s="2">
        <v>4</v>
      </c>
      <c r="BM55" s="2">
        <v>0</v>
      </c>
      <c r="BN55" s="2">
        <v>2</v>
      </c>
      <c r="BO55" s="2">
        <v>0</v>
      </c>
      <c r="BT55" s="2">
        <v>0</v>
      </c>
    </row>
    <row r="56" spans="1:77" x14ac:dyDescent="0.2">
      <c r="A56" s="2" t="s">
        <v>269</v>
      </c>
      <c r="B56" s="2">
        <v>1</v>
      </c>
      <c r="C56" s="2" t="str" cm="1">
        <f t="array" ref="C56">_xlfn.IFS(B56&lt;3, "1", B56&lt;7, "2", B56&lt;12, "3", B56&lt;18, "4", B56&gt;18, "Fehler")</f>
        <v>1</v>
      </c>
      <c r="D56" s="4">
        <f>IF(COUNTIF($C$2:C56,C56),COUNTIF($C$2:C56,C56),"")</f>
        <v>28</v>
      </c>
      <c r="E56" s="2">
        <v>1</v>
      </c>
      <c r="F56" s="2">
        <v>80</v>
      </c>
      <c r="G56" s="2">
        <v>11</v>
      </c>
      <c r="H56" s="2">
        <v>1</v>
      </c>
      <c r="I56" s="2">
        <v>0</v>
      </c>
      <c r="J56" s="2" t="s">
        <v>459</v>
      </c>
      <c r="K56" s="13">
        <v>0.4548611111111111</v>
      </c>
      <c r="L56" s="13">
        <v>0.50347222222222221</v>
      </c>
      <c r="M56" s="13">
        <v>0.48958333333333331</v>
      </c>
      <c r="N56" s="13">
        <v>0.49374999999999997</v>
      </c>
      <c r="O56" s="2">
        <f t="shared" si="12"/>
        <v>5.9999999999999787</v>
      </c>
      <c r="P56" s="2">
        <f t="shared" si="13"/>
        <v>69.999999999999986</v>
      </c>
      <c r="Q56" s="2">
        <v>2</v>
      </c>
      <c r="R56" s="2">
        <v>1</v>
      </c>
      <c r="S56" s="2">
        <v>2</v>
      </c>
      <c r="T56" s="2">
        <v>2</v>
      </c>
      <c r="U56" s="2">
        <v>1</v>
      </c>
      <c r="V56" s="2">
        <v>1</v>
      </c>
      <c r="W56" s="2" t="str">
        <f t="shared" si="3"/>
        <v>0</v>
      </c>
      <c r="X56" s="2">
        <v>0</v>
      </c>
      <c r="Y56" s="2">
        <v>0</v>
      </c>
      <c r="Z56" s="2">
        <v>1</v>
      </c>
      <c r="AA56" s="2">
        <v>1</v>
      </c>
      <c r="AB56" s="2">
        <v>2</v>
      </c>
      <c r="AC56" s="2">
        <v>1</v>
      </c>
      <c r="AD56" s="2">
        <v>110</v>
      </c>
      <c r="AF56" s="2">
        <v>999</v>
      </c>
      <c r="AG56" s="2">
        <v>0</v>
      </c>
      <c r="AH56" s="2">
        <v>0</v>
      </c>
      <c r="AI56" s="2">
        <v>20</v>
      </c>
      <c r="AJ56" s="2">
        <v>600</v>
      </c>
      <c r="AK56" s="5">
        <f t="shared" si="4"/>
        <v>0</v>
      </c>
      <c r="AL56" s="5">
        <f t="shared" si="5"/>
        <v>0</v>
      </c>
      <c r="AM56" s="2">
        <v>3</v>
      </c>
      <c r="AN56" s="2">
        <v>40</v>
      </c>
      <c r="AO56" s="2">
        <v>1</v>
      </c>
      <c r="AP56" s="2">
        <v>1</v>
      </c>
      <c r="AQ56" s="2">
        <v>150</v>
      </c>
      <c r="AR56" s="2">
        <v>1</v>
      </c>
      <c r="AT56" s="2">
        <v>0</v>
      </c>
      <c r="AU56" s="2">
        <v>1</v>
      </c>
      <c r="AV56" s="2" t="s">
        <v>453</v>
      </c>
      <c r="AW56" s="2">
        <v>0</v>
      </c>
      <c r="AY56" s="2">
        <v>0</v>
      </c>
      <c r="BA56" s="2" t="s">
        <v>361</v>
      </c>
      <c r="BC56" s="2" t="s">
        <v>461</v>
      </c>
      <c r="BD56" s="2">
        <v>0</v>
      </c>
      <c r="BE56" s="2">
        <v>0</v>
      </c>
      <c r="BG56" s="2" t="s">
        <v>421</v>
      </c>
      <c r="BH56" s="2">
        <v>398</v>
      </c>
      <c r="BI56" s="2">
        <v>1</v>
      </c>
      <c r="BJ56" s="2" t="s">
        <v>375</v>
      </c>
      <c r="BK56" s="2">
        <v>0</v>
      </c>
      <c r="BL56" s="2">
        <v>4</v>
      </c>
      <c r="BM56" s="2">
        <v>0</v>
      </c>
      <c r="BN56" s="2">
        <v>2</v>
      </c>
      <c r="BO56" s="2">
        <v>0</v>
      </c>
      <c r="BT56" s="2">
        <v>0</v>
      </c>
    </row>
    <row r="57" spans="1:77" x14ac:dyDescent="0.2">
      <c r="A57" s="2" t="s">
        <v>270</v>
      </c>
      <c r="B57" s="2">
        <v>1</v>
      </c>
      <c r="C57" s="2" t="str" cm="1">
        <f t="array" ref="C57">_xlfn.IFS(B57&lt;3, "1", B57&lt;7, "2", B57&lt;12, "3", B57&lt;18, "4", B57&gt;18, "Fehler")</f>
        <v>1</v>
      </c>
      <c r="D57" s="4">
        <f>IF(COUNTIF($C$2:C57,C57),COUNTIF($C$2:C57,C57),"")</f>
        <v>29</v>
      </c>
      <c r="E57" s="2">
        <v>2</v>
      </c>
      <c r="I57" s="2">
        <v>0</v>
      </c>
      <c r="J57" s="2" t="s">
        <v>467</v>
      </c>
      <c r="O57" s="2">
        <f t="shared" si="12"/>
        <v>0</v>
      </c>
      <c r="P57" s="2">
        <f t="shared" si="13"/>
        <v>0</v>
      </c>
      <c r="S57" s="2">
        <v>2</v>
      </c>
      <c r="T57" s="2">
        <v>2</v>
      </c>
      <c r="W57" s="2" t="str">
        <f t="shared" si="3"/>
        <v>0</v>
      </c>
      <c r="AK57" s="5" t="e">
        <f t="shared" si="4"/>
        <v>#DIV/0!</v>
      </c>
      <c r="AL57" s="5" t="e">
        <f t="shared" si="5"/>
        <v>#DIV/0!</v>
      </c>
    </row>
    <row r="58" spans="1:77" x14ac:dyDescent="0.2">
      <c r="A58" s="2" t="s">
        <v>270</v>
      </c>
      <c r="B58" s="2">
        <v>1</v>
      </c>
      <c r="C58" s="2" t="str" cm="1">
        <f t="array" ref="C58">_xlfn.IFS(B58&lt;3, "1", B58&lt;7, "2", B58&lt;12, "3", B58&lt;18, "4", B58&gt;18, "Fehler")</f>
        <v>1</v>
      </c>
      <c r="D58" s="4">
        <f>IF(COUNTIF($C$2:C58,C58),COUNTIF($C$2:C58,C58),"")</f>
        <v>30</v>
      </c>
      <c r="E58" s="2">
        <v>2</v>
      </c>
      <c r="F58" s="2">
        <v>75</v>
      </c>
      <c r="G58" s="2">
        <v>8.5</v>
      </c>
      <c r="H58" s="2">
        <v>1</v>
      </c>
      <c r="I58" s="2">
        <v>0</v>
      </c>
      <c r="J58" s="2" t="s">
        <v>302</v>
      </c>
      <c r="O58" s="2">
        <f t="shared" si="12"/>
        <v>0</v>
      </c>
      <c r="P58" s="2">
        <f t="shared" si="13"/>
        <v>0</v>
      </c>
      <c r="Q58" s="2">
        <v>2</v>
      </c>
      <c r="R58" s="2">
        <v>1</v>
      </c>
      <c r="S58" s="2">
        <v>2</v>
      </c>
      <c r="T58" s="2">
        <v>2</v>
      </c>
      <c r="U58" s="2">
        <v>1</v>
      </c>
      <c r="W58" s="2" t="str">
        <f t="shared" si="3"/>
        <v>1</v>
      </c>
      <c r="AK58" s="5" t="e">
        <f t="shared" si="4"/>
        <v>#DIV/0!</v>
      </c>
      <c r="AL58" s="5" t="e">
        <f t="shared" si="5"/>
        <v>#DIV/0!</v>
      </c>
    </row>
    <row r="59" spans="1:77" x14ac:dyDescent="0.2">
      <c r="A59" s="2" t="s">
        <v>269</v>
      </c>
      <c r="B59" s="2">
        <v>6</v>
      </c>
      <c r="C59" s="2" t="str" cm="1">
        <f t="array" ref="C59">_xlfn.IFS(B59&lt;3, "1", B59&lt;7, "2", B59&lt;12, "3", B59&lt;18, "4", B59&gt;18, "Fehler")</f>
        <v>2</v>
      </c>
      <c r="D59" s="4">
        <f>IF(COUNTIF($C$2:C59,C59),COUNTIF($C$2:C59,C59),"")</f>
        <v>18</v>
      </c>
      <c r="E59" s="2">
        <v>2</v>
      </c>
      <c r="F59" s="2">
        <v>117</v>
      </c>
      <c r="G59" s="2">
        <v>20</v>
      </c>
      <c r="H59" s="2">
        <v>2</v>
      </c>
      <c r="I59" s="2">
        <v>0</v>
      </c>
      <c r="J59" s="2" t="s">
        <v>462</v>
      </c>
      <c r="K59" s="13">
        <v>0.33124999999999999</v>
      </c>
      <c r="L59" s="13">
        <v>0.35069444444444442</v>
      </c>
      <c r="M59" s="13">
        <v>0.34652777777777777</v>
      </c>
      <c r="N59" s="13">
        <v>0.34722222222222227</v>
      </c>
      <c r="O59" s="2">
        <f t="shared" si="12"/>
        <v>1.0000000000000764</v>
      </c>
      <c r="P59" s="2">
        <f t="shared" si="13"/>
        <v>27.999999999999979</v>
      </c>
      <c r="Q59" s="2">
        <v>1</v>
      </c>
      <c r="R59" s="2">
        <v>1</v>
      </c>
      <c r="S59" s="2">
        <v>2</v>
      </c>
      <c r="T59" s="2">
        <v>1</v>
      </c>
      <c r="U59" s="2">
        <v>2</v>
      </c>
      <c r="V59" s="2">
        <v>2</v>
      </c>
      <c r="W59" s="2" t="str">
        <f t="shared" si="3"/>
        <v>0</v>
      </c>
      <c r="X59" s="2">
        <v>1</v>
      </c>
      <c r="Y59" s="2">
        <v>1</v>
      </c>
      <c r="Z59" s="2">
        <v>1</v>
      </c>
      <c r="AA59" s="2">
        <v>0</v>
      </c>
      <c r="AD59" s="2">
        <v>22</v>
      </c>
      <c r="AE59" s="2">
        <v>22</v>
      </c>
      <c r="AF59" s="2">
        <v>998</v>
      </c>
      <c r="AG59" s="2">
        <v>0</v>
      </c>
      <c r="AH59" s="2">
        <v>2.5</v>
      </c>
      <c r="AI59" s="2">
        <v>200</v>
      </c>
      <c r="AJ59" s="2">
        <v>3700</v>
      </c>
      <c r="AK59" s="5">
        <f t="shared" si="4"/>
        <v>0</v>
      </c>
      <c r="AL59" s="5">
        <f t="shared" si="5"/>
        <v>6.7567567567567571E-4</v>
      </c>
      <c r="AM59" s="2">
        <v>1</v>
      </c>
      <c r="AN59" s="2">
        <v>80</v>
      </c>
      <c r="AO59" s="2">
        <v>1</v>
      </c>
      <c r="AP59" s="2">
        <v>1</v>
      </c>
      <c r="AQ59" s="2">
        <v>200</v>
      </c>
      <c r="AR59" s="2">
        <v>1</v>
      </c>
      <c r="AT59" s="2">
        <v>1</v>
      </c>
      <c r="AU59" s="2">
        <v>0</v>
      </c>
      <c r="AW59" s="2">
        <v>1</v>
      </c>
      <c r="AX59" s="2" t="s">
        <v>464</v>
      </c>
      <c r="AY59" s="2">
        <v>0</v>
      </c>
      <c r="BA59" s="2" t="s">
        <v>465</v>
      </c>
      <c r="BC59" s="2" t="s">
        <v>21</v>
      </c>
      <c r="BD59" s="2">
        <v>0</v>
      </c>
      <c r="BE59" s="2">
        <v>0</v>
      </c>
      <c r="BG59" s="2" t="s">
        <v>466</v>
      </c>
      <c r="BH59" s="2">
        <v>389</v>
      </c>
      <c r="BI59" s="2">
        <v>2</v>
      </c>
      <c r="BJ59" s="2" t="s">
        <v>375</v>
      </c>
      <c r="BK59" s="2">
        <v>0</v>
      </c>
      <c r="BL59" s="2">
        <v>4</v>
      </c>
      <c r="BM59" s="2">
        <v>2</v>
      </c>
      <c r="BN59" s="2">
        <v>2</v>
      </c>
      <c r="BO59" s="2">
        <v>0</v>
      </c>
    </row>
    <row r="60" spans="1:77" x14ac:dyDescent="0.2">
      <c r="A60" s="2" t="s">
        <v>269</v>
      </c>
      <c r="B60" s="2">
        <v>0</v>
      </c>
      <c r="C60" s="2" t="str" cm="1">
        <f t="array" ref="C60">_xlfn.IFS(B60&lt;3, "1", B60&lt;7, "2", B60&lt;12, "3", B60&lt;18, "4", B60&gt;18, "Fehler")</f>
        <v>1</v>
      </c>
      <c r="D60" s="4">
        <f>IF(COUNTIF($C$2:C60,C60),COUNTIF($C$2:C60,C60),"")</f>
        <v>31</v>
      </c>
      <c r="E60" s="2">
        <v>2</v>
      </c>
      <c r="F60" s="2">
        <v>55</v>
      </c>
      <c r="G60" s="2">
        <v>7</v>
      </c>
      <c r="H60" s="2">
        <v>1</v>
      </c>
      <c r="I60" s="2">
        <v>0</v>
      </c>
      <c r="J60" s="2" t="s">
        <v>463</v>
      </c>
      <c r="K60" s="13">
        <v>0.40277777777777773</v>
      </c>
      <c r="L60" s="13">
        <v>0.4465277777777778</v>
      </c>
      <c r="M60" s="13">
        <v>0.41736111111111113</v>
      </c>
      <c r="N60" s="13">
        <v>0.44097222222222227</v>
      </c>
      <c r="O60" s="2">
        <f t="shared" si="12"/>
        <v>34.000000000000043</v>
      </c>
      <c r="P60" s="2">
        <f t="shared" si="13"/>
        <v>63.000000000000099</v>
      </c>
      <c r="Q60" s="2">
        <v>1</v>
      </c>
      <c r="R60" s="2">
        <v>1</v>
      </c>
      <c r="S60" s="2">
        <v>2</v>
      </c>
      <c r="T60" s="2">
        <v>2</v>
      </c>
      <c r="U60" s="2">
        <v>1</v>
      </c>
      <c r="V60" s="2">
        <v>1</v>
      </c>
      <c r="W60" s="2" t="str">
        <f t="shared" si="3"/>
        <v>0</v>
      </c>
      <c r="X60" s="2">
        <v>0</v>
      </c>
      <c r="Y60" s="2">
        <v>0</v>
      </c>
      <c r="Z60" s="2">
        <v>1</v>
      </c>
      <c r="AA60" s="2">
        <v>1</v>
      </c>
      <c r="AB60" s="2">
        <v>1</v>
      </c>
      <c r="AC60" s="2">
        <v>1</v>
      </c>
      <c r="AD60" s="2">
        <v>43</v>
      </c>
      <c r="AF60" s="2">
        <v>998</v>
      </c>
      <c r="AG60" s="2" t="s">
        <v>330</v>
      </c>
      <c r="AH60" s="2" t="s">
        <v>330</v>
      </c>
      <c r="AI60" s="2">
        <v>60</v>
      </c>
      <c r="AJ60" s="2">
        <v>3000</v>
      </c>
      <c r="AK60" s="5" t="e">
        <f t="shared" si="4"/>
        <v>#VALUE!</v>
      </c>
      <c r="AL60" s="5" t="e">
        <f t="shared" si="5"/>
        <v>#VALUE!</v>
      </c>
      <c r="AM60" s="2">
        <v>1</v>
      </c>
      <c r="AN60" s="2">
        <v>35</v>
      </c>
      <c r="AO60" s="2">
        <v>1</v>
      </c>
      <c r="AP60" s="2">
        <v>1</v>
      </c>
      <c r="AQ60" s="2">
        <v>50</v>
      </c>
      <c r="AR60" s="2">
        <v>1</v>
      </c>
      <c r="AT60" s="2">
        <v>0</v>
      </c>
      <c r="AU60" s="2">
        <v>1</v>
      </c>
      <c r="AV60" s="2" t="s">
        <v>453</v>
      </c>
      <c r="AW60" s="2">
        <v>0</v>
      </c>
      <c r="AY60" s="2">
        <v>0</v>
      </c>
      <c r="BC60" s="2" t="s">
        <v>474</v>
      </c>
      <c r="BD60" s="2" t="s">
        <v>388</v>
      </c>
      <c r="BE60" s="2">
        <v>1</v>
      </c>
      <c r="BG60" s="2" t="s">
        <v>471</v>
      </c>
      <c r="BH60" s="2">
        <v>509</v>
      </c>
      <c r="BI60" s="2">
        <v>1</v>
      </c>
      <c r="BJ60" s="2" t="s">
        <v>469</v>
      </c>
      <c r="BK60" s="2">
        <v>0</v>
      </c>
      <c r="BL60" s="2">
        <v>5</v>
      </c>
      <c r="BM60" s="2">
        <v>3</v>
      </c>
      <c r="BN60" s="2">
        <v>2</v>
      </c>
      <c r="BO60" s="2">
        <v>0</v>
      </c>
    </row>
    <row r="61" spans="1:77" x14ac:dyDescent="0.2">
      <c r="A61" s="2" t="s">
        <v>269</v>
      </c>
      <c r="B61" s="2">
        <v>2</v>
      </c>
      <c r="C61" s="2" t="str" cm="1">
        <f t="array" ref="C61">_xlfn.IFS(B61&lt;3, "1", B61&lt;7, "2", B61&lt;12, "3", B61&lt;18, "4", B61&gt;18, "Fehler")</f>
        <v>1</v>
      </c>
      <c r="D61" s="4">
        <f>IF(COUNTIF($C$2:C61,C61),COUNTIF($C$2:C61,C61),"")</f>
        <v>32</v>
      </c>
      <c r="E61" s="2">
        <v>2</v>
      </c>
      <c r="F61" s="2">
        <v>90</v>
      </c>
      <c r="G61" s="2">
        <v>13</v>
      </c>
      <c r="H61" s="2">
        <v>1</v>
      </c>
      <c r="I61" s="2">
        <v>0</v>
      </c>
      <c r="J61" s="2" t="s">
        <v>302</v>
      </c>
      <c r="K61" s="13">
        <v>0.32708333333333334</v>
      </c>
      <c r="L61" s="13">
        <v>0.45069444444444445</v>
      </c>
      <c r="M61" s="13">
        <v>0.36527777777777781</v>
      </c>
      <c r="N61" s="13">
        <v>0.45</v>
      </c>
      <c r="O61" s="2">
        <f t="shared" si="12"/>
        <v>121.99999999999997</v>
      </c>
      <c r="P61" s="2">
        <f t="shared" si="13"/>
        <v>178</v>
      </c>
      <c r="Q61" s="2">
        <v>2</v>
      </c>
      <c r="R61" s="2">
        <v>1</v>
      </c>
      <c r="S61" s="2">
        <v>2</v>
      </c>
      <c r="T61" s="2">
        <v>1</v>
      </c>
      <c r="U61" s="2">
        <v>2</v>
      </c>
      <c r="V61" s="2">
        <v>2</v>
      </c>
      <c r="W61" s="2" t="str">
        <f t="shared" si="3"/>
        <v>0</v>
      </c>
      <c r="X61" s="2">
        <v>1</v>
      </c>
      <c r="Y61" s="2">
        <v>1</v>
      </c>
      <c r="Z61" s="2">
        <v>1</v>
      </c>
      <c r="AA61" s="2">
        <v>0</v>
      </c>
      <c r="AD61" s="2">
        <v>23</v>
      </c>
      <c r="AE61" s="2">
        <v>23</v>
      </c>
      <c r="AF61" s="2">
        <v>30</v>
      </c>
      <c r="AG61" s="2">
        <v>0</v>
      </c>
      <c r="AH61" s="2">
        <v>0</v>
      </c>
      <c r="AI61" s="2">
        <v>103</v>
      </c>
      <c r="AJ61" s="2">
        <v>2400</v>
      </c>
      <c r="AK61" s="5">
        <f t="shared" si="4"/>
        <v>0</v>
      </c>
      <c r="AL61" s="5">
        <f t="shared" si="5"/>
        <v>0</v>
      </c>
      <c r="AM61" s="2">
        <v>1</v>
      </c>
      <c r="AN61" s="2" t="s">
        <v>702</v>
      </c>
      <c r="AO61" s="2">
        <v>1</v>
      </c>
      <c r="AP61" s="2">
        <v>1</v>
      </c>
      <c r="AQ61" s="2">
        <v>150</v>
      </c>
      <c r="AR61" s="2">
        <v>1</v>
      </c>
      <c r="AT61" s="2">
        <v>0</v>
      </c>
      <c r="AU61" s="2">
        <v>0</v>
      </c>
      <c r="AW61" s="2">
        <v>0</v>
      </c>
      <c r="AY61" s="2">
        <v>0</v>
      </c>
      <c r="BA61" s="2" t="s">
        <v>486</v>
      </c>
      <c r="BC61" s="2" t="s">
        <v>487</v>
      </c>
      <c r="BD61" s="2">
        <v>2</v>
      </c>
      <c r="BE61" s="2">
        <v>0</v>
      </c>
      <c r="BG61" s="2" t="s">
        <v>399</v>
      </c>
      <c r="BH61" s="2">
        <v>338</v>
      </c>
      <c r="BI61" s="2">
        <v>1</v>
      </c>
      <c r="BJ61" s="2" t="s">
        <v>407</v>
      </c>
      <c r="BK61" s="2">
        <v>0</v>
      </c>
      <c r="BL61" s="2">
        <v>6</v>
      </c>
      <c r="BM61" s="2">
        <v>0</v>
      </c>
      <c r="BN61" s="2">
        <v>2</v>
      </c>
      <c r="BO61" s="2">
        <v>0</v>
      </c>
      <c r="BT61" s="2">
        <v>0</v>
      </c>
    </row>
    <row r="62" spans="1:77" x14ac:dyDescent="0.2">
      <c r="A62" s="2" t="s">
        <v>270</v>
      </c>
      <c r="B62" s="2">
        <v>1</v>
      </c>
      <c r="C62" s="2" t="str" cm="1">
        <f t="array" ref="C62">_xlfn.IFS(B62&lt;3, "1", B62&lt;7, "2", B62&lt;12, "3", B62&lt;18, "4", B62&gt;18, "Fehler")</f>
        <v>1</v>
      </c>
      <c r="D62" s="4">
        <f>IF(COUNTIF($C$2:C62,C62),COUNTIF($C$2:C62,C62),"")</f>
        <v>33</v>
      </c>
      <c r="E62" s="2">
        <v>2</v>
      </c>
      <c r="F62" s="2">
        <v>86</v>
      </c>
      <c r="G62" s="2">
        <v>11</v>
      </c>
      <c r="H62" s="2">
        <v>1</v>
      </c>
      <c r="I62" s="2">
        <v>0</v>
      </c>
      <c r="J62" s="2" t="s">
        <v>408</v>
      </c>
      <c r="Q62" s="2">
        <v>2</v>
      </c>
      <c r="R62" s="2">
        <v>1</v>
      </c>
      <c r="S62" s="2">
        <v>2</v>
      </c>
      <c r="T62" s="2">
        <v>2</v>
      </c>
      <c r="U62" s="2">
        <v>1</v>
      </c>
      <c r="W62" s="2" t="str">
        <f t="shared" si="3"/>
        <v>1</v>
      </c>
      <c r="AK62" s="5" t="e">
        <f t="shared" si="4"/>
        <v>#DIV/0!</v>
      </c>
      <c r="AL62" s="5" t="e">
        <f t="shared" si="5"/>
        <v>#DIV/0!</v>
      </c>
    </row>
    <row r="63" spans="1:77" x14ac:dyDescent="0.2">
      <c r="A63" s="2" t="s">
        <v>269</v>
      </c>
      <c r="B63" s="2">
        <v>0</v>
      </c>
      <c r="C63" s="2" t="str" cm="1">
        <f t="array" ref="C63">_xlfn.IFS(B63&lt;3, "1", B63&lt;7, "2", B63&lt;12, "3", B63&lt;18, "4", B63&gt;18, "Fehler")</f>
        <v>1</v>
      </c>
      <c r="D63" s="4">
        <f>IF(COUNTIF($C$2:C63,C63),COUNTIF($C$2:C63,C63),"")</f>
        <v>34</v>
      </c>
      <c r="E63" s="2">
        <v>2</v>
      </c>
      <c r="F63" s="2">
        <v>62</v>
      </c>
      <c r="G63" s="2">
        <v>6</v>
      </c>
      <c r="H63" s="2">
        <v>1</v>
      </c>
      <c r="I63" s="2">
        <v>0</v>
      </c>
      <c r="J63" s="2" t="s">
        <v>463</v>
      </c>
      <c r="K63" s="13">
        <v>0.32500000000000001</v>
      </c>
      <c r="L63" s="13">
        <v>0.3840277777777778</v>
      </c>
      <c r="M63" s="13">
        <v>0.35069444444444442</v>
      </c>
      <c r="N63" s="13">
        <v>0.37847222222222227</v>
      </c>
      <c r="O63" s="2">
        <f t="shared" si="12"/>
        <v>40.000000000000099</v>
      </c>
      <c r="P63" s="2">
        <f t="shared" si="13"/>
        <v>85.000000000000014</v>
      </c>
      <c r="Q63" s="2">
        <v>2</v>
      </c>
      <c r="R63" s="2">
        <v>1</v>
      </c>
      <c r="S63" s="2">
        <v>2</v>
      </c>
      <c r="T63" s="2">
        <v>1</v>
      </c>
      <c r="U63" s="2">
        <v>1.5</v>
      </c>
      <c r="V63" s="2">
        <v>1.5</v>
      </c>
      <c r="W63" s="2" t="str">
        <f t="shared" si="3"/>
        <v>0</v>
      </c>
      <c r="X63" s="2">
        <v>1</v>
      </c>
      <c r="Y63" s="2">
        <v>1</v>
      </c>
      <c r="Z63" s="2">
        <v>1</v>
      </c>
      <c r="AA63" s="2">
        <v>0</v>
      </c>
      <c r="AB63" s="2">
        <v>1.5</v>
      </c>
      <c r="AC63" s="2">
        <v>1</v>
      </c>
      <c r="AD63" s="2">
        <v>31</v>
      </c>
      <c r="AE63" s="2">
        <v>31</v>
      </c>
      <c r="AF63" s="2">
        <v>25</v>
      </c>
      <c r="AG63" s="2">
        <v>87</v>
      </c>
      <c r="AH63" s="2">
        <v>1.3</v>
      </c>
      <c r="AI63" s="2">
        <v>70</v>
      </c>
      <c r="AJ63" s="2">
        <v>2100</v>
      </c>
      <c r="AK63" s="5">
        <f t="shared" si="4"/>
        <v>1.2428571428571429</v>
      </c>
      <c r="AL63" s="5">
        <f t="shared" si="5"/>
        <v>6.1904761904761911E-4</v>
      </c>
      <c r="AM63" s="2">
        <v>5</v>
      </c>
      <c r="AO63" s="2">
        <v>1</v>
      </c>
      <c r="AP63" s="2">
        <v>1</v>
      </c>
      <c r="AQ63" s="2">
        <v>50</v>
      </c>
      <c r="AR63" s="2">
        <v>1</v>
      </c>
      <c r="AT63" s="2">
        <v>0</v>
      </c>
      <c r="AU63" s="2">
        <v>0</v>
      </c>
      <c r="AW63" s="2">
        <v>1</v>
      </c>
      <c r="AX63" s="2" t="s">
        <v>472</v>
      </c>
      <c r="AY63" s="2">
        <v>0</v>
      </c>
      <c r="BA63" s="2" t="s">
        <v>473</v>
      </c>
      <c r="BC63" s="2" t="s">
        <v>21</v>
      </c>
      <c r="BD63" s="2" t="s">
        <v>388</v>
      </c>
      <c r="BE63" s="2">
        <v>0</v>
      </c>
      <c r="BG63" s="2" t="s">
        <v>442</v>
      </c>
      <c r="BH63" s="2">
        <v>2</v>
      </c>
      <c r="BI63" s="2">
        <v>2</v>
      </c>
      <c r="BJ63" s="2" t="s">
        <v>475</v>
      </c>
      <c r="BK63" s="2">
        <v>1</v>
      </c>
      <c r="BL63" s="2">
        <v>44</v>
      </c>
      <c r="BM63" s="2">
        <v>0</v>
      </c>
      <c r="BN63" s="2">
        <v>0</v>
      </c>
      <c r="BO63" s="2">
        <v>0</v>
      </c>
    </row>
    <row r="64" spans="1:77" x14ac:dyDescent="0.2">
      <c r="A64" s="2" t="s">
        <v>269</v>
      </c>
      <c r="B64" s="2">
        <v>1</v>
      </c>
      <c r="C64" s="2" t="str" cm="1">
        <f t="array" ref="C64">_xlfn.IFS(B64&lt;3, "1", B64&lt;7, "2", B64&lt;12, "3", B64&lt;18, "4", B64&gt;18, "Fehler")</f>
        <v>1</v>
      </c>
      <c r="D64" s="4">
        <f>IF(COUNTIF($C$2:C64,C64),COUNTIF($C$2:C64,C64),"")</f>
        <v>35</v>
      </c>
      <c r="E64" s="2">
        <v>2</v>
      </c>
      <c r="F64" s="2">
        <v>80</v>
      </c>
      <c r="G64" s="2">
        <v>10</v>
      </c>
      <c r="H64" s="2">
        <v>2</v>
      </c>
      <c r="I64" s="2">
        <v>0</v>
      </c>
      <c r="J64" s="2" t="s">
        <v>463</v>
      </c>
      <c r="K64" s="13">
        <v>0.33055555555555555</v>
      </c>
      <c r="L64" s="13">
        <v>0.3756944444444445</v>
      </c>
      <c r="M64" s="13">
        <v>0.35069444444444442</v>
      </c>
      <c r="N64" s="13">
        <v>0.37152777777777773</v>
      </c>
      <c r="O64" s="2">
        <f t="shared" si="12"/>
        <v>29.999999999999972</v>
      </c>
      <c r="P64" s="2">
        <f t="shared" si="13"/>
        <v>65.000000000000085</v>
      </c>
      <c r="Q64" s="2">
        <v>2</v>
      </c>
      <c r="R64" s="2">
        <v>1</v>
      </c>
      <c r="S64" s="2">
        <v>2</v>
      </c>
      <c r="T64" s="2">
        <v>1</v>
      </c>
      <c r="U64" s="2">
        <v>2</v>
      </c>
      <c r="V64" s="2">
        <v>1.5</v>
      </c>
      <c r="W64" s="2" t="str">
        <f t="shared" si="3"/>
        <v>1</v>
      </c>
      <c r="X64" s="2">
        <v>1</v>
      </c>
      <c r="Y64" s="2">
        <v>1</v>
      </c>
      <c r="Z64" s="2">
        <v>1</v>
      </c>
      <c r="AA64" s="2">
        <v>0</v>
      </c>
      <c r="AD64" s="2">
        <v>24</v>
      </c>
      <c r="AE64" s="2">
        <v>24</v>
      </c>
      <c r="AF64" s="2">
        <v>32</v>
      </c>
      <c r="AG64" s="2">
        <v>0</v>
      </c>
      <c r="AH64" s="2">
        <v>0</v>
      </c>
      <c r="AI64" s="2">
        <v>110</v>
      </c>
      <c r="AJ64" s="2">
        <v>2800</v>
      </c>
      <c r="AK64" s="5">
        <f t="shared" si="4"/>
        <v>0</v>
      </c>
      <c r="AL64" s="5">
        <f t="shared" si="5"/>
        <v>0</v>
      </c>
      <c r="AM64" s="2">
        <v>1</v>
      </c>
      <c r="AN64" s="2">
        <v>40</v>
      </c>
      <c r="AO64" s="2">
        <v>1</v>
      </c>
      <c r="AP64" s="2">
        <v>1</v>
      </c>
      <c r="AQ64" s="2">
        <v>150</v>
      </c>
      <c r="AR64" s="2">
        <v>1</v>
      </c>
      <c r="AT64" s="2">
        <v>0</v>
      </c>
      <c r="AU64" s="2">
        <v>0</v>
      </c>
      <c r="AW64" s="2">
        <v>0</v>
      </c>
      <c r="AY64" s="2">
        <v>0</v>
      </c>
      <c r="BA64" s="2" t="s">
        <v>456</v>
      </c>
      <c r="BC64" s="2" t="s">
        <v>21</v>
      </c>
      <c r="BD64" s="2">
        <v>0</v>
      </c>
      <c r="BE64" s="2">
        <v>0</v>
      </c>
      <c r="BG64" s="2" t="s">
        <v>488</v>
      </c>
      <c r="BH64" s="2">
        <v>471</v>
      </c>
      <c r="BI64" s="2">
        <v>2</v>
      </c>
      <c r="BJ64" s="2" t="s">
        <v>375</v>
      </c>
      <c r="BK64" s="2">
        <v>0</v>
      </c>
      <c r="BL64" s="2">
        <v>5</v>
      </c>
      <c r="BM64" s="2">
        <v>0</v>
      </c>
      <c r="BN64" s="2">
        <v>2</v>
      </c>
      <c r="BO64" s="2">
        <v>0</v>
      </c>
      <c r="BT64" s="2">
        <v>0</v>
      </c>
      <c r="BY64" s="2" t="s">
        <v>489</v>
      </c>
    </row>
    <row r="65" spans="1:77" x14ac:dyDescent="0.2">
      <c r="A65" s="2" t="s">
        <v>270</v>
      </c>
      <c r="B65" s="2">
        <v>1</v>
      </c>
      <c r="C65" s="2" t="str" cm="1">
        <f t="array" ref="C65">_xlfn.IFS(B65&lt;3, "1", B65&lt;7, "2", B65&lt;12, "3", B65&lt;18, "4", B65&gt;18, "Fehler")</f>
        <v>1</v>
      </c>
      <c r="D65" s="4">
        <f>IF(COUNTIF($C$2:C65,C65),COUNTIF($C$2:C65,C65),"")</f>
        <v>36</v>
      </c>
      <c r="E65" s="2">
        <v>2</v>
      </c>
      <c r="F65" s="2">
        <v>80</v>
      </c>
      <c r="G65" s="2">
        <v>10</v>
      </c>
      <c r="H65" s="2">
        <v>1</v>
      </c>
      <c r="I65" s="2">
        <v>0</v>
      </c>
      <c r="J65" s="2" t="s">
        <v>470</v>
      </c>
      <c r="Q65" s="2">
        <v>2</v>
      </c>
      <c r="R65" s="2">
        <v>1</v>
      </c>
      <c r="S65" s="2">
        <v>2</v>
      </c>
      <c r="T65" s="2">
        <v>2</v>
      </c>
      <c r="U65" s="2">
        <v>1</v>
      </c>
      <c r="W65" s="2" t="str">
        <f t="shared" si="3"/>
        <v>1</v>
      </c>
      <c r="AK65" s="5" t="e">
        <f t="shared" si="4"/>
        <v>#DIV/0!</v>
      </c>
      <c r="AL65" s="5" t="e">
        <f t="shared" si="5"/>
        <v>#DIV/0!</v>
      </c>
    </row>
    <row r="66" spans="1:77" x14ac:dyDescent="0.2">
      <c r="A66" s="2" t="s">
        <v>269</v>
      </c>
      <c r="B66" s="2">
        <v>1</v>
      </c>
      <c r="C66" s="2" t="str" cm="1">
        <f t="array" ref="C66">_xlfn.IFS(B66&lt;3, "1", B66&lt;7, "2", B66&lt;12, "3", B66&lt;18, "4", B66&gt;18, "Fehler")</f>
        <v>1</v>
      </c>
      <c r="D66" s="4">
        <f>IF(COUNTIF($C$2:C66,C66),COUNTIF($C$2:C66,C66),"")</f>
        <v>37</v>
      </c>
      <c r="E66" s="2">
        <v>2</v>
      </c>
      <c r="F66" s="2">
        <v>80</v>
      </c>
      <c r="G66" s="2">
        <v>13</v>
      </c>
      <c r="H66" s="2">
        <v>1</v>
      </c>
      <c r="I66" s="2">
        <v>0</v>
      </c>
      <c r="J66" s="2" t="s">
        <v>467</v>
      </c>
      <c r="K66" s="13">
        <v>0.35416666666666669</v>
      </c>
      <c r="L66" s="13">
        <v>0.41319444444444442</v>
      </c>
      <c r="M66" s="13">
        <v>0.38055555555555554</v>
      </c>
      <c r="N66" s="13">
        <v>0.40625</v>
      </c>
      <c r="O66" s="2">
        <f t="shared" si="12"/>
        <v>37.000000000000028</v>
      </c>
      <c r="P66" s="2">
        <f t="shared" si="13"/>
        <v>84.999999999999943</v>
      </c>
      <c r="Q66" s="2">
        <v>2</v>
      </c>
      <c r="R66" s="2">
        <v>1</v>
      </c>
      <c r="S66" s="2">
        <v>2</v>
      </c>
      <c r="T66" s="2">
        <v>1</v>
      </c>
      <c r="U66" s="2">
        <v>2</v>
      </c>
      <c r="V66" s="2">
        <v>2</v>
      </c>
      <c r="W66" s="2" t="str">
        <f t="shared" si="3"/>
        <v>0</v>
      </c>
      <c r="X66" s="2">
        <v>1</v>
      </c>
      <c r="Y66" s="2">
        <v>1</v>
      </c>
      <c r="Z66" s="2">
        <v>1</v>
      </c>
      <c r="AA66" s="2">
        <v>0</v>
      </c>
      <c r="AB66" s="2">
        <v>2</v>
      </c>
      <c r="AC66" s="2">
        <v>1</v>
      </c>
      <c r="AD66" s="2">
        <v>24</v>
      </c>
      <c r="AE66" s="2">
        <v>24</v>
      </c>
      <c r="AF66" s="2">
        <v>20</v>
      </c>
      <c r="AG66" s="2">
        <v>0</v>
      </c>
      <c r="AH66" s="2">
        <v>0</v>
      </c>
      <c r="AI66" s="2">
        <v>109</v>
      </c>
      <c r="AJ66" s="2">
        <v>2200</v>
      </c>
      <c r="AK66" s="5">
        <f t="shared" si="4"/>
        <v>0</v>
      </c>
      <c r="AL66" s="5">
        <f t="shared" si="5"/>
        <v>0</v>
      </c>
      <c r="AM66" s="2">
        <v>3</v>
      </c>
      <c r="AN66" s="2">
        <v>50</v>
      </c>
      <c r="AO66" s="2">
        <v>1</v>
      </c>
      <c r="AP66" s="2">
        <v>1</v>
      </c>
      <c r="AQ66" s="2">
        <v>300</v>
      </c>
      <c r="AR66" s="2">
        <v>1</v>
      </c>
      <c r="AT66" s="2">
        <v>0</v>
      </c>
      <c r="AU66" s="2">
        <v>0</v>
      </c>
      <c r="AW66" s="2">
        <v>0</v>
      </c>
      <c r="AY66" s="2">
        <v>0</v>
      </c>
      <c r="BA66" s="2" t="s">
        <v>477</v>
      </c>
      <c r="BG66" s="2" t="s">
        <v>395</v>
      </c>
      <c r="BH66" s="2">
        <v>449</v>
      </c>
      <c r="BI66" s="2">
        <v>1</v>
      </c>
      <c r="BJ66" s="2" t="s">
        <v>375</v>
      </c>
      <c r="BK66" s="2">
        <v>0</v>
      </c>
      <c r="BL66" s="2">
        <v>3</v>
      </c>
      <c r="BM66" s="2">
        <v>0</v>
      </c>
      <c r="BN66" s="2">
        <v>2</v>
      </c>
      <c r="BO66" s="2">
        <v>0</v>
      </c>
      <c r="BT66" s="2">
        <v>0</v>
      </c>
    </row>
    <row r="67" spans="1:77" x14ac:dyDescent="0.2">
      <c r="A67" s="2" t="s">
        <v>269</v>
      </c>
      <c r="B67" s="2">
        <v>5</v>
      </c>
      <c r="C67" s="2" t="str" cm="1">
        <f t="array" ref="C67">_xlfn.IFS(B67&lt;3, "1", B67&lt;7, "2", B67&lt;12, "3", B67&lt;18, "4", B67&gt;18, "Fehler")</f>
        <v>2</v>
      </c>
      <c r="D67" s="4">
        <f>IF(COUNTIF($C$2:C67,C67),COUNTIF($C$2:C67,C67),"")</f>
        <v>19</v>
      </c>
      <c r="E67" s="2">
        <v>2</v>
      </c>
      <c r="F67" s="2">
        <v>121</v>
      </c>
      <c r="G67" s="2">
        <v>26</v>
      </c>
      <c r="H67" s="2">
        <v>1</v>
      </c>
      <c r="I67" s="2">
        <v>0</v>
      </c>
      <c r="J67" s="2" t="s">
        <v>463</v>
      </c>
      <c r="K67" s="13">
        <v>0.45902777777777781</v>
      </c>
      <c r="L67" s="13">
        <v>0.51527777777777783</v>
      </c>
      <c r="M67" s="13">
        <v>0.47291666666666665</v>
      </c>
      <c r="N67" s="13">
        <v>0.50208333333333333</v>
      </c>
      <c r="O67" s="2">
        <f>(N67-M67)*1440</f>
        <v>42.000000000000014</v>
      </c>
      <c r="P67" s="2">
        <f>(L67-K67)*1440</f>
        <v>81.000000000000028</v>
      </c>
      <c r="Q67" s="2">
        <v>1</v>
      </c>
      <c r="R67" s="2">
        <v>1</v>
      </c>
      <c r="S67" s="2">
        <v>2</v>
      </c>
      <c r="T67" s="2">
        <v>1</v>
      </c>
      <c r="U67" s="2">
        <v>2.5</v>
      </c>
      <c r="V67" s="2">
        <v>2.5</v>
      </c>
      <c r="W67" s="2" t="str">
        <f t="shared" si="3"/>
        <v>0</v>
      </c>
      <c r="X67" s="2">
        <v>1</v>
      </c>
      <c r="Y67" s="2">
        <v>0</v>
      </c>
      <c r="Z67" s="2">
        <v>2</v>
      </c>
      <c r="AA67" s="2">
        <v>0</v>
      </c>
      <c r="AD67" s="2">
        <v>37</v>
      </c>
      <c r="AE67" s="2">
        <v>37</v>
      </c>
      <c r="AF67" s="2">
        <v>33</v>
      </c>
      <c r="AG67" s="2">
        <v>6</v>
      </c>
      <c r="AH67" s="2">
        <v>10</v>
      </c>
      <c r="AI67" s="2">
        <v>217</v>
      </c>
      <c r="AJ67" s="2">
        <v>3500</v>
      </c>
      <c r="AK67" s="5">
        <f t="shared" si="4"/>
        <v>2.7649769585253458E-2</v>
      </c>
      <c r="AL67" s="5">
        <f t="shared" si="5"/>
        <v>2.8571428571428571E-3</v>
      </c>
      <c r="AM67" s="2">
        <v>1</v>
      </c>
      <c r="AN67" s="2" t="s">
        <v>703</v>
      </c>
      <c r="AO67" s="2">
        <v>1</v>
      </c>
      <c r="AP67" s="2">
        <v>1</v>
      </c>
      <c r="AQ67" s="2">
        <v>500</v>
      </c>
      <c r="AR67" s="2">
        <v>1</v>
      </c>
      <c r="AT67" s="2">
        <v>1</v>
      </c>
      <c r="AU67" s="2">
        <v>1</v>
      </c>
      <c r="AV67" s="2" t="s">
        <v>481</v>
      </c>
      <c r="AW67" s="2">
        <v>0</v>
      </c>
      <c r="AY67" s="2">
        <v>0</v>
      </c>
      <c r="BA67" s="2" t="s">
        <v>482</v>
      </c>
      <c r="BC67" s="2" t="s">
        <v>21</v>
      </c>
      <c r="BD67" s="2">
        <v>0</v>
      </c>
      <c r="BE67" s="2">
        <v>0</v>
      </c>
      <c r="BG67" s="2" t="s">
        <v>452</v>
      </c>
      <c r="BH67" s="2">
        <v>553</v>
      </c>
      <c r="BI67" s="2">
        <v>1</v>
      </c>
      <c r="BJ67" s="2" t="s">
        <v>483</v>
      </c>
      <c r="BK67" s="2">
        <v>1</v>
      </c>
      <c r="BL67" s="2">
        <v>7</v>
      </c>
      <c r="BM67" s="2">
        <v>1</v>
      </c>
      <c r="BN67" s="2">
        <v>2</v>
      </c>
      <c r="BO67" s="2">
        <v>0</v>
      </c>
      <c r="BT67" s="2">
        <v>0</v>
      </c>
    </row>
    <row r="68" spans="1:77" x14ac:dyDescent="0.2">
      <c r="A68" s="2" t="s">
        <v>270</v>
      </c>
      <c r="B68" s="2">
        <v>5</v>
      </c>
      <c r="C68" s="2" t="str" cm="1">
        <f t="array" ref="C68">_xlfn.IFS(B68&lt;3, "1", B68&lt;7, "2", B68&lt;12, "3", B68&lt;18, "4", B68&gt;18, "Fehler")</f>
        <v>2</v>
      </c>
      <c r="D68" s="4">
        <f>IF(COUNTIF($C$2:C68,C68),COUNTIF($C$2:C68,C68),"")</f>
        <v>20</v>
      </c>
      <c r="E68" s="2">
        <v>1</v>
      </c>
      <c r="F68" s="2">
        <v>97</v>
      </c>
      <c r="G68" s="2">
        <v>14</v>
      </c>
      <c r="H68" s="2">
        <v>1</v>
      </c>
      <c r="I68" s="2">
        <v>1</v>
      </c>
      <c r="J68" s="2" t="s">
        <v>438</v>
      </c>
      <c r="Q68" s="2">
        <v>2</v>
      </c>
      <c r="R68" s="2">
        <v>1</v>
      </c>
      <c r="S68" s="2">
        <v>2</v>
      </c>
      <c r="T68" s="2">
        <v>2</v>
      </c>
      <c r="U68" s="2">
        <v>2</v>
      </c>
      <c r="W68" s="2" t="str">
        <f t="shared" si="3"/>
        <v>1</v>
      </c>
      <c r="AK68" s="5" t="e">
        <f t="shared" si="4"/>
        <v>#DIV/0!</v>
      </c>
      <c r="AL68" s="5" t="e">
        <f t="shared" si="5"/>
        <v>#DIV/0!</v>
      </c>
    </row>
    <row r="69" spans="1:77" x14ac:dyDescent="0.2">
      <c r="A69" s="2" t="s">
        <v>269</v>
      </c>
      <c r="B69" s="2">
        <v>1</v>
      </c>
      <c r="C69" s="2" t="str" cm="1">
        <f t="array" ref="C69">_xlfn.IFS(B69&lt;3, "1", B69&lt;7, "2", B69&lt;12, "3", B69&lt;18, "4", B69&gt;18, "Fehler")</f>
        <v>1</v>
      </c>
      <c r="D69" s="4">
        <f>IF(COUNTIF($C$2:C69,C69),COUNTIF($C$2:C69,C69),"")</f>
        <v>38</v>
      </c>
      <c r="E69" s="2">
        <v>2</v>
      </c>
      <c r="F69" s="2">
        <v>78</v>
      </c>
      <c r="G69" s="2">
        <v>9.5</v>
      </c>
      <c r="H69" s="2">
        <v>2</v>
      </c>
      <c r="I69" s="2">
        <v>0</v>
      </c>
      <c r="J69" s="2" t="s">
        <v>467</v>
      </c>
      <c r="K69" s="13">
        <v>0.47847222222222219</v>
      </c>
      <c r="L69" s="13">
        <v>0.55902777777777779</v>
      </c>
      <c r="M69" s="13">
        <v>0.5</v>
      </c>
      <c r="N69" s="13">
        <v>0.55555555555555558</v>
      </c>
      <c r="O69" s="2">
        <f>(N69-M69)*1440</f>
        <v>80.000000000000028</v>
      </c>
      <c r="P69" s="2">
        <f>(L69-K69)*1440</f>
        <v>116.00000000000007</v>
      </c>
      <c r="Q69" s="2">
        <v>1</v>
      </c>
      <c r="R69" s="2">
        <v>1</v>
      </c>
      <c r="S69" s="2">
        <v>2</v>
      </c>
      <c r="T69" s="2">
        <v>1</v>
      </c>
      <c r="U69" s="2">
        <v>1.5</v>
      </c>
      <c r="V69" s="2">
        <v>2</v>
      </c>
      <c r="W69" s="2" t="str">
        <f t="shared" si="3"/>
        <v>1</v>
      </c>
      <c r="X69" s="2">
        <v>1</v>
      </c>
      <c r="Y69" s="2">
        <v>1</v>
      </c>
      <c r="Z69" s="2">
        <v>1</v>
      </c>
      <c r="AA69" s="2">
        <v>0</v>
      </c>
      <c r="AD69" s="2">
        <v>19</v>
      </c>
      <c r="AE69" s="2">
        <v>19</v>
      </c>
      <c r="AF69" s="2">
        <v>30</v>
      </c>
      <c r="AG69" s="2">
        <v>4</v>
      </c>
      <c r="AH69" s="2">
        <v>100</v>
      </c>
      <c r="AI69" s="2">
        <v>78</v>
      </c>
      <c r="AJ69" s="2">
        <v>1600</v>
      </c>
      <c r="AK69" s="5">
        <f t="shared" si="4"/>
        <v>5.128205128205128E-2</v>
      </c>
      <c r="AL69" s="5">
        <f t="shared" si="5"/>
        <v>6.25E-2</v>
      </c>
      <c r="AM69" s="2">
        <v>1</v>
      </c>
      <c r="AN69" s="2">
        <v>65</v>
      </c>
      <c r="AO69" s="2">
        <v>1</v>
      </c>
      <c r="AP69" s="2">
        <v>1</v>
      </c>
      <c r="AQ69" s="2">
        <v>320</v>
      </c>
      <c r="AR69" s="2">
        <v>1</v>
      </c>
      <c r="AT69" s="2">
        <v>0</v>
      </c>
      <c r="AU69" s="2">
        <v>0</v>
      </c>
      <c r="AW69" s="2">
        <v>0</v>
      </c>
      <c r="AY69" s="2">
        <v>0</v>
      </c>
      <c r="BA69" s="2" t="s">
        <v>490</v>
      </c>
      <c r="BC69" s="2" t="s">
        <v>21</v>
      </c>
      <c r="BD69" s="2">
        <v>0</v>
      </c>
      <c r="BE69" s="2">
        <v>0</v>
      </c>
      <c r="BG69" s="2" t="s">
        <v>280</v>
      </c>
      <c r="BH69" s="2">
        <v>429</v>
      </c>
      <c r="BI69" s="2">
        <v>2</v>
      </c>
      <c r="BJ69" s="2" t="s">
        <v>375</v>
      </c>
      <c r="BK69" s="2">
        <v>0</v>
      </c>
      <c r="BL69" s="2">
        <v>4</v>
      </c>
      <c r="BM69" s="2" t="s">
        <v>343</v>
      </c>
      <c r="BN69" s="2">
        <v>2</v>
      </c>
      <c r="BO69" s="2">
        <v>0</v>
      </c>
      <c r="BT69" s="2">
        <v>0</v>
      </c>
    </row>
    <row r="70" spans="1:77" x14ac:dyDescent="0.2">
      <c r="A70" s="2" t="s">
        <v>269</v>
      </c>
      <c r="B70" s="2">
        <v>2</v>
      </c>
      <c r="C70" s="2" t="str" cm="1">
        <f t="array" ref="C70">_xlfn.IFS(B70&lt;3, "1", B70&lt;7, "2", B70&lt;12, "3", B70&lt;18, "4", B70&gt;18, "Fehler")</f>
        <v>1</v>
      </c>
      <c r="D70" s="4">
        <f>IF(COUNTIF($C$2:C70,C70),COUNTIF($C$2:C70,C70),"")</f>
        <v>39</v>
      </c>
      <c r="E70" s="2">
        <v>2</v>
      </c>
      <c r="F70" s="2">
        <v>85</v>
      </c>
      <c r="G70" s="2">
        <v>11</v>
      </c>
      <c r="H70" s="2">
        <v>1</v>
      </c>
      <c r="I70" s="2">
        <v>0</v>
      </c>
      <c r="J70" s="2" t="s">
        <v>408</v>
      </c>
      <c r="K70" s="13">
        <v>0.47222222222222227</v>
      </c>
      <c r="L70" s="13">
        <v>0.5625</v>
      </c>
      <c r="M70" s="13">
        <v>0.51666666666666672</v>
      </c>
      <c r="N70" s="13">
        <v>0.56111111111111112</v>
      </c>
      <c r="O70" s="2">
        <f>(N70-M70)*1440</f>
        <v>63.999999999999929</v>
      </c>
      <c r="P70" s="2">
        <f>(L70-K70)*1440</f>
        <v>129.99999999999994</v>
      </c>
      <c r="Q70" s="2">
        <v>1</v>
      </c>
      <c r="R70" s="2">
        <v>1</v>
      </c>
      <c r="S70" s="2">
        <v>2</v>
      </c>
      <c r="T70" s="2">
        <v>1</v>
      </c>
      <c r="U70" s="2">
        <v>2</v>
      </c>
      <c r="V70" s="2">
        <v>2</v>
      </c>
      <c r="W70" s="2" t="str">
        <f t="shared" si="3"/>
        <v>0</v>
      </c>
      <c r="X70" s="2">
        <v>1</v>
      </c>
      <c r="Y70" s="2">
        <v>1</v>
      </c>
      <c r="Z70" s="2">
        <v>1</v>
      </c>
      <c r="AA70" s="2">
        <v>0</v>
      </c>
      <c r="AD70" s="2">
        <v>28</v>
      </c>
      <c r="AE70" s="2">
        <v>28</v>
      </c>
      <c r="AF70" s="2">
        <v>31</v>
      </c>
      <c r="AG70" s="2">
        <v>1</v>
      </c>
      <c r="AH70" s="2">
        <v>100</v>
      </c>
      <c r="AI70" s="2">
        <v>138</v>
      </c>
      <c r="AJ70" s="2">
        <v>3100</v>
      </c>
      <c r="AK70" s="5">
        <f t="shared" si="4"/>
        <v>7.246376811594203E-3</v>
      </c>
      <c r="AL70" s="5">
        <f t="shared" si="5"/>
        <v>3.2258064516129031E-2</v>
      </c>
      <c r="AM70" s="2">
        <v>1</v>
      </c>
      <c r="AN70" s="2" t="s">
        <v>704</v>
      </c>
      <c r="AO70" s="2">
        <v>1</v>
      </c>
      <c r="AP70" s="2">
        <v>1</v>
      </c>
      <c r="AQ70" s="2" t="s">
        <v>732</v>
      </c>
      <c r="AR70" s="2">
        <v>1</v>
      </c>
      <c r="AT70" s="2">
        <v>0</v>
      </c>
      <c r="AU70" s="2">
        <v>0</v>
      </c>
      <c r="AW70" s="2">
        <v>0</v>
      </c>
      <c r="AY70" s="2">
        <v>0</v>
      </c>
      <c r="BA70" s="2" t="s">
        <v>484</v>
      </c>
      <c r="BC70" s="2" t="s">
        <v>21</v>
      </c>
      <c r="BD70" s="2">
        <v>0</v>
      </c>
      <c r="BE70" s="2">
        <v>0</v>
      </c>
      <c r="BG70" s="2" t="s">
        <v>399</v>
      </c>
      <c r="BH70" s="2">
        <v>338</v>
      </c>
      <c r="BI70" s="2">
        <v>1</v>
      </c>
      <c r="BJ70" s="2" t="s">
        <v>485</v>
      </c>
      <c r="BK70" s="2">
        <v>0</v>
      </c>
      <c r="BL70" s="2">
        <v>6</v>
      </c>
      <c r="BM70" s="2">
        <v>0</v>
      </c>
      <c r="BN70" s="2">
        <v>2</v>
      </c>
      <c r="BO70" s="2">
        <v>0</v>
      </c>
      <c r="BT70" s="2">
        <v>0</v>
      </c>
    </row>
    <row r="71" spans="1:77" x14ac:dyDescent="0.2">
      <c r="A71" s="2" t="s">
        <v>270</v>
      </c>
      <c r="B71" s="2">
        <v>14</v>
      </c>
      <c r="C71" s="2" t="str" cm="1">
        <f t="array" ref="C71">_xlfn.IFS(B71&lt;3, "1", B71&lt;7, "2", B71&lt;12, "3", B71&lt;18, "4", B71&gt;18, "Fehler")</f>
        <v>4</v>
      </c>
      <c r="D71" s="4">
        <f>IF(COUNTIF($C$2:C71,C71),COUNTIF($C$2:C71,C71),"")</f>
        <v>6</v>
      </c>
      <c r="E71" s="2">
        <v>2</v>
      </c>
      <c r="J71" s="2" t="s">
        <v>476</v>
      </c>
      <c r="R71" s="2">
        <v>1</v>
      </c>
      <c r="S71" s="2">
        <v>1</v>
      </c>
      <c r="T71" s="2">
        <v>2</v>
      </c>
      <c r="W71" s="2" t="str">
        <f t="shared" si="3"/>
        <v>0</v>
      </c>
      <c r="AK71" s="5" t="e">
        <f t="shared" si="4"/>
        <v>#DIV/0!</v>
      </c>
      <c r="AL71" s="5" t="e">
        <f t="shared" si="5"/>
        <v>#DIV/0!</v>
      </c>
    </row>
    <row r="72" spans="1:77" x14ac:dyDescent="0.2">
      <c r="A72" s="2" t="s">
        <v>269</v>
      </c>
      <c r="B72" s="2">
        <v>4</v>
      </c>
      <c r="C72" s="2" t="str" cm="1">
        <f t="array" ref="C72">_xlfn.IFS(B72&lt;3, "1", B72&lt;7, "2", B72&lt;12, "3", B72&lt;18, "4", B72&gt;18, "Fehler")</f>
        <v>2</v>
      </c>
      <c r="D72" s="4">
        <f>IF(COUNTIF($C$2:C72,C72),COUNTIF($C$2:C72,C72),"")</f>
        <v>21</v>
      </c>
      <c r="E72" s="2">
        <v>2</v>
      </c>
      <c r="F72" s="2">
        <v>140</v>
      </c>
      <c r="G72" s="2">
        <v>22</v>
      </c>
      <c r="H72" s="2">
        <v>1</v>
      </c>
      <c r="I72" s="2">
        <v>0</v>
      </c>
      <c r="J72" s="2" t="s">
        <v>418</v>
      </c>
      <c r="K72" s="13">
        <v>0.35416666666666669</v>
      </c>
      <c r="L72" s="13">
        <v>0.43541666666666662</v>
      </c>
      <c r="M72" s="13">
        <v>0.38194444444444442</v>
      </c>
      <c r="N72" s="13">
        <v>0.42638888888888887</v>
      </c>
      <c r="O72" s="2">
        <f>(N72-M72)*1440</f>
        <v>64.000000000000014</v>
      </c>
      <c r="P72" s="2">
        <f>(L72-K72)*1440</f>
        <v>116.9999999999999</v>
      </c>
      <c r="Q72" s="2">
        <v>1</v>
      </c>
      <c r="R72" s="2">
        <v>1</v>
      </c>
      <c r="S72" s="2">
        <v>2</v>
      </c>
      <c r="T72" s="2">
        <v>1</v>
      </c>
      <c r="U72" s="2">
        <v>2.5</v>
      </c>
      <c r="V72" s="2">
        <v>2.5</v>
      </c>
      <c r="W72" s="2" t="str">
        <f t="shared" si="3"/>
        <v>0</v>
      </c>
      <c r="X72" s="2">
        <v>1</v>
      </c>
      <c r="Y72" s="2">
        <v>1</v>
      </c>
      <c r="Z72" s="2">
        <v>1</v>
      </c>
      <c r="AA72" s="2">
        <v>0</v>
      </c>
      <c r="AD72" s="2">
        <v>40</v>
      </c>
      <c r="AE72" s="2">
        <v>40</v>
      </c>
      <c r="AF72" s="2">
        <v>25</v>
      </c>
      <c r="AG72" s="2">
        <v>0</v>
      </c>
      <c r="AH72" s="2">
        <v>0</v>
      </c>
      <c r="AI72" s="2">
        <v>190</v>
      </c>
      <c r="AJ72" s="2">
        <v>4900</v>
      </c>
      <c r="AK72" s="5">
        <f t="shared" si="4"/>
        <v>0</v>
      </c>
      <c r="AL72" s="5">
        <f t="shared" si="5"/>
        <v>0</v>
      </c>
      <c r="AM72" s="2">
        <v>4</v>
      </c>
      <c r="AO72" s="2">
        <v>1</v>
      </c>
      <c r="AP72" s="2">
        <v>1</v>
      </c>
      <c r="AQ72" s="2">
        <v>200</v>
      </c>
      <c r="AR72" s="2">
        <v>1</v>
      </c>
      <c r="AT72" s="2">
        <v>0</v>
      </c>
      <c r="AU72" s="2">
        <v>0</v>
      </c>
      <c r="AW72" s="2">
        <v>0</v>
      </c>
      <c r="AY72" s="2">
        <v>0</v>
      </c>
      <c r="BA72" s="2" t="s">
        <v>479</v>
      </c>
      <c r="BC72" s="2" t="s">
        <v>21</v>
      </c>
      <c r="BD72" s="2">
        <v>0</v>
      </c>
      <c r="BE72" s="2">
        <v>0</v>
      </c>
      <c r="BG72" s="2" t="s">
        <v>452</v>
      </c>
      <c r="BH72" s="2">
        <v>553</v>
      </c>
      <c r="BI72" s="2">
        <v>1</v>
      </c>
      <c r="BJ72" s="2" t="s">
        <v>480</v>
      </c>
      <c r="BK72" s="2">
        <v>1</v>
      </c>
      <c r="BL72" s="2">
        <v>7</v>
      </c>
      <c r="BM72" s="2">
        <v>0</v>
      </c>
      <c r="BN72" s="2">
        <v>2</v>
      </c>
      <c r="BO72" s="2">
        <v>0</v>
      </c>
      <c r="BT72" s="2">
        <v>0</v>
      </c>
    </row>
    <row r="73" spans="1:77" x14ac:dyDescent="0.2">
      <c r="A73" s="2" t="s">
        <v>270</v>
      </c>
      <c r="B73" s="2">
        <v>1</v>
      </c>
      <c r="C73" s="2" t="str" cm="1">
        <f t="array" ref="C73">_xlfn.IFS(B73&lt;3, "1", B73&lt;7, "2", B73&lt;12, "3", B73&lt;18, "4", B73&gt;18, "Fehler")</f>
        <v>1</v>
      </c>
      <c r="D73" s="4">
        <f>IF(COUNTIF($C$2:C73,C73),COUNTIF($C$2:C73,C73),"")</f>
        <v>40</v>
      </c>
      <c r="E73" s="2">
        <v>2</v>
      </c>
      <c r="F73" s="2">
        <v>90</v>
      </c>
      <c r="G73" s="2">
        <v>13</v>
      </c>
      <c r="H73" s="2">
        <v>1</v>
      </c>
      <c r="I73" s="2">
        <v>0</v>
      </c>
      <c r="J73" s="2" t="s">
        <v>467</v>
      </c>
      <c r="Q73" s="2">
        <v>1</v>
      </c>
      <c r="R73" s="2">
        <v>1</v>
      </c>
      <c r="S73" s="2">
        <v>2</v>
      </c>
      <c r="T73" s="2">
        <v>2</v>
      </c>
      <c r="U73" s="2">
        <v>2</v>
      </c>
      <c r="W73" s="2" t="str">
        <f t="shared" si="3"/>
        <v>1</v>
      </c>
      <c r="AK73" s="5" t="e">
        <f t="shared" si="4"/>
        <v>#DIV/0!</v>
      </c>
      <c r="AL73" s="5" t="e">
        <f t="shared" si="5"/>
        <v>#DIV/0!</v>
      </c>
    </row>
    <row r="74" spans="1:77" x14ac:dyDescent="0.2">
      <c r="A74" s="2" t="s">
        <v>269</v>
      </c>
      <c r="B74" s="2">
        <v>2</v>
      </c>
      <c r="C74" s="2" t="str" cm="1">
        <f t="array" ref="C74">_xlfn.IFS(B74&lt;3, "1", B74&lt;7, "2", B74&lt;12, "3", B74&lt;18, "4", B74&gt;18, "Fehler")</f>
        <v>1</v>
      </c>
      <c r="D74" s="4">
        <f>IF(COUNTIF($C$2:C74,C74),COUNTIF($C$2:C74,C74),"")</f>
        <v>41</v>
      </c>
      <c r="E74" s="2">
        <v>1</v>
      </c>
      <c r="F74" s="2">
        <v>98</v>
      </c>
      <c r="G74" s="2">
        <v>15</v>
      </c>
      <c r="H74" s="2">
        <v>1</v>
      </c>
      <c r="I74" s="2">
        <v>0</v>
      </c>
      <c r="J74" s="2" t="s">
        <v>504</v>
      </c>
      <c r="K74" s="13">
        <v>0.34375</v>
      </c>
      <c r="L74" s="13">
        <v>0.38263888888888892</v>
      </c>
      <c r="M74" s="13">
        <v>0.36388888888888887</v>
      </c>
      <c r="N74" s="13">
        <v>0.37083333333333335</v>
      </c>
      <c r="O74" s="2">
        <f t="shared" ref="O74" si="14">(N74-M74)*1440</f>
        <v>10.000000000000044</v>
      </c>
      <c r="P74" s="2">
        <f t="shared" ref="P74" si="15">(L74-K74)*1440</f>
        <v>56.000000000000043</v>
      </c>
      <c r="Q74" s="2">
        <v>1</v>
      </c>
      <c r="R74" s="2">
        <v>1</v>
      </c>
      <c r="S74" s="2">
        <v>2</v>
      </c>
      <c r="T74" s="2">
        <v>1</v>
      </c>
      <c r="U74" s="2">
        <v>2</v>
      </c>
      <c r="V74" s="2">
        <v>2</v>
      </c>
      <c r="W74" s="2" t="str">
        <f t="shared" si="3"/>
        <v>0</v>
      </c>
      <c r="X74" s="2">
        <v>1</v>
      </c>
      <c r="Y74" s="2">
        <v>1</v>
      </c>
      <c r="Z74" s="2">
        <v>1</v>
      </c>
      <c r="AA74" s="2">
        <v>0</v>
      </c>
      <c r="AD74" s="2">
        <v>30</v>
      </c>
      <c r="AE74" s="2">
        <v>30</v>
      </c>
      <c r="AF74" s="2">
        <v>30</v>
      </c>
      <c r="AG74" s="2">
        <v>2</v>
      </c>
      <c r="AH74" s="2">
        <v>20</v>
      </c>
      <c r="AI74" s="2">
        <v>180</v>
      </c>
      <c r="AJ74" s="2">
        <v>2600</v>
      </c>
      <c r="AK74" s="5">
        <f t="shared" si="4"/>
        <v>1.1111111111111112E-2</v>
      </c>
      <c r="AL74" s="5">
        <f t="shared" si="5"/>
        <v>7.6923076923076927E-3</v>
      </c>
      <c r="AM74" s="2">
        <v>1</v>
      </c>
      <c r="AN74" s="2">
        <v>50</v>
      </c>
      <c r="AO74" s="2">
        <v>1</v>
      </c>
      <c r="AP74" s="2">
        <v>1</v>
      </c>
      <c r="AQ74" s="2">
        <v>150</v>
      </c>
      <c r="AR74" s="2">
        <v>1</v>
      </c>
      <c r="AT74" s="2">
        <v>0</v>
      </c>
      <c r="AU74" s="2">
        <v>0</v>
      </c>
      <c r="AW74" s="2">
        <v>0</v>
      </c>
      <c r="AY74" s="2">
        <v>0</v>
      </c>
      <c r="BA74" s="2" t="s">
        <v>505</v>
      </c>
      <c r="BC74" s="2" t="s">
        <v>506</v>
      </c>
      <c r="BD74" s="2">
        <v>0</v>
      </c>
      <c r="BE74" s="2">
        <v>0</v>
      </c>
      <c r="BG74" s="2" t="s">
        <v>507</v>
      </c>
      <c r="BH74" s="2">
        <v>448</v>
      </c>
      <c r="BI74" s="2">
        <v>1</v>
      </c>
      <c r="BJ74" s="2" t="s">
        <v>508</v>
      </c>
      <c r="BK74" s="2">
        <v>0</v>
      </c>
      <c r="BL74" s="2">
        <v>3.5</v>
      </c>
      <c r="BM74" s="2">
        <v>1</v>
      </c>
      <c r="BN74" s="2">
        <v>2</v>
      </c>
      <c r="BO74" s="2">
        <v>0</v>
      </c>
      <c r="BT74" s="2">
        <v>0</v>
      </c>
      <c r="BY74" s="2" t="s">
        <v>503</v>
      </c>
    </row>
    <row r="75" spans="1:77" x14ac:dyDescent="0.2">
      <c r="A75" s="2" t="s">
        <v>269</v>
      </c>
      <c r="B75" s="2">
        <v>9</v>
      </c>
      <c r="C75" s="2" t="str" cm="1">
        <f t="array" ref="C75">_xlfn.IFS(B75&lt;3, "1", B75&lt;7, "2", B75&lt;12, "3", B75&lt;18, "4", B75&gt;18, "Fehler")</f>
        <v>3</v>
      </c>
      <c r="D75" s="4">
        <f>IF(COUNTIF($C$2:C75,C75),COUNTIF($C$2:C75,C75),"")</f>
        <v>6</v>
      </c>
      <c r="E75" s="2">
        <v>2</v>
      </c>
      <c r="F75" s="2">
        <v>125</v>
      </c>
      <c r="G75" s="2">
        <v>20</v>
      </c>
      <c r="H75" s="2">
        <v>1</v>
      </c>
      <c r="I75" s="2">
        <v>0</v>
      </c>
      <c r="J75" s="2" t="s">
        <v>478</v>
      </c>
      <c r="K75" s="13">
        <v>0.65625</v>
      </c>
      <c r="L75" s="13">
        <v>0.73611111111111116</v>
      </c>
      <c r="M75" s="13">
        <v>0.69166666666666676</v>
      </c>
      <c r="N75" s="13">
        <v>0.72916666666666663</v>
      </c>
      <c r="O75" s="2">
        <f>(N75-M75)*1440</f>
        <v>53.999999999999808</v>
      </c>
      <c r="P75" s="2">
        <f>(L75-K75)*1440</f>
        <v>115.00000000000007</v>
      </c>
      <c r="Q75" s="2">
        <v>2</v>
      </c>
      <c r="R75" s="2">
        <v>1</v>
      </c>
      <c r="S75" s="2">
        <v>2</v>
      </c>
      <c r="T75" s="2">
        <v>2</v>
      </c>
      <c r="U75" s="2">
        <v>2</v>
      </c>
      <c r="V75" s="2">
        <v>2</v>
      </c>
      <c r="W75" s="2" t="str">
        <f t="shared" si="3"/>
        <v>0</v>
      </c>
      <c r="X75" s="2">
        <v>0</v>
      </c>
      <c r="Y75" s="2">
        <v>0</v>
      </c>
      <c r="Z75" s="2">
        <v>1</v>
      </c>
      <c r="AA75" s="2">
        <v>1</v>
      </c>
      <c r="AB75" s="2">
        <v>2.5</v>
      </c>
      <c r="AC75" s="2">
        <v>1</v>
      </c>
      <c r="AD75" s="2" t="s">
        <v>491</v>
      </c>
      <c r="AF75" s="2">
        <v>999</v>
      </c>
      <c r="AG75" s="2">
        <v>33</v>
      </c>
      <c r="AH75" s="2">
        <v>700</v>
      </c>
      <c r="AI75" s="2">
        <v>332</v>
      </c>
      <c r="AJ75" s="2">
        <v>5000</v>
      </c>
      <c r="AK75" s="5">
        <f t="shared" si="4"/>
        <v>9.9397590361445784E-2</v>
      </c>
      <c r="AL75" s="5">
        <f t="shared" si="5"/>
        <v>0.14000000000000001</v>
      </c>
      <c r="AM75" s="2">
        <v>1</v>
      </c>
      <c r="AN75" s="2">
        <v>100</v>
      </c>
      <c r="AO75" s="2">
        <v>1</v>
      </c>
      <c r="AP75" s="2">
        <v>2</v>
      </c>
      <c r="AQ75" s="2">
        <v>50</v>
      </c>
      <c r="AR75" s="2">
        <v>1</v>
      </c>
      <c r="AT75" s="2">
        <v>0</v>
      </c>
      <c r="AU75" s="2">
        <v>1</v>
      </c>
      <c r="AV75" s="2" t="s">
        <v>492</v>
      </c>
      <c r="AW75" s="2">
        <v>0</v>
      </c>
      <c r="AY75" s="2">
        <v>0</v>
      </c>
      <c r="BA75" s="2" t="s">
        <v>21</v>
      </c>
      <c r="BC75" s="2" t="s">
        <v>21</v>
      </c>
      <c r="BD75" s="2">
        <v>0</v>
      </c>
      <c r="BE75" s="2">
        <v>0</v>
      </c>
      <c r="BG75" s="2" t="s">
        <v>280</v>
      </c>
      <c r="BH75" s="2">
        <v>429</v>
      </c>
      <c r="BI75" s="2">
        <v>2</v>
      </c>
      <c r="BJ75" s="2" t="s">
        <v>375</v>
      </c>
      <c r="BK75" s="2">
        <v>0</v>
      </c>
      <c r="BL75" s="2">
        <v>4</v>
      </c>
      <c r="BM75" s="2" t="s">
        <v>343</v>
      </c>
      <c r="BN75" s="2">
        <v>2</v>
      </c>
      <c r="BO75" s="2">
        <v>0</v>
      </c>
      <c r="BT75" s="2">
        <v>0</v>
      </c>
    </row>
    <row r="76" spans="1:77" x14ac:dyDescent="0.2">
      <c r="A76" s="2" t="s">
        <v>269</v>
      </c>
      <c r="B76" s="2">
        <v>6</v>
      </c>
      <c r="C76" s="2" t="str" cm="1">
        <f t="array" ref="C76">_xlfn.IFS(B76&lt;3, "1", B76&lt;7, "2", B76&lt;12, "3", B76&lt;18, "4", B76&gt;18, "Fehler")</f>
        <v>2</v>
      </c>
      <c r="D76" s="4">
        <f>IF(COUNTIF($C$2:C76,C76),COUNTIF($C$2:C76,C76),"")</f>
        <v>22</v>
      </c>
      <c r="E76" s="2">
        <v>1</v>
      </c>
      <c r="F76" s="2">
        <v>115</v>
      </c>
      <c r="G76" s="2">
        <v>18</v>
      </c>
      <c r="H76" s="2">
        <v>2</v>
      </c>
      <c r="I76" s="2">
        <v>0</v>
      </c>
      <c r="J76" s="2" t="s">
        <v>391</v>
      </c>
      <c r="K76" s="13">
        <v>0.57986111111111105</v>
      </c>
      <c r="L76" s="13">
        <v>0.6118055555555556</v>
      </c>
      <c r="M76" s="13">
        <v>0.60416666666666663</v>
      </c>
      <c r="N76" s="13">
        <v>0.60833333333333328</v>
      </c>
      <c r="O76" s="2">
        <f>(N76-M76)*1440</f>
        <v>5.9999999999999787</v>
      </c>
      <c r="P76" s="2">
        <f>(L76-K76)*1440</f>
        <v>46.000000000000156</v>
      </c>
      <c r="Q76" s="2">
        <v>1</v>
      </c>
      <c r="R76" s="2">
        <v>1</v>
      </c>
      <c r="S76" s="2">
        <v>2</v>
      </c>
      <c r="T76" s="2">
        <v>2</v>
      </c>
      <c r="U76" s="2">
        <v>2</v>
      </c>
      <c r="V76" s="2">
        <v>2</v>
      </c>
      <c r="W76" s="2" t="str">
        <f t="shared" si="3"/>
        <v>0</v>
      </c>
      <c r="X76" s="2">
        <v>0</v>
      </c>
      <c r="Y76" s="2">
        <v>0</v>
      </c>
      <c r="Z76" s="2">
        <v>1</v>
      </c>
      <c r="AA76" s="2">
        <v>1</v>
      </c>
      <c r="AB76" s="2">
        <v>2</v>
      </c>
      <c r="AC76" s="2">
        <v>1</v>
      </c>
      <c r="AD76" s="2" t="s">
        <v>493</v>
      </c>
      <c r="AF76" s="2">
        <v>999</v>
      </c>
      <c r="AG76" s="2">
        <v>14</v>
      </c>
      <c r="AH76" s="2">
        <v>180</v>
      </c>
      <c r="AI76" s="2">
        <v>181</v>
      </c>
      <c r="AJ76" s="2">
        <v>3000</v>
      </c>
      <c r="AK76" s="5">
        <f t="shared" si="4"/>
        <v>7.7348066298342538E-2</v>
      </c>
      <c r="AL76" s="5">
        <f t="shared" si="5"/>
        <v>0.06</v>
      </c>
      <c r="AM76" s="2">
        <v>1</v>
      </c>
      <c r="AN76" s="2">
        <v>80</v>
      </c>
      <c r="AO76" s="2">
        <v>1</v>
      </c>
      <c r="AP76" s="2">
        <v>1</v>
      </c>
      <c r="AQ76" s="2">
        <v>200</v>
      </c>
      <c r="AR76" s="2">
        <v>1</v>
      </c>
      <c r="AT76" s="2">
        <v>0</v>
      </c>
      <c r="AU76" s="2">
        <v>1</v>
      </c>
      <c r="AV76" s="2" t="s">
        <v>453</v>
      </c>
      <c r="AW76" s="2">
        <v>0</v>
      </c>
      <c r="AY76" s="2">
        <v>0</v>
      </c>
      <c r="BA76" s="2" t="s">
        <v>394</v>
      </c>
      <c r="BC76" s="2" t="s">
        <v>21</v>
      </c>
      <c r="BD76" s="2">
        <v>0</v>
      </c>
      <c r="BE76" s="2">
        <v>0</v>
      </c>
      <c r="BG76" s="2" t="s">
        <v>280</v>
      </c>
      <c r="BH76" s="2">
        <v>429</v>
      </c>
      <c r="BI76" s="2">
        <v>2</v>
      </c>
      <c r="BJ76" s="2" t="s">
        <v>375</v>
      </c>
      <c r="BK76" s="2">
        <v>0</v>
      </c>
      <c r="BL76" s="2">
        <v>4</v>
      </c>
      <c r="BM76" s="2" t="s">
        <v>343</v>
      </c>
      <c r="BN76" s="2">
        <v>2</v>
      </c>
      <c r="BO76" s="2">
        <v>0</v>
      </c>
      <c r="BT76" s="2">
        <v>0</v>
      </c>
    </row>
    <row r="77" spans="1:77" x14ac:dyDescent="0.2">
      <c r="A77" s="2" t="s">
        <v>269</v>
      </c>
      <c r="B77" s="2">
        <v>0</v>
      </c>
      <c r="C77" s="2" t="str" cm="1">
        <f t="array" ref="C77">_xlfn.IFS(B77&lt;3, "1", B77&lt;7, "2", B77&lt;12, "3", B77&lt;18, "4", B77&gt;18, "Fehler")</f>
        <v>1</v>
      </c>
      <c r="D77" s="4">
        <f>IF(COUNTIF($C$2:C77,C77),COUNTIF($C$2:C77,C77),"")</f>
        <v>42</v>
      </c>
      <c r="E77" s="2">
        <v>2</v>
      </c>
      <c r="F77" s="2">
        <v>71</v>
      </c>
      <c r="G77" s="2">
        <v>9.5</v>
      </c>
      <c r="H77" s="2">
        <v>1</v>
      </c>
      <c r="I77" s="2">
        <v>0</v>
      </c>
      <c r="J77" s="2" t="s">
        <v>301</v>
      </c>
      <c r="K77" s="13">
        <v>0.48958333333333331</v>
      </c>
      <c r="L77" s="13">
        <v>0.56319444444444444</v>
      </c>
      <c r="M77" s="13">
        <v>0.51180555555555551</v>
      </c>
      <c r="N77" s="13">
        <v>0.55555555555555558</v>
      </c>
      <c r="O77" s="2">
        <f t="shared" ref="O77" si="16">(N77-M77)*1440</f>
        <v>63.000000000000099</v>
      </c>
      <c r="P77" s="2">
        <f t="shared" ref="P77" si="17">(L77-K77)*1440</f>
        <v>106.00000000000003</v>
      </c>
      <c r="Q77" s="2">
        <v>2</v>
      </c>
      <c r="R77" s="2">
        <v>1</v>
      </c>
      <c r="S77" s="2">
        <v>1</v>
      </c>
      <c r="T77" s="2">
        <v>2</v>
      </c>
      <c r="U77" s="2">
        <v>1</v>
      </c>
      <c r="V77" s="2">
        <v>1</v>
      </c>
      <c r="W77" s="2" t="str">
        <f t="shared" si="3"/>
        <v>0</v>
      </c>
      <c r="X77" s="2">
        <v>1</v>
      </c>
      <c r="Y77" s="2">
        <v>1</v>
      </c>
      <c r="Z77" s="2">
        <v>1</v>
      </c>
      <c r="AA77" s="2">
        <v>0</v>
      </c>
      <c r="AD77" s="2">
        <v>26</v>
      </c>
      <c r="AE77" s="2">
        <v>26</v>
      </c>
      <c r="AF77" s="2">
        <v>35</v>
      </c>
      <c r="AG77" s="2">
        <v>0</v>
      </c>
      <c r="AH77" s="2">
        <v>0</v>
      </c>
      <c r="AI77" s="2">
        <v>45</v>
      </c>
      <c r="AJ77" s="2">
        <v>1600</v>
      </c>
      <c r="AK77" s="5">
        <f t="shared" si="4"/>
        <v>0</v>
      </c>
      <c r="AL77" s="5">
        <f t="shared" si="5"/>
        <v>0</v>
      </c>
      <c r="AM77" s="2">
        <v>2</v>
      </c>
      <c r="AN77" s="2">
        <v>50</v>
      </c>
      <c r="AO77" s="2">
        <v>1</v>
      </c>
      <c r="AP77" s="2">
        <v>1</v>
      </c>
      <c r="AQ77" s="2">
        <v>150</v>
      </c>
      <c r="AR77" s="2">
        <v>1</v>
      </c>
      <c r="AT77" s="2">
        <v>0</v>
      </c>
      <c r="AU77" s="2">
        <v>0</v>
      </c>
      <c r="AW77" s="2">
        <v>0</v>
      </c>
      <c r="AY77" s="2">
        <v>0</v>
      </c>
      <c r="BA77" s="2" t="s">
        <v>501</v>
      </c>
      <c r="BC77" s="2" t="s">
        <v>366</v>
      </c>
      <c r="BD77" s="2">
        <v>0</v>
      </c>
      <c r="BE77" s="2">
        <v>0</v>
      </c>
      <c r="BG77" s="2" t="s">
        <v>468</v>
      </c>
      <c r="BH77" s="2">
        <v>395</v>
      </c>
      <c r="BI77" s="2">
        <v>1</v>
      </c>
      <c r="BJ77" s="2" t="s">
        <v>502</v>
      </c>
      <c r="BK77" s="2">
        <v>0</v>
      </c>
      <c r="BL77" s="2">
        <v>4.5</v>
      </c>
      <c r="BM77" s="2">
        <v>2</v>
      </c>
      <c r="BN77" s="2">
        <v>2</v>
      </c>
      <c r="BO77" s="2">
        <v>0</v>
      </c>
      <c r="BT77" s="2">
        <v>0</v>
      </c>
    </row>
    <row r="78" spans="1:77" x14ac:dyDescent="0.2">
      <c r="A78" s="2" t="s">
        <v>270</v>
      </c>
      <c r="B78" s="2">
        <v>14</v>
      </c>
      <c r="C78" s="2" t="str" cm="1">
        <f t="array" ref="C78">_xlfn.IFS(B78&lt;3, "1", B78&lt;7, "2", B78&lt;12, "3", B78&lt;18, "4", B78&gt;18, "Fehler")</f>
        <v>4</v>
      </c>
      <c r="D78" s="4">
        <f>IF(COUNTIF($C$2:C78,C78),COUNTIF($C$2:C78,C78),"")</f>
        <v>7</v>
      </c>
      <c r="W78" s="2" t="str">
        <f t="shared" si="3"/>
        <v>0</v>
      </c>
      <c r="AK78" s="5" t="e">
        <f t="shared" si="4"/>
        <v>#DIV/0!</v>
      </c>
      <c r="AL78" s="5" t="e">
        <f t="shared" si="5"/>
        <v>#DIV/0!</v>
      </c>
    </row>
    <row r="79" spans="1:77" x14ac:dyDescent="0.2">
      <c r="A79" s="2" t="s">
        <v>269</v>
      </c>
      <c r="B79" s="2">
        <v>12</v>
      </c>
      <c r="C79" s="2" t="str" cm="1">
        <f t="array" ref="C79">_xlfn.IFS(B79&lt;3, "1", B79&lt;7, "2", B79&lt;12, "3", B79&lt;18, "4", B79&gt;18, "Fehler")</f>
        <v>4</v>
      </c>
      <c r="D79" s="4">
        <f>IF(COUNTIF($C$2:C79,C79),COUNTIF($C$2:C79,C79),"")</f>
        <v>8</v>
      </c>
      <c r="E79" s="2">
        <v>2</v>
      </c>
      <c r="F79" s="2">
        <v>163</v>
      </c>
      <c r="G79" s="2">
        <v>37</v>
      </c>
      <c r="H79" s="2">
        <v>3</v>
      </c>
      <c r="I79" s="2">
        <v>0</v>
      </c>
      <c r="J79" s="2" t="s">
        <v>494</v>
      </c>
      <c r="K79" s="13">
        <v>0.57291666666666663</v>
      </c>
      <c r="L79" s="13">
        <v>0.63541666666666663</v>
      </c>
      <c r="M79" s="13">
        <v>0.59444444444444444</v>
      </c>
      <c r="N79" s="13">
        <v>0.63194444444444442</v>
      </c>
      <c r="O79" s="2">
        <f>(N79-M79)*1440</f>
        <v>53.999999999999972</v>
      </c>
      <c r="P79" s="2">
        <f>(L79-K79)*1440</f>
        <v>90</v>
      </c>
      <c r="Q79" s="2">
        <v>2</v>
      </c>
      <c r="R79" s="2">
        <v>1</v>
      </c>
      <c r="S79" s="2">
        <v>2</v>
      </c>
      <c r="T79" s="2">
        <v>2</v>
      </c>
      <c r="U79" s="2">
        <v>4</v>
      </c>
      <c r="V79" s="2">
        <v>2.5</v>
      </c>
      <c r="W79" s="2" t="str">
        <f t="shared" si="3"/>
        <v>1</v>
      </c>
      <c r="X79" s="2">
        <v>1</v>
      </c>
      <c r="Y79" s="2">
        <v>1</v>
      </c>
      <c r="Z79" s="2">
        <v>1</v>
      </c>
      <c r="AA79" s="2" t="s">
        <v>132</v>
      </c>
      <c r="AB79" s="2">
        <v>3</v>
      </c>
      <c r="AC79" s="2">
        <v>1</v>
      </c>
      <c r="AD79" s="2" t="s">
        <v>497</v>
      </c>
      <c r="AF79" s="2">
        <v>35</v>
      </c>
      <c r="AG79" s="2">
        <v>0</v>
      </c>
      <c r="AH79" s="2">
        <v>0</v>
      </c>
      <c r="AI79" s="2">
        <v>280</v>
      </c>
      <c r="AJ79" s="2">
        <v>5000</v>
      </c>
      <c r="AK79" s="5">
        <f t="shared" si="4"/>
        <v>0</v>
      </c>
      <c r="AL79" s="5">
        <f t="shared" si="5"/>
        <v>0</v>
      </c>
      <c r="AM79" s="2">
        <v>1</v>
      </c>
      <c r="AN79" s="2">
        <v>120</v>
      </c>
      <c r="AO79" s="2">
        <v>2</v>
      </c>
      <c r="AP79" s="2">
        <v>3</v>
      </c>
      <c r="AQ79" s="2" t="s">
        <v>733</v>
      </c>
      <c r="AR79" s="2">
        <v>1</v>
      </c>
      <c r="AT79" s="2">
        <v>0</v>
      </c>
      <c r="AU79" s="2">
        <v>1</v>
      </c>
      <c r="AV79" s="2" t="s">
        <v>498</v>
      </c>
      <c r="AW79" s="2">
        <v>1</v>
      </c>
      <c r="AX79" s="2" t="s">
        <v>499</v>
      </c>
      <c r="AY79" s="2">
        <v>0</v>
      </c>
      <c r="BA79" s="2" t="s">
        <v>21</v>
      </c>
      <c r="BC79" s="2" t="s">
        <v>21</v>
      </c>
      <c r="BD79" s="2">
        <v>0</v>
      </c>
      <c r="BE79" s="2">
        <v>0</v>
      </c>
      <c r="BG79" s="2" t="s">
        <v>500</v>
      </c>
      <c r="BH79" s="2">
        <v>460</v>
      </c>
      <c r="BI79" s="2">
        <v>1</v>
      </c>
      <c r="BJ79" s="2" t="s">
        <v>375</v>
      </c>
      <c r="BK79" s="2">
        <v>0</v>
      </c>
      <c r="BL79" s="2">
        <v>6</v>
      </c>
      <c r="BM79" s="2">
        <v>2</v>
      </c>
      <c r="BN79" s="2">
        <v>0</v>
      </c>
      <c r="BO79" s="2">
        <v>0</v>
      </c>
      <c r="BT79" s="2">
        <v>0</v>
      </c>
    </row>
    <row r="80" spans="1:77" x14ac:dyDescent="0.2">
      <c r="A80" s="2" t="s">
        <v>269</v>
      </c>
      <c r="B80" s="2">
        <v>3</v>
      </c>
      <c r="C80" s="2" t="str" cm="1">
        <f t="array" ref="C80">_xlfn.IFS(B80&lt;3, "1", B80&lt;7, "2", B80&lt;12, "3", B80&lt;18, "4", B80&gt;18, "Fehler")</f>
        <v>2</v>
      </c>
      <c r="D80" s="4">
        <f>IF(COUNTIF($C$2:C80,C80),COUNTIF($C$2:C80,C80),"")</f>
        <v>23</v>
      </c>
      <c r="E80" s="2">
        <v>2</v>
      </c>
      <c r="F80" s="2">
        <v>107</v>
      </c>
      <c r="G80" s="2">
        <v>19.600000000000001</v>
      </c>
      <c r="H80" s="2">
        <v>2</v>
      </c>
      <c r="I80" s="2">
        <v>0</v>
      </c>
      <c r="J80" s="2" t="s">
        <v>418</v>
      </c>
      <c r="K80" s="13">
        <v>0.47222222222222227</v>
      </c>
      <c r="L80" s="13">
        <v>0.53333333333333333</v>
      </c>
      <c r="M80" s="13">
        <v>0.5</v>
      </c>
      <c r="N80" s="13">
        <v>0.52569444444444446</v>
      </c>
      <c r="O80" s="2">
        <f>(N80-M80)*1440</f>
        <v>37.000000000000028</v>
      </c>
      <c r="P80" s="2">
        <f>(L80-K80)*1440</f>
        <v>87.999999999999929</v>
      </c>
      <c r="Q80" s="2">
        <v>2</v>
      </c>
      <c r="R80" s="2">
        <v>1</v>
      </c>
      <c r="S80" s="2">
        <v>2</v>
      </c>
      <c r="T80" s="2">
        <v>2</v>
      </c>
      <c r="U80" s="2">
        <v>2</v>
      </c>
      <c r="V80" s="2">
        <v>2</v>
      </c>
      <c r="W80" s="2" t="str">
        <f t="shared" si="3"/>
        <v>0</v>
      </c>
      <c r="X80" s="2">
        <v>1</v>
      </c>
      <c r="Y80" s="2">
        <v>1</v>
      </c>
      <c r="Z80" s="2">
        <v>1</v>
      </c>
      <c r="AA80" s="2">
        <v>0</v>
      </c>
      <c r="AD80" s="2">
        <v>37</v>
      </c>
      <c r="AE80" s="2">
        <v>37</v>
      </c>
      <c r="AF80" s="2">
        <v>35</v>
      </c>
      <c r="AG80" s="2">
        <v>4</v>
      </c>
      <c r="AH80" s="2">
        <v>100</v>
      </c>
      <c r="AI80" s="2">
        <v>97</v>
      </c>
      <c r="AJ80" s="2">
        <v>2400</v>
      </c>
      <c r="AK80" s="5">
        <f t="shared" si="4"/>
        <v>4.1237113402061855E-2</v>
      </c>
      <c r="AL80" s="5">
        <f t="shared" si="5"/>
        <v>4.1666666666666664E-2</v>
      </c>
      <c r="AM80" s="2">
        <v>1</v>
      </c>
      <c r="AN80" s="2">
        <v>65</v>
      </c>
      <c r="AO80" s="2">
        <v>1</v>
      </c>
      <c r="AP80" s="2">
        <v>2</v>
      </c>
      <c r="AQ80" s="2">
        <v>25</v>
      </c>
      <c r="AR80" s="2">
        <v>1</v>
      </c>
      <c r="AT80" s="2">
        <v>1</v>
      </c>
      <c r="AU80" s="2">
        <v>1</v>
      </c>
      <c r="AV80" s="2" t="s">
        <v>495</v>
      </c>
      <c r="AW80" s="2">
        <v>0</v>
      </c>
      <c r="AY80" s="2">
        <v>0</v>
      </c>
      <c r="BA80" s="2" t="s">
        <v>496</v>
      </c>
      <c r="BC80" s="2" t="s">
        <v>21</v>
      </c>
      <c r="BD80" s="2">
        <v>0</v>
      </c>
      <c r="BE80" s="2">
        <v>0</v>
      </c>
      <c r="BG80" s="2" t="s">
        <v>442</v>
      </c>
      <c r="BH80" s="2">
        <v>2</v>
      </c>
      <c r="BI80" s="2">
        <v>2</v>
      </c>
      <c r="BJ80" s="2" t="s">
        <v>475</v>
      </c>
      <c r="BK80" s="2">
        <v>1</v>
      </c>
      <c r="BL80" s="2">
        <v>44</v>
      </c>
      <c r="BM80" s="2">
        <v>0</v>
      </c>
      <c r="BN80" s="2">
        <v>0</v>
      </c>
      <c r="BO80" s="2">
        <v>0</v>
      </c>
      <c r="BT80" s="2">
        <v>0</v>
      </c>
    </row>
    <row r="81" spans="1:77" x14ac:dyDescent="0.2">
      <c r="A81" s="2" t="s">
        <v>270</v>
      </c>
      <c r="B81" s="2">
        <v>12</v>
      </c>
      <c r="C81" s="2" t="str" cm="1">
        <f t="array" ref="C81">_xlfn.IFS(B81&lt;3, "1", B81&lt;7, "2", B81&lt;12, "3", B81&lt;18, "4", B81&gt;18, "Fehler")</f>
        <v>4</v>
      </c>
      <c r="D81" s="4">
        <f>IF(COUNTIF($C$2:C81,C81),COUNTIF($C$2:C81,C81),"")</f>
        <v>9</v>
      </c>
      <c r="E81" s="2">
        <v>2</v>
      </c>
      <c r="F81" s="2">
        <v>166</v>
      </c>
      <c r="G81" s="2">
        <v>52</v>
      </c>
      <c r="H81" s="2">
        <v>2</v>
      </c>
      <c r="I81" s="2">
        <v>0</v>
      </c>
      <c r="J81" s="2" t="s">
        <v>512</v>
      </c>
      <c r="Q81" s="2">
        <v>1</v>
      </c>
      <c r="R81" s="2">
        <v>1</v>
      </c>
      <c r="S81" s="2">
        <v>2</v>
      </c>
      <c r="T81" s="2">
        <v>2</v>
      </c>
      <c r="W81" s="2" t="str">
        <f t="shared" si="3"/>
        <v>0</v>
      </c>
      <c r="AK81" s="5" t="e">
        <f t="shared" si="4"/>
        <v>#DIV/0!</v>
      </c>
      <c r="AL81" s="5" t="e">
        <f t="shared" si="5"/>
        <v>#DIV/0!</v>
      </c>
    </row>
    <row r="82" spans="1:77" x14ac:dyDescent="0.2">
      <c r="A82" s="2" t="s">
        <v>270</v>
      </c>
      <c r="B82" s="2">
        <v>1</v>
      </c>
      <c r="C82" s="2" t="str" cm="1">
        <f t="array" ref="C82">_xlfn.IFS(B82&lt;3, "1", B82&lt;7, "2", B82&lt;12, "3", B82&lt;18, "4", B82&gt;18, "Fehler")</f>
        <v>1</v>
      </c>
      <c r="D82" s="4">
        <f>IF(COUNTIF($C$2:C82,C82),COUNTIF($C$2:C82,C82),"")</f>
        <v>43</v>
      </c>
      <c r="E82" s="2">
        <v>1</v>
      </c>
      <c r="G82" s="2">
        <v>11</v>
      </c>
      <c r="H82" s="2">
        <v>1</v>
      </c>
      <c r="I82" s="2">
        <v>0</v>
      </c>
      <c r="J82" s="2" t="s">
        <v>513</v>
      </c>
      <c r="Q82" s="2">
        <v>2</v>
      </c>
      <c r="R82" s="2">
        <v>1</v>
      </c>
      <c r="S82" s="2">
        <v>2</v>
      </c>
      <c r="T82" s="2">
        <v>2</v>
      </c>
      <c r="W82" s="2" t="str">
        <f t="shared" si="3"/>
        <v>0</v>
      </c>
      <c r="AK82" s="5" t="e">
        <f t="shared" si="4"/>
        <v>#DIV/0!</v>
      </c>
      <c r="AL82" s="5" t="e">
        <f t="shared" si="5"/>
        <v>#DIV/0!</v>
      </c>
      <c r="BY82" s="2" t="s">
        <v>514</v>
      </c>
    </row>
    <row r="83" spans="1:77" x14ac:dyDescent="0.2">
      <c r="A83" s="2" t="s">
        <v>269</v>
      </c>
      <c r="B83" s="2">
        <v>1</v>
      </c>
      <c r="C83" s="2" t="str" cm="1">
        <f t="array" ref="C83">_xlfn.IFS(B83&lt;3, "1", B83&lt;7, "2", B83&lt;12, "3", B83&lt;18, "4", B83&gt;18, "Fehler")</f>
        <v>1</v>
      </c>
      <c r="D83" s="4">
        <f>IF(COUNTIF($C$2:C83,C83),COUNTIF($C$2:C83,C83),"")</f>
        <v>44</v>
      </c>
      <c r="E83" s="2">
        <v>2</v>
      </c>
      <c r="F83" s="2">
        <v>85</v>
      </c>
      <c r="G83" s="2">
        <v>10.9</v>
      </c>
      <c r="H83" s="2">
        <v>2</v>
      </c>
      <c r="I83" s="2">
        <v>0</v>
      </c>
      <c r="J83" s="2" t="s">
        <v>290</v>
      </c>
      <c r="K83" s="13">
        <v>0.47013888888888888</v>
      </c>
      <c r="L83" s="13">
        <v>0.51874999999999993</v>
      </c>
      <c r="M83" s="13">
        <v>0.48958333333333331</v>
      </c>
      <c r="N83" s="13">
        <v>0.51250000000000007</v>
      </c>
      <c r="O83" s="2">
        <f t="shared" ref="O83:O87" si="18">(N83-M83)*1440</f>
        <v>33.000000000000121</v>
      </c>
      <c r="P83" s="2">
        <f t="shared" ref="P83:P86" si="19">(L83-K83)*1440</f>
        <v>69.999999999999915</v>
      </c>
      <c r="Q83" s="2">
        <v>2</v>
      </c>
      <c r="R83" s="2">
        <v>1</v>
      </c>
      <c r="S83" s="2">
        <v>2</v>
      </c>
      <c r="T83" s="2">
        <v>1</v>
      </c>
      <c r="U83" s="2">
        <v>2</v>
      </c>
      <c r="V83" s="2">
        <v>2</v>
      </c>
      <c r="W83" s="2" t="str">
        <f t="shared" si="3"/>
        <v>0</v>
      </c>
      <c r="X83" s="2">
        <v>1</v>
      </c>
      <c r="Y83" s="2">
        <v>1</v>
      </c>
      <c r="Z83" s="2">
        <v>1</v>
      </c>
      <c r="AA83" s="2">
        <v>0</v>
      </c>
      <c r="AD83" s="2">
        <v>24</v>
      </c>
      <c r="AE83" s="2">
        <v>24</v>
      </c>
      <c r="AF83" s="2">
        <v>30</v>
      </c>
      <c r="AG83" s="2">
        <v>7</v>
      </c>
      <c r="AH83" s="2">
        <v>100</v>
      </c>
      <c r="AI83" s="2">
        <v>98</v>
      </c>
      <c r="AJ83" s="2">
        <v>2500</v>
      </c>
      <c r="AK83" s="5">
        <f t="shared" si="4"/>
        <v>7.1428571428571425E-2</v>
      </c>
      <c r="AL83" s="5">
        <f t="shared" si="5"/>
        <v>0.04</v>
      </c>
      <c r="AM83" s="2">
        <v>2</v>
      </c>
      <c r="AN83" s="2">
        <v>40</v>
      </c>
      <c r="AO83" s="2">
        <v>1</v>
      </c>
      <c r="AP83" s="2">
        <v>1</v>
      </c>
      <c r="AQ83" s="2">
        <v>150</v>
      </c>
      <c r="AR83" s="2">
        <v>1</v>
      </c>
      <c r="AT83" s="2">
        <v>0</v>
      </c>
      <c r="AU83" s="2">
        <v>0</v>
      </c>
      <c r="AW83" s="2">
        <v>0</v>
      </c>
      <c r="AY83" s="2">
        <v>0</v>
      </c>
      <c r="BA83" s="2" t="s">
        <v>523</v>
      </c>
      <c r="BC83" s="2" t="s">
        <v>361</v>
      </c>
      <c r="BD83" s="2">
        <v>0</v>
      </c>
      <c r="BE83" s="2">
        <v>0</v>
      </c>
      <c r="BG83" s="2" t="s">
        <v>524</v>
      </c>
      <c r="BH83" s="2">
        <v>418</v>
      </c>
      <c r="BI83" s="2">
        <v>2</v>
      </c>
      <c r="BJ83" s="2">
        <v>20</v>
      </c>
      <c r="BK83" s="2">
        <v>0</v>
      </c>
      <c r="BL83" s="2">
        <v>4</v>
      </c>
      <c r="BM83" s="2">
        <v>0</v>
      </c>
      <c r="BN83" s="2">
        <v>2</v>
      </c>
      <c r="BO83" s="2">
        <v>0</v>
      </c>
      <c r="BT83" s="2">
        <v>0</v>
      </c>
    </row>
    <row r="84" spans="1:77" x14ac:dyDescent="0.2">
      <c r="A84" s="2" t="s">
        <v>269</v>
      </c>
      <c r="B84" s="2">
        <v>6</v>
      </c>
      <c r="C84" s="2" t="str" cm="1">
        <f t="array" ref="C84">_xlfn.IFS(B84&lt;3, "1", B84&lt;7, "2", B84&lt;12, "3", B84&lt;18, "4", B84&gt;18, "Fehler")</f>
        <v>2</v>
      </c>
      <c r="D84" s="4">
        <f>IF(COUNTIF($C$2:C84,C84),COUNTIF($C$2:C84,C84),"")</f>
        <v>24</v>
      </c>
      <c r="E84" s="2">
        <v>1</v>
      </c>
      <c r="F84" s="2">
        <v>125</v>
      </c>
      <c r="G84" s="2">
        <v>30</v>
      </c>
      <c r="H84" s="2">
        <v>1</v>
      </c>
      <c r="I84" s="2">
        <v>0</v>
      </c>
      <c r="J84" s="2" t="s">
        <v>334</v>
      </c>
      <c r="K84" s="13">
        <v>0.4465277777777778</v>
      </c>
      <c r="L84" s="13">
        <v>0.47291666666666665</v>
      </c>
      <c r="M84" s="13">
        <v>0.46736111111111112</v>
      </c>
      <c r="N84" s="13">
        <v>0.4694444444444445</v>
      </c>
      <c r="O84" s="2">
        <f t="shared" si="18"/>
        <v>3.0000000000000693</v>
      </c>
      <c r="P84" s="2">
        <f t="shared" si="19"/>
        <v>37.999999999999943</v>
      </c>
      <c r="Q84" s="2">
        <v>1</v>
      </c>
      <c r="R84" s="2">
        <v>1</v>
      </c>
      <c r="S84" s="2">
        <v>2</v>
      </c>
      <c r="T84" s="2">
        <v>2</v>
      </c>
      <c r="U84" s="2">
        <v>2.5</v>
      </c>
      <c r="V84" s="2">
        <v>2.5</v>
      </c>
      <c r="W84" s="2" t="str">
        <f t="shared" si="3"/>
        <v>0</v>
      </c>
      <c r="X84" s="2">
        <v>1</v>
      </c>
      <c r="Y84" s="2">
        <v>1</v>
      </c>
      <c r="Z84" s="2">
        <v>1</v>
      </c>
      <c r="AA84" s="2">
        <v>0</v>
      </c>
      <c r="AD84" s="2">
        <v>18</v>
      </c>
      <c r="AE84" s="2">
        <v>18</v>
      </c>
      <c r="AF84" s="2">
        <v>35</v>
      </c>
      <c r="AG84" s="2">
        <v>0</v>
      </c>
      <c r="AH84" s="2">
        <v>0</v>
      </c>
      <c r="AI84" s="2">
        <v>207</v>
      </c>
      <c r="AJ84" s="2">
        <v>4000</v>
      </c>
      <c r="AK84" s="5">
        <f t="shared" si="4"/>
        <v>0</v>
      </c>
      <c r="AL84" s="5">
        <f t="shared" si="5"/>
        <v>0</v>
      </c>
      <c r="AM84" s="2">
        <v>1</v>
      </c>
      <c r="AN84" s="2" t="s">
        <v>705</v>
      </c>
      <c r="AO84" s="2">
        <v>1</v>
      </c>
      <c r="AP84" s="2">
        <v>1</v>
      </c>
      <c r="AQ84" s="2" t="s">
        <v>730</v>
      </c>
      <c r="AR84" s="2">
        <v>1</v>
      </c>
      <c r="AT84" s="2">
        <v>0</v>
      </c>
      <c r="AU84" s="2">
        <v>0</v>
      </c>
      <c r="AW84" s="2">
        <v>1</v>
      </c>
      <c r="AX84" s="2" t="s">
        <v>519</v>
      </c>
      <c r="AY84" s="2">
        <v>0</v>
      </c>
      <c r="BA84" s="2" t="s">
        <v>21</v>
      </c>
      <c r="BC84" s="2" t="s">
        <v>520</v>
      </c>
      <c r="BD84" s="2">
        <v>0</v>
      </c>
      <c r="BE84" s="2">
        <v>0</v>
      </c>
      <c r="BG84" s="2" t="s">
        <v>468</v>
      </c>
      <c r="BH84" s="2">
        <v>395</v>
      </c>
      <c r="BI84" s="2">
        <v>1</v>
      </c>
      <c r="BJ84" s="2" t="s">
        <v>521</v>
      </c>
      <c r="BK84" s="2">
        <v>0</v>
      </c>
      <c r="BL84" s="2">
        <v>5</v>
      </c>
      <c r="BM84" s="2">
        <v>2</v>
      </c>
      <c r="BN84" s="2">
        <v>2</v>
      </c>
      <c r="BO84" s="2">
        <v>0</v>
      </c>
      <c r="BT84" s="2">
        <v>0</v>
      </c>
      <c r="BY84" s="2" t="s">
        <v>522</v>
      </c>
    </row>
    <row r="85" spans="1:77" x14ac:dyDescent="0.2">
      <c r="A85" s="2" t="s">
        <v>269</v>
      </c>
      <c r="B85" s="2">
        <v>2</v>
      </c>
      <c r="C85" s="2" t="str" cm="1">
        <f t="array" ref="C85">_xlfn.IFS(B85&lt;3, "1", B85&lt;7, "2", B85&lt;12, "3", B85&lt;18, "4", B85&gt;18, "Fehler")</f>
        <v>1</v>
      </c>
      <c r="D85" s="4">
        <f>IF(COUNTIF($C$2:C85,C85),COUNTIF($C$2:C85,C85),"")</f>
        <v>45</v>
      </c>
      <c r="E85" s="2">
        <v>1</v>
      </c>
      <c r="F85" s="2">
        <v>85</v>
      </c>
      <c r="G85" s="2">
        <v>12</v>
      </c>
      <c r="H85" s="2">
        <v>2</v>
      </c>
      <c r="I85" s="2">
        <v>0</v>
      </c>
      <c r="J85" s="2" t="s">
        <v>515</v>
      </c>
      <c r="K85" s="13">
        <v>0.54652777777777783</v>
      </c>
      <c r="L85" s="13">
        <v>0.57638888888888895</v>
      </c>
      <c r="M85" s="13">
        <v>0.56180555555555556</v>
      </c>
      <c r="N85" s="13">
        <v>0.57013888888888886</v>
      </c>
      <c r="O85" s="2">
        <f t="shared" si="18"/>
        <v>11.999999999999957</v>
      </c>
      <c r="P85" s="2">
        <f t="shared" si="19"/>
        <v>43.000000000000007</v>
      </c>
      <c r="Q85" s="2">
        <v>1</v>
      </c>
      <c r="R85" s="2">
        <v>1</v>
      </c>
      <c r="S85" s="2">
        <v>2</v>
      </c>
      <c r="T85" s="2">
        <v>1</v>
      </c>
      <c r="U85" s="2">
        <v>2</v>
      </c>
      <c r="V85" s="2">
        <v>2</v>
      </c>
      <c r="W85" s="2" t="str">
        <f t="shared" si="3"/>
        <v>0</v>
      </c>
      <c r="X85" s="2">
        <v>1</v>
      </c>
      <c r="Y85" s="2">
        <v>1</v>
      </c>
      <c r="Z85" s="2">
        <v>1</v>
      </c>
      <c r="AA85" s="2">
        <v>0</v>
      </c>
      <c r="AD85" s="2">
        <v>24</v>
      </c>
      <c r="AE85" s="2">
        <v>24</v>
      </c>
      <c r="AF85" s="2">
        <v>30</v>
      </c>
      <c r="AG85" s="2">
        <v>10</v>
      </c>
      <c r="AH85" s="2">
        <v>100</v>
      </c>
      <c r="AI85" s="2">
        <v>125</v>
      </c>
      <c r="AJ85" s="2">
        <v>2600</v>
      </c>
      <c r="AK85" s="5">
        <f t="shared" si="4"/>
        <v>0.08</v>
      </c>
      <c r="AL85" s="5">
        <f t="shared" si="5"/>
        <v>3.8461538461538464E-2</v>
      </c>
      <c r="AM85" s="2">
        <v>1</v>
      </c>
      <c r="AN85" s="2">
        <v>60</v>
      </c>
      <c r="AO85" s="2">
        <v>1</v>
      </c>
      <c r="AP85" s="2">
        <v>1</v>
      </c>
      <c r="AQ85" s="2">
        <v>250</v>
      </c>
      <c r="AR85" s="2">
        <v>1</v>
      </c>
      <c r="AT85" s="2">
        <v>0</v>
      </c>
      <c r="AU85" s="2">
        <v>0</v>
      </c>
      <c r="AW85" s="2">
        <v>0</v>
      </c>
      <c r="AY85" s="2">
        <v>0</v>
      </c>
      <c r="BA85" s="2" t="s">
        <v>320</v>
      </c>
      <c r="BC85" s="2" t="s">
        <v>361</v>
      </c>
      <c r="BD85" s="2">
        <v>0</v>
      </c>
      <c r="BE85" s="2">
        <v>0</v>
      </c>
      <c r="BG85" s="2" t="s">
        <v>524</v>
      </c>
      <c r="BH85" s="2">
        <v>418</v>
      </c>
      <c r="BI85" s="2">
        <v>2</v>
      </c>
      <c r="BJ85" s="2">
        <v>20</v>
      </c>
      <c r="BK85" s="2">
        <v>0</v>
      </c>
      <c r="BL85" s="2">
        <v>4</v>
      </c>
      <c r="BM85" s="2">
        <v>0</v>
      </c>
      <c r="BN85" s="2">
        <v>2</v>
      </c>
      <c r="BO85" s="2">
        <v>0</v>
      </c>
      <c r="BT85" s="2">
        <v>0</v>
      </c>
    </row>
    <row r="86" spans="1:77" x14ac:dyDescent="0.2">
      <c r="A86" s="2" t="s">
        <v>269</v>
      </c>
      <c r="B86" s="2">
        <v>1</v>
      </c>
      <c r="C86" s="2" t="str" cm="1">
        <f t="array" ref="C86">_xlfn.IFS(B86&lt;3, "1", B86&lt;7, "2", B86&lt;12, "3", B86&lt;18, "4", B86&gt;18, "Fehler")</f>
        <v>1</v>
      </c>
      <c r="D86" s="4">
        <f>IF(COUNTIF($C$2:C86,C86),COUNTIF($C$2:C86,C86),"")</f>
        <v>46</v>
      </c>
      <c r="E86" s="2">
        <v>2</v>
      </c>
      <c r="F86" s="2">
        <v>90</v>
      </c>
      <c r="G86" s="2">
        <v>14</v>
      </c>
      <c r="H86" s="2">
        <v>1</v>
      </c>
      <c r="I86" s="2">
        <v>0</v>
      </c>
      <c r="J86" s="2" t="s">
        <v>418</v>
      </c>
      <c r="K86" s="13">
        <v>0.33124999999999999</v>
      </c>
      <c r="L86" s="13">
        <v>0.41944444444444445</v>
      </c>
      <c r="M86" s="13">
        <v>0.36458333333333331</v>
      </c>
      <c r="N86" s="13">
        <v>0.41666666666666669</v>
      </c>
      <c r="O86" s="2">
        <f t="shared" si="18"/>
        <v>75.000000000000057</v>
      </c>
      <c r="P86" s="2">
        <f t="shared" si="19"/>
        <v>127.00000000000003</v>
      </c>
      <c r="Q86" s="2">
        <v>1</v>
      </c>
      <c r="R86" s="2">
        <v>1</v>
      </c>
      <c r="S86" s="2">
        <v>2</v>
      </c>
      <c r="T86" s="2">
        <v>1</v>
      </c>
      <c r="U86" s="2">
        <v>2</v>
      </c>
      <c r="V86" s="2">
        <v>2</v>
      </c>
      <c r="W86" s="2" t="str">
        <f t="shared" si="3"/>
        <v>0</v>
      </c>
      <c r="X86" s="2">
        <v>1</v>
      </c>
      <c r="Y86" s="2">
        <v>1</v>
      </c>
      <c r="Z86" s="2">
        <v>1</v>
      </c>
      <c r="AA86" s="2">
        <v>0</v>
      </c>
      <c r="AD86" s="2">
        <v>32</v>
      </c>
      <c r="AE86" s="2">
        <v>32</v>
      </c>
      <c r="AF86" s="2">
        <v>29</v>
      </c>
      <c r="AG86" s="2">
        <v>8</v>
      </c>
      <c r="AH86" s="2">
        <v>50</v>
      </c>
      <c r="AI86" s="2">
        <v>104</v>
      </c>
      <c r="AJ86" s="2">
        <v>2700</v>
      </c>
      <c r="AK86" s="5">
        <f t="shared" si="4"/>
        <v>7.6923076923076927E-2</v>
      </c>
      <c r="AL86" s="5">
        <f t="shared" si="5"/>
        <v>1.8518518518518517E-2</v>
      </c>
      <c r="AM86" s="2">
        <v>2</v>
      </c>
      <c r="AN86" s="2">
        <v>60</v>
      </c>
      <c r="AO86" s="2">
        <v>1</v>
      </c>
      <c r="AP86" s="2">
        <v>1</v>
      </c>
      <c r="AQ86" s="2">
        <v>200</v>
      </c>
      <c r="AR86" s="2">
        <v>1</v>
      </c>
      <c r="AT86" s="2">
        <v>0</v>
      </c>
      <c r="AU86" s="2">
        <v>0</v>
      </c>
      <c r="AW86" s="2">
        <v>0</v>
      </c>
      <c r="AY86" s="2">
        <v>0</v>
      </c>
      <c r="BA86" s="2" t="s">
        <v>305</v>
      </c>
      <c r="BC86" s="2" t="s">
        <v>516</v>
      </c>
      <c r="BD86" s="2">
        <v>0</v>
      </c>
      <c r="BE86" s="2">
        <v>0</v>
      </c>
      <c r="BG86" s="2" t="s">
        <v>468</v>
      </c>
      <c r="BH86" s="2">
        <v>395</v>
      </c>
      <c r="BI86" s="2">
        <v>1</v>
      </c>
      <c r="BJ86" s="2" t="s">
        <v>517</v>
      </c>
      <c r="BK86" s="2">
        <v>0</v>
      </c>
      <c r="BL86" s="2">
        <v>5</v>
      </c>
      <c r="BM86" s="2">
        <v>1</v>
      </c>
      <c r="BN86" s="2">
        <v>2</v>
      </c>
      <c r="BO86" s="2">
        <v>0</v>
      </c>
      <c r="BT86" s="2">
        <v>0</v>
      </c>
      <c r="BY86" s="2" t="s">
        <v>518</v>
      </c>
    </row>
    <row r="87" spans="1:77" x14ac:dyDescent="0.2">
      <c r="A87" s="2" t="s">
        <v>271</v>
      </c>
      <c r="B87" s="2">
        <v>12</v>
      </c>
      <c r="C87" s="2" t="str" cm="1">
        <f t="array" ref="C87">_xlfn.IFS(B87&lt;3, "1", B87&lt;7, "2", B87&lt;12, "3", B87&lt;18, "4", B87&gt;18, "Fehler")</f>
        <v>4</v>
      </c>
      <c r="D87" s="4">
        <f>IF(COUNTIF($C$2:C87,C87),COUNTIF($C$2:C87,C87),"")</f>
        <v>10</v>
      </c>
      <c r="E87" s="2">
        <v>2</v>
      </c>
      <c r="F87" s="2">
        <v>163</v>
      </c>
      <c r="G87" s="2">
        <v>37</v>
      </c>
      <c r="J87" s="2" t="s">
        <v>532</v>
      </c>
      <c r="M87" s="13">
        <v>0.45624999999999999</v>
      </c>
      <c r="N87" s="13">
        <v>0.47222222222222227</v>
      </c>
      <c r="O87" s="2">
        <f t="shared" si="18"/>
        <v>23.000000000000078</v>
      </c>
      <c r="Q87" s="2">
        <v>1</v>
      </c>
      <c r="R87" s="2">
        <v>1</v>
      </c>
      <c r="S87" s="2">
        <v>2</v>
      </c>
      <c r="T87" s="2">
        <v>1</v>
      </c>
      <c r="W87" s="2" t="str">
        <f t="shared" si="3"/>
        <v>0</v>
      </c>
      <c r="X87" s="2">
        <v>1</v>
      </c>
      <c r="Y87" s="2">
        <v>1</v>
      </c>
      <c r="Z87" s="2">
        <v>1</v>
      </c>
      <c r="AA87" s="2">
        <v>0</v>
      </c>
      <c r="AD87" s="2">
        <v>25</v>
      </c>
      <c r="AE87" s="2">
        <v>25</v>
      </c>
      <c r="AF87" s="2">
        <v>18</v>
      </c>
      <c r="AG87" s="2">
        <v>0</v>
      </c>
      <c r="AH87" s="2">
        <v>0</v>
      </c>
      <c r="AI87" s="2">
        <v>255</v>
      </c>
      <c r="AJ87" s="2">
        <v>4300</v>
      </c>
      <c r="AK87" s="5">
        <f t="shared" si="4"/>
        <v>0</v>
      </c>
      <c r="AL87" s="5">
        <f t="shared" si="5"/>
        <v>0</v>
      </c>
      <c r="AR87" s="2">
        <v>1</v>
      </c>
      <c r="AT87" s="2">
        <v>0</v>
      </c>
      <c r="BG87" s="2" t="s">
        <v>533</v>
      </c>
      <c r="BI87" s="2">
        <v>1</v>
      </c>
      <c r="BY87" s="2" t="s">
        <v>531</v>
      </c>
    </row>
    <row r="88" spans="1:77" x14ac:dyDescent="0.2">
      <c r="A88" s="2" t="s">
        <v>269</v>
      </c>
      <c r="B88" s="2">
        <v>5</v>
      </c>
      <c r="C88" s="2" t="str" cm="1">
        <f t="array" ref="C88">_xlfn.IFS(B88&lt;3, "1", B88&lt;7, "2", B88&lt;12, "3", B88&lt;18, "4", B88&gt;18, "Fehler")</f>
        <v>2</v>
      </c>
      <c r="D88" s="4">
        <f>IF(COUNTIF($C$2:C88,C88),COUNTIF($C$2:C88,C88),"")</f>
        <v>25</v>
      </c>
      <c r="E88" s="2">
        <v>1</v>
      </c>
      <c r="F88" s="2">
        <v>120</v>
      </c>
      <c r="G88" s="2">
        <v>23</v>
      </c>
      <c r="H88" s="2">
        <v>2</v>
      </c>
      <c r="I88" s="2">
        <v>1</v>
      </c>
      <c r="J88" s="2" t="s">
        <v>504</v>
      </c>
      <c r="K88" s="13">
        <v>0.35000000000000003</v>
      </c>
      <c r="L88" s="13">
        <v>0.3888888888888889</v>
      </c>
      <c r="M88" s="13">
        <v>0.37291666666666662</v>
      </c>
      <c r="N88" s="13">
        <v>0.38125000000000003</v>
      </c>
      <c r="O88" s="2">
        <f t="shared" ref="O88:O89" si="20">(N88-M88)*1440</f>
        <v>12.000000000000117</v>
      </c>
      <c r="P88" s="2">
        <f>(L88-K88)*1440</f>
        <v>55.999999999999957</v>
      </c>
      <c r="Q88" s="2">
        <v>2</v>
      </c>
      <c r="R88" s="2">
        <v>1</v>
      </c>
      <c r="S88" s="2">
        <v>2</v>
      </c>
      <c r="T88" s="2">
        <v>1</v>
      </c>
      <c r="U88" s="2">
        <v>2.5</v>
      </c>
      <c r="V88" s="2">
        <v>2</v>
      </c>
      <c r="W88" s="2" t="str">
        <f t="shared" si="3"/>
        <v>1</v>
      </c>
      <c r="X88" s="2">
        <v>1</v>
      </c>
      <c r="Y88" s="2">
        <v>1</v>
      </c>
      <c r="Z88" s="2">
        <v>1</v>
      </c>
      <c r="AA88" s="2">
        <v>0</v>
      </c>
      <c r="AD88" s="2">
        <v>34</v>
      </c>
      <c r="AE88" s="2">
        <v>34</v>
      </c>
      <c r="AF88" s="2">
        <v>35</v>
      </c>
      <c r="AG88" s="2">
        <v>28</v>
      </c>
      <c r="AH88" s="2">
        <v>400</v>
      </c>
      <c r="AI88" s="2">
        <v>120</v>
      </c>
      <c r="AJ88" s="2">
        <v>2900</v>
      </c>
      <c r="AK88" s="5">
        <f t="shared" si="4"/>
        <v>0.23333333333333334</v>
      </c>
      <c r="AL88" s="5">
        <f t="shared" si="5"/>
        <v>0.13793103448275862</v>
      </c>
      <c r="AM88" s="2">
        <v>1</v>
      </c>
      <c r="AN88" s="2">
        <v>120</v>
      </c>
      <c r="AO88" s="2">
        <v>1</v>
      </c>
      <c r="AP88" s="2">
        <v>1</v>
      </c>
      <c r="AQ88" s="2">
        <v>200</v>
      </c>
      <c r="AR88" s="2">
        <v>1</v>
      </c>
      <c r="AT88" s="2">
        <v>0</v>
      </c>
      <c r="AU88" s="2">
        <v>0</v>
      </c>
      <c r="AW88" s="2">
        <v>0</v>
      </c>
      <c r="AY88" s="2">
        <v>0</v>
      </c>
      <c r="BA88" s="2" t="s">
        <v>21</v>
      </c>
      <c r="BC88" s="2" t="s">
        <v>537</v>
      </c>
      <c r="BD88" s="2">
        <v>0</v>
      </c>
      <c r="BE88" s="2">
        <v>0</v>
      </c>
      <c r="BG88" s="2" t="s">
        <v>538</v>
      </c>
      <c r="BH88" s="2">
        <v>434</v>
      </c>
      <c r="BI88" s="2">
        <v>2</v>
      </c>
      <c r="BJ88" s="2" t="s">
        <v>539</v>
      </c>
      <c r="BK88" s="2">
        <v>0</v>
      </c>
      <c r="BL88" s="2">
        <v>4</v>
      </c>
      <c r="BM88" s="2">
        <v>1</v>
      </c>
      <c r="BN88" s="2">
        <v>2</v>
      </c>
      <c r="BO88" s="2">
        <v>0</v>
      </c>
      <c r="BT88" s="2">
        <v>0</v>
      </c>
      <c r="BY88" s="2" t="s">
        <v>536</v>
      </c>
    </row>
    <row r="89" spans="1:77" x14ac:dyDescent="0.2">
      <c r="A89" s="2" t="s">
        <v>269</v>
      </c>
      <c r="B89" s="2">
        <v>3</v>
      </c>
      <c r="C89" s="2" t="str" cm="1">
        <f t="array" ref="C89">_xlfn.IFS(B89&lt;3, "1", B89&lt;7, "2", B89&lt;12, "3", B89&lt;18, "4", B89&gt;18, "Fehler")</f>
        <v>2</v>
      </c>
      <c r="D89" s="4">
        <f>IF(COUNTIF($C$2:C89,C89),COUNTIF($C$2:C89,C89),"")</f>
        <v>26</v>
      </c>
      <c r="E89" s="2">
        <v>1</v>
      </c>
      <c r="F89" s="2">
        <v>99</v>
      </c>
      <c r="G89" s="2">
        <v>13.5</v>
      </c>
      <c r="H89" s="2">
        <v>1</v>
      </c>
      <c r="I89" s="2">
        <v>1</v>
      </c>
      <c r="J89" s="2" t="s">
        <v>534</v>
      </c>
      <c r="K89" s="13">
        <v>0.40347222222222223</v>
      </c>
      <c r="L89" s="13">
        <v>0.4916666666666667</v>
      </c>
      <c r="M89" s="13">
        <v>0.4291666666666667</v>
      </c>
      <c r="N89" s="13">
        <v>0.47500000000000003</v>
      </c>
      <c r="O89" s="2">
        <f t="shared" si="20"/>
        <v>66</v>
      </c>
      <c r="P89" s="2">
        <f>(L89-K89)*1440</f>
        <v>127.00000000000003</v>
      </c>
      <c r="Q89" s="2">
        <v>2</v>
      </c>
      <c r="R89" s="2">
        <v>1</v>
      </c>
      <c r="S89" s="2">
        <v>1</v>
      </c>
      <c r="T89" s="2">
        <v>1</v>
      </c>
      <c r="U89" s="2">
        <v>2</v>
      </c>
      <c r="V89" s="2">
        <v>1</v>
      </c>
      <c r="W89" s="2" t="str">
        <f t="shared" si="3"/>
        <v>1</v>
      </c>
      <c r="X89" s="2">
        <v>1</v>
      </c>
      <c r="Y89" s="2">
        <v>1</v>
      </c>
      <c r="Z89" s="2">
        <v>1</v>
      </c>
      <c r="AA89" s="2">
        <v>0</v>
      </c>
      <c r="AD89" s="2">
        <v>50</v>
      </c>
      <c r="AE89" s="2">
        <v>50</v>
      </c>
      <c r="AF89" s="2">
        <v>35</v>
      </c>
      <c r="AG89" s="2">
        <v>0</v>
      </c>
      <c r="AH89" s="2">
        <v>0</v>
      </c>
      <c r="AI89" s="2">
        <v>190</v>
      </c>
      <c r="AJ89" s="2">
        <v>4200</v>
      </c>
      <c r="AK89" s="5">
        <f t="shared" si="4"/>
        <v>0</v>
      </c>
      <c r="AL89" s="5">
        <f t="shared" si="5"/>
        <v>0</v>
      </c>
      <c r="AM89" s="2">
        <v>1</v>
      </c>
      <c r="AN89" s="2">
        <v>60</v>
      </c>
      <c r="AO89" s="2">
        <v>1</v>
      </c>
      <c r="AP89" s="2">
        <v>1</v>
      </c>
      <c r="AQ89" s="2">
        <v>200</v>
      </c>
      <c r="AR89" s="2">
        <v>1</v>
      </c>
      <c r="AT89" s="2">
        <v>0</v>
      </c>
      <c r="AU89" s="2">
        <v>0</v>
      </c>
      <c r="AW89" s="2">
        <v>0</v>
      </c>
      <c r="AY89" s="2">
        <v>0</v>
      </c>
      <c r="BA89" s="2" t="s">
        <v>21</v>
      </c>
      <c r="BC89" s="2" t="s">
        <v>21</v>
      </c>
      <c r="BD89" s="2">
        <v>0</v>
      </c>
      <c r="BE89" s="2">
        <v>0</v>
      </c>
      <c r="BG89" s="2" t="s">
        <v>535</v>
      </c>
      <c r="BH89" s="2">
        <v>559</v>
      </c>
      <c r="BI89" s="2">
        <v>1</v>
      </c>
      <c r="BJ89" s="2">
        <v>40</v>
      </c>
      <c r="BK89" s="2">
        <v>0</v>
      </c>
      <c r="BL89" s="2">
        <v>5</v>
      </c>
      <c r="BM89" s="2">
        <v>2</v>
      </c>
      <c r="BN89" s="2">
        <v>2</v>
      </c>
      <c r="BO89" s="2">
        <v>0</v>
      </c>
      <c r="BT89" s="2">
        <v>0</v>
      </c>
      <c r="BY89" s="2" t="s">
        <v>536</v>
      </c>
    </row>
    <row r="90" spans="1:77" x14ac:dyDescent="0.2">
      <c r="A90" s="2" t="s">
        <v>269</v>
      </c>
      <c r="B90" s="2">
        <v>9</v>
      </c>
      <c r="C90" s="2" t="str" cm="1">
        <f t="array" ref="C90">_xlfn.IFS(B90&lt;3, "1", B90&lt;7, "2", B90&lt;12, "3", B90&lt;18, "4", B90&gt;18, "Fehler")</f>
        <v>3</v>
      </c>
      <c r="D90" s="4">
        <f>IF(COUNTIF($C$2:C90,C90),COUNTIF($C$2:C90,C90),"")</f>
        <v>7</v>
      </c>
      <c r="E90" s="2">
        <v>2</v>
      </c>
      <c r="F90" s="2">
        <v>143</v>
      </c>
      <c r="G90" s="2">
        <v>34</v>
      </c>
      <c r="H90" s="2">
        <v>1</v>
      </c>
      <c r="I90" s="2">
        <v>1</v>
      </c>
      <c r="J90" s="2" t="s">
        <v>301</v>
      </c>
      <c r="K90" s="13">
        <v>0.35902777777777778</v>
      </c>
      <c r="L90" s="13">
        <v>0.40416666666666662</v>
      </c>
      <c r="M90" s="13">
        <v>0.375</v>
      </c>
      <c r="N90" s="13">
        <v>0.39583333333333331</v>
      </c>
      <c r="O90" s="2">
        <f t="shared" ref="O90:O92" si="21">(N90-M90)*1440</f>
        <v>29.999999999999972</v>
      </c>
      <c r="P90" s="2">
        <f t="shared" ref="P90:P92" si="22">(L90-K90)*1440</f>
        <v>64.999999999999929</v>
      </c>
      <c r="Q90" s="2">
        <v>1</v>
      </c>
      <c r="R90" s="2">
        <v>1</v>
      </c>
      <c r="S90" s="2">
        <v>1</v>
      </c>
      <c r="T90" s="2">
        <v>1</v>
      </c>
      <c r="U90" s="2">
        <v>3</v>
      </c>
      <c r="V90" s="2">
        <v>3</v>
      </c>
      <c r="W90" s="2" t="str">
        <f t="shared" si="3"/>
        <v>0</v>
      </c>
      <c r="X90" s="2">
        <v>1</v>
      </c>
      <c r="Y90" s="2">
        <v>1</v>
      </c>
      <c r="Z90" s="2">
        <v>1</v>
      </c>
      <c r="AA90" s="2">
        <v>0</v>
      </c>
      <c r="AD90" s="2">
        <v>27</v>
      </c>
      <c r="AE90" s="2">
        <v>27</v>
      </c>
      <c r="AF90" s="2">
        <v>30</v>
      </c>
      <c r="AG90" s="2">
        <v>10</v>
      </c>
      <c r="AH90" s="2">
        <v>200</v>
      </c>
      <c r="AI90" s="2">
        <v>280</v>
      </c>
      <c r="AJ90" s="2">
        <v>5500</v>
      </c>
      <c r="AK90" s="5">
        <f t="shared" si="4"/>
        <v>3.5714285714285712E-2</v>
      </c>
      <c r="AL90" s="5">
        <f t="shared" si="5"/>
        <v>3.6363636363636362E-2</v>
      </c>
      <c r="AM90" s="2">
        <v>1</v>
      </c>
      <c r="AN90" s="2">
        <v>150</v>
      </c>
      <c r="AO90" s="2">
        <v>1</v>
      </c>
      <c r="AP90" s="2">
        <v>1</v>
      </c>
      <c r="AQ90" s="2">
        <v>500</v>
      </c>
      <c r="AR90" s="2">
        <v>1</v>
      </c>
      <c r="AT90" s="2">
        <v>0</v>
      </c>
      <c r="AU90" s="2">
        <v>0</v>
      </c>
      <c r="AW90" s="2">
        <v>0</v>
      </c>
      <c r="AY90" s="2">
        <v>1</v>
      </c>
      <c r="AZ90" s="2" t="s">
        <v>543</v>
      </c>
      <c r="BA90" s="2" t="s">
        <v>578</v>
      </c>
      <c r="BC90" s="2" t="s">
        <v>544</v>
      </c>
      <c r="BD90" s="2">
        <v>0</v>
      </c>
      <c r="BE90" s="2">
        <v>0</v>
      </c>
      <c r="BG90" s="2" t="s">
        <v>528</v>
      </c>
      <c r="BH90" s="2">
        <v>450</v>
      </c>
      <c r="BI90" s="2">
        <v>2</v>
      </c>
      <c r="BJ90" s="2" t="s">
        <v>545</v>
      </c>
      <c r="BK90" s="2">
        <v>0</v>
      </c>
      <c r="BL90" s="2">
        <v>4</v>
      </c>
      <c r="BM90" s="2">
        <v>2</v>
      </c>
      <c r="BN90" s="2">
        <v>2</v>
      </c>
      <c r="BO90" s="2">
        <v>0</v>
      </c>
      <c r="BT90" s="2">
        <v>0</v>
      </c>
      <c r="BY90" s="2" t="s">
        <v>536</v>
      </c>
    </row>
    <row r="91" spans="1:77" x14ac:dyDescent="0.2">
      <c r="A91" s="2" t="s">
        <v>269</v>
      </c>
      <c r="B91" s="2">
        <v>6</v>
      </c>
      <c r="C91" s="2" t="str" cm="1">
        <f t="array" ref="C91">_xlfn.IFS(B91&lt;3, "1", B91&lt;7, "2", B91&lt;12, "3", B91&lt;18, "4", B91&gt;18, "Fehler")</f>
        <v>2</v>
      </c>
      <c r="D91" s="4">
        <f>IF(COUNTIF($C$2:C91,C91),COUNTIF($C$2:C91,C91),"")</f>
        <v>27</v>
      </c>
      <c r="E91" s="2">
        <v>2</v>
      </c>
      <c r="F91" s="2">
        <v>125</v>
      </c>
      <c r="G91" s="2">
        <v>23</v>
      </c>
      <c r="H91" s="2">
        <v>2</v>
      </c>
      <c r="I91" s="2">
        <v>1</v>
      </c>
      <c r="J91" s="2" t="s">
        <v>540</v>
      </c>
      <c r="K91" s="13">
        <v>0.36805555555555558</v>
      </c>
      <c r="L91" s="13">
        <v>0.40625</v>
      </c>
      <c r="M91" s="13">
        <v>0.38125000000000003</v>
      </c>
      <c r="N91" s="13">
        <v>0.39999999999999997</v>
      </c>
      <c r="O91" s="2">
        <f t="shared" si="21"/>
        <v>26.999999999999904</v>
      </c>
      <c r="P91" s="2">
        <f t="shared" si="22"/>
        <v>54.999999999999964</v>
      </c>
      <c r="Q91" s="2">
        <v>1</v>
      </c>
      <c r="R91" s="2">
        <v>1</v>
      </c>
      <c r="S91" s="2">
        <v>1</v>
      </c>
      <c r="T91" s="2">
        <v>1</v>
      </c>
      <c r="U91" s="2">
        <v>2.5</v>
      </c>
      <c r="V91" s="2">
        <v>2.5</v>
      </c>
      <c r="W91" s="2" t="str">
        <f t="shared" si="3"/>
        <v>0</v>
      </c>
      <c r="X91" s="2">
        <v>1</v>
      </c>
      <c r="Y91" s="2">
        <v>1</v>
      </c>
      <c r="Z91" s="2">
        <v>1</v>
      </c>
      <c r="AA91" s="2">
        <v>0</v>
      </c>
      <c r="AD91" s="2">
        <v>29</v>
      </c>
      <c r="AE91" s="2">
        <v>29</v>
      </c>
      <c r="AF91" s="2">
        <v>20</v>
      </c>
      <c r="AG91" s="2">
        <v>0</v>
      </c>
      <c r="AH91" s="2">
        <v>0</v>
      </c>
      <c r="AI91" s="2">
        <v>240</v>
      </c>
      <c r="AJ91" s="2">
        <v>4900</v>
      </c>
      <c r="AK91" s="5">
        <f t="shared" si="4"/>
        <v>0</v>
      </c>
      <c r="AL91" s="5">
        <f t="shared" si="5"/>
        <v>0</v>
      </c>
      <c r="AM91" s="2">
        <v>1</v>
      </c>
      <c r="AN91" s="2" t="s">
        <v>706</v>
      </c>
      <c r="AO91" s="2">
        <v>1</v>
      </c>
      <c r="AP91" s="2">
        <v>1</v>
      </c>
      <c r="AQ91" s="2">
        <v>300</v>
      </c>
      <c r="AR91" s="2">
        <v>1</v>
      </c>
      <c r="AT91" s="2">
        <v>0</v>
      </c>
      <c r="AU91" s="2">
        <v>0</v>
      </c>
      <c r="AW91" s="2">
        <v>0</v>
      </c>
      <c r="AY91" s="2">
        <v>0</v>
      </c>
      <c r="BA91" s="2" t="s">
        <v>566</v>
      </c>
      <c r="BC91" s="2" t="s">
        <v>21</v>
      </c>
      <c r="BD91" s="2">
        <v>0</v>
      </c>
      <c r="BE91" s="2">
        <v>0</v>
      </c>
      <c r="BG91" s="2" t="s">
        <v>549</v>
      </c>
      <c r="BH91" s="2">
        <v>564</v>
      </c>
      <c r="BI91" s="2">
        <v>2</v>
      </c>
      <c r="BJ91" s="2">
        <v>15</v>
      </c>
      <c r="BK91" s="2">
        <v>0</v>
      </c>
      <c r="BL91" s="2">
        <v>4</v>
      </c>
      <c r="BM91" s="2">
        <v>3</v>
      </c>
      <c r="BN91" s="2">
        <v>2</v>
      </c>
      <c r="BO91" s="2">
        <v>0</v>
      </c>
      <c r="BT91" s="2">
        <v>0</v>
      </c>
      <c r="BY91" s="2" t="s">
        <v>536</v>
      </c>
    </row>
    <row r="92" spans="1:77" x14ac:dyDescent="0.2">
      <c r="A92" s="2" t="s">
        <v>269</v>
      </c>
      <c r="B92" s="2">
        <v>14</v>
      </c>
      <c r="C92" s="2" t="str" cm="1">
        <f t="array" ref="C92">_xlfn.IFS(B92&lt;3, "1", B92&lt;7, "2", B92&lt;12, "3", B92&lt;18, "4", B92&gt;18, "Fehler")</f>
        <v>4</v>
      </c>
      <c r="D92" s="4">
        <f>IF(COUNTIF($C$2:C92,C92),COUNTIF($C$2:C92,C92),"")</f>
        <v>11</v>
      </c>
      <c r="E92" s="2">
        <v>1</v>
      </c>
      <c r="F92" s="2">
        <v>162</v>
      </c>
      <c r="G92" s="2">
        <v>62</v>
      </c>
      <c r="H92" s="2">
        <v>2</v>
      </c>
      <c r="I92" s="2">
        <v>0</v>
      </c>
      <c r="J92" s="2" t="s">
        <v>541</v>
      </c>
      <c r="K92" s="13">
        <v>0.4826388888888889</v>
      </c>
      <c r="L92" s="13">
        <v>0.51388888888888895</v>
      </c>
      <c r="M92" s="13">
        <v>0.50486111111111109</v>
      </c>
      <c r="N92" s="13">
        <v>0.50694444444444442</v>
      </c>
      <c r="O92" s="2">
        <f t="shared" si="21"/>
        <v>2.9999999999999893</v>
      </c>
      <c r="P92" s="2">
        <f t="shared" si="22"/>
        <v>45.000000000000078</v>
      </c>
      <c r="Q92" s="2">
        <v>1</v>
      </c>
      <c r="R92" s="2">
        <v>1</v>
      </c>
      <c r="S92" s="2">
        <v>2</v>
      </c>
      <c r="T92" s="2">
        <v>2</v>
      </c>
      <c r="U92" s="2">
        <v>4</v>
      </c>
      <c r="V92" s="2">
        <v>4</v>
      </c>
      <c r="W92" s="2" t="str">
        <f t="shared" si="3"/>
        <v>0</v>
      </c>
      <c r="X92" s="2">
        <v>1</v>
      </c>
      <c r="Y92" s="2">
        <v>1</v>
      </c>
      <c r="Z92" s="2">
        <v>1</v>
      </c>
      <c r="AA92" s="2">
        <v>0</v>
      </c>
      <c r="AD92" s="2">
        <v>51</v>
      </c>
      <c r="AE92" s="2">
        <v>51</v>
      </c>
      <c r="AF92" s="2">
        <v>35</v>
      </c>
      <c r="AG92" s="2">
        <v>0</v>
      </c>
      <c r="AH92" s="2">
        <v>100</v>
      </c>
      <c r="AI92" s="2">
        <v>370</v>
      </c>
      <c r="AJ92" s="2">
        <v>4300</v>
      </c>
      <c r="AK92" s="5">
        <f t="shared" si="4"/>
        <v>0</v>
      </c>
      <c r="AL92" s="5">
        <f t="shared" si="5"/>
        <v>2.3255813953488372E-2</v>
      </c>
      <c r="AM92" s="2">
        <v>1</v>
      </c>
      <c r="AN92" s="2" t="s">
        <v>707</v>
      </c>
      <c r="AO92" s="2">
        <v>2</v>
      </c>
      <c r="AP92" s="2">
        <v>3</v>
      </c>
      <c r="AQ92" s="2" t="s">
        <v>734</v>
      </c>
      <c r="AR92" s="2">
        <v>1</v>
      </c>
      <c r="AT92" s="2">
        <v>0</v>
      </c>
      <c r="AU92" s="2">
        <v>0</v>
      </c>
      <c r="AW92" s="2">
        <v>0</v>
      </c>
      <c r="AY92" s="2">
        <v>0</v>
      </c>
      <c r="BA92" s="2" t="s">
        <v>317</v>
      </c>
      <c r="BC92" s="2" t="s">
        <v>21</v>
      </c>
      <c r="BD92" s="2">
        <v>0</v>
      </c>
      <c r="BE92" s="2">
        <v>0</v>
      </c>
      <c r="BG92" s="2" t="s">
        <v>542</v>
      </c>
      <c r="BH92" s="2">
        <v>465</v>
      </c>
      <c r="BI92" s="2">
        <v>2</v>
      </c>
      <c r="BJ92" s="2">
        <v>30</v>
      </c>
      <c r="BK92" s="2">
        <v>0</v>
      </c>
      <c r="BL92" s="2">
        <v>4</v>
      </c>
      <c r="BM92" s="2">
        <v>1</v>
      </c>
      <c r="BN92" s="2">
        <v>2</v>
      </c>
      <c r="BO92" s="2">
        <v>0</v>
      </c>
      <c r="BT92" s="2">
        <v>0</v>
      </c>
      <c r="BY92" s="2" t="s">
        <v>536</v>
      </c>
    </row>
    <row r="93" spans="1:77" x14ac:dyDescent="0.2">
      <c r="A93" s="2" t="s">
        <v>269</v>
      </c>
      <c r="B93" s="2">
        <v>1</v>
      </c>
      <c r="C93" s="2" t="str" cm="1">
        <f t="array" ref="C93">_xlfn.IFS(B93&lt;3, "1", B93&lt;7, "2", B93&lt;12, "3", B93&lt;18, "4", B93&gt;18, "Fehler")</f>
        <v>1</v>
      </c>
      <c r="D93" s="4">
        <f>IF(COUNTIF($C$2:C93,C93),COUNTIF($C$2:C93,C93),"")</f>
        <v>47</v>
      </c>
      <c r="E93" s="2">
        <v>2</v>
      </c>
      <c r="F93" s="2">
        <v>76</v>
      </c>
      <c r="G93" s="2">
        <v>8</v>
      </c>
      <c r="H93" s="2">
        <v>1</v>
      </c>
      <c r="I93" s="2">
        <v>0</v>
      </c>
      <c r="J93" s="2" t="s">
        <v>408</v>
      </c>
      <c r="K93" s="13">
        <v>0.34861111111111115</v>
      </c>
      <c r="L93" s="13">
        <v>0.51041666666666663</v>
      </c>
      <c r="M93" s="13">
        <v>0.3833333333333333</v>
      </c>
      <c r="N93" s="13">
        <v>0.50555555555555554</v>
      </c>
      <c r="O93" s="2">
        <f t="shared" ref="O93" si="23">(N93-M93)*1440</f>
        <v>176</v>
      </c>
      <c r="P93" s="2">
        <f t="shared" ref="P93" si="24">(L93-K93)*1440</f>
        <v>232.99999999999989</v>
      </c>
      <c r="Q93" s="2">
        <v>1</v>
      </c>
      <c r="R93" s="2">
        <v>1</v>
      </c>
      <c r="S93" s="2">
        <v>2</v>
      </c>
      <c r="T93" s="2">
        <v>2</v>
      </c>
      <c r="U93" s="2">
        <v>1</v>
      </c>
      <c r="V93" s="2">
        <v>1</v>
      </c>
      <c r="W93" s="2" t="str">
        <f t="shared" si="3"/>
        <v>0</v>
      </c>
      <c r="X93" s="2">
        <v>0</v>
      </c>
      <c r="Y93" s="2">
        <v>0</v>
      </c>
      <c r="Z93" s="2">
        <v>1</v>
      </c>
      <c r="AA93" s="2">
        <v>2</v>
      </c>
      <c r="AB93" s="2" t="s">
        <v>588</v>
      </c>
      <c r="AC93" s="2">
        <v>1</v>
      </c>
      <c r="AD93" s="2" t="s">
        <v>582</v>
      </c>
      <c r="AF93" s="2">
        <v>35</v>
      </c>
      <c r="AG93" s="2">
        <v>0</v>
      </c>
      <c r="AH93" s="2">
        <v>0</v>
      </c>
      <c r="AI93" s="2">
        <v>80</v>
      </c>
      <c r="AJ93" s="2">
        <v>2400</v>
      </c>
      <c r="AK93" s="5">
        <f t="shared" si="4"/>
        <v>0</v>
      </c>
      <c r="AL93" s="5">
        <f t="shared" si="5"/>
        <v>0</v>
      </c>
      <c r="AM93" s="2">
        <v>2</v>
      </c>
      <c r="AN93" s="2" t="s">
        <v>708</v>
      </c>
      <c r="AO93" s="2">
        <v>1</v>
      </c>
      <c r="AP93" s="2">
        <v>1</v>
      </c>
      <c r="AQ93" s="2">
        <v>100</v>
      </c>
      <c r="AR93" s="2">
        <v>2</v>
      </c>
      <c r="AS93" s="2">
        <v>1.6</v>
      </c>
      <c r="AT93" s="2">
        <v>0</v>
      </c>
      <c r="AU93" s="2">
        <v>1</v>
      </c>
      <c r="AV93" s="2" t="s">
        <v>583</v>
      </c>
      <c r="AW93" s="2">
        <v>0</v>
      </c>
      <c r="AY93" s="2">
        <v>0</v>
      </c>
      <c r="BA93" s="2" t="s">
        <v>314</v>
      </c>
      <c r="BC93" s="2" t="s">
        <v>21</v>
      </c>
      <c r="BD93" s="2">
        <v>0</v>
      </c>
      <c r="BE93" s="2">
        <v>0</v>
      </c>
      <c r="BG93" s="2" t="s">
        <v>584</v>
      </c>
      <c r="BH93" s="2">
        <v>506</v>
      </c>
      <c r="BI93" s="2">
        <v>1</v>
      </c>
      <c r="BJ93" s="2">
        <v>2</v>
      </c>
      <c r="BK93" s="2">
        <v>0</v>
      </c>
      <c r="BL93" s="2">
        <v>2</v>
      </c>
      <c r="BM93" s="2">
        <v>1</v>
      </c>
      <c r="BN93" s="2">
        <v>2</v>
      </c>
      <c r="BO93" s="2">
        <v>1</v>
      </c>
      <c r="BP93" s="2" t="s">
        <v>585</v>
      </c>
      <c r="BR93" s="2" t="s">
        <v>30</v>
      </c>
      <c r="BS93" s="2" t="s">
        <v>586</v>
      </c>
      <c r="BT93" s="2">
        <v>1</v>
      </c>
      <c r="BU93" s="2" t="s">
        <v>585</v>
      </c>
      <c r="BW93" s="2">
        <v>1</v>
      </c>
      <c r="BX93" s="2" t="s">
        <v>129</v>
      </c>
      <c r="BY93" s="2" t="s">
        <v>587</v>
      </c>
    </row>
    <row r="94" spans="1:77" x14ac:dyDescent="0.2">
      <c r="A94" s="2" t="s">
        <v>269</v>
      </c>
      <c r="B94" s="2">
        <v>4</v>
      </c>
      <c r="C94" s="2" t="str" cm="1">
        <f t="array" ref="C94">_xlfn.IFS(B94&lt;3, "1", B94&lt;7, "2", B94&lt;12, "3", B94&lt;18, "4", B94&gt;18, "Fehler")</f>
        <v>2</v>
      </c>
      <c r="D94" s="4">
        <f>IF(COUNTIF($C$2:C94,C94),COUNTIF($C$2:C94,C94),"")</f>
        <v>28</v>
      </c>
      <c r="E94" s="2">
        <v>2</v>
      </c>
      <c r="F94" s="2">
        <v>107</v>
      </c>
      <c r="G94" s="2">
        <v>18.5</v>
      </c>
      <c r="H94" s="2">
        <v>2</v>
      </c>
      <c r="I94" s="2">
        <v>0</v>
      </c>
      <c r="J94" s="2" t="s">
        <v>547</v>
      </c>
      <c r="K94" s="13">
        <v>0.32569444444444445</v>
      </c>
      <c r="L94" s="13">
        <v>0.3666666666666667</v>
      </c>
      <c r="M94" s="13">
        <v>0.34236111111111112</v>
      </c>
      <c r="N94" s="13">
        <v>0.36041666666666666</v>
      </c>
      <c r="O94" s="2">
        <f t="shared" ref="O94" si="25">(N94-M94)*1440</f>
        <v>25.999999999999986</v>
      </c>
      <c r="P94" s="2">
        <f t="shared" ref="P94" si="26">(L94-K94)*1440</f>
        <v>59.000000000000028</v>
      </c>
      <c r="Q94" s="2">
        <v>1</v>
      </c>
      <c r="R94" s="2">
        <v>1</v>
      </c>
      <c r="S94" s="2">
        <v>1</v>
      </c>
      <c r="T94" s="2">
        <v>1</v>
      </c>
      <c r="U94" s="2">
        <v>2</v>
      </c>
      <c r="V94" s="2">
        <v>2.5</v>
      </c>
      <c r="W94" s="2" t="str">
        <f t="shared" si="3"/>
        <v>1</v>
      </c>
      <c r="X94" s="2">
        <v>1</v>
      </c>
      <c r="Y94" s="2">
        <v>1</v>
      </c>
      <c r="Z94" s="2">
        <v>1</v>
      </c>
      <c r="AA94" s="2">
        <v>0</v>
      </c>
      <c r="AD94" s="2">
        <v>51</v>
      </c>
      <c r="AE94" s="2">
        <v>51</v>
      </c>
      <c r="AF94" s="2">
        <v>25</v>
      </c>
      <c r="AG94" s="2">
        <v>18</v>
      </c>
      <c r="AH94" s="2">
        <v>300</v>
      </c>
      <c r="AI94" s="2">
        <v>170</v>
      </c>
      <c r="AJ94" s="2">
        <v>3600</v>
      </c>
      <c r="AK94" s="5">
        <f t="shared" si="4"/>
        <v>0.10588235294117647</v>
      </c>
      <c r="AL94" s="5">
        <f t="shared" si="5"/>
        <v>8.3333333333333329E-2</v>
      </c>
      <c r="AM94" s="2">
        <v>1</v>
      </c>
      <c r="AN94" s="2">
        <v>80</v>
      </c>
      <c r="AO94" s="2">
        <v>1</v>
      </c>
      <c r="AP94" s="2">
        <v>1</v>
      </c>
      <c r="AQ94" s="2">
        <v>200</v>
      </c>
      <c r="AR94" s="2">
        <v>1</v>
      </c>
      <c r="AT94" s="2">
        <v>0</v>
      </c>
      <c r="AU94" s="2">
        <v>0</v>
      </c>
      <c r="AW94" s="2">
        <v>0</v>
      </c>
      <c r="AY94" s="2">
        <v>0</v>
      </c>
      <c r="BA94" s="2" t="s">
        <v>548</v>
      </c>
      <c r="BC94" s="2" t="s">
        <v>21</v>
      </c>
      <c r="BD94" s="2">
        <v>0</v>
      </c>
      <c r="BE94" s="2">
        <v>0</v>
      </c>
      <c r="BG94" s="2" t="s">
        <v>549</v>
      </c>
      <c r="BH94" s="2">
        <v>564</v>
      </c>
      <c r="BI94" s="2">
        <v>2</v>
      </c>
      <c r="BJ94" s="2">
        <v>5</v>
      </c>
      <c r="BK94" s="2">
        <v>0</v>
      </c>
      <c r="BL94" s="2">
        <v>4</v>
      </c>
      <c r="BM94" s="2">
        <v>1</v>
      </c>
      <c r="BN94" s="2">
        <v>2</v>
      </c>
      <c r="BO94" s="2">
        <v>0</v>
      </c>
      <c r="BT94" s="2">
        <v>0</v>
      </c>
      <c r="BY94" s="2" t="s">
        <v>536</v>
      </c>
    </row>
    <row r="95" spans="1:77" x14ac:dyDescent="0.2">
      <c r="A95" s="2" t="s">
        <v>269</v>
      </c>
      <c r="B95" s="2">
        <v>10</v>
      </c>
      <c r="C95" s="2" t="str" cm="1">
        <f t="array" ref="C95">_xlfn.IFS(B95&lt;3, "1", B95&lt;7, "2", B95&lt;12, "3", B95&lt;18, "4", B95&gt;18, "Fehler")</f>
        <v>3</v>
      </c>
      <c r="D95" s="4">
        <f>IF(COUNTIF($C$2:C95,C95),COUNTIF($C$2:C95,C95),"")</f>
        <v>8</v>
      </c>
      <c r="E95" s="2">
        <v>2</v>
      </c>
      <c r="F95" s="2">
        <v>150</v>
      </c>
      <c r="G95" s="2">
        <v>52</v>
      </c>
      <c r="H95" s="2">
        <v>1</v>
      </c>
      <c r="I95" s="2">
        <v>2</v>
      </c>
      <c r="J95" s="2" t="s">
        <v>546</v>
      </c>
      <c r="K95" s="13">
        <v>0.40208333333333335</v>
      </c>
      <c r="L95" s="13">
        <v>0.45</v>
      </c>
      <c r="M95" s="13">
        <v>0.42708333333333331</v>
      </c>
      <c r="N95" s="13">
        <v>0.44166666666666665</v>
      </c>
      <c r="O95" s="2">
        <f t="shared" ref="O95:O96" si="27">(N95-M95)*1440</f>
        <v>21.000000000000007</v>
      </c>
      <c r="P95" s="2">
        <f t="shared" ref="P95:P96" si="28">(L95-K95)*1440</f>
        <v>69</v>
      </c>
      <c r="Q95" s="2">
        <v>1</v>
      </c>
      <c r="R95" s="2">
        <v>1</v>
      </c>
      <c r="S95" s="2">
        <v>1</v>
      </c>
      <c r="T95" s="2">
        <v>1</v>
      </c>
      <c r="U95" s="2">
        <v>4</v>
      </c>
      <c r="V95" s="2">
        <v>4</v>
      </c>
      <c r="W95" s="2" t="str">
        <f t="shared" si="3"/>
        <v>0</v>
      </c>
      <c r="X95" s="2">
        <v>1</v>
      </c>
      <c r="Y95" s="2">
        <v>1</v>
      </c>
      <c r="Z95" s="2">
        <v>1</v>
      </c>
      <c r="AA95" s="2">
        <v>0</v>
      </c>
      <c r="AD95" s="2">
        <v>51</v>
      </c>
      <c r="AE95" s="2">
        <v>51</v>
      </c>
      <c r="AF95" s="2">
        <v>35</v>
      </c>
      <c r="AG95" s="2">
        <v>5</v>
      </c>
      <c r="AH95" s="2">
        <v>300</v>
      </c>
      <c r="AI95" s="2">
        <v>430</v>
      </c>
      <c r="AJ95" s="2">
        <v>6800</v>
      </c>
      <c r="AK95" s="5">
        <f t="shared" si="4"/>
        <v>1.1627906976744186E-2</v>
      </c>
      <c r="AL95" s="5">
        <f t="shared" si="5"/>
        <v>4.4117647058823532E-2</v>
      </c>
      <c r="AM95" s="2">
        <v>1</v>
      </c>
      <c r="AN95" s="2">
        <v>150</v>
      </c>
      <c r="AO95" s="2">
        <v>1</v>
      </c>
      <c r="AP95" s="2">
        <v>1</v>
      </c>
      <c r="AQ95" s="2">
        <v>100</v>
      </c>
      <c r="AR95" s="2">
        <v>1</v>
      </c>
      <c r="AT95" s="2">
        <v>0</v>
      </c>
      <c r="AU95" s="2">
        <v>1</v>
      </c>
      <c r="AV95" s="2" t="s">
        <v>551</v>
      </c>
      <c r="AW95" s="2">
        <v>0</v>
      </c>
      <c r="AY95" s="2">
        <v>0</v>
      </c>
      <c r="BA95" s="2" t="s">
        <v>552</v>
      </c>
      <c r="BC95" s="2" t="s">
        <v>21</v>
      </c>
      <c r="BD95" s="2">
        <v>0</v>
      </c>
      <c r="BE95" s="2">
        <v>0</v>
      </c>
      <c r="BG95" s="2" t="s">
        <v>553</v>
      </c>
      <c r="BH95" s="2">
        <v>430</v>
      </c>
      <c r="BI95" s="2">
        <v>2</v>
      </c>
      <c r="BJ95" s="2" t="s">
        <v>554</v>
      </c>
      <c r="BK95" s="2">
        <v>0</v>
      </c>
      <c r="BL95" s="2">
        <v>4</v>
      </c>
      <c r="BM95" s="2">
        <v>3</v>
      </c>
      <c r="BN95" s="2">
        <v>2</v>
      </c>
      <c r="BO95" s="2">
        <v>0</v>
      </c>
      <c r="BT95" s="2">
        <v>0</v>
      </c>
      <c r="BY95" s="2" t="s">
        <v>536</v>
      </c>
    </row>
    <row r="96" spans="1:77" x14ac:dyDescent="0.2">
      <c r="A96" s="2" t="s">
        <v>269</v>
      </c>
      <c r="B96" s="2">
        <v>16</v>
      </c>
      <c r="C96" s="2" t="str" cm="1">
        <f t="array" ref="C96">_xlfn.IFS(B96&lt;3, "1", B96&lt;7, "2", B96&lt;12, "3", B96&lt;18, "4", B96&gt;18, "Fehler")</f>
        <v>4</v>
      </c>
      <c r="D96" s="4">
        <f>IF(COUNTIF($C$2:C96,C96),COUNTIF($C$2:C96,C96),"")</f>
        <v>12</v>
      </c>
      <c r="E96" s="2">
        <v>2</v>
      </c>
      <c r="F96" s="2">
        <v>172</v>
      </c>
      <c r="G96" s="2">
        <v>50</v>
      </c>
      <c r="H96" s="2">
        <v>1</v>
      </c>
      <c r="I96" s="2">
        <v>0</v>
      </c>
      <c r="J96" s="2" t="s">
        <v>290</v>
      </c>
      <c r="K96" s="13">
        <v>0.38819444444444445</v>
      </c>
      <c r="L96" s="13">
        <v>0.43055555555555558</v>
      </c>
      <c r="M96" s="13">
        <v>0.39861111111111108</v>
      </c>
      <c r="N96" s="13">
        <v>0.42152777777777778</v>
      </c>
      <c r="O96" s="2">
        <f t="shared" si="27"/>
        <v>33.000000000000043</v>
      </c>
      <c r="P96" s="2">
        <f t="shared" si="28"/>
        <v>61.000000000000021</v>
      </c>
      <c r="Q96" s="2">
        <v>1</v>
      </c>
      <c r="R96" s="2">
        <v>1</v>
      </c>
      <c r="S96" s="2">
        <v>1</v>
      </c>
      <c r="T96" s="2">
        <v>2</v>
      </c>
      <c r="U96" s="2">
        <v>4</v>
      </c>
      <c r="V96" s="2">
        <v>4</v>
      </c>
      <c r="W96" s="2" t="str">
        <f t="shared" si="3"/>
        <v>0</v>
      </c>
      <c r="X96" s="2">
        <v>1</v>
      </c>
      <c r="Y96" s="2">
        <v>0</v>
      </c>
      <c r="Z96" s="2">
        <v>2</v>
      </c>
      <c r="AA96" s="2" t="s">
        <v>132</v>
      </c>
      <c r="AB96" s="2">
        <v>3</v>
      </c>
      <c r="AC96" s="2">
        <v>1</v>
      </c>
      <c r="AD96" s="2" t="s">
        <v>575</v>
      </c>
      <c r="AF96" s="2">
        <v>15</v>
      </c>
      <c r="AG96" s="2">
        <v>55</v>
      </c>
      <c r="AH96" s="2">
        <v>300</v>
      </c>
      <c r="AI96" s="2">
        <v>490</v>
      </c>
      <c r="AJ96" s="2">
        <v>5900</v>
      </c>
      <c r="AK96" s="5">
        <f t="shared" si="4"/>
        <v>0.11224489795918367</v>
      </c>
      <c r="AL96" s="5">
        <f t="shared" si="5"/>
        <v>5.0847457627118647E-2</v>
      </c>
      <c r="AM96" s="2">
        <v>1</v>
      </c>
      <c r="AN96" s="2" t="s">
        <v>709</v>
      </c>
      <c r="AO96" s="2">
        <v>1</v>
      </c>
      <c r="AP96" s="2">
        <v>1</v>
      </c>
      <c r="AQ96" s="2">
        <v>1000</v>
      </c>
      <c r="AR96" s="2">
        <v>1</v>
      </c>
      <c r="AT96" s="2">
        <v>0</v>
      </c>
      <c r="AU96" s="2">
        <v>1</v>
      </c>
      <c r="AV96" s="2" t="s">
        <v>576</v>
      </c>
      <c r="AW96" s="2">
        <v>0</v>
      </c>
      <c r="AY96" s="2">
        <v>0</v>
      </c>
      <c r="BA96" s="2" t="s">
        <v>577</v>
      </c>
      <c r="BC96" s="2" t="s">
        <v>21</v>
      </c>
      <c r="BD96" s="2">
        <v>0</v>
      </c>
      <c r="BE96" s="2">
        <v>0</v>
      </c>
      <c r="BG96" s="2" t="s">
        <v>549</v>
      </c>
      <c r="BH96" s="2">
        <v>564</v>
      </c>
      <c r="BI96" s="2">
        <v>2</v>
      </c>
      <c r="BJ96" s="2" t="s">
        <v>400</v>
      </c>
      <c r="BK96" s="2">
        <v>0</v>
      </c>
      <c r="BL96" s="2">
        <v>4</v>
      </c>
      <c r="BM96" s="2">
        <v>4</v>
      </c>
      <c r="BN96" s="2">
        <v>2</v>
      </c>
      <c r="BO96" s="2">
        <v>0</v>
      </c>
      <c r="BT96" s="2">
        <v>0</v>
      </c>
      <c r="BY96" s="2" t="s">
        <v>536</v>
      </c>
    </row>
    <row r="97" spans="1:79" x14ac:dyDescent="0.2">
      <c r="A97" s="2" t="s">
        <v>269</v>
      </c>
      <c r="B97" s="2">
        <v>3</v>
      </c>
      <c r="C97" s="2" t="str" cm="1">
        <f t="array" ref="C97">_xlfn.IFS(B97&lt;3, "1", B97&lt;7, "2", B97&lt;12, "3", B97&lt;18, "4", B97&gt;18, "Fehler")</f>
        <v>2</v>
      </c>
      <c r="D97" s="4">
        <f>IF(COUNTIF($C$2:C97,C97),COUNTIF($C$2:C97,C97),"")</f>
        <v>29</v>
      </c>
      <c r="E97" s="2">
        <v>1</v>
      </c>
      <c r="F97" s="2">
        <v>99</v>
      </c>
      <c r="G97" s="2">
        <v>13</v>
      </c>
      <c r="H97" s="2">
        <v>1</v>
      </c>
      <c r="I97" s="2">
        <v>0</v>
      </c>
      <c r="J97" s="2" t="s">
        <v>550</v>
      </c>
      <c r="K97" s="13">
        <v>0.39097222222222222</v>
      </c>
      <c r="L97" s="13">
        <v>0.42708333333333331</v>
      </c>
      <c r="M97" s="13">
        <v>0.40416666666666662</v>
      </c>
      <c r="N97" s="13">
        <v>0.41666666666666669</v>
      </c>
      <c r="O97" s="2">
        <f t="shared" ref="O97" si="29">(N97-M97)*1440</f>
        <v>18.000000000000096</v>
      </c>
      <c r="P97" s="2">
        <f t="shared" ref="P97" si="30">(L97-K97)*1440</f>
        <v>51.999999999999972</v>
      </c>
      <c r="Q97" s="2">
        <v>1</v>
      </c>
      <c r="R97" s="2">
        <v>1</v>
      </c>
      <c r="S97" s="2">
        <v>1</v>
      </c>
      <c r="T97" s="2">
        <v>1</v>
      </c>
      <c r="U97" s="2">
        <v>2</v>
      </c>
      <c r="V97" s="2">
        <v>2</v>
      </c>
      <c r="W97" s="2" t="str">
        <f t="shared" si="3"/>
        <v>0</v>
      </c>
      <c r="X97" s="2">
        <v>1</v>
      </c>
      <c r="Y97" s="2">
        <v>1</v>
      </c>
      <c r="Z97" s="2">
        <v>1</v>
      </c>
      <c r="AA97" s="2">
        <v>0</v>
      </c>
      <c r="AD97" s="2">
        <v>29</v>
      </c>
      <c r="AE97" s="2">
        <v>29</v>
      </c>
      <c r="AF97" s="2">
        <v>18</v>
      </c>
      <c r="AG97" s="2">
        <v>3</v>
      </c>
      <c r="AH97" s="2">
        <v>30</v>
      </c>
      <c r="AI97" s="2">
        <v>100</v>
      </c>
      <c r="AJ97" s="2">
        <v>2500</v>
      </c>
      <c r="AK97" s="5">
        <f t="shared" si="4"/>
        <v>0.03</v>
      </c>
      <c r="AL97" s="5">
        <f t="shared" si="5"/>
        <v>1.2E-2</v>
      </c>
      <c r="AM97" s="2">
        <v>1</v>
      </c>
      <c r="AN97" s="2" t="s">
        <v>710</v>
      </c>
      <c r="AO97" s="2">
        <v>2</v>
      </c>
      <c r="AP97" s="2">
        <v>3</v>
      </c>
      <c r="AQ97" s="2" t="s">
        <v>735</v>
      </c>
      <c r="AR97" s="2">
        <v>1</v>
      </c>
      <c r="AT97" s="2">
        <v>0</v>
      </c>
      <c r="AU97" s="2">
        <v>0</v>
      </c>
      <c r="AW97" s="2">
        <v>0</v>
      </c>
      <c r="AY97" s="2">
        <v>0</v>
      </c>
      <c r="BA97" s="2" t="s">
        <v>556</v>
      </c>
      <c r="BC97" s="2" t="s">
        <v>21</v>
      </c>
      <c r="BD97" s="2">
        <v>0</v>
      </c>
      <c r="BE97" s="2">
        <v>0</v>
      </c>
      <c r="BG97" s="2" t="s">
        <v>549</v>
      </c>
      <c r="BH97" s="2">
        <v>564</v>
      </c>
      <c r="BI97" s="2">
        <v>2</v>
      </c>
      <c r="BJ97" s="15" t="s">
        <v>557</v>
      </c>
      <c r="BK97" s="2">
        <v>0</v>
      </c>
      <c r="BL97" s="2">
        <v>4</v>
      </c>
      <c r="BM97" s="2">
        <v>1</v>
      </c>
      <c r="BN97" s="2">
        <v>2</v>
      </c>
      <c r="BO97" s="2">
        <v>0</v>
      </c>
      <c r="BT97" s="2">
        <v>0</v>
      </c>
      <c r="BY97" s="2" t="s">
        <v>536</v>
      </c>
    </row>
    <row r="98" spans="1:79" x14ac:dyDescent="0.2">
      <c r="A98" s="2" t="s">
        <v>269</v>
      </c>
      <c r="B98" s="2">
        <v>0</v>
      </c>
      <c r="C98" s="2" t="str" cm="1">
        <f t="array" ref="C98">_xlfn.IFS(B98&lt;3, "1", B98&lt;7, "2", B98&lt;12, "3", B98&lt;18, "4", B98&gt;18, "Fehler")</f>
        <v>1</v>
      </c>
      <c r="D98" s="4">
        <f>IF(COUNTIF($C$2:C98,C98),COUNTIF($C$2:C98,C98),"")</f>
        <v>48</v>
      </c>
      <c r="E98" s="2">
        <v>1</v>
      </c>
      <c r="F98" s="2">
        <v>74</v>
      </c>
      <c r="G98" s="2">
        <v>8.8000000000000007</v>
      </c>
      <c r="H98" s="2">
        <v>1</v>
      </c>
      <c r="I98" s="2">
        <v>0</v>
      </c>
      <c r="J98" s="2" t="s">
        <v>555</v>
      </c>
      <c r="K98" s="13">
        <v>0.32291666666666669</v>
      </c>
      <c r="L98" s="13">
        <v>0.35069444444444442</v>
      </c>
      <c r="M98" s="13">
        <v>0.3347222222222222</v>
      </c>
      <c r="N98" s="13">
        <v>0.34027777777777773</v>
      </c>
      <c r="O98" s="2">
        <f t="shared" ref="O98" si="31">(N98-M98)*1440</f>
        <v>7.9999999999999716</v>
      </c>
      <c r="P98" s="2">
        <f t="shared" ref="P98" si="32">(L98-K98)*1440</f>
        <v>39.999999999999936</v>
      </c>
      <c r="Q98" s="2">
        <v>2</v>
      </c>
      <c r="R98" s="2">
        <v>1</v>
      </c>
      <c r="S98" s="2">
        <v>1</v>
      </c>
      <c r="T98" s="2">
        <v>1</v>
      </c>
      <c r="U98" s="2">
        <v>1.5</v>
      </c>
      <c r="V98" s="2">
        <v>1.5</v>
      </c>
      <c r="W98" s="2" t="str">
        <f t="shared" ref="W98:W148" si="33">IF(V98=U98,"0","1")</f>
        <v>0</v>
      </c>
      <c r="X98" s="2">
        <v>1</v>
      </c>
      <c r="Y98" s="2">
        <v>1</v>
      </c>
      <c r="Z98" s="2">
        <v>1</v>
      </c>
      <c r="AA98" s="2">
        <v>0</v>
      </c>
      <c r="AD98" s="2">
        <v>31</v>
      </c>
      <c r="AE98" s="2">
        <v>31</v>
      </c>
      <c r="AF98" s="2">
        <v>13</v>
      </c>
      <c r="AG98" s="2">
        <v>5</v>
      </c>
      <c r="AH98" s="2">
        <v>30</v>
      </c>
      <c r="AI98" s="2">
        <v>32</v>
      </c>
      <c r="AJ98" s="2">
        <v>1600</v>
      </c>
      <c r="AK98" s="5">
        <f t="shared" ref="AK98:AK149" si="34">AG98/AI98</f>
        <v>0.15625</v>
      </c>
      <c r="AL98" s="5">
        <f t="shared" ref="AL98:AL149" si="35">AH98/AJ98</f>
        <v>1.8749999999999999E-2</v>
      </c>
      <c r="AM98" s="2">
        <v>2</v>
      </c>
      <c r="AN98" s="2">
        <v>25</v>
      </c>
      <c r="AO98" s="2">
        <v>1</v>
      </c>
      <c r="AP98" s="2">
        <v>1</v>
      </c>
      <c r="AQ98" s="2">
        <v>200</v>
      </c>
      <c r="AR98" s="2">
        <v>1</v>
      </c>
      <c r="AT98" s="2">
        <v>0</v>
      </c>
      <c r="AU98" s="2">
        <v>0</v>
      </c>
      <c r="AW98" s="2">
        <v>0</v>
      </c>
      <c r="AY98" s="2">
        <v>0</v>
      </c>
      <c r="BA98" s="2" t="s">
        <v>361</v>
      </c>
      <c r="BC98" s="2" t="s">
        <v>21</v>
      </c>
      <c r="BD98" s="2">
        <v>0</v>
      </c>
      <c r="BE98" s="2">
        <v>0</v>
      </c>
      <c r="BG98" s="2" t="s">
        <v>549</v>
      </c>
      <c r="BH98" s="2">
        <v>564</v>
      </c>
      <c r="BI98" s="2">
        <v>2</v>
      </c>
      <c r="BJ98" s="2">
        <v>25</v>
      </c>
      <c r="BK98" s="2">
        <v>0</v>
      </c>
      <c r="BL98" s="2">
        <v>4</v>
      </c>
      <c r="BM98" s="2">
        <v>2</v>
      </c>
      <c r="BN98" s="2">
        <v>2</v>
      </c>
      <c r="BO98" s="2">
        <v>0</v>
      </c>
      <c r="BT98" s="2">
        <v>0</v>
      </c>
      <c r="BY98" s="2" t="s">
        <v>536</v>
      </c>
    </row>
    <row r="99" spans="1:79" x14ac:dyDescent="0.2">
      <c r="A99" s="2" t="s">
        <v>269</v>
      </c>
      <c r="B99" s="2">
        <v>1</v>
      </c>
      <c r="C99" s="2" t="str" cm="1">
        <f t="array" ref="C99">_xlfn.IFS(B99&lt;3, "1", B99&lt;7, "2", B99&lt;12, "3", B99&lt;18, "4", B99&gt;18, "Fehler")</f>
        <v>1</v>
      </c>
      <c r="D99" s="4">
        <f>IF(COUNTIF($C$2:C99,C99),COUNTIF($C$2:C99,C99),"")</f>
        <v>49</v>
      </c>
      <c r="E99" s="2">
        <v>2</v>
      </c>
      <c r="F99" s="2">
        <v>80</v>
      </c>
      <c r="G99" s="2">
        <v>11</v>
      </c>
      <c r="H99" s="2">
        <v>1</v>
      </c>
      <c r="I99" s="2">
        <v>0</v>
      </c>
      <c r="J99" s="2" t="s">
        <v>292</v>
      </c>
      <c r="K99" s="13">
        <v>0.32500000000000001</v>
      </c>
      <c r="L99" s="13">
        <v>0.3659722222222222</v>
      </c>
      <c r="M99" s="13">
        <v>0.34097222222222223</v>
      </c>
      <c r="N99" s="13">
        <v>0.35972222222222222</v>
      </c>
      <c r="O99" s="2">
        <f t="shared" ref="O99" si="36">(N99-M99)*1440</f>
        <v>26.999999999999986</v>
      </c>
      <c r="P99" s="2">
        <f t="shared" ref="P99" si="37">(L99-K99)*1440</f>
        <v>58.99999999999995</v>
      </c>
      <c r="Q99" s="2">
        <v>1</v>
      </c>
      <c r="R99" s="2">
        <v>1</v>
      </c>
      <c r="S99" s="2">
        <v>1</v>
      </c>
      <c r="T99" s="2">
        <v>2</v>
      </c>
      <c r="U99" s="2">
        <v>1</v>
      </c>
      <c r="V99" s="2">
        <v>1</v>
      </c>
      <c r="W99" s="2" t="str">
        <f t="shared" si="33"/>
        <v>0</v>
      </c>
      <c r="X99" s="2">
        <v>0</v>
      </c>
      <c r="Y99" s="2">
        <v>0</v>
      </c>
      <c r="Z99" s="2">
        <v>3</v>
      </c>
      <c r="AA99" s="2">
        <v>1</v>
      </c>
      <c r="AB99" s="2">
        <v>2</v>
      </c>
      <c r="AC99" s="2">
        <v>1</v>
      </c>
      <c r="AD99" s="2">
        <v>14</v>
      </c>
      <c r="AF99" s="2">
        <v>20</v>
      </c>
      <c r="AG99" s="2">
        <v>0</v>
      </c>
      <c r="AH99" s="2">
        <v>0</v>
      </c>
      <c r="AI99" s="2">
        <v>80</v>
      </c>
      <c r="AJ99" s="2">
        <v>2800</v>
      </c>
      <c r="AK99" s="5">
        <f t="shared" si="34"/>
        <v>0</v>
      </c>
      <c r="AL99" s="5">
        <f t="shared" si="35"/>
        <v>0</v>
      </c>
      <c r="AM99" s="2">
        <v>1</v>
      </c>
      <c r="AN99" s="2">
        <v>75</v>
      </c>
      <c r="AO99" s="2">
        <v>1</v>
      </c>
      <c r="AP99" s="2">
        <v>1</v>
      </c>
      <c r="AQ99" s="2">
        <v>200</v>
      </c>
      <c r="AR99" s="2">
        <v>2</v>
      </c>
      <c r="AS99" s="2">
        <v>3.5</v>
      </c>
      <c r="AT99" s="2">
        <v>0</v>
      </c>
      <c r="AU99" s="2">
        <v>1</v>
      </c>
      <c r="AV99" s="2" t="s">
        <v>558</v>
      </c>
      <c r="AW99" s="2">
        <v>0</v>
      </c>
      <c r="AY99" s="2">
        <v>0</v>
      </c>
      <c r="BA99" s="2" t="s">
        <v>456</v>
      </c>
      <c r="BC99" s="2" t="s">
        <v>21</v>
      </c>
      <c r="BD99" s="2">
        <v>0</v>
      </c>
      <c r="BE99" s="2">
        <v>0</v>
      </c>
      <c r="BG99" s="2" t="s">
        <v>549</v>
      </c>
      <c r="BH99" s="2">
        <v>564</v>
      </c>
      <c r="BI99" s="2">
        <v>2</v>
      </c>
      <c r="BJ99" s="2">
        <v>10</v>
      </c>
      <c r="BK99" s="2">
        <v>0</v>
      </c>
      <c r="BL99" s="2">
        <v>4</v>
      </c>
      <c r="BM99" s="2">
        <v>6</v>
      </c>
      <c r="BN99" s="2">
        <v>2</v>
      </c>
      <c r="BO99" s="2">
        <v>1</v>
      </c>
      <c r="BP99" s="2" t="s">
        <v>559</v>
      </c>
      <c r="BQ99" s="2">
        <v>30</v>
      </c>
      <c r="BT99" s="2">
        <v>0</v>
      </c>
      <c r="BY99" s="2" t="s">
        <v>560</v>
      </c>
      <c r="CA99" s="2" t="s">
        <v>561</v>
      </c>
    </row>
    <row r="100" spans="1:79" x14ac:dyDescent="0.2">
      <c r="A100" s="2" t="s">
        <v>269</v>
      </c>
      <c r="B100" s="2">
        <v>5</v>
      </c>
      <c r="C100" s="2" t="str" cm="1">
        <f t="array" ref="C100">_xlfn.IFS(B100&lt;3, "1", B100&lt;7, "2", B100&lt;12, "3", B100&lt;18, "4", B100&gt;18, "Fehler")</f>
        <v>2</v>
      </c>
      <c r="D100" s="4">
        <f>IF(COUNTIF($C$2:C100,C100),COUNTIF($C$2:C100,C100),"")</f>
        <v>30</v>
      </c>
      <c r="E100" s="2">
        <v>2</v>
      </c>
      <c r="F100" s="2">
        <v>110</v>
      </c>
      <c r="G100" s="2">
        <v>19</v>
      </c>
      <c r="H100" s="2">
        <v>2</v>
      </c>
      <c r="I100" s="2">
        <v>0</v>
      </c>
      <c r="J100" s="2" t="s">
        <v>562</v>
      </c>
      <c r="K100" s="13">
        <v>0.38263888888888892</v>
      </c>
      <c r="L100" s="13">
        <v>0.4375</v>
      </c>
      <c r="M100" s="13">
        <v>0.39652777777777781</v>
      </c>
      <c r="N100" s="13">
        <v>0.41875000000000001</v>
      </c>
      <c r="O100" s="2">
        <f t="shared" ref="O100:O102" si="38">(N100-M100)*1440</f>
        <v>31.999999999999964</v>
      </c>
      <c r="P100" s="2">
        <f t="shared" ref="P100:P102" si="39">(L100-K100)*1440</f>
        <v>78.999999999999957</v>
      </c>
      <c r="Q100" s="2">
        <v>2</v>
      </c>
      <c r="R100" s="2">
        <v>1</v>
      </c>
      <c r="S100" s="2">
        <v>1</v>
      </c>
      <c r="T100" s="2">
        <v>2</v>
      </c>
      <c r="U100" s="2">
        <v>2</v>
      </c>
      <c r="V100" s="2">
        <v>2</v>
      </c>
      <c r="W100" s="2" t="str">
        <f t="shared" si="33"/>
        <v>0</v>
      </c>
      <c r="X100" s="2">
        <v>1</v>
      </c>
      <c r="Y100" s="2">
        <v>1</v>
      </c>
      <c r="Z100" s="2">
        <v>1</v>
      </c>
      <c r="AA100" s="2">
        <v>0</v>
      </c>
      <c r="AD100" s="2">
        <v>41</v>
      </c>
      <c r="AE100" s="2">
        <v>41</v>
      </c>
      <c r="AF100" s="2">
        <v>29</v>
      </c>
      <c r="AG100" s="2">
        <v>0</v>
      </c>
      <c r="AH100" s="2">
        <v>0</v>
      </c>
      <c r="AI100" s="2">
        <v>110</v>
      </c>
      <c r="AJ100" s="2">
        <v>3300</v>
      </c>
      <c r="AK100" s="5">
        <f t="shared" si="34"/>
        <v>0</v>
      </c>
      <c r="AL100" s="5">
        <f t="shared" si="35"/>
        <v>0</v>
      </c>
      <c r="AM100" s="2">
        <v>1</v>
      </c>
      <c r="AN100" s="2">
        <v>80</v>
      </c>
      <c r="AO100" s="2">
        <v>1</v>
      </c>
      <c r="AP100" s="2">
        <v>1</v>
      </c>
      <c r="AQ100" s="2">
        <v>200</v>
      </c>
      <c r="AR100" s="2">
        <v>1</v>
      </c>
      <c r="AT100" s="2">
        <v>0</v>
      </c>
      <c r="AU100" s="2">
        <v>1</v>
      </c>
      <c r="AV100" s="2" t="s">
        <v>563</v>
      </c>
      <c r="AW100" s="2">
        <v>1</v>
      </c>
      <c r="AX100" s="2" t="s">
        <v>564</v>
      </c>
      <c r="AY100" s="2">
        <v>0</v>
      </c>
      <c r="BA100" s="2" t="s">
        <v>565</v>
      </c>
      <c r="BC100" s="2" t="s">
        <v>21</v>
      </c>
      <c r="BD100" s="2">
        <v>0</v>
      </c>
      <c r="BE100" s="2">
        <v>0</v>
      </c>
      <c r="BG100" s="2" t="s">
        <v>549</v>
      </c>
      <c r="BH100" s="2">
        <v>564</v>
      </c>
      <c r="BI100" s="2">
        <v>2</v>
      </c>
      <c r="BJ100" s="2">
        <v>10</v>
      </c>
      <c r="BK100" s="2">
        <v>0</v>
      </c>
      <c r="BL100" s="2">
        <v>4</v>
      </c>
      <c r="BM100" s="2">
        <v>4</v>
      </c>
      <c r="BN100" s="2">
        <v>2</v>
      </c>
      <c r="BO100" s="2">
        <v>0</v>
      </c>
      <c r="BT100" s="2">
        <v>0</v>
      </c>
      <c r="BY100" s="2" t="s">
        <v>536</v>
      </c>
    </row>
    <row r="101" spans="1:79" x14ac:dyDescent="0.2">
      <c r="A101" s="2" t="s">
        <v>269</v>
      </c>
      <c r="B101" s="2">
        <v>9</v>
      </c>
      <c r="C101" s="2" t="str" cm="1">
        <f t="array" ref="C101">_xlfn.IFS(B101&lt;3, "1", B101&lt;7, "2", B101&lt;12, "3", B101&lt;18, "4", B101&gt;18, "Fehler")</f>
        <v>3</v>
      </c>
      <c r="D101" s="4">
        <f>IF(COUNTIF($C$2:C101,C101),COUNTIF($C$2:C101,C101),"")</f>
        <v>9</v>
      </c>
      <c r="E101" s="2">
        <v>2</v>
      </c>
      <c r="F101" s="2">
        <v>139</v>
      </c>
      <c r="G101" s="2">
        <v>31.8</v>
      </c>
      <c r="H101" s="2">
        <v>1</v>
      </c>
      <c r="I101" s="2">
        <v>0</v>
      </c>
      <c r="J101" s="2" t="s">
        <v>567</v>
      </c>
      <c r="K101" s="13">
        <v>0.46736111111111112</v>
      </c>
      <c r="L101" s="13">
        <v>0.49305555555555558</v>
      </c>
      <c r="M101" s="13">
        <v>0.47847222222222219</v>
      </c>
      <c r="N101" s="13">
        <v>0.4861111111111111</v>
      </c>
      <c r="O101" s="2">
        <f t="shared" si="38"/>
        <v>11.000000000000041</v>
      </c>
      <c r="P101" s="2">
        <f t="shared" si="39"/>
        <v>37.000000000000028</v>
      </c>
      <c r="Q101" s="2">
        <v>1</v>
      </c>
      <c r="R101" s="2">
        <v>1</v>
      </c>
      <c r="S101" s="2">
        <v>1</v>
      </c>
      <c r="T101" s="2">
        <v>1</v>
      </c>
      <c r="U101" s="2">
        <v>3</v>
      </c>
      <c r="V101" s="2">
        <v>3</v>
      </c>
      <c r="W101" s="2" t="str">
        <f t="shared" si="33"/>
        <v>0</v>
      </c>
      <c r="X101" s="2">
        <v>1</v>
      </c>
      <c r="Y101" s="2">
        <v>1</v>
      </c>
      <c r="Z101" s="2">
        <v>1</v>
      </c>
      <c r="AA101" s="2">
        <v>0</v>
      </c>
      <c r="AD101" s="2">
        <v>43</v>
      </c>
      <c r="AE101" s="2">
        <v>43</v>
      </c>
      <c r="AF101" s="2">
        <v>35</v>
      </c>
      <c r="AG101" s="2">
        <v>10</v>
      </c>
      <c r="AH101" s="2">
        <v>0</v>
      </c>
      <c r="AI101" s="2">
        <v>260</v>
      </c>
      <c r="AJ101" s="2">
        <v>3600</v>
      </c>
      <c r="AK101" s="5">
        <f t="shared" si="34"/>
        <v>3.8461538461538464E-2</v>
      </c>
      <c r="AL101" s="5">
        <f t="shared" si="35"/>
        <v>0</v>
      </c>
      <c r="AM101" s="2">
        <v>1</v>
      </c>
      <c r="AN101" s="2">
        <v>150</v>
      </c>
      <c r="AO101" s="2">
        <v>1</v>
      </c>
      <c r="AP101" s="2">
        <v>1</v>
      </c>
      <c r="AQ101" s="2">
        <v>500</v>
      </c>
      <c r="AR101" s="2">
        <v>1</v>
      </c>
      <c r="AT101" s="2">
        <v>0</v>
      </c>
      <c r="AU101" s="2">
        <v>0</v>
      </c>
      <c r="AW101" s="2">
        <v>0</v>
      </c>
      <c r="AY101" s="2">
        <v>0</v>
      </c>
      <c r="BA101" s="2" t="s">
        <v>592</v>
      </c>
      <c r="BC101" s="2" t="s">
        <v>21</v>
      </c>
      <c r="BD101" s="2">
        <v>0</v>
      </c>
      <c r="BE101" s="2">
        <v>0</v>
      </c>
      <c r="BG101" s="2" t="s">
        <v>591</v>
      </c>
      <c r="BH101" s="2">
        <v>503</v>
      </c>
      <c r="BI101" s="2">
        <v>1</v>
      </c>
      <c r="BJ101" s="2">
        <v>10</v>
      </c>
      <c r="BK101" s="2">
        <v>0</v>
      </c>
      <c r="BL101" s="2">
        <v>5</v>
      </c>
      <c r="BM101" s="2">
        <v>1</v>
      </c>
      <c r="BN101" s="2">
        <v>2</v>
      </c>
      <c r="BO101" s="2">
        <v>0</v>
      </c>
      <c r="BT101" s="2">
        <v>0</v>
      </c>
      <c r="BY101" s="2" t="s">
        <v>536</v>
      </c>
    </row>
    <row r="102" spans="1:79" x14ac:dyDescent="0.2">
      <c r="A102" s="2" t="s">
        <v>269</v>
      </c>
      <c r="B102" s="2">
        <v>1</v>
      </c>
      <c r="C102" s="2" t="str" cm="1">
        <f t="array" ref="C102">_xlfn.IFS(B102&lt;3, "1", B102&lt;7, "2", B102&lt;12, "3", B102&lt;18, "4", B102&gt;18, "Fehler")</f>
        <v>1</v>
      </c>
      <c r="D102" s="4">
        <f>IF(COUNTIF($C$2:C102,C102),COUNTIF($C$2:C102,C102),"")</f>
        <v>50</v>
      </c>
      <c r="E102" s="2">
        <v>2</v>
      </c>
      <c r="F102" s="2">
        <v>98</v>
      </c>
      <c r="G102" s="2">
        <v>13.8</v>
      </c>
      <c r="H102" s="2">
        <v>2</v>
      </c>
      <c r="I102" s="2">
        <v>0</v>
      </c>
      <c r="J102" s="2" t="s">
        <v>292</v>
      </c>
      <c r="K102" s="13">
        <v>0.31944444444444448</v>
      </c>
      <c r="L102" s="13">
        <v>0.36805555555555558</v>
      </c>
      <c r="M102" s="13">
        <v>0.34097222222222223</v>
      </c>
      <c r="N102" s="13">
        <v>0.3611111111111111</v>
      </c>
      <c r="O102" s="2">
        <f t="shared" si="38"/>
        <v>28.999999999999979</v>
      </c>
      <c r="P102" s="2">
        <f t="shared" si="39"/>
        <v>69.999999999999986</v>
      </c>
      <c r="Q102" s="2">
        <v>1</v>
      </c>
      <c r="R102" s="2">
        <v>1</v>
      </c>
      <c r="S102" s="2">
        <v>1</v>
      </c>
      <c r="T102" s="2">
        <v>1</v>
      </c>
      <c r="U102" s="2">
        <v>2</v>
      </c>
      <c r="V102" s="2">
        <v>2</v>
      </c>
      <c r="W102" s="2" t="str">
        <f t="shared" si="33"/>
        <v>0</v>
      </c>
      <c r="X102" s="2">
        <v>1</v>
      </c>
      <c r="Y102" s="2">
        <v>1</v>
      </c>
      <c r="Z102" s="2">
        <v>1</v>
      </c>
      <c r="AA102" s="2">
        <v>0</v>
      </c>
      <c r="AD102" s="2">
        <v>35</v>
      </c>
      <c r="AE102" s="2">
        <v>35</v>
      </c>
      <c r="AF102" s="2">
        <v>19</v>
      </c>
      <c r="AG102" s="2">
        <v>2</v>
      </c>
      <c r="AH102" s="2">
        <v>0</v>
      </c>
      <c r="AI102" s="2">
        <v>150</v>
      </c>
      <c r="AJ102" s="2">
        <v>3900</v>
      </c>
      <c r="AK102" s="5">
        <f t="shared" si="34"/>
        <v>1.3333333333333334E-2</v>
      </c>
      <c r="AL102" s="5">
        <f t="shared" si="35"/>
        <v>0</v>
      </c>
      <c r="AM102" s="2">
        <v>2</v>
      </c>
      <c r="AN102" s="2">
        <v>75</v>
      </c>
      <c r="AO102" s="2">
        <v>1</v>
      </c>
      <c r="AP102" s="2">
        <v>1</v>
      </c>
      <c r="AQ102" s="2">
        <v>250</v>
      </c>
      <c r="AR102" s="2">
        <v>1</v>
      </c>
      <c r="AT102" s="2">
        <v>0</v>
      </c>
      <c r="AU102" s="2">
        <v>0</v>
      </c>
      <c r="AW102" s="2">
        <v>0</v>
      </c>
      <c r="AY102" s="2">
        <v>0</v>
      </c>
      <c r="BA102" s="2" t="s">
        <v>277</v>
      </c>
      <c r="BC102" s="2" t="s">
        <v>21</v>
      </c>
      <c r="BD102" s="2">
        <v>0</v>
      </c>
      <c r="BE102" s="2">
        <v>0</v>
      </c>
      <c r="BG102" s="2" t="s">
        <v>591</v>
      </c>
      <c r="BH102" s="2">
        <v>503</v>
      </c>
      <c r="BI102" s="2">
        <v>1</v>
      </c>
      <c r="BJ102" s="2">
        <v>10</v>
      </c>
      <c r="BK102" s="2">
        <v>0</v>
      </c>
      <c r="BL102" s="2">
        <v>5</v>
      </c>
      <c r="BM102" s="2">
        <v>2</v>
      </c>
      <c r="BN102" s="2">
        <v>2</v>
      </c>
      <c r="BO102" s="2">
        <v>0</v>
      </c>
      <c r="BT102" s="2">
        <v>0</v>
      </c>
      <c r="BY102" s="2" t="s">
        <v>594</v>
      </c>
    </row>
    <row r="103" spans="1:79" x14ac:dyDescent="0.2">
      <c r="A103" s="2" t="s">
        <v>269</v>
      </c>
      <c r="B103" s="2">
        <v>4</v>
      </c>
      <c r="C103" s="2" t="str" cm="1">
        <f t="array" ref="C103">_xlfn.IFS(B103&lt;3, "1", B103&lt;7, "2", B103&lt;12, "3", B103&lt;18, "4", B103&gt;18, "Fehler")</f>
        <v>2</v>
      </c>
      <c r="D103" s="4">
        <f>IF(COUNTIF($C$2:C103,C103),COUNTIF($C$2:C103,C103),"")</f>
        <v>31</v>
      </c>
      <c r="E103" s="2">
        <v>2</v>
      </c>
      <c r="F103" s="2">
        <v>110</v>
      </c>
      <c r="G103" s="2">
        <v>15</v>
      </c>
      <c r="H103" s="2">
        <v>1</v>
      </c>
      <c r="I103" s="2">
        <v>0</v>
      </c>
      <c r="J103" s="2" t="s">
        <v>569</v>
      </c>
      <c r="K103" s="13">
        <v>0.42430555555555555</v>
      </c>
      <c r="L103" s="13">
        <v>0.47083333333333338</v>
      </c>
      <c r="M103" s="13">
        <v>0.44305555555555554</v>
      </c>
      <c r="N103" s="13">
        <v>0.45694444444444443</v>
      </c>
      <c r="O103" s="2">
        <f t="shared" ref="O103" si="40">(N103-M103)*1440</f>
        <v>20.000000000000007</v>
      </c>
      <c r="P103" s="2">
        <f t="shared" ref="P103" si="41">(L103-K103)*1440</f>
        <v>67.000000000000085</v>
      </c>
      <c r="Q103" s="2">
        <v>1</v>
      </c>
      <c r="R103" s="2">
        <v>1</v>
      </c>
      <c r="S103" s="2">
        <v>1</v>
      </c>
      <c r="T103" s="2">
        <v>1</v>
      </c>
      <c r="U103" s="2">
        <v>2</v>
      </c>
      <c r="V103" s="2">
        <v>2</v>
      </c>
      <c r="W103" s="2" t="str">
        <f t="shared" si="33"/>
        <v>0</v>
      </c>
      <c r="X103" s="2">
        <v>1</v>
      </c>
      <c r="Y103" s="2">
        <v>1</v>
      </c>
      <c r="Z103" s="2">
        <v>1</v>
      </c>
      <c r="AA103" s="2">
        <v>0</v>
      </c>
      <c r="AD103" s="2">
        <v>23</v>
      </c>
      <c r="AE103" s="2">
        <v>23</v>
      </c>
      <c r="AF103" s="2">
        <v>23</v>
      </c>
      <c r="AG103" s="2">
        <v>0</v>
      </c>
      <c r="AH103" s="2">
        <v>0</v>
      </c>
      <c r="AI103" s="2">
        <v>260</v>
      </c>
      <c r="AJ103" s="2">
        <v>5700</v>
      </c>
      <c r="AK103" s="5">
        <f t="shared" si="34"/>
        <v>0</v>
      </c>
      <c r="AL103" s="5">
        <f t="shared" si="35"/>
        <v>0</v>
      </c>
      <c r="AM103" s="2">
        <v>1</v>
      </c>
      <c r="AN103" s="2">
        <v>60</v>
      </c>
      <c r="AO103" s="2">
        <v>1</v>
      </c>
      <c r="AP103" s="2">
        <v>1</v>
      </c>
      <c r="AQ103" s="2">
        <v>300</v>
      </c>
      <c r="AR103" s="2">
        <v>1</v>
      </c>
      <c r="AT103" s="2">
        <v>0</v>
      </c>
      <c r="AU103" s="2">
        <v>0</v>
      </c>
      <c r="AW103" s="2">
        <v>0</v>
      </c>
      <c r="AY103" s="2">
        <v>0</v>
      </c>
      <c r="BA103" s="2" t="s">
        <v>21</v>
      </c>
      <c r="BC103" s="2" t="s">
        <v>21</v>
      </c>
      <c r="BD103" s="2">
        <v>0</v>
      </c>
      <c r="BE103" s="2">
        <v>0</v>
      </c>
      <c r="BG103" s="2" t="s">
        <v>524</v>
      </c>
      <c r="BH103" s="2">
        <v>418</v>
      </c>
      <c r="BI103" s="2">
        <v>2</v>
      </c>
      <c r="BJ103" s="2">
        <v>20</v>
      </c>
      <c r="BK103" s="2">
        <v>0</v>
      </c>
      <c r="BL103" s="2">
        <v>5</v>
      </c>
      <c r="BM103" s="2">
        <v>2</v>
      </c>
      <c r="BN103" s="2">
        <v>2</v>
      </c>
      <c r="BO103" s="2">
        <v>0</v>
      </c>
      <c r="BT103" s="2">
        <v>0</v>
      </c>
      <c r="BY103" s="2" t="s">
        <v>536</v>
      </c>
    </row>
    <row r="104" spans="1:79" x14ac:dyDescent="0.2">
      <c r="A104" s="2" t="s">
        <v>269</v>
      </c>
      <c r="B104" s="2">
        <v>5</v>
      </c>
      <c r="C104" s="2" t="str" cm="1">
        <f t="array" ref="C104">_xlfn.IFS(B104&lt;3, "1", B104&lt;7, "2", B104&lt;12, "3", B104&lt;18, "4", B104&gt;18, "Fehler")</f>
        <v>2</v>
      </c>
      <c r="D104" s="4">
        <f>IF(COUNTIF($C$2:C104,C104),COUNTIF($C$2:C104,C104),"")</f>
        <v>32</v>
      </c>
      <c r="E104" s="2">
        <v>2</v>
      </c>
      <c r="F104" s="2">
        <v>120</v>
      </c>
      <c r="G104" s="2">
        <v>25</v>
      </c>
      <c r="H104" s="2">
        <v>1</v>
      </c>
      <c r="I104" s="2">
        <v>0</v>
      </c>
      <c r="J104" s="2" t="s">
        <v>568</v>
      </c>
      <c r="K104" s="13">
        <v>0.4291666666666667</v>
      </c>
      <c r="L104" s="13">
        <v>0.48472222222222222</v>
      </c>
      <c r="M104" s="13">
        <v>0.45277777777777778</v>
      </c>
      <c r="N104" s="13">
        <v>0.47500000000000003</v>
      </c>
      <c r="O104" s="2">
        <f t="shared" ref="O104:O105" si="42">(N104-M104)*1440</f>
        <v>32.000000000000043</v>
      </c>
      <c r="P104" s="2">
        <f t="shared" ref="P104:P105" si="43">(L104-K104)*1440</f>
        <v>79.999999999999957</v>
      </c>
      <c r="Q104" s="2">
        <v>2</v>
      </c>
      <c r="R104" s="2">
        <v>1</v>
      </c>
      <c r="S104" s="2">
        <v>1</v>
      </c>
      <c r="T104" s="2">
        <v>2</v>
      </c>
      <c r="U104" s="2">
        <v>2.5</v>
      </c>
      <c r="V104" s="2">
        <v>2</v>
      </c>
      <c r="W104" s="2" t="str">
        <f t="shared" si="33"/>
        <v>1</v>
      </c>
      <c r="X104" s="2">
        <v>0</v>
      </c>
      <c r="Y104" s="2">
        <v>0</v>
      </c>
      <c r="Z104" s="2">
        <v>2</v>
      </c>
      <c r="AA104" s="2">
        <v>1</v>
      </c>
      <c r="AB104" s="2">
        <v>2.5</v>
      </c>
      <c r="AC104" s="2">
        <v>1</v>
      </c>
      <c r="AD104" s="2" t="s">
        <v>570</v>
      </c>
      <c r="AF104" s="2">
        <v>20</v>
      </c>
      <c r="AG104" s="2">
        <v>10</v>
      </c>
      <c r="AH104" s="2">
        <v>200</v>
      </c>
      <c r="AI104" s="2">
        <v>170</v>
      </c>
      <c r="AJ104" s="2">
        <v>4000</v>
      </c>
      <c r="AK104" s="5">
        <f t="shared" si="34"/>
        <v>5.8823529411764705E-2</v>
      </c>
      <c r="AL104" s="5">
        <f t="shared" si="35"/>
        <v>0.05</v>
      </c>
      <c r="AM104" s="2">
        <v>1</v>
      </c>
      <c r="AN104" s="2">
        <v>100</v>
      </c>
      <c r="AO104" s="2">
        <v>1</v>
      </c>
      <c r="AP104" s="2">
        <v>1</v>
      </c>
      <c r="AQ104" s="2">
        <v>200</v>
      </c>
      <c r="AR104" s="2">
        <v>1</v>
      </c>
      <c r="AT104" s="2">
        <v>0</v>
      </c>
      <c r="AU104" s="2">
        <v>1</v>
      </c>
      <c r="AV104" s="2" t="s">
        <v>571</v>
      </c>
      <c r="AW104" s="2">
        <v>0</v>
      </c>
      <c r="AY104" s="2">
        <v>1</v>
      </c>
      <c r="AZ104" s="2" t="s">
        <v>572</v>
      </c>
      <c r="BA104" s="2" t="s">
        <v>335</v>
      </c>
      <c r="BC104" s="2" t="s">
        <v>21</v>
      </c>
      <c r="BD104" s="2">
        <v>0</v>
      </c>
      <c r="BE104" s="2">
        <v>0</v>
      </c>
      <c r="BG104" s="2" t="s">
        <v>549</v>
      </c>
      <c r="BH104" s="2">
        <v>564</v>
      </c>
      <c r="BI104" s="2">
        <v>2</v>
      </c>
      <c r="BJ104" s="2">
        <v>20</v>
      </c>
      <c r="BK104" s="2">
        <v>0</v>
      </c>
      <c r="BL104" s="2">
        <v>4</v>
      </c>
      <c r="BM104" s="2">
        <v>1</v>
      </c>
      <c r="BN104" s="2">
        <v>2</v>
      </c>
      <c r="BO104" s="2">
        <v>1</v>
      </c>
      <c r="BP104" s="2" t="s">
        <v>399</v>
      </c>
      <c r="BQ104" s="2">
        <v>338</v>
      </c>
      <c r="BT104" s="2">
        <v>0</v>
      </c>
      <c r="BY104" s="2" t="s">
        <v>536</v>
      </c>
    </row>
    <row r="105" spans="1:79" x14ac:dyDescent="0.2">
      <c r="A105" s="2" t="s">
        <v>269</v>
      </c>
      <c r="B105" s="2">
        <v>1</v>
      </c>
      <c r="C105" s="2" t="str" cm="1">
        <f t="array" ref="C105">_xlfn.IFS(B105&lt;3, "1", B105&lt;7, "2", B105&lt;12, "3", B105&lt;18, "4", B105&gt;18, "Fehler")</f>
        <v>1</v>
      </c>
      <c r="D105" s="4">
        <f>IF(COUNTIF($C$2:C105,C105),COUNTIF($C$2:C105,C105),"")</f>
        <v>51</v>
      </c>
      <c r="E105" s="2">
        <v>2</v>
      </c>
      <c r="F105" s="2">
        <v>80</v>
      </c>
      <c r="G105" s="2">
        <v>10</v>
      </c>
      <c r="H105" s="2">
        <v>2</v>
      </c>
      <c r="I105" s="2">
        <v>0</v>
      </c>
      <c r="J105" s="2" t="s">
        <v>573</v>
      </c>
      <c r="K105" s="13">
        <v>0.44375000000000003</v>
      </c>
      <c r="L105" s="13">
        <v>0.4826388888888889</v>
      </c>
      <c r="M105" s="13">
        <v>0.46875</v>
      </c>
      <c r="N105" s="13">
        <v>0.4770833333333333</v>
      </c>
      <c r="O105" s="2">
        <f t="shared" si="42"/>
        <v>11.999999999999957</v>
      </c>
      <c r="P105" s="2">
        <f t="shared" si="43"/>
        <v>55.999999999999957</v>
      </c>
      <c r="Q105" s="2">
        <v>1</v>
      </c>
      <c r="R105" s="2">
        <v>1</v>
      </c>
      <c r="S105" s="2">
        <v>2</v>
      </c>
      <c r="T105" s="2">
        <v>2</v>
      </c>
      <c r="U105" s="2">
        <v>1</v>
      </c>
      <c r="V105" s="2">
        <v>1</v>
      </c>
      <c r="W105" s="2" t="str">
        <f t="shared" si="33"/>
        <v>0</v>
      </c>
      <c r="X105" s="2">
        <v>0</v>
      </c>
      <c r="Y105" s="2">
        <v>0</v>
      </c>
      <c r="Z105" s="2">
        <v>1</v>
      </c>
      <c r="AA105" s="2">
        <v>1</v>
      </c>
      <c r="AB105" s="2">
        <v>2</v>
      </c>
      <c r="AC105" s="2">
        <v>1</v>
      </c>
      <c r="AD105" s="2" t="s">
        <v>595</v>
      </c>
      <c r="AF105" s="2">
        <v>30</v>
      </c>
      <c r="AG105" s="2">
        <v>2</v>
      </c>
      <c r="AH105" s="2">
        <v>0</v>
      </c>
      <c r="AI105" s="2">
        <v>110</v>
      </c>
      <c r="AJ105" s="2">
        <v>2500</v>
      </c>
      <c r="AK105" s="5">
        <f t="shared" si="34"/>
        <v>1.8181818181818181E-2</v>
      </c>
      <c r="AL105" s="5">
        <f t="shared" si="35"/>
        <v>0</v>
      </c>
      <c r="AM105" s="2">
        <v>1</v>
      </c>
      <c r="AN105" s="2">
        <v>50</v>
      </c>
      <c r="AO105" s="2">
        <v>1</v>
      </c>
      <c r="AP105" s="2">
        <v>1</v>
      </c>
      <c r="AQ105" s="2">
        <v>200</v>
      </c>
      <c r="AR105" s="2">
        <v>1</v>
      </c>
      <c r="AT105" s="2">
        <v>0</v>
      </c>
      <c r="AU105" s="2">
        <v>1</v>
      </c>
      <c r="AV105" s="2" t="s">
        <v>596</v>
      </c>
      <c r="AW105" s="2">
        <v>0</v>
      </c>
      <c r="AY105" s="2">
        <v>0</v>
      </c>
      <c r="BA105" s="2" t="s">
        <v>361</v>
      </c>
      <c r="BC105" s="2" t="s">
        <v>21</v>
      </c>
      <c r="BD105" s="2">
        <v>0</v>
      </c>
      <c r="BE105" s="2">
        <v>0</v>
      </c>
      <c r="BG105" s="2" t="s">
        <v>280</v>
      </c>
      <c r="BH105" s="2">
        <v>429</v>
      </c>
      <c r="BI105" s="2">
        <v>2</v>
      </c>
      <c r="BJ105" s="2">
        <v>40</v>
      </c>
      <c r="BK105" s="2">
        <v>0</v>
      </c>
      <c r="BL105" s="2">
        <v>5</v>
      </c>
      <c r="BM105" s="2">
        <v>1</v>
      </c>
      <c r="BN105" s="2">
        <v>2</v>
      </c>
      <c r="BO105" s="2">
        <v>0</v>
      </c>
      <c r="BT105" s="2">
        <v>0</v>
      </c>
      <c r="BY105" s="2" t="s">
        <v>536</v>
      </c>
    </row>
    <row r="106" spans="1:79" x14ac:dyDescent="0.2">
      <c r="A106" s="2" t="s">
        <v>269</v>
      </c>
      <c r="B106" s="2">
        <v>11</v>
      </c>
      <c r="C106" s="2" t="str" cm="1">
        <f t="array" ref="C106">_xlfn.IFS(B106&lt;3, "1", B106&lt;7, "2", B106&lt;12, "3", B106&lt;18, "4", B106&gt;18, "Fehler")</f>
        <v>3</v>
      </c>
      <c r="D106" s="4">
        <f>IF(COUNTIF($C$2:C106,C106),COUNTIF($C$2:C106,C106),"")</f>
        <v>10</v>
      </c>
      <c r="E106" s="2">
        <v>1</v>
      </c>
      <c r="F106" s="2">
        <v>178</v>
      </c>
      <c r="G106" s="2">
        <v>85</v>
      </c>
      <c r="H106" s="2">
        <v>1</v>
      </c>
      <c r="I106" s="2">
        <v>0</v>
      </c>
      <c r="J106" s="2" t="s">
        <v>574</v>
      </c>
      <c r="K106" s="13">
        <v>0.43263888888888885</v>
      </c>
      <c r="L106" s="13">
        <v>0.44444444444444442</v>
      </c>
      <c r="M106" s="13">
        <v>0.43611111111111112</v>
      </c>
      <c r="N106" s="13">
        <v>0.4368055555555555</v>
      </c>
      <c r="O106" s="2">
        <f t="shared" ref="O106:O107" si="44">(N106-M106)*1440</f>
        <v>0.99999999999991651</v>
      </c>
      <c r="P106" s="2">
        <f t="shared" ref="P106:P107" si="45">(L106-K106)*1440</f>
        <v>17.000000000000021</v>
      </c>
      <c r="Q106" s="2">
        <v>1</v>
      </c>
      <c r="R106" s="2">
        <v>1</v>
      </c>
      <c r="S106" s="2">
        <v>3</v>
      </c>
      <c r="T106" s="2">
        <v>2</v>
      </c>
      <c r="U106" s="2">
        <v>4</v>
      </c>
      <c r="V106" s="2">
        <v>3</v>
      </c>
      <c r="W106" s="2" t="str">
        <f t="shared" si="33"/>
        <v>1</v>
      </c>
      <c r="X106" s="2">
        <v>1</v>
      </c>
      <c r="Y106" s="2">
        <v>1</v>
      </c>
      <c r="Z106" s="2">
        <v>1</v>
      </c>
      <c r="AA106" s="2">
        <v>0</v>
      </c>
      <c r="AD106" s="2">
        <v>31</v>
      </c>
      <c r="AE106" s="2">
        <v>31</v>
      </c>
      <c r="AF106" s="2">
        <v>20</v>
      </c>
      <c r="AG106" s="2">
        <v>30</v>
      </c>
      <c r="AH106" s="2" t="s">
        <v>330</v>
      </c>
      <c r="AI106" s="2">
        <v>470</v>
      </c>
      <c r="AJ106" s="2">
        <v>5600</v>
      </c>
      <c r="AK106" s="5">
        <f t="shared" si="34"/>
        <v>6.3829787234042548E-2</v>
      </c>
      <c r="AL106" s="5"/>
      <c r="AM106" s="2">
        <v>1</v>
      </c>
      <c r="AN106" s="2">
        <v>300</v>
      </c>
      <c r="AO106" s="2">
        <v>3</v>
      </c>
      <c r="AP106" s="2">
        <v>2</v>
      </c>
      <c r="AQ106" s="2">
        <v>100</v>
      </c>
      <c r="AR106" s="2">
        <v>1</v>
      </c>
      <c r="AT106" s="2">
        <v>0</v>
      </c>
      <c r="AU106" s="2">
        <v>0</v>
      </c>
      <c r="AW106" s="2">
        <v>0</v>
      </c>
      <c r="AY106" s="2">
        <v>0</v>
      </c>
      <c r="BA106" s="2" t="s">
        <v>580</v>
      </c>
      <c r="BC106" s="2" t="s">
        <v>21</v>
      </c>
      <c r="BD106" s="2">
        <v>0</v>
      </c>
      <c r="BE106" s="2">
        <v>0</v>
      </c>
      <c r="BG106" s="2" t="s">
        <v>535</v>
      </c>
      <c r="BH106" s="2">
        <v>589</v>
      </c>
      <c r="BI106" s="2">
        <v>1</v>
      </c>
      <c r="BJ106" s="2">
        <v>35</v>
      </c>
      <c r="BK106" s="2">
        <v>0</v>
      </c>
      <c r="BL106" s="2">
        <v>5</v>
      </c>
      <c r="BM106" s="2">
        <v>3</v>
      </c>
      <c r="BN106" s="2">
        <v>2</v>
      </c>
      <c r="BO106" s="2">
        <v>0</v>
      </c>
      <c r="BT106" s="2">
        <v>0</v>
      </c>
      <c r="BY106" s="2" t="s">
        <v>581</v>
      </c>
    </row>
    <row r="107" spans="1:79" x14ac:dyDescent="0.2">
      <c r="A107" s="2" t="s">
        <v>269</v>
      </c>
      <c r="B107" s="2">
        <v>3</v>
      </c>
      <c r="C107" s="2" t="str" cm="1">
        <f t="array" ref="C107">_xlfn.IFS(B107&lt;3, "1", B107&lt;7, "2", B107&lt;12, "3", B107&lt;18, "4", B107&gt;18, "Fehler")</f>
        <v>2</v>
      </c>
      <c r="D107" s="4">
        <f>IF(COUNTIF($C$2:C107,C107),COUNTIF($C$2:C107,C107),"")</f>
        <v>33</v>
      </c>
      <c r="E107" s="2">
        <v>2</v>
      </c>
      <c r="F107" s="2">
        <v>108</v>
      </c>
      <c r="G107" s="2">
        <v>18.600000000000001</v>
      </c>
      <c r="H107" s="2">
        <v>1</v>
      </c>
      <c r="I107" s="2">
        <v>0</v>
      </c>
      <c r="J107" s="2" t="s">
        <v>579</v>
      </c>
      <c r="K107" s="13">
        <v>0.32569444444444445</v>
      </c>
      <c r="L107" s="13">
        <v>0.35972222222222222</v>
      </c>
      <c r="M107" s="13">
        <v>0.3444444444444445</v>
      </c>
      <c r="N107" s="13">
        <v>0.35347222222222219</v>
      </c>
      <c r="O107" s="2">
        <f t="shared" si="44"/>
        <v>12.999999999999874</v>
      </c>
      <c r="P107" s="2">
        <f t="shared" si="45"/>
        <v>48.999999999999986</v>
      </c>
      <c r="Q107" s="2">
        <v>2</v>
      </c>
      <c r="R107" s="2">
        <v>1</v>
      </c>
      <c r="S107" s="2">
        <v>1</v>
      </c>
      <c r="T107" s="2">
        <v>2</v>
      </c>
      <c r="U107" s="2">
        <v>2</v>
      </c>
      <c r="V107" s="2">
        <v>2</v>
      </c>
      <c r="W107" s="2" t="str">
        <f t="shared" si="33"/>
        <v>0</v>
      </c>
      <c r="X107" s="2">
        <v>0</v>
      </c>
      <c r="Y107" s="2">
        <v>0</v>
      </c>
      <c r="Z107" s="2">
        <v>3</v>
      </c>
      <c r="AA107" s="2">
        <v>1</v>
      </c>
      <c r="AB107" s="2">
        <v>2</v>
      </c>
      <c r="AC107" s="2">
        <v>1</v>
      </c>
      <c r="AD107" s="2" t="s">
        <v>611</v>
      </c>
      <c r="AF107" s="2">
        <v>22</v>
      </c>
      <c r="AG107" s="2">
        <v>4</v>
      </c>
      <c r="AH107" s="2">
        <v>20</v>
      </c>
      <c r="AI107" s="2">
        <v>228</v>
      </c>
      <c r="AJ107" s="2">
        <v>3500</v>
      </c>
      <c r="AK107" s="5">
        <f t="shared" si="34"/>
        <v>1.7543859649122806E-2</v>
      </c>
      <c r="AL107" s="5">
        <f t="shared" si="35"/>
        <v>5.7142857142857143E-3</v>
      </c>
      <c r="AM107" s="2">
        <v>1</v>
      </c>
      <c r="AN107" s="2" t="s">
        <v>711</v>
      </c>
      <c r="AO107" s="2">
        <v>1</v>
      </c>
      <c r="AP107" s="2">
        <v>1</v>
      </c>
      <c r="AQ107" s="2">
        <v>400</v>
      </c>
      <c r="AR107" s="2">
        <v>1</v>
      </c>
      <c r="AT107" s="2">
        <v>0</v>
      </c>
      <c r="AU107" s="2">
        <v>1</v>
      </c>
      <c r="AV107" s="2" t="s">
        <v>612</v>
      </c>
      <c r="AW107" s="2">
        <v>0</v>
      </c>
      <c r="AY107" s="2">
        <v>1</v>
      </c>
      <c r="AZ107" s="2" t="s">
        <v>613</v>
      </c>
      <c r="BA107" s="2" t="s">
        <v>21</v>
      </c>
      <c r="BC107" s="2" t="s">
        <v>21</v>
      </c>
      <c r="BD107" s="2">
        <v>0</v>
      </c>
      <c r="BE107" s="2">
        <v>0</v>
      </c>
      <c r="BG107" s="2" t="s">
        <v>591</v>
      </c>
      <c r="BH107" s="2">
        <v>503</v>
      </c>
      <c r="BI107" s="2">
        <v>1</v>
      </c>
      <c r="BJ107" s="2">
        <v>30</v>
      </c>
      <c r="BK107" s="2">
        <v>0</v>
      </c>
      <c r="BL107" s="2">
        <v>5</v>
      </c>
      <c r="BM107" s="2">
        <v>5</v>
      </c>
      <c r="BN107" s="2">
        <v>2</v>
      </c>
      <c r="BO107" s="2">
        <v>1</v>
      </c>
      <c r="BP107" s="2" t="s">
        <v>614</v>
      </c>
      <c r="BS107" s="2" t="s">
        <v>615</v>
      </c>
      <c r="BT107" s="2">
        <v>1</v>
      </c>
      <c r="BU107" s="2" t="s">
        <v>614</v>
      </c>
      <c r="BW107" s="2">
        <v>1</v>
      </c>
      <c r="BX107" s="2" t="s">
        <v>129</v>
      </c>
    </row>
    <row r="108" spans="1:79" x14ac:dyDescent="0.2">
      <c r="A108" s="2" t="s">
        <v>269</v>
      </c>
      <c r="B108" s="2">
        <v>14</v>
      </c>
      <c r="C108" s="2" t="str" cm="1">
        <f t="array" ref="C108">_xlfn.IFS(B108&lt;3, "1", B108&lt;7, "2", B108&lt;12, "3", B108&lt;18, "4", B108&gt;18, "Fehler")</f>
        <v>4</v>
      </c>
      <c r="D108" s="4">
        <f>IF(COUNTIF($C$2:C108,C108),COUNTIF($C$2:C108,C108),"")</f>
        <v>13</v>
      </c>
      <c r="E108" s="2">
        <v>2</v>
      </c>
      <c r="F108" s="2">
        <v>165</v>
      </c>
      <c r="G108" s="2">
        <v>58</v>
      </c>
      <c r="H108" s="2">
        <v>1</v>
      </c>
      <c r="I108" s="2">
        <v>1</v>
      </c>
      <c r="J108" s="2" t="s">
        <v>569</v>
      </c>
      <c r="K108" s="13">
        <v>0.51111111111111118</v>
      </c>
      <c r="L108" s="13">
        <v>0.57013888888888886</v>
      </c>
      <c r="M108" s="13">
        <v>0.52430555555555558</v>
      </c>
      <c r="N108" s="13">
        <v>0.55833333333333335</v>
      </c>
      <c r="O108" s="2">
        <f t="shared" ref="O108" si="46">(N108-M108)*1440</f>
        <v>48.999999999999986</v>
      </c>
      <c r="P108" s="2">
        <f t="shared" ref="P108" si="47">(L108-K108)*1440</f>
        <v>84.999999999999858</v>
      </c>
      <c r="Q108" s="2">
        <v>1</v>
      </c>
      <c r="R108" s="2">
        <v>1</v>
      </c>
      <c r="S108" s="2">
        <v>1</v>
      </c>
      <c r="T108" s="2">
        <v>2</v>
      </c>
      <c r="U108" s="2">
        <v>4</v>
      </c>
      <c r="V108" s="2">
        <v>3</v>
      </c>
      <c r="W108" s="2" t="str">
        <f t="shared" si="33"/>
        <v>1</v>
      </c>
      <c r="X108" s="2">
        <v>1</v>
      </c>
      <c r="Y108" s="2">
        <v>1</v>
      </c>
      <c r="Z108" s="2">
        <v>1</v>
      </c>
      <c r="AA108" s="2">
        <v>0</v>
      </c>
      <c r="AD108" s="2">
        <v>27</v>
      </c>
      <c r="AE108" s="2">
        <v>27</v>
      </c>
      <c r="AF108" s="2">
        <v>20</v>
      </c>
      <c r="AG108" s="2">
        <v>20</v>
      </c>
      <c r="AH108" s="2">
        <v>0</v>
      </c>
      <c r="AI108" s="2">
        <v>330</v>
      </c>
      <c r="AJ108" s="2">
        <v>4300</v>
      </c>
      <c r="AK108" s="5">
        <f t="shared" si="34"/>
        <v>6.0606060606060608E-2</v>
      </c>
      <c r="AL108" s="5">
        <f t="shared" si="35"/>
        <v>0</v>
      </c>
      <c r="AM108" s="2">
        <v>2</v>
      </c>
      <c r="AN108" s="2">
        <v>400</v>
      </c>
      <c r="AO108" s="2">
        <v>1</v>
      </c>
      <c r="AP108" s="2">
        <v>1</v>
      </c>
      <c r="AQ108" s="2">
        <v>1000</v>
      </c>
      <c r="AR108" s="2">
        <v>1</v>
      </c>
      <c r="AT108" s="2">
        <v>1</v>
      </c>
      <c r="AU108" s="2">
        <v>1</v>
      </c>
      <c r="AV108" s="2" t="s">
        <v>589</v>
      </c>
      <c r="AW108" s="2">
        <v>0</v>
      </c>
      <c r="AY108" s="2">
        <v>0</v>
      </c>
      <c r="BA108" s="2" t="s">
        <v>590</v>
      </c>
      <c r="BC108" s="2" t="s">
        <v>21</v>
      </c>
      <c r="BD108" s="2">
        <v>0</v>
      </c>
      <c r="BE108" s="2">
        <v>0</v>
      </c>
      <c r="BG108" s="2" t="s">
        <v>591</v>
      </c>
      <c r="BH108" s="2">
        <v>503</v>
      </c>
      <c r="BI108" s="2">
        <v>1</v>
      </c>
      <c r="BJ108" s="2">
        <v>20</v>
      </c>
      <c r="BK108" s="2">
        <v>0</v>
      </c>
      <c r="BL108" s="2">
        <v>5</v>
      </c>
      <c r="BM108" s="2">
        <v>2</v>
      </c>
      <c r="BN108" s="2">
        <v>2</v>
      </c>
      <c r="BO108" s="2">
        <v>0</v>
      </c>
      <c r="BT108" s="2">
        <v>0</v>
      </c>
      <c r="BY108" s="2" t="s">
        <v>536</v>
      </c>
    </row>
    <row r="109" spans="1:79" x14ac:dyDescent="0.2">
      <c r="A109" s="2" t="s">
        <v>269</v>
      </c>
      <c r="B109" s="2">
        <v>4</v>
      </c>
      <c r="C109" s="2" t="str" cm="1">
        <f t="array" ref="C109">_xlfn.IFS(B109&lt;3, "1", B109&lt;7, "2", B109&lt;12, "3", B109&lt;18, "4", B109&gt;18, "Fehler")</f>
        <v>2</v>
      </c>
      <c r="D109" s="4">
        <f>IF(COUNTIF($C$2:C109,C109),COUNTIF($C$2:C109,C109),"")</f>
        <v>34</v>
      </c>
      <c r="E109" s="2">
        <v>2</v>
      </c>
      <c r="F109" s="2">
        <v>110</v>
      </c>
      <c r="G109" s="2">
        <v>19</v>
      </c>
      <c r="H109" s="2">
        <v>1</v>
      </c>
      <c r="I109" s="2">
        <v>0</v>
      </c>
      <c r="J109" s="2" t="s">
        <v>593</v>
      </c>
      <c r="K109" s="13">
        <v>0.39513888888888887</v>
      </c>
      <c r="L109" s="13">
        <v>0.46180555555555558</v>
      </c>
      <c r="M109" s="13">
        <v>0.4152777777777778</v>
      </c>
      <c r="N109" s="13">
        <v>0.45763888888888887</v>
      </c>
      <c r="O109" s="2">
        <f t="shared" ref="O109" si="48">(N109-M109)*1440</f>
        <v>60.999999999999943</v>
      </c>
      <c r="P109" s="2">
        <f t="shared" ref="P109" si="49">(L109-K109)*1440</f>
        <v>96.000000000000057</v>
      </c>
      <c r="Q109" s="2">
        <v>1</v>
      </c>
      <c r="R109" s="2">
        <v>1</v>
      </c>
      <c r="S109" s="2">
        <v>1</v>
      </c>
      <c r="T109" s="2">
        <v>1</v>
      </c>
      <c r="U109" s="2">
        <v>2</v>
      </c>
      <c r="V109" s="2">
        <v>2.5</v>
      </c>
      <c r="W109" s="2" t="str">
        <f t="shared" si="33"/>
        <v>1</v>
      </c>
      <c r="X109" s="2">
        <v>1</v>
      </c>
      <c r="Y109" s="2">
        <v>1</v>
      </c>
      <c r="Z109" s="2">
        <v>1</v>
      </c>
      <c r="AA109" s="2">
        <v>0</v>
      </c>
      <c r="AD109" s="2">
        <v>29</v>
      </c>
      <c r="AE109" s="2">
        <v>29</v>
      </c>
      <c r="AF109" s="2">
        <v>32</v>
      </c>
      <c r="AG109" s="2">
        <v>0</v>
      </c>
      <c r="AH109" s="2">
        <v>0</v>
      </c>
      <c r="AI109" s="2">
        <v>160</v>
      </c>
      <c r="AJ109" s="2">
        <v>4000</v>
      </c>
      <c r="AK109" s="5">
        <f t="shared" si="34"/>
        <v>0</v>
      </c>
      <c r="AL109" s="5">
        <f t="shared" si="35"/>
        <v>0</v>
      </c>
      <c r="AM109" s="2">
        <v>2</v>
      </c>
      <c r="AN109" s="2">
        <v>20</v>
      </c>
      <c r="AO109" s="2">
        <v>1</v>
      </c>
      <c r="AQ109" s="2">
        <v>300</v>
      </c>
      <c r="AR109" s="2">
        <v>1</v>
      </c>
      <c r="AT109" s="2">
        <v>0</v>
      </c>
      <c r="AU109" s="2">
        <v>0</v>
      </c>
      <c r="AW109" s="2">
        <v>0</v>
      </c>
      <c r="AY109" s="2">
        <v>0</v>
      </c>
      <c r="BA109" s="2" t="s">
        <v>394</v>
      </c>
      <c r="BC109" s="2" t="s">
        <v>461</v>
      </c>
      <c r="BD109" s="2">
        <v>1</v>
      </c>
      <c r="BE109" s="2">
        <v>0</v>
      </c>
      <c r="BG109" s="2" t="s">
        <v>549</v>
      </c>
      <c r="BH109" s="2">
        <v>564</v>
      </c>
      <c r="BI109" s="2">
        <v>2</v>
      </c>
      <c r="BJ109" s="2">
        <v>50</v>
      </c>
      <c r="BK109" s="2">
        <v>0</v>
      </c>
      <c r="BL109" s="2">
        <v>4</v>
      </c>
      <c r="BM109" s="2">
        <v>2</v>
      </c>
      <c r="BN109" s="2">
        <v>2</v>
      </c>
      <c r="BO109" s="2">
        <v>0</v>
      </c>
      <c r="BT109" s="2">
        <v>0</v>
      </c>
      <c r="BY109" s="2" t="s">
        <v>536</v>
      </c>
    </row>
    <row r="110" spans="1:79" x14ac:dyDescent="0.2">
      <c r="A110" s="2" t="s">
        <v>270</v>
      </c>
      <c r="B110" s="2">
        <v>6</v>
      </c>
      <c r="C110" s="2" t="str" cm="1">
        <f t="array" ref="C110">_xlfn.IFS(B110&lt;3, "1", B110&lt;7, "2", B110&lt;12, "3", B110&lt;18, "4", B110&gt;18, "Fehler")</f>
        <v>2</v>
      </c>
      <c r="D110" s="4">
        <f>IF(COUNTIF($C$2:C110,C110),COUNTIF($C$2:C110,C110),"")</f>
        <v>35</v>
      </c>
      <c r="E110" s="2">
        <v>2</v>
      </c>
      <c r="S110" s="2">
        <v>2</v>
      </c>
      <c r="T110" s="2">
        <v>2</v>
      </c>
      <c r="W110" s="2" t="str">
        <f t="shared" si="33"/>
        <v>0</v>
      </c>
      <c r="AK110" s="5" t="e">
        <f t="shared" si="34"/>
        <v>#DIV/0!</v>
      </c>
      <c r="AL110" s="5" t="e">
        <f t="shared" si="35"/>
        <v>#DIV/0!</v>
      </c>
      <c r="AP110" s="2">
        <v>1</v>
      </c>
    </row>
    <row r="111" spans="1:79" x14ac:dyDescent="0.2">
      <c r="A111" s="2" t="s">
        <v>269</v>
      </c>
      <c r="B111" s="2">
        <v>15</v>
      </c>
      <c r="C111" s="2" t="str" cm="1">
        <f t="array" ref="C111">_xlfn.IFS(B111&lt;3, "1", B111&lt;7, "2", B111&lt;12, "3", B111&lt;18, "4", B111&gt;18, "Fehler")</f>
        <v>4</v>
      </c>
      <c r="D111" s="4">
        <f>IF(COUNTIF($C$2:C111,C111),COUNTIF($C$2:C111,C111),"")</f>
        <v>14</v>
      </c>
      <c r="E111" s="2">
        <v>2</v>
      </c>
      <c r="F111" s="2">
        <v>177</v>
      </c>
      <c r="G111" s="2">
        <v>75</v>
      </c>
      <c r="H111" s="2">
        <v>2</v>
      </c>
      <c r="I111" s="2">
        <v>1</v>
      </c>
      <c r="J111" s="2" t="s">
        <v>597</v>
      </c>
      <c r="K111" s="13">
        <v>0.32847222222222222</v>
      </c>
      <c r="L111" s="13">
        <v>0.42083333333333334</v>
      </c>
      <c r="M111" s="13">
        <v>0.35138888888888892</v>
      </c>
      <c r="N111" s="13">
        <v>0.41319444444444442</v>
      </c>
      <c r="O111" s="2">
        <f t="shared" ref="O111" si="50">(N111-M111)*1440</f>
        <v>88.999999999999929</v>
      </c>
      <c r="P111" s="2">
        <f t="shared" ref="P111" si="51">(L111-K111)*1440</f>
        <v>133</v>
      </c>
      <c r="Q111" s="2">
        <v>1</v>
      </c>
      <c r="R111" s="2">
        <v>1</v>
      </c>
      <c r="S111" s="2">
        <v>2</v>
      </c>
      <c r="T111" s="2">
        <v>1</v>
      </c>
      <c r="U111" s="2">
        <v>5</v>
      </c>
      <c r="V111" s="2">
        <v>4</v>
      </c>
      <c r="W111" s="2" t="str">
        <f t="shared" si="33"/>
        <v>1</v>
      </c>
      <c r="X111" s="2">
        <v>1</v>
      </c>
      <c r="Y111" s="2">
        <v>1</v>
      </c>
      <c r="Z111" s="2">
        <v>1</v>
      </c>
      <c r="AA111" s="2">
        <v>0</v>
      </c>
      <c r="AD111" s="2">
        <v>39</v>
      </c>
      <c r="AE111" s="2">
        <v>39</v>
      </c>
      <c r="AF111" s="2">
        <v>23</v>
      </c>
      <c r="AG111" s="2">
        <v>0</v>
      </c>
      <c r="AH111" s="2">
        <v>60</v>
      </c>
      <c r="AI111" s="2">
        <v>500</v>
      </c>
      <c r="AJ111" s="2">
        <v>7000</v>
      </c>
      <c r="AK111" s="5">
        <f t="shared" si="34"/>
        <v>0</v>
      </c>
      <c r="AL111" s="5">
        <f t="shared" si="35"/>
        <v>8.5714285714285719E-3</v>
      </c>
      <c r="AM111" s="2">
        <v>1</v>
      </c>
      <c r="AN111" s="2">
        <v>200</v>
      </c>
      <c r="AO111" s="2">
        <v>2</v>
      </c>
      <c r="AP111" s="2">
        <v>3</v>
      </c>
      <c r="AQ111" s="2" t="s">
        <v>736</v>
      </c>
      <c r="AR111" s="2">
        <v>1</v>
      </c>
      <c r="AT111" s="2">
        <v>0</v>
      </c>
      <c r="AU111" s="2">
        <v>0</v>
      </c>
      <c r="AW111" s="2">
        <v>0</v>
      </c>
      <c r="AY111" s="2">
        <v>0</v>
      </c>
      <c r="BA111" s="2" t="s">
        <v>598</v>
      </c>
      <c r="BC111" s="2" t="s">
        <v>21</v>
      </c>
      <c r="BD111" s="2">
        <v>0</v>
      </c>
      <c r="BE111" s="2">
        <v>0</v>
      </c>
      <c r="BG111" s="2" t="s">
        <v>280</v>
      </c>
      <c r="BH111" s="2">
        <v>429</v>
      </c>
      <c r="BI111" s="2">
        <v>2</v>
      </c>
      <c r="BJ111" s="2">
        <v>40</v>
      </c>
      <c r="BK111" s="2">
        <v>0</v>
      </c>
      <c r="BL111" s="2">
        <v>5</v>
      </c>
      <c r="BM111" s="2">
        <v>1</v>
      </c>
      <c r="BN111" s="2">
        <v>2</v>
      </c>
      <c r="BO111" s="2">
        <v>0</v>
      </c>
      <c r="BT111" s="2">
        <v>0</v>
      </c>
      <c r="BY111" s="2" t="s">
        <v>536</v>
      </c>
    </row>
    <row r="112" spans="1:79" x14ac:dyDescent="0.2">
      <c r="A112" s="2" t="s">
        <v>269</v>
      </c>
      <c r="B112" s="2">
        <v>6</v>
      </c>
      <c r="C112" s="2" t="str" cm="1">
        <f t="array" ref="C112">_xlfn.IFS(B112&lt;3, "1", B112&lt;7, "2", B112&lt;12, "3", B112&lt;18, "4", B112&gt;18, "Fehler")</f>
        <v>2</v>
      </c>
      <c r="D112" s="4">
        <f>IF(COUNTIF($C$2:C112,C112),COUNTIF($C$2:C112,C112),"")</f>
        <v>36</v>
      </c>
      <c r="E112" s="2">
        <v>2</v>
      </c>
      <c r="F112" s="2">
        <v>120</v>
      </c>
      <c r="G112" s="2">
        <v>24</v>
      </c>
      <c r="H112" s="2">
        <v>2</v>
      </c>
      <c r="I112" s="2">
        <v>0</v>
      </c>
      <c r="J112" s="2" t="s">
        <v>290</v>
      </c>
      <c r="K112" s="13">
        <v>0.41736111111111113</v>
      </c>
      <c r="L112" s="13">
        <v>0.4826388888888889</v>
      </c>
      <c r="M112" s="13">
        <v>0.4458333333333333</v>
      </c>
      <c r="N112" s="13">
        <v>0.47222222222222227</v>
      </c>
      <c r="O112" s="2">
        <f t="shared" ref="O112" si="52">(N112-M112)*1440</f>
        <v>38.000000000000107</v>
      </c>
      <c r="P112" s="2">
        <f t="shared" ref="P112" si="53">(L112-K112)*1440</f>
        <v>93.999999999999986</v>
      </c>
      <c r="Q112" s="2">
        <v>1</v>
      </c>
      <c r="R112" s="2">
        <v>1</v>
      </c>
      <c r="S112" s="2">
        <v>2</v>
      </c>
      <c r="T112" s="2">
        <v>2</v>
      </c>
      <c r="U112" s="2">
        <v>2</v>
      </c>
      <c r="V112" s="2">
        <v>2</v>
      </c>
      <c r="W112" s="2" t="str">
        <f t="shared" si="33"/>
        <v>0</v>
      </c>
      <c r="X112" s="2">
        <v>0</v>
      </c>
      <c r="Y112" s="2">
        <v>0</v>
      </c>
      <c r="Z112" s="2">
        <v>2</v>
      </c>
      <c r="AA112" s="2">
        <v>1</v>
      </c>
      <c r="AB112" s="2">
        <v>3</v>
      </c>
      <c r="AC112" s="2">
        <v>1</v>
      </c>
      <c r="AD112" s="2" t="s">
        <v>606</v>
      </c>
      <c r="AF112" s="2">
        <v>34</v>
      </c>
      <c r="AG112" s="2">
        <v>0</v>
      </c>
      <c r="AH112" s="2">
        <v>0</v>
      </c>
      <c r="AI112" s="2">
        <v>165</v>
      </c>
      <c r="AJ112" s="2">
        <v>3400</v>
      </c>
      <c r="AK112" s="5">
        <f t="shared" si="34"/>
        <v>0</v>
      </c>
      <c r="AL112" s="5">
        <f t="shared" si="35"/>
        <v>0</v>
      </c>
      <c r="AM112" s="2">
        <v>1</v>
      </c>
      <c r="AN112" s="2">
        <v>150</v>
      </c>
      <c r="AO112" s="2">
        <v>1</v>
      </c>
      <c r="AP112" s="2">
        <v>2</v>
      </c>
      <c r="AQ112" s="2">
        <v>50</v>
      </c>
      <c r="AR112" s="2">
        <v>1</v>
      </c>
      <c r="AT112" s="2">
        <v>0</v>
      </c>
      <c r="AU112" s="2">
        <v>1</v>
      </c>
      <c r="AV112" s="2" t="s">
        <v>607</v>
      </c>
      <c r="AW112" s="2">
        <v>0</v>
      </c>
      <c r="AY112" s="2">
        <v>0</v>
      </c>
      <c r="BA112" s="2" t="s">
        <v>394</v>
      </c>
      <c r="BC112" s="2" t="s">
        <v>21</v>
      </c>
      <c r="BD112" s="2">
        <v>0</v>
      </c>
      <c r="BE112" s="2">
        <v>0</v>
      </c>
      <c r="BG112" s="2" t="s">
        <v>608</v>
      </c>
      <c r="BH112" s="2">
        <v>443</v>
      </c>
      <c r="BI112" s="2">
        <v>2</v>
      </c>
      <c r="BJ112" s="2">
        <v>5</v>
      </c>
      <c r="BK112" s="2">
        <v>0</v>
      </c>
      <c r="BL112" s="2">
        <v>4</v>
      </c>
      <c r="BM112" s="2">
        <v>2</v>
      </c>
      <c r="BN112" s="2">
        <v>2</v>
      </c>
      <c r="BO112" s="2">
        <v>0</v>
      </c>
      <c r="BT112" s="2">
        <v>0</v>
      </c>
      <c r="BY112" s="2" t="s">
        <v>536</v>
      </c>
    </row>
    <row r="113" spans="1:77" x14ac:dyDescent="0.2">
      <c r="A113" s="2" t="s">
        <v>269</v>
      </c>
      <c r="B113" s="2">
        <v>7</v>
      </c>
      <c r="C113" s="2" t="str" cm="1">
        <f t="array" ref="C113">_xlfn.IFS(B113&lt;3, "1", B113&lt;7, "2", B113&lt;12, "3", B113&lt;18, "4", B113&gt;18, "Fehler")</f>
        <v>3</v>
      </c>
      <c r="D113" s="4">
        <f>IF(COUNTIF($C$2:C113,C113),COUNTIF($C$2:C113,C113),"")</f>
        <v>11</v>
      </c>
      <c r="E113" s="2">
        <v>1</v>
      </c>
      <c r="F113" s="2">
        <v>130</v>
      </c>
      <c r="G113" s="2">
        <v>25.5</v>
      </c>
      <c r="H113" s="2">
        <v>1</v>
      </c>
      <c r="I113" s="2">
        <v>1</v>
      </c>
      <c r="J113" s="2" t="s">
        <v>599</v>
      </c>
      <c r="K113" s="13">
        <v>0.5395833333333333</v>
      </c>
      <c r="L113" s="13">
        <v>0.57986111111111105</v>
      </c>
      <c r="M113" s="13">
        <v>0.55625000000000002</v>
      </c>
      <c r="N113" s="13">
        <v>0.56944444444444442</v>
      </c>
      <c r="O113" s="2">
        <f t="shared" ref="O113" si="54">(N113-M113)*1440</f>
        <v>18.999999999999932</v>
      </c>
      <c r="P113" s="2">
        <f t="shared" ref="P113" si="55">(L113-K113)*1440</f>
        <v>57.999999999999957</v>
      </c>
      <c r="Q113" s="2">
        <v>2</v>
      </c>
      <c r="R113" s="2">
        <v>1</v>
      </c>
      <c r="S113" s="2">
        <v>1</v>
      </c>
      <c r="T113" s="2">
        <v>2</v>
      </c>
      <c r="U113" s="2">
        <v>2.5</v>
      </c>
      <c r="V113" s="2">
        <v>2.5</v>
      </c>
      <c r="W113" s="2" t="str">
        <f t="shared" si="33"/>
        <v>0</v>
      </c>
      <c r="X113" s="2">
        <v>0</v>
      </c>
      <c r="Y113" s="2">
        <v>0</v>
      </c>
      <c r="Z113" s="2">
        <v>2</v>
      </c>
      <c r="AA113" s="2">
        <v>1</v>
      </c>
      <c r="AB113" s="2">
        <v>2.5</v>
      </c>
      <c r="AC113" s="2">
        <v>1</v>
      </c>
      <c r="AD113" s="2" t="s">
        <v>600</v>
      </c>
      <c r="AF113" s="2">
        <v>21</v>
      </c>
      <c r="AG113" s="2">
        <v>10</v>
      </c>
      <c r="AH113" s="2">
        <v>100</v>
      </c>
      <c r="AI113" s="2">
        <v>140</v>
      </c>
      <c r="AJ113" s="2">
        <v>3800</v>
      </c>
      <c r="AK113" s="5">
        <f t="shared" si="34"/>
        <v>7.1428571428571425E-2</v>
      </c>
      <c r="AL113" s="5">
        <f t="shared" si="35"/>
        <v>2.6315789473684209E-2</v>
      </c>
      <c r="AM113" s="2">
        <v>1</v>
      </c>
      <c r="AN113" s="2" t="s">
        <v>712</v>
      </c>
      <c r="AO113" s="2">
        <v>1</v>
      </c>
      <c r="AP113" s="2">
        <v>2</v>
      </c>
      <c r="AQ113" s="2">
        <v>100</v>
      </c>
      <c r="AR113" s="2">
        <v>1</v>
      </c>
      <c r="AT113" s="2">
        <v>0</v>
      </c>
      <c r="AU113" s="2">
        <v>1</v>
      </c>
      <c r="AV113" s="2" t="s">
        <v>601</v>
      </c>
      <c r="AW113" s="2">
        <v>0</v>
      </c>
      <c r="AY113" s="2">
        <v>0</v>
      </c>
      <c r="BA113" s="2" t="s">
        <v>21</v>
      </c>
      <c r="BC113" s="2" t="s">
        <v>602</v>
      </c>
      <c r="BD113" s="2">
        <v>0</v>
      </c>
      <c r="BE113" s="2">
        <v>0</v>
      </c>
      <c r="BG113" s="2" t="s">
        <v>603</v>
      </c>
      <c r="BH113" s="2">
        <v>438</v>
      </c>
      <c r="BI113" s="2">
        <v>2</v>
      </c>
      <c r="BJ113" s="2">
        <v>30</v>
      </c>
      <c r="BK113" s="2">
        <v>0</v>
      </c>
      <c r="BL113" s="2">
        <v>4</v>
      </c>
      <c r="BM113" s="2">
        <v>8</v>
      </c>
      <c r="BN113" s="2">
        <v>2</v>
      </c>
      <c r="BO113" s="2">
        <v>1</v>
      </c>
      <c r="BP113" s="2" t="s">
        <v>559</v>
      </c>
      <c r="BQ113" s="2">
        <v>30</v>
      </c>
      <c r="BT113" s="2">
        <v>0</v>
      </c>
      <c r="BY113" s="2" t="s">
        <v>604</v>
      </c>
    </row>
    <row r="114" spans="1:77" x14ac:dyDescent="0.2">
      <c r="A114" s="2" t="s">
        <v>269</v>
      </c>
      <c r="B114" s="2">
        <v>9</v>
      </c>
      <c r="C114" s="2" t="str" cm="1">
        <f t="array" ref="C114">_xlfn.IFS(B114&lt;3, "1", B114&lt;7, "2", B114&lt;12, "3", B114&lt;18, "4", B114&gt;18, "Fehler")</f>
        <v>3</v>
      </c>
      <c r="D114" s="4">
        <f>IF(COUNTIF($C$2:C114,C114),COUNTIF($C$2:C114,C114),"")</f>
        <v>12</v>
      </c>
      <c r="E114" s="2">
        <v>2</v>
      </c>
      <c r="F114" s="2">
        <v>151</v>
      </c>
      <c r="G114" s="2">
        <v>45</v>
      </c>
      <c r="H114" s="2">
        <v>1</v>
      </c>
      <c r="I114" s="2">
        <v>1</v>
      </c>
      <c r="J114" s="2" t="s">
        <v>605</v>
      </c>
      <c r="K114" s="13">
        <v>0.59444444444444444</v>
      </c>
      <c r="L114" s="13">
        <v>0.62777777777777777</v>
      </c>
      <c r="M114" s="13">
        <v>0.60416666666666663</v>
      </c>
      <c r="N114" s="13">
        <v>0.62013888888888891</v>
      </c>
      <c r="O114" s="2">
        <f t="shared" ref="O114:O115" si="56">(N114-M114)*1440</f>
        <v>23.000000000000078</v>
      </c>
      <c r="P114" s="2">
        <f t="shared" ref="P114:P115" si="57">(L114-K114)*1440</f>
        <v>47.999999999999986</v>
      </c>
      <c r="Q114" s="2">
        <v>1</v>
      </c>
      <c r="R114" s="2">
        <v>1</v>
      </c>
      <c r="S114" s="2">
        <v>1</v>
      </c>
      <c r="T114" s="2">
        <v>2</v>
      </c>
      <c r="U114" s="2">
        <v>3</v>
      </c>
      <c r="V114" s="2">
        <v>2.5</v>
      </c>
      <c r="W114" s="2" t="str">
        <f t="shared" si="33"/>
        <v>1</v>
      </c>
      <c r="X114" s="2">
        <v>1</v>
      </c>
      <c r="Y114" s="2">
        <v>1</v>
      </c>
      <c r="Z114" s="2">
        <v>1</v>
      </c>
      <c r="AA114" s="2">
        <v>0</v>
      </c>
      <c r="AD114" s="2">
        <v>30</v>
      </c>
      <c r="AE114" s="2">
        <v>30</v>
      </c>
      <c r="AF114" s="2">
        <v>35</v>
      </c>
      <c r="AG114" s="2">
        <v>2</v>
      </c>
      <c r="AH114" s="2">
        <v>50</v>
      </c>
      <c r="AI114" s="2">
        <v>360</v>
      </c>
      <c r="AJ114" s="2">
        <v>3400</v>
      </c>
      <c r="AK114" s="5">
        <f t="shared" si="34"/>
        <v>5.5555555555555558E-3</v>
      </c>
      <c r="AL114" s="5">
        <f t="shared" si="35"/>
        <v>1.4705882352941176E-2</v>
      </c>
      <c r="AM114" s="2">
        <v>1</v>
      </c>
      <c r="AN114" s="2">
        <v>200</v>
      </c>
      <c r="AO114" s="2">
        <v>1</v>
      </c>
      <c r="AP114" s="2">
        <v>1</v>
      </c>
      <c r="AQ114" s="2">
        <v>800</v>
      </c>
      <c r="AR114" s="2">
        <v>1</v>
      </c>
      <c r="AT114" s="2">
        <v>0</v>
      </c>
      <c r="AU114" s="2">
        <v>0</v>
      </c>
      <c r="AW114" s="2">
        <v>0</v>
      </c>
      <c r="AY114" s="2">
        <v>0</v>
      </c>
      <c r="BA114" s="2" t="s">
        <v>21</v>
      </c>
      <c r="BC114" s="2" t="s">
        <v>617</v>
      </c>
      <c r="BD114" s="2">
        <v>3</v>
      </c>
      <c r="BE114" s="2">
        <v>0</v>
      </c>
      <c r="BG114" s="2" t="s">
        <v>466</v>
      </c>
      <c r="BH114" s="2">
        <v>389</v>
      </c>
      <c r="BI114" s="2">
        <v>2</v>
      </c>
      <c r="BJ114" s="2">
        <v>50</v>
      </c>
      <c r="BK114" s="2">
        <v>0</v>
      </c>
      <c r="BL114" s="2">
        <v>5</v>
      </c>
      <c r="BM114" s="2">
        <v>2</v>
      </c>
      <c r="BN114" s="2">
        <v>2</v>
      </c>
      <c r="BO114" s="2">
        <v>0</v>
      </c>
      <c r="BT114" s="2">
        <v>0</v>
      </c>
      <c r="BY114" s="2" t="s">
        <v>536</v>
      </c>
    </row>
    <row r="115" spans="1:77" x14ac:dyDescent="0.2">
      <c r="A115" s="2" t="s">
        <v>269</v>
      </c>
      <c r="B115" s="2">
        <v>16</v>
      </c>
      <c r="C115" s="2" t="str" cm="1">
        <f t="array" ref="C115">_xlfn.IFS(B115&lt;3, "1", B115&lt;7, "2", B115&lt;12, "3", B115&lt;18, "4", B115&gt;18, "Fehler")</f>
        <v>4</v>
      </c>
      <c r="D115" s="4">
        <f>IF(COUNTIF($C$2:C115,C115),COUNTIF($C$2:C115,C115),"")</f>
        <v>15</v>
      </c>
      <c r="E115" s="2">
        <v>2</v>
      </c>
      <c r="F115" s="2">
        <v>184</v>
      </c>
      <c r="G115" s="2">
        <v>76</v>
      </c>
      <c r="H115" s="2">
        <v>1</v>
      </c>
      <c r="I115" s="2">
        <v>1</v>
      </c>
      <c r="J115" s="2" t="s">
        <v>476</v>
      </c>
      <c r="K115" s="13">
        <v>0.56527777777777777</v>
      </c>
      <c r="L115" s="13">
        <v>0.60416666666666663</v>
      </c>
      <c r="M115" s="13">
        <v>0.57986111111111105</v>
      </c>
      <c r="N115" s="13">
        <v>0.59375</v>
      </c>
      <c r="O115" s="2">
        <f t="shared" si="56"/>
        <v>20.000000000000089</v>
      </c>
      <c r="P115" s="2">
        <f t="shared" si="57"/>
        <v>55.999999999999957</v>
      </c>
      <c r="Q115" s="2">
        <v>1</v>
      </c>
      <c r="R115" s="2">
        <v>1</v>
      </c>
      <c r="S115" s="2">
        <v>1</v>
      </c>
      <c r="T115" s="2">
        <v>1</v>
      </c>
      <c r="U115" s="2">
        <v>5</v>
      </c>
      <c r="V115" s="2">
        <v>4</v>
      </c>
      <c r="W115" s="2" t="str">
        <f t="shared" si="33"/>
        <v>1</v>
      </c>
      <c r="X115" s="2">
        <v>1</v>
      </c>
      <c r="Y115" s="2">
        <v>1</v>
      </c>
      <c r="Z115" s="2">
        <v>1</v>
      </c>
      <c r="AA115" s="2">
        <v>0</v>
      </c>
      <c r="AD115" s="2">
        <v>30</v>
      </c>
      <c r="AE115" s="2">
        <v>30</v>
      </c>
      <c r="AF115" s="2">
        <v>17</v>
      </c>
      <c r="AG115" s="2">
        <v>0</v>
      </c>
      <c r="AH115" s="2">
        <v>0</v>
      </c>
      <c r="AI115" s="2">
        <v>560</v>
      </c>
      <c r="AJ115" s="2">
        <v>8000</v>
      </c>
      <c r="AK115" s="5">
        <f t="shared" si="34"/>
        <v>0</v>
      </c>
      <c r="AL115" s="5">
        <f t="shared" si="35"/>
        <v>0</v>
      </c>
      <c r="AM115" s="2">
        <v>1</v>
      </c>
      <c r="AN115" s="2">
        <v>300</v>
      </c>
      <c r="AO115" s="2">
        <v>1</v>
      </c>
      <c r="AP115" s="2">
        <v>1</v>
      </c>
      <c r="AQ115" s="2">
        <v>1000</v>
      </c>
      <c r="AR115" s="2">
        <v>1</v>
      </c>
      <c r="AT115" s="2">
        <v>0</v>
      </c>
      <c r="AU115" s="2">
        <v>0</v>
      </c>
      <c r="AW115" s="2">
        <v>0</v>
      </c>
      <c r="AY115" s="2">
        <v>0</v>
      </c>
      <c r="BA115" s="2" t="s">
        <v>21</v>
      </c>
      <c r="BC115" s="2" t="s">
        <v>21</v>
      </c>
      <c r="BD115" s="2">
        <v>0</v>
      </c>
      <c r="BE115" s="2">
        <v>0</v>
      </c>
      <c r="BG115" s="2" t="s">
        <v>619</v>
      </c>
      <c r="BH115" s="2">
        <v>472</v>
      </c>
      <c r="BI115" s="2">
        <v>2</v>
      </c>
      <c r="BJ115" s="2">
        <v>5</v>
      </c>
      <c r="BK115" s="2">
        <v>0</v>
      </c>
      <c r="BL115" s="2">
        <v>3</v>
      </c>
      <c r="BM115" s="2">
        <v>1</v>
      </c>
      <c r="BN115" s="2">
        <v>3</v>
      </c>
      <c r="BO115" s="2">
        <v>0</v>
      </c>
      <c r="BT115" s="2">
        <v>0</v>
      </c>
      <c r="BY115" s="2" t="s">
        <v>536</v>
      </c>
    </row>
    <row r="116" spans="1:77" x14ac:dyDescent="0.2">
      <c r="A116" s="2" t="s">
        <v>269</v>
      </c>
      <c r="B116" s="2">
        <v>12</v>
      </c>
      <c r="C116" s="2" t="str" cm="1">
        <f t="array" ref="C116">_xlfn.IFS(B116&lt;3, "1", B116&lt;7, "2", B116&lt;12, "3", B116&lt;18, "4", B116&gt;18, "Fehler")</f>
        <v>4</v>
      </c>
      <c r="D116" s="4">
        <f>IF(COUNTIF($C$2:C116,C116),COUNTIF($C$2:C116,C116),"")</f>
        <v>16</v>
      </c>
      <c r="E116" s="2">
        <v>1</v>
      </c>
      <c r="F116" s="2">
        <v>158</v>
      </c>
      <c r="G116" s="2">
        <v>55</v>
      </c>
      <c r="H116" s="2">
        <v>1</v>
      </c>
      <c r="I116" s="2">
        <v>0</v>
      </c>
      <c r="J116" s="2" t="s">
        <v>609</v>
      </c>
      <c r="K116" s="13">
        <v>0.60416666666666663</v>
      </c>
      <c r="L116" s="13">
        <v>0.64236111111111105</v>
      </c>
      <c r="M116" s="13">
        <v>0.61597222222222225</v>
      </c>
      <c r="N116" s="13">
        <v>0.63541666666666663</v>
      </c>
      <c r="O116" s="2">
        <f t="shared" ref="O116" si="58">(N116-M116)*1440</f>
        <v>27.999999999999901</v>
      </c>
      <c r="P116" s="2">
        <f t="shared" ref="P116" si="59">(L116-K116)*1440</f>
        <v>54.999999999999964</v>
      </c>
      <c r="Q116" s="2">
        <v>2</v>
      </c>
      <c r="R116" s="2">
        <v>1</v>
      </c>
      <c r="S116" s="2">
        <v>1</v>
      </c>
      <c r="T116" s="2">
        <v>1</v>
      </c>
      <c r="U116" s="2">
        <v>4</v>
      </c>
      <c r="V116" s="2">
        <v>4</v>
      </c>
      <c r="W116" s="2" t="str">
        <f t="shared" si="33"/>
        <v>0</v>
      </c>
      <c r="X116" s="2">
        <v>1</v>
      </c>
      <c r="Y116" s="2">
        <v>1</v>
      </c>
      <c r="Z116" s="2">
        <v>1</v>
      </c>
      <c r="AA116" s="2">
        <v>0</v>
      </c>
      <c r="AD116" s="2">
        <v>36</v>
      </c>
      <c r="AE116" s="2">
        <v>36</v>
      </c>
      <c r="AF116" s="2">
        <v>30</v>
      </c>
      <c r="AG116" s="2">
        <v>0</v>
      </c>
      <c r="AH116" s="2">
        <v>0</v>
      </c>
      <c r="AI116" s="2">
        <v>442</v>
      </c>
      <c r="AJ116" s="2">
        <v>6500</v>
      </c>
      <c r="AK116" s="5">
        <f t="shared" si="34"/>
        <v>0</v>
      </c>
      <c r="AL116" s="5">
        <f t="shared" si="35"/>
        <v>0</v>
      </c>
      <c r="AM116" s="2">
        <v>1</v>
      </c>
      <c r="AN116" s="2" t="s">
        <v>689</v>
      </c>
      <c r="AO116" s="2">
        <v>1</v>
      </c>
      <c r="AP116" s="2">
        <v>1</v>
      </c>
      <c r="AQ116" s="2">
        <v>1000</v>
      </c>
      <c r="AR116" s="2">
        <v>1</v>
      </c>
      <c r="AT116" s="2">
        <v>0</v>
      </c>
      <c r="AU116" s="2">
        <v>0</v>
      </c>
      <c r="AW116" s="2">
        <v>0</v>
      </c>
      <c r="AY116" s="2">
        <v>0</v>
      </c>
      <c r="BA116" s="2" t="s">
        <v>616</v>
      </c>
      <c r="BC116" s="2" t="s">
        <v>21</v>
      </c>
      <c r="BD116" s="2">
        <v>1</v>
      </c>
      <c r="BE116" s="2">
        <v>0</v>
      </c>
      <c r="BG116" s="2" t="s">
        <v>591</v>
      </c>
      <c r="BH116" s="2">
        <v>503</v>
      </c>
      <c r="BI116" s="2">
        <v>1</v>
      </c>
      <c r="BJ116" s="2">
        <v>25</v>
      </c>
      <c r="BK116" s="2">
        <v>0</v>
      </c>
      <c r="BL116" s="2">
        <v>5</v>
      </c>
      <c r="BM116" s="2">
        <v>1</v>
      </c>
      <c r="BN116" s="2">
        <v>2</v>
      </c>
      <c r="BO116" s="2">
        <v>0</v>
      </c>
      <c r="BT116" s="2">
        <v>0</v>
      </c>
      <c r="BY116" s="2" t="s">
        <v>610</v>
      </c>
    </row>
    <row r="117" spans="1:77" x14ac:dyDescent="0.2">
      <c r="A117" s="2" t="s">
        <v>269</v>
      </c>
      <c r="B117" s="2">
        <v>6</v>
      </c>
      <c r="C117" s="2" t="str" cm="1">
        <f t="array" ref="C117">_xlfn.IFS(B117&lt;3, "1", B117&lt;7, "2", B117&lt;12, "3", B117&lt;18, "4", B117&gt;18, "Fehler")</f>
        <v>2</v>
      </c>
      <c r="D117" s="4">
        <f>IF(COUNTIF($C$2:C117,C117),COUNTIF($C$2:C117,C117),"")</f>
        <v>37</v>
      </c>
      <c r="E117" s="2">
        <v>2</v>
      </c>
      <c r="F117" s="2">
        <v>130</v>
      </c>
      <c r="G117" s="2">
        <v>30</v>
      </c>
      <c r="H117" s="2">
        <v>2</v>
      </c>
      <c r="I117" s="2">
        <v>0</v>
      </c>
      <c r="J117" s="2" t="s">
        <v>290</v>
      </c>
      <c r="K117" s="13">
        <v>0.47569444444444442</v>
      </c>
      <c r="L117" s="13">
        <v>0.52430555555555558</v>
      </c>
      <c r="M117" s="13">
        <v>0.48958333333333331</v>
      </c>
      <c r="N117" s="13">
        <v>0.51388888888888895</v>
      </c>
      <c r="O117" s="2">
        <f t="shared" ref="O117:O119" si="60">(N117-M117)*1440</f>
        <v>35.000000000000114</v>
      </c>
      <c r="P117" s="2">
        <f t="shared" ref="P117:P119" si="61">(L117-K117)*1440</f>
        <v>70.000000000000071</v>
      </c>
      <c r="Q117" s="2">
        <v>2</v>
      </c>
      <c r="R117" s="2">
        <v>1</v>
      </c>
      <c r="S117" s="2">
        <v>1</v>
      </c>
      <c r="T117" s="2">
        <v>1</v>
      </c>
      <c r="U117" s="2">
        <v>3</v>
      </c>
      <c r="V117" s="2">
        <v>2.5</v>
      </c>
      <c r="W117" s="2" t="str">
        <f t="shared" si="33"/>
        <v>1</v>
      </c>
      <c r="X117" s="2">
        <v>1</v>
      </c>
      <c r="Y117" s="2">
        <v>1</v>
      </c>
      <c r="Z117" s="2">
        <v>1</v>
      </c>
      <c r="AA117" s="2">
        <v>0</v>
      </c>
      <c r="AD117" s="2">
        <v>37</v>
      </c>
      <c r="AE117" s="2">
        <v>37</v>
      </c>
      <c r="AF117" s="2">
        <v>999</v>
      </c>
      <c r="AG117" s="2">
        <v>0</v>
      </c>
      <c r="AH117" s="2">
        <v>0</v>
      </c>
      <c r="AI117" s="2">
        <v>200</v>
      </c>
      <c r="AJ117" s="2">
        <v>3400</v>
      </c>
      <c r="AK117" s="5">
        <f t="shared" si="34"/>
        <v>0</v>
      </c>
      <c r="AL117" s="5">
        <f t="shared" si="35"/>
        <v>0</v>
      </c>
      <c r="AM117" s="2">
        <v>1</v>
      </c>
      <c r="AN117" s="2">
        <v>150</v>
      </c>
      <c r="AO117" s="2">
        <v>1</v>
      </c>
      <c r="AP117" s="2">
        <v>1</v>
      </c>
      <c r="AQ117" s="2">
        <v>600</v>
      </c>
      <c r="AR117" s="2">
        <v>1</v>
      </c>
      <c r="AT117" s="2">
        <v>0</v>
      </c>
      <c r="AU117" s="2">
        <v>0</v>
      </c>
      <c r="AW117" s="2">
        <v>0</v>
      </c>
      <c r="AY117" s="2">
        <v>0</v>
      </c>
      <c r="BA117" s="2" t="s">
        <v>277</v>
      </c>
      <c r="BC117" s="2" t="s">
        <v>653</v>
      </c>
      <c r="BD117" s="2" t="s">
        <v>650</v>
      </c>
      <c r="BE117" s="2">
        <v>0</v>
      </c>
      <c r="BG117" s="2" t="s">
        <v>635</v>
      </c>
      <c r="BH117" s="2">
        <v>379</v>
      </c>
      <c r="BI117" s="2">
        <v>1</v>
      </c>
      <c r="BJ117" s="2" t="s">
        <v>375</v>
      </c>
      <c r="BK117" s="2">
        <v>0</v>
      </c>
      <c r="BL117" s="2">
        <v>5</v>
      </c>
      <c r="BM117" s="2">
        <v>1</v>
      </c>
      <c r="BN117" s="2">
        <v>0</v>
      </c>
      <c r="BO117" s="2">
        <v>0</v>
      </c>
      <c r="BT117" s="2">
        <v>0</v>
      </c>
      <c r="BY117" s="2" t="s">
        <v>654</v>
      </c>
    </row>
    <row r="118" spans="1:77" x14ac:dyDescent="0.2">
      <c r="A118" s="2" t="s">
        <v>269</v>
      </c>
      <c r="B118" s="2">
        <v>3</v>
      </c>
      <c r="C118" s="2" t="str" cm="1">
        <f t="array" ref="C118">_xlfn.IFS(B118&lt;3, "1", B118&lt;7, "2", B118&lt;12, "3", B118&lt;18, "4", B118&gt;18, "Fehler")</f>
        <v>2</v>
      </c>
      <c r="D118" s="4">
        <f>IF(COUNTIF($C$2:C118,C118),COUNTIF($C$2:C118,C118),"")</f>
        <v>38</v>
      </c>
      <c r="E118" s="2">
        <v>1</v>
      </c>
      <c r="F118" s="2">
        <v>94</v>
      </c>
      <c r="G118" s="2">
        <v>12.3</v>
      </c>
      <c r="H118" s="2">
        <v>2</v>
      </c>
      <c r="I118" s="2">
        <v>0</v>
      </c>
      <c r="J118" s="2" t="s">
        <v>618</v>
      </c>
      <c r="K118" s="13">
        <v>0.46458333333333335</v>
      </c>
      <c r="L118" s="13">
        <v>0.5083333333333333</v>
      </c>
      <c r="M118" s="13">
        <v>0.47638888888888892</v>
      </c>
      <c r="N118" s="13">
        <v>0.5</v>
      </c>
      <c r="O118" s="2">
        <f t="shared" si="60"/>
        <v>33.999999999999957</v>
      </c>
      <c r="P118" s="2">
        <f t="shared" si="61"/>
        <v>62.999999999999936</v>
      </c>
      <c r="Q118" s="2">
        <v>2</v>
      </c>
      <c r="R118" s="2">
        <v>1</v>
      </c>
      <c r="S118" s="2">
        <v>1</v>
      </c>
      <c r="T118" s="2">
        <v>2</v>
      </c>
      <c r="U118" s="2">
        <v>2</v>
      </c>
      <c r="V118" s="2">
        <v>2</v>
      </c>
      <c r="W118" s="2" t="str">
        <f t="shared" si="33"/>
        <v>0</v>
      </c>
      <c r="X118" s="2">
        <v>0</v>
      </c>
      <c r="Y118" s="2">
        <v>0</v>
      </c>
      <c r="Z118" s="2">
        <v>1</v>
      </c>
      <c r="AA118" s="2">
        <v>1</v>
      </c>
      <c r="AB118" s="2">
        <v>2.5</v>
      </c>
      <c r="AC118" s="2">
        <v>1</v>
      </c>
      <c r="AD118" s="2">
        <v>54</v>
      </c>
      <c r="AF118" s="2">
        <v>999</v>
      </c>
      <c r="AG118" s="2">
        <v>0</v>
      </c>
      <c r="AH118" s="2">
        <v>0</v>
      </c>
      <c r="AI118" s="2">
        <v>100</v>
      </c>
      <c r="AJ118" s="2">
        <v>2500</v>
      </c>
      <c r="AK118" s="5">
        <f t="shared" si="34"/>
        <v>0</v>
      </c>
      <c r="AL118" s="5">
        <f t="shared" si="35"/>
        <v>0</v>
      </c>
      <c r="AM118" s="2">
        <v>1</v>
      </c>
      <c r="AN118" s="2" t="s">
        <v>713</v>
      </c>
      <c r="AO118" s="2">
        <v>1</v>
      </c>
      <c r="AP118" s="2">
        <v>1</v>
      </c>
      <c r="AQ118" s="2">
        <v>250</v>
      </c>
      <c r="AR118" s="2">
        <v>1</v>
      </c>
      <c r="AT118" s="2">
        <v>0</v>
      </c>
      <c r="AU118" s="2">
        <v>1</v>
      </c>
      <c r="AV118" s="2" t="s">
        <v>627</v>
      </c>
      <c r="AW118" s="2">
        <v>1</v>
      </c>
      <c r="AX118" s="2" t="s">
        <v>628</v>
      </c>
      <c r="AY118" s="2">
        <v>0</v>
      </c>
      <c r="BA118" s="2" t="s">
        <v>394</v>
      </c>
      <c r="BC118" s="2" t="s">
        <v>639</v>
      </c>
      <c r="BD118" s="2">
        <v>0</v>
      </c>
      <c r="BE118" s="2">
        <v>0</v>
      </c>
      <c r="BG118" s="2" t="s">
        <v>629</v>
      </c>
      <c r="BH118" s="2">
        <v>561</v>
      </c>
      <c r="BI118" s="2">
        <v>2</v>
      </c>
      <c r="BJ118" s="2">
        <v>15</v>
      </c>
      <c r="BK118" s="2">
        <v>0</v>
      </c>
      <c r="BL118" s="2">
        <v>4</v>
      </c>
      <c r="BM118" s="2">
        <v>3</v>
      </c>
      <c r="BN118" s="2">
        <v>2</v>
      </c>
      <c r="BO118" s="2">
        <v>0</v>
      </c>
      <c r="BT118" s="2">
        <v>0</v>
      </c>
      <c r="BY118" s="2" t="s">
        <v>630</v>
      </c>
    </row>
    <row r="119" spans="1:77" x14ac:dyDescent="0.2">
      <c r="A119" s="2" t="s">
        <v>269</v>
      </c>
      <c r="B119" s="2">
        <v>4</v>
      </c>
      <c r="C119" s="2" t="str" cm="1">
        <f t="array" ref="C119">_xlfn.IFS(B119&lt;3, "1", B119&lt;7, "2", B119&lt;12, "3", B119&lt;18, "4", B119&gt;18, "Fehler")</f>
        <v>2</v>
      </c>
      <c r="D119" s="4">
        <f>IF(COUNTIF($C$2:C119,C119),COUNTIF($C$2:C119,C119),"")</f>
        <v>39</v>
      </c>
      <c r="E119" s="2">
        <v>2</v>
      </c>
      <c r="F119" s="2">
        <v>105</v>
      </c>
      <c r="G119" s="2">
        <v>18</v>
      </c>
      <c r="H119" s="2">
        <v>3</v>
      </c>
      <c r="I119" s="2">
        <v>0</v>
      </c>
      <c r="J119" s="2" t="s">
        <v>290</v>
      </c>
      <c r="K119" s="13">
        <v>0.33749999999999997</v>
      </c>
      <c r="L119" s="13">
        <v>0.41875000000000001</v>
      </c>
      <c r="M119" s="13">
        <v>0.3659722222222222</v>
      </c>
      <c r="N119" s="13">
        <v>0.4145833333333333</v>
      </c>
      <c r="O119" s="2">
        <f t="shared" si="60"/>
        <v>69.999999999999986</v>
      </c>
      <c r="P119" s="2">
        <f t="shared" si="61"/>
        <v>117.00000000000006</v>
      </c>
      <c r="Q119" s="2">
        <v>2</v>
      </c>
      <c r="R119" s="2">
        <v>1</v>
      </c>
      <c r="S119" s="2">
        <v>2</v>
      </c>
      <c r="T119" s="2">
        <v>1</v>
      </c>
      <c r="U119" s="2">
        <v>2</v>
      </c>
      <c r="V119" s="2">
        <v>2</v>
      </c>
      <c r="W119" s="2" t="str">
        <f t="shared" si="33"/>
        <v>0</v>
      </c>
      <c r="X119" s="2">
        <v>1</v>
      </c>
      <c r="Y119" s="2">
        <v>1</v>
      </c>
      <c r="Z119" s="2">
        <v>1</v>
      </c>
      <c r="AA119" s="2">
        <v>0</v>
      </c>
      <c r="AD119" s="2">
        <v>32</v>
      </c>
      <c r="AE119" s="2">
        <v>32</v>
      </c>
      <c r="AF119" s="2">
        <v>999</v>
      </c>
      <c r="AG119" s="2">
        <v>5</v>
      </c>
      <c r="AH119" s="2">
        <v>70</v>
      </c>
      <c r="AI119" s="2">
        <v>200</v>
      </c>
      <c r="AJ119" s="2">
        <v>3100</v>
      </c>
      <c r="AK119" s="5">
        <f t="shared" si="34"/>
        <v>2.5000000000000001E-2</v>
      </c>
      <c r="AL119" s="5">
        <f t="shared" si="35"/>
        <v>2.2580645161290321E-2</v>
      </c>
      <c r="AM119" s="2">
        <v>1</v>
      </c>
      <c r="AN119" s="2">
        <v>60</v>
      </c>
      <c r="AO119" s="2">
        <v>1</v>
      </c>
      <c r="AP119" s="2">
        <v>1</v>
      </c>
      <c r="AQ119" s="2">
        <v>200</v>
      </c>
      <c r="AR119" s="2">
        <v>1</v>
      </c>
      <c r="AT119" s="2">
        <v>0</v>
      </c>
      <c r="AU119" s="2">
        <v>0</v>
      </c>
      <c r="AW119" s="2">
        <v>0</v>
      </c>
      <c r="AY119" s="2">
        <v>0</v>
      </c>
      <c r="BA119" s="2" t="s">
        <v>335</v>
      </c>
      <c r="BC119" s="2" t="s">
        <v>21</v>
      </c>
      <c r="BD119" s="2">
        <v>0</v>
      </c>
      <c r="BE119" s="2">
        <v>0</v>
      </c>
      <c r="BG119" s="2" t="s">
        <v>621</v>
      </c>
      <c r="BI119" s="2">
        <v>2</v>
      </c>
      <c r="BJ119" s="2">
        <v>15</v>
      </c>
      <c r="BK119" s="2">
        <v>0</v>
      </c>
      <c r="BL119" s="2">
        <v>4</v>
      </c>
      <c r="BM119" s="2">
        <v>2</v>
      </c>
      <c r="BN119" s="2">
        <v>2</v>
      </c>
      <c r="BO119" s="2">
        <v>0</v>
      </c>
      <c r="BT119" s="2">
        <v>0</v>
      </c>
      <c r="BY119" s="2" t="s">
        <v>622</v>
      </c>
    </row>
    <row r="120" spans="1:77" x14ac:dyDescent="0.2">
      <c r="A120" s="2" t="s">
        <v>269</v>
      </c>
      <c r="B120" s="2">
        <v>5</v>
      </c>
      <c r="C120" s="2" t="str" cm="1">
        <f t="array" ref="C120">_xlfn.IFS(B120&lt;3, "1", B120&lt;7, "2", B120&lt;12, "3", B120&lt;18, "4", B120&gt;18, "Fehler")</f>
        <v>2</v>
      </c>
      <c r="D120" s="4">
        <f>IF(COUNTIF($C$2:C120,C120),COUNTIF($C$2:C120,C120),"")</f>
        <v>40</v>
      </c>
      <c r="E120" s="2">
        <v>1</v>
      </c>
      <c r="F120" s="2">
        <v>110</v>
      </c>
      <c r="G120" s="2">
        <v>19</v>
      </c>
      <c r="H120" s="2">
        <v>1</v>
      </c>
      <c r="I120" s="2">
        <v>1</v>
      </c>
      <c r="J120" s="2" t="s">
        <v>620</v>
      </c>
      <c r="K120" s="13">
        <v>0.33888888888888885</v>
      </c>
      <c r="L120" s="13">
        <v>0.39583333333333331</v>
      </c>
      <c r="M120" s="13">
        <v>0.3576388888888889</v>
      </c>
      <c r="N120" s="13">
        <v>0.3888888888888889</v>
      </c>
      <c r="O120" s="2">
        <f t="shared" ref="O120" si="62">(N120-M120)*1440</f>
        <v>45</v>
      </c>
      <c r="P120" s="2">
        <f t="shared" ref="P120" si="63">(L120-K120)*1440</f>
        <v>82.000000000000028</v>
      </c>
      <c r="Q120" s="2">
        <v>1</v>
      </c>
      <c r="R120" s="2">
        <v>1</v>
      </c>
      <c r="S120" s="2">
        <v>1</v>
      </c>
      <c r="T120" s="2">
        <v>1</v>
      </c>
      <c r="U120" s="2">
        <v>2</v>
      </c>
      <c r="V120" s="2">
        <v>2</v>
      </c>
      <c r="W120" s="2" t="str">
        <f t="shared" si="33"/>
        <v>0</v>
      </c>
      <c r="X120" s="2">
        <v>1</v>
      </c>
      <c r="Y120" s="2">
        <v>1</v>
      </c>
      <c r="Z120" s="2">
        <v>1</v>
      </c>
      <c r="AA120" s="2">
        <v>0</v>
      </c>
      <c r="AD120" s="2">
        <v>36</v>
      </c>
      <c r="AE120" s="2">
        <v>36</v>
      </c>
      <c r="AF120" s="2">
        <v>17</v>
      </c>
      <c r="AG120" s="2">
        <v>7</v>
      </c>
      <c r="AH120" s="2">
        <v>150</v>
      </c>
      <c r="AI120" s="2">
        <v>180</v>
      </c>
      <c r="AJ120" s="2">
        <v>3900</v>
      </c>
      <c r="AK120" s="5">
        <f t="shared" si="34"/>
        <v>3.888888888888889E-2</v>
      </c>
      <c r="AL120" s="5">
        <f t="shared" si="35"/>
        <v>3.8461538461538464E-2</v>
      </c>
      <c r="AM120" s="2">
        <v>1</v>
      </c>
      <c r="AN120" s="2">
        <v>80</v>
      </c>
      <c r="AO120" s="2">
        <v>1</v>
      </c>
      <c r="AP120" s="2">
        <v>1</v>
      </c>
      <c r="AQ120" s="2">
        <v>400</v>
      </c>
      <c r="AR120" s="2">
        <v>1</v>
      </c>
      <c r="AT120" s="2">
        <v>0</v>
      </c>
      <c r="AU120" s="2">
        <v>0</v>
      </c>
      <c r="AW120" s="2">
        <v>0</v>
      </c>
      <c r="AY120" s="2">
        <v>0</v>
      </c>
      <c r="BA120" s="2" t="s">
        <v>335</v>
      </c>
      <c r="BC120" s="2" t="s">
        <v>21</v>
      </c>
      <c r="BD120" s="2">
        <v>0</v>
      </c>
      <c r="BE120" s="2">
        <v>0</v>
      </c>
      <c r="BG120" s="2" t="s">
        <v>623</v>
      </c>
      <c r="BH120" s="2">
        <v>411</v>
      </c>
      <c r="BI120" s="2">
        <v>2</v>
      </c>
      <c r="BJ120" s="2">
        <v>0</v>
      </c>
      <c r="BK120" s="2">
        <v>0</v>
      </c>
      <c r="BL120" s="2">
        <v>4</v>
      </c>
      <c r="BM120" s="2">
        <v>2</v>
      </c>
      <c r="BN120" s="2">
        <v>2</v>
      </c>
      <c r="BO120" s="2">
        <v>0</v>
      </c>
      <c r="BT120" s="2">
        <v>0</v>
      </c>
      <c r="BY120" s="2" t="s">
        <v>536</v>
      </c>
    </row>
    <row r="121" spans="1:77" x14ac:dyDescent="0.2">
      <c r="A121" s="2" t="s">
        <v>269</v>
      </c>
      <c r="B121" s="2">
        <v>15</v>
      </c>
      <c r="C121" s="2" t="str" cm="1">
        <f t="array" ref="C121">_xlfn.IFS(B121&lt;3, "1", B121&lt;7, "2", B121&lt;12, "3", B121&lt;18, "4", B121&gt;18, "Fehler")</f>
        <v>4</v>
      </c>
      <c r="D121" s="4">
        <f>IF(COUNTIF($C$2:C121,C121),COUNTIF($C$2:C121,C121),"")</f>
        <v>17</v>
      </c>
      <c r="E121" s="2">
        <v>2</v>
      </c>
      <c r="F121" s="2">
        <v>165</v>
      </c>
      <c r="G121" s="2">
        <v>53</v>
      </c>
      <c r="H121" s="2">
        <v>1</v>
      </c>
      <c r="I121" s="2">
        <v>1</v>
      </c>
      <c r="J121" s="2" t="s">
        <v>624</v>
      </c>
      <c r="K121" s="13">
        <v>0.51250000000000007</v>
      </c>
      <c r="L121" s="13">
        <v>0.58194444444444449</v>
      </c>
      <c r="M121" s="13">
        <v>0.52847222222222223</v>
      </c>
      <c r="N121" s="13">
        <v>0.57291666666666663</v>
      </c>
      <c r="O121" s="2">
        <f t="shared" ref="O121" si="64">(N121-M121)*1440</f>
        <v>63.999999999999929</v>
      </c>
      <c r="P121" s="2">
        <f t="shared" ref="P121" si="65">(L121-K121)*1440</f>
        <v>99.999999999999972</v>
      </c>
      <c r="Q121" s="2">
        <v>1</v>
      </c>
      <c r="R121" s="2">
        <v>1</v>
      </c>
      <c r="S121" s="2">
        <v>1</v>
      </c>
      <c r="T121" s="2">
        <v>2</v>
      </c>
      <c r="U121" s="2">
        <v>4</v>
      </c>
      <c r="V121" s="2">
        <v>4</v>
      </c>
      <c r="W121" s="2" t="str">
        <f t="shared" si="33"/>
        <v>0</v>
      </c>
      <c r="X121" s="2">
        <v>1</v>
      </c>
      <c r="Y121" s="2">
        <v>1</v>
      </c>
      <c r="Z121" s="2">
        <v>1</v>
      </c>
      <c r="AA121" s="2">
        <v>0</v>
      </c>
      <c r="AD121" s="2">
        <v>24</v>
      </c>
      <c r="AE121" s="2">
        <v>24</v>
      </c>
      <c r="AF121" s="2">
        <v>24</v>
      </c>
      <c r="AG121" s="2">
        <v>7</v>
      </c>
      <c r="AH121" s="2">
        <v>90</v>
      </c>
      <c r="AI121" s="2">
        <v>500</v>
      </c>
      <c r="AJ121" s="2">
        <v>7200</v>
      </c>
      <c r="AK121" s="5">
        <f t="shared" si="34"/>
        <v>1.4E-2</v>
      </c>
      <c r="AL121" s="5">
        <f t="shared" si="35"/>
        <v>1.2500000000000001E-2</v>
      </c>
      <c r="AM121" s="2">
        <v>1</v>
      </c>
      <c r="AN121" s="2">
        <v>200</v>
      </c>
      <c r="AO121" s="2">
        <v>1</v>
      </c>
      <c r="AP121" s="2">
        <v>1</v>
      </c>
      <c r="AQ121" s="2">
        <v>1000</v>
      </c>
      <c r="AR121" s="2">
        <v>1</v>
      </c>
      <c r="AT121" s="2">
        <v>0</v>
      </c>
      <c r="AU121" s="2">
        <v>0</v>
      </c>
      <c r="AW121" s="2">
        <v>0</v>
      </c>
      <c r="AY121" s="2">
        <v>0</v>
      </c>
      <c r="BA121" s="2" t="s">
        <v>655</v>
      </c>
      <c r="BC121" s="2" t="s">
        <v>21</v>
      </c>
      <c r="BD121" s="2">
        <v>2</v>
      </c>
      <c r="BE121" s="2">
        <v>0</v>
      </c>
      <c r="BG121" s="2" t="s">
        <v>395</v>
      </c>
      <c r="BH121" s="2">
        <v>449</v>
      </c>
      <c r="BI121" s="2">
        <v>1</v>
      </c>
      <c r="BJ121" s="2" t="s">
        <v>375</v>
      </c>
      <c r="BK121" s="2">
        <v>0</v>
      </c>
      <c r="BL121" s="2">
        <v>4</v>
      </c>
      <c r="BM121" s="2">
        <v>1</v>
      </c>
      <c r="BN121" s="2">
        <v>2</v>
      </c>
      <c r="BO121" s="2">
        <v>0</v>
      </c>
      <c r="BT121" s="2">
        <v>0</v>
      </c>
      <c r="BY121" s="2" t="s">
        <v>644</v>
      </c>
    </row>
    <row r="122" spans="1:77" x14ac:dyDescent="0.2">
      <c r="A122" s="2" t="s">
        <v>269</v>
      </c>
      <c r="B122" s="2">
        <v>6</v>
      </c>
      <c r="C122" s="2" t="str" cm="1">
        <f t="array" ref="C122">_xlfn.IFS(B122&lt;3, "1", B122&lt;7, "2", B122&lt;12, "3", B122&lt;18, "4", B122&gt;18, "Fehler")</f>
        <v>2</v>
      </c>
      <c r="D122" s="4">
        <f>IF(COUNTIF($C$2:C122,C122),COUNTIF($C$2:C122,C122),"")</f>
        <v>41</v>
      </c>
      <c r="E122" s="2">
        <v>2</v>
      </c>
      <c r="F122" s="2">
        <v>117</v>
      </c>
      <c r="G122" s="2">
        <v>21</v>
      </c>
      <c r="H122" s="2">
        <v>2</v>
      </c>
      <c r="I122" s="2">
        <v>1</v>
      </c>
      <c r="J122" s="2" t="s">
        <v>625</v>
      </c>
      <c r="K122" s="13">
        <v>0.52916666666666667</v>
      </c>
      <c r="L122" s="13">
        <v>0.57430555555555551</v>
      </c>
      <c r="M122" s="13">
        <v>0.54513888888888895</v>
      </c>
      <c r="N122" s="13">
        <v>0.56527777777777777</v>
      </c>
      <c r="O122" s="2">
        <f t="shared" ref="O122" si="66">(N122-M122)*1440</f>
        <v>28.999999999999897</v>
      </c>
      <c r="P122" s="2">
        <f t="shared" ref="P122" si="67">(L122-K122)*1440</f>
        <v>64.999999999999929</v>
      </c>
      <c r="Q122" s="2">
        <v>1</v>
      </c>
      <c r="R122" s="2">
        <v>1</v>
      </c>
      <c r="S122" s="2">
        <v>1</v>
      </c>
      <c r="T122" s="2">
        <v>2</v>
      </c>
      <c r="U122" s="2">
        <v>2</v>
      </c>
      <c r="V122" s="2">
        <v>2</v>
      </c>
      <c r="W122" s="2" t="str">
        <f t="shared" si="33"/>
        <v>0</v>
      </c>
      <c r="X122" s="2">
        <v>1</v>
      </c>
      <c r="Y122" s="2">
        <v>1</v>
      </c>
      <c r="Z122" s="2">
        <v>1</v>
      </c>
      <c r="AA122" s="2">
        <v>1</v>
      </c>
      <c r="AB122" s="2">
        <v>2.5</v>
      </c>
      <c r="AC122" s="2">
        <v>1</v>
      </c>
      <c r="AD122" s="2">
        <v>40</v>
      </c>
      <c r="AF122" s="2">
        <v>28</v>
      </c>
      <c r="AG122" s="2">
        <v>10</v>
      </c>
      <c r="AH122" s="2">
        <v>50</v>
      </c>
      <c r="AI122" s="2">
        <v>190</v>
      </c>
      <c r="AJ122" s="2">
        <v>2300</v>
      </c>
      <c r="AK122" s="5">
        <f t="shared" si="34"/>
        <v>5.2631578947368418E-2</v>
      </c>
      <c r="AL122" s="5">
        <f t="shared" si="35"/>
        <v>2.1739130434782608E-2</v>
      </c>
      <c r="AM122" s="2">
        <v>1</v>
      </c>
      <c r="AN122" s="2" t="s">
        <v>714</v>
      </c>
      <c r="AO122" s="2">
        <v>1</v>
      </c>
      <c r="AP122" s="2">
        <v>1</v>
      </c>
      <c r="AQ122" s="2" t="s">
        <v>730</v>
      </c>
      <c r="AR122" s="2">
        <v>1</v>
      </c>
      <c r="AT122" s="2">
        <v>0</v>
      </c>
      <c r="AU122" s="2">
        <v>0</v>
      </c>
      <c r="AW122" s="2">
        <v>1</v>
      </c>
      <c r="AX122" s="2" t="s">
        <v>637</v>
      </c>
      <c r="AY122" s="2">
        <v>0</v>
      </c>
      <c r="BA122" s="2" t="s">
        <v>394</v>
      </c>
      <c r="BC122" s="2" t="s">
        <v>21</v>
      </c>
      <c r="BD122" s="2">
        <v>0</v>
      </c>
      <c r="BE122" s="2">
        <v>0</v>
      </c>
      <c r="BG122" s="2" t="s">
        <v>623</v>
      </c>
      <c r="BH122" s="2">
        <v>411</v>
      </c>
      <c r="BI122" s="2">
        <v>2</v>
      </c>
      <c r="BJ122" s="2">
        <v>20</v>
      </c>
      <c r="BK122" s="2">
        <v>0</v>
      </c>
      <c r="BL122" s="2">
        <v>4</v>
      </c>
      <c r="BM122" s="2">
        <v>3</v>
      </c>
      <c r="BN122" s="2">
        <v>2</v>
      </c>
      <c r="BO122" s="2">
        <v>0</v>
      </c>
      <c r="BT122" s="2">
        <v>0</v>
      </c>
      <c r="BY122" s="2" t="s">
        <v>638</v>
      </c>
    </row>
    <row r="123" spans="1:77" x14ac:dyDescent="0.2">
      <c r="A123" s="2" t="s">
        <v>270</v>
      </c>
      <c r="B123" s="2">
        <v>6</v>
      </c>
      <c r="C123" s="2" t="str" cm="1">
        <f t="array" ref="C123">_xlfn.IFS(B123&lt;3, "1", B123&lt;7, "2", B123&lt;12, "3", B123&lt;18, "4", B123&gt;18, "Fehler")</f>
        <v>2</v>
      </c>
      <c r="D123" s="4">
        <f>IF(COUNTIF($C$2:C123,C123),COUNTIF($C$2:C123,C123),"")</f>
        <v>42</v>
      </c>
      <c r="E123" s="2">
        <v>2</v>
      </c>
      <c r="F123" s="2">
        <v>125</v>
      </c>
      <c r="G123" s="2">
        <v>20</v>
      </c>
      <c r="H123" s="2">
        <v>1</v>
      </c>
      <c r="I123" s="2">
        <v>0</v>
      </c>
      <c r="J123" s="2" t="s">
        <v>626</v>
      </c>
      <c r="K123" s="13">
        <v>0.33402777777777781</v>
      </c>
      <c r="L123" s="13">
        <v>0.42708333333333331</v>
      </c>
      <c r="M123" s="13">
        <v>0.36249999999999999</v>
      </c>
      <c r="N123" s="13">
        <v>0.41250000000000003</v>
      </c>
      <c r="O123" s="2">
        <f t="shared" ref="O123" si="68">(N123-M123)*1440</f>
        <v>72.000000000000057</v>
      </c>
      <c r="P123" s="2">
        <f t="shared" ref="P123" si="69">(L123-K123)*1440</f>
        <v>133.99999999999991</v>
      </c>
      <c r="Q123" s="2">
        <v>1</v>
      </c>
      <c r="R123" s="2">
        <v>1</v>
      </c>
      <c r="S123" s="2">
        <v>2</v>
      </c>
      <c r="T123" s="2">
        <v>2</v>
      </c>
      <c r="U123" s="2">
        <v>2</v>
      </c>
      <c r="V123" s="2">
        <v>2</v>
      </c>
      <c r="W123" s="2" t="str">
        <f t="shared" si="33"/>
        <v>0</v>
      </c>
      <c r="X123" s="2">
        <v>0</v>
      </c>
      <c r="Y123" s="2">
        <v>0</v>
      </c>
      <c r="Z123" s="2">
        <v>2</v>
      </c>
      <c r="AA123" s="2">
        <v>1</v>
      </c>
      <c r="AB123" s="2">
        <v>2.5</v>
      </c>
      <c r="AC123" s="2">
        <v>1</v>
      </c>
      <c r="AD123" s="2" t="s">
        <v>632</v>
      </c>
      <c r="AF123" s="2">
        <v>30</v>
      </c>
      <c r="AG123" s="2">
        <v>3</v>
      </c>
      <c r="AH123" s="2">
        <v>50</v>
      </c>
      <c r="AI123" s="2">
        <v>185</v>
      </c>
      <c r="AJ123" s="2">
        <v>3600</v>
      </c>
      <c r="AK123" s="5">
        <f t="shared" si="34"/>
        <v>1.6216216216216217E-2</v>
      </c>
      <c r="AL123" s="5">
        <f t="shared" si="35"/>
        <v>1.3888888888888888E-2</v>
      </c>
      <c r="AM123" s="2">
        <v>1</v>
      </c>
      <c r="AN123" s="2" t="s">
        <v>715</v>
      </c>
      <c r="AO123" s="2">
        <v>1</v>
      </c>
      <c r="AP123" s="2">
        <v>1</v>
      </c>
      <c r="AQ123" s="2" t="s">
        <v>727</v>
      </c>
      <c r="AR123" s="2">
        <v>1</v>
      </c>
      <c r="AT123" s="2">
        <v>1</v>
      </c>
      <c r="AU123" s="2">
        <v>1</v>
      </c>
      <c r="AV123" s="2" t="s">
        <v>633</v>
      </c>
      <c r="AW123" s="2">
        <v>0</v>
      </c>
      <c r="AY123" s="2">
        <v>0</v>
      </c>
      <c r="BA123" s="2" t="s">
        <v>634</v>
      </c>
      <c r="BC123" s="2" t="s">
        <v>21</v>
      </c>
      <c r="BD123" s="2">
        <v>0</v>
      </c>
      <c r="BE123" s="2">
        <v>0</v>
      </c>
      <c r="BG123" s="2" t="s">
        <v>635</v>
      </c>
      <c r="BI123" s="2">
        <v>1</v>
      </c>
      <c r="BK123" s="2">
        <v>0</v>
      </c>
      <c r="BL123" s="2">
        <v>4.5</v>
      </c>
      <c r="BM123" s="2">
        <v>2</v>
      </c>
      <c r="BN123" s="2">
        <v>0</v>
      </c>
      <c r="BO123" s="2">
        <v>0</v>
      </c>
      <c r="BT123" s="2">
        <v>0</v>
      </c>
    </row>
    <row r="124" spans="1:77" x14ac:dyDescent="0.2">
      <c r="A124" s="2" t="s">
        <v>269</v>
      </c>
      <c r="B124" s="2">
        <v>7</v>
      </c>
      <c r="C124" s="2" t="str" cm="1">
        <f t="array" ref="C124">_xlfn.IFS(B124&lt;3, "1", B124&lt;7, "2", B124&lt;12, "3", B124&lt;18, "4", B124&gt;18, "Fehler")</f>
        <v>3</v>
      </c>
      <c r="D124" s="4">
        <f>IF(COUNTIF($C$2:C124,C124),COUNTIF($C$2:C124,C124),"")</f>
        <v>13</v>
      </c>
      <c r="E124" s="2">
        <v>2</v>
      </c>
      <c r="F124" s="2">
        <v>145</v>
      </c>
      <c r="G124" s="2">
        <v>25</v>
      </c>
      <c r="H124" s="2">
        <v>1</v>
      </c>
      <c r="I124" s="2">
        <v>0</v>
      </c>
      <c r="J124" s="2" t="s">
        <v>631</v>
      </c>
      <c r="K124" s="13">
        <v>0.52569444444444446</v>
      </c>
      <c r="L124" s="13">
        <v>0.57291666666666663</v>
      </c>
      <c r="M124" s="13">
        <v>0.53888888888888886</v>
      </c>
      <c r="N124" s="13">
        <v>0.56527777777777777</v>
      </c>
      <c r="O124" s="2">
        <f t="shared" ref="O124:O125" si="70">(N124-M124)*1440</f>
        <v>38.000000000000028</v>
      </c>
      <c r="P124" s="2">
        <f t="shared" ref="P124" si="71">(L124-K124)*1440</f>
        <v>67.999999999999915</v>
      </c>
      <c r="Q124" s="2">
        <v>1</v>
      </c>
      <c r="R124" s="2">
        <v>1</v>
      </c>
      <c r="S124" s="2">
        <v>1</v>
      </c>
      <c r="T124" s="2">
        <v>2</v>
      </c>
      <c r="U124" s="2">
        <v>2.5</v>
      </c>
      <c r="V124" s="2">
        <v>2</v>
      </c>
      <c r="W124" s="2" t="str">
        <f t="shared" si="33"/>
        <v>1</v>
      </c>
      <c r="X124" s="2">
        <v>1</v>
      </c>
      <c r="Y124" s="2">
        <v>0</v>
      </c>
      <c r="Z124" s="2">
        <v>1</v>
      </c>
      <c r="AA124" s="2" t="s">
        <v>132</v>
      </c>
      <c r="AB124" s="2">
        <v>2.5</v>
      </c>
      <c r="AC124" s="2">
        <v>1</v>
      </c>
      <c r="AD124" s="2">
        <v>21</v>
      </c>
      <c r="AF124" s="2">
        <v>17</v>
      </c>
      <c r="AG124" s="2">
        <v>35</v>
      </c>
      <c r="AH124" s="2">
        <v>300</v>
      </c>
      <c r="AI124" s="2">
        <v>270</v>
      </c>
      <c r="AJ124" s="2">
        <v>3700</v>
      </c>
      <c r="AK124" s="5">
        <f t="shared" si="34"/>
        <v>0.12962962962962962</v>
      </c>
      <c r="AL124" s="5">
        <f t="shared" si="35"/>
        <v>8.1081081081081086E-2</v>
      </c>
      <c r="AM124" s="2">
        <v>1</v>
      </c>
      <c r="AN124" s="2" t="s">
        <v>716</v>
      </c>
      <c r="AO124" s="2">
        <v>1</v>
      </c>
      <c r="AP124" s="2">
        <v>1</v>
      </c>
      <c r="AQ124" s="2">
        <v>300</v>
      </c>
      <c r="AR124" s="2">
        <v>1</v>
      </c>
      <c r="AT124" s="2">
        <v>0</v>
      </c>
      <c r="AU124" s="2">
        <v>1</v>
      </c>
      <c r="AV124" s="2" t="s">
        <v>640</v>
      </c>
      <c r="AW124" s="2">
        <v>1</v>
      </c>
      <c r="AX124" s="2" t="s">
        <v>641</v>
      </c>
      <c r="AY124" s="2">
        <v>1</v>
      </c>
      <c r="AZ124" s="2" t="s">
        <v>628</v>
      </c>
      <c r="BA124" s="2" t="s">
        <v>642</v>
      </c>
      <c r="BC124" s="2" t="s">
        <v>21</v>
      </c>
      <c r="BD124" s="2">
        <v>0</v>
      </c>
      <c r="BE124" s="2">
        <v>0</v>
      </c>
      <c r="BG124" s="2" t="s">
        <v>643</v>
      </c>
      <c r="BH124" s="2">
        <v>465</v>
      </c>
      <c r="BI124" s="2">
        <v>2</v>
      </c>
      <c r="BJ124" s="2">
        <v>40</v>
      </c>
      <c r="BK124" s="2">
        <v>0</v>
      </c>
      <c r="BL124" s="2">
        <v>5</v>
      </c>
      <c r="BM124" s="2">
        <v>2</v>
      </c>
      <c r="BN124" s="2">
        <v>2</v>
      </c>
      <c r="BO124" s="2">
        <v>0</v>
      </c>
      <c r="BT124" s="2">
        <v>0</v>
      </c>
      <c r="BY124" s="2" t="s">
        <v>536</v>
      </c>
    </row>
    <row r="125" spans="1:77" x14ac:dyDescent="0.2">
      <c r="A125" s="2" t="s">
        <v>269</v>
      </c>
      <c r="B125" s="2">
        <v>10</v>
      </c>
      <c r="C125" s="2" t="str" cm="1">
        <f t="array" ref="C125">_xlfn.IFS(B125&lt;3, "1", B125&lt;7, "2", B125&lt;12, "3", B125&lt;18, "4", B125&gt;18, "Fehler")</f>
        <v>3</v>
      </c>
      <c r="D125" s="4">
        <f>IF(COUNTIF($C$2:C125,C125),COUNTIF($C$2:C125,C125),"")</f>
        <v>14</v>
      </c>
      <c r="E125" s="2">
        <v>1</v>
      </c>
      <c r="F125" s="2">
        <v>139</v>
      </c>
      <c r="G125" s="2">
        <v>39</v>
      </c>
      <c r="H125" s="2">
        <v>1</v>
      </c>
      <c r="I125" s="2">
        <v>1</v>
      </c>
      <c r="J125" s="2" t="s">
        <v>636</v>
      </c>
      <c r="M125" s="13">
        <v>0.34722222222222227</v>
      </c>
      <c r="N125" s="13">
        <v>0.3833333333333333</v>
      </c>
      <c r="O125" s="2">
        <f t="shared" si="70"/>
        <v>51.999999999999893</v>
      </c>
      <c r="Q125" s="2">
        <v>2</v>
      </c>
      <c r="R125" s="2">
        <v>1</v>
      </c>
      <c r="S125" s="2">
        <v>1</v>
      </c>
      <c r="T125" s="2">
        <v>1</v>
      </c>
      <c r="U125" s="2">
        <v>3</v>
      </c>
      <c r="W125" s="2" t="str">
        <f t="shared" si="33"/>
        <v>1</v>
      </c>
      <c r="X125" s="2">
        <v>1</v>
      </c>
      <c r="Y125" s="2">
        <v>1</v>
      </c>
      <c r="Z125" s="2">
        <v>1</v>
      </c>
      <c r="AA125" s="2">
        <v>0</v>
      </c>
      <c r="AD125" s="2">
        <v>27</v>
      </c>
      <c r="AE125" s="2">
        <v>27</v>
      </c>
      <c r="AF125" s="2">
        <v>999</v>
      </c>
      <c r="AG125" s="2">
        <v>0</v>
      </c>
      <c r="AH125" s="2">
        <v>0</v>
      </c>
      <c r="AI125" s="2">
        <v>300</v>
      </c>
      <c r="AJ125" s="2">
        <v>4500</v>
      </c>
      <c r="AK125" s="5">
        <f t="shared" si="34"/>
        <v>0</v>
      </c>
      <c r="AL125" s="5">
        <f t="shared" si="35"/>
        <v>0</v>
      </c>
      <c r="AM125" s="2">
        <v>1</v>
      </c>
      <c r="AN125" s="2">
        <v>150</v>
      </c>
      <c r="AO125" s="2">
        <v>1</v>
      </c>
      <c r="AP125" s="2">
        <v>2</v>
      </c>
      <c r="AQ125" s="2">
        <v>0.1</v>
      </c>
      <c r="AR125" s="2">
        <v>1</v>
      </c>
      <c r="AT125" s="2">
        <v>0</v>
      </c>
      <c r="AU125" s="2">
        <v>0</v>
      </c>
      <c r="AW125" s="2">
        <v>0</v>
      </c>
      <c r="AY125" s="2">
        <v>0</v>
      </c>
      <c r="BA125" s="2" t="s">
        <v>394</v>
      </c>
      <c r="BC125" s="2" t="s">
        <v>646</v>
      </c>
      <c r="BD125" s="2">
        <v>3</v>
      </c>
      <c r="BE125" s="2">
        <v>0</v>
      </c>
      <c r="BG125" s="2" t="s">
        <v>629</v>
      </c>
      <c r="BH125" s="2">
        <v>561</v>
      </c>
      <c r="BI125" s="2">
        <v>2</v>
      </c>
      <c r="BJ125" s="2">
        <v>20</v>
      </c>
      <c r="BK125" s="2">
        <v>0</v>
      </c>
      <c r="BL125" s="2">
        <v>4</v>
      </c>
      <c r="BM125" s="2">
        <v>1</v>
      </c>
      <c r="BN125" s="2">
        <v>2</v>
      </c>
      <c r="BO125" s="2">
        <v>0</v>
      </c>
      <c r="BT125" s="2">
        <v>0</v>
      </c>
      <c r="BY125" s="2" t="s">
        <v>656</v>
      </c>
    </row>
    <row r="126" spans="1:77" x14ac:dyDescent="0.2">
      <c r="A126" s="2" t="s">
        <v>270</v>
      </c>
      <c r="B126" s="2">
        <v>1</v>
      </c>
      <c r="C126" s="2" t="str" cm="1">
        <f t="array" ref="C126">_xlfn.IFS(B126&lt;3, "1", B126&lt;7, "2", B126&lt;12, "3", B126&lt;18, "4", B126&gt;18, "Fehler")</f>
        <v>1</v>
      </c>
      <c r="D126" s="4">
        <f>IF(COUNTIF($C$2:C126,C126),COUNTIF($C$2:C126,C126),"")</f>
        <v>52</v>
      </c>
      <c r="E126" s="2">
        <v>2</v>
      </c>
      <c r="J126" s="2" t="s">
        <v>391</v>
      </c>
      <c r="Q126" s="2">
        <v>2</v>
      </c>
      <c r="R126" s="2">
        <v>1</v>
      </c>
      <c r="S126" s="2">
        <v>2</v>
      </c>
      <c r="T126" s="2">
        <v>1</v>
      </c>
      <c r="W126" s="2" t="str">
        <f t="shared" si="33"/>
        <v>0</v>
      </c>
      <c r="AK126" s="5" t="e">
        <f t="shared" si="34"/>
        <v>#DIV/0!</v>
      </c>
      <c r="AL126" s="5" t="e">
        <f t="shared" si="35"/>
        <v>#DIV/0!</v>
      </c>
    </row>
    <row r="127" spans="1:77" x14ac:dyDescent="0.2">
      <c r="A127" s="2" t="s">
        <v>269</v>
      </c>
      <c r="B127" s="2">
        <v>7</v>
      </c>
      <c r="C127" s="2" t="str" cm="1">
        <f t="array" ref="C127">_xlfn.IFS(B127&lt;3, "1", B127&lt;7, "2", B127&lt;12, "3", B127&lt;18, "4", B127&gt;18, "Fehler")</f>
        <v>3</v>
      </c>
      <c r="D127" s="4">
        <f>IF(COUNTIF($C$2:C127,C127),COUNTIF($C$2:C127,C127),"")</f>
        <v>15</v>
      </c>
      <c r="E127" s="2">
        <v>2</v>
      </c>
      <c r="F127" s="2">
        <v>125</v>
      </c>
      <c r="G127" s="2">
        <v>25</v>
      </c>
      <c r="H127" s="2">
        <v>1</v>
      </c>
      <c r="I127" s="2">
        <v>0</v>
      </c>
      <c r="J127" s="2" t="s">
        <v>645</v>
      </c>
      <c r="K127" s="13">
        <v>0.56597222222222221</v>
      </c>
      <c r="L127" s="13">
        <v>0.61111111111111105</v>
      </c>
      <c r="M127" s="13">
        <v>0.58611111111111114</v>
      </c>
      <c r="N127" s="13">
        <v>0.60277777777777775</v>
      </c>
      <c r="O127" s="2">
        <v>24</v>
      </c>
      <c r="P127" s="2">
        <v>65</v>
      </c>
      <c r="Q127" s="2">
        <v>1</v>
      </c>
      <c r="R127" s="2">
        <v>1</v>
      </c>
      <c r="S127" s="2">
        <v>1</v>
      </c>
      <c r="T127" s="2">
        <v>1</v>
      </c>
      <c r="U127" s="2">
        <v>2.5</v>
      </c>
      <c r="V127" s="2">
        <v>2.5</v>
      </c>
      <c r="W127" s="2" t="str">
        <f t="shared" si="33"/>
        <v>0</v>
      </c>
      <c r="X127" s="2">
        <v>1</v>
      </c>
      <c r="Y127" s="2">
        <v>1</v>
      </c>
      <c r="Z127" s="2">
        <v>1</v>
      </c>
      <c r="AA127" s="2">
        <v>0</v>
      </c>
      <c r="AD127" s="2">
        <v>43</v>
      </c>
      <c r="AE127" s="2">
        <v>43</v>
      </c>
      <c r="AF127" s="2">
        <v>15</v>
      </c>
      <c r="AG127" s="2">
        <v>0</v>
      </c>
      <c r="AH127" s="2">
        <v>0</v>
      </c>
      <c r="AI127" s="2">
        <v>300</v>
      </c>
      <c r="AJ127" s="2">
        <v>5700</v>
      </c>
      <c r="AK127" s="5">
        <f t="shared" si="34"/>
        <v>0</v>
      </c>
      <c r="AL127" s="5">
        <f t="shared" si="35"/>
        <v>0</v>
      </c>
      <c r="AM127" s="2">
        <v>1</v>
      </c>
      <c r="AN127" s="2">
        <v>120</v>
      </c>
      <c r="AO127" s="2">
        <v>1</v>
      </c>
      <c r="AP127" s="2">
        <v>1</v>
      </c>
      <c r="AQ127" s="2">
        <v>500</v>
      </c>
      <c r="AR127" s="2">
        <v>1</v>
      </c>
      <c r="AT127" s="2">
        <v>0</v>
      </c>
      <c r="AU127" s="2">
        <v>0</v>
      </c>
      <c r="AW127" s="2">
        <v>0</v>
      </c>
      <c r="AY127" s="2">
        <v>0</v>
      </c>
      <c r="BA127" s="2" t="s">
        <v>774</v>
      </c>
      <c r="BC127" s="2" t="s">
        <v>21</v>
      </c>
      <c r="BD127" s="2">
        <v>0</v>
      </c>
      <c r="BE127" s="2">
        <v>0</v>
      </c>
      <c r="BG127" s="2" t="s">
        <v>399</v>
      </c>
      <c r="BH127" s="2">
        <v>338</v>
      </c>
      <c r="BI127" s="2">
        <v>1</v>
      </c>
      <c r="BJ127" s="2" t="s">
        <v>775</v>
      </c>
      <c r="BK127" s="2">
        <v>0</v>
      </c>
      <c r="BL127" s="2">
        <v>5</v>
      </c>
      <c r="BM127" s="2">
        <v>1</v>
      </c>
      <c r="BN127" s="2">
        <v>2</v>
      </c>
      <c r="BO127" s="2">
        <v>0</v>
      </c>
      <c r="BT127" s="2">
        <v>0</v>
      </c>
      <c r="BY127" s="2" t="s">
        <v>610</v>
      </c>
    </row>
    <row r="128" spans="1:77" x14ac:dyDescent="0.2">
      <c r="A128" s="2" t="s">
        <v>269</v>
      </c>
      <c r="B128" s="2">
        <v>5</v>
      </c>
      <c r="C128" s="2" t="str" cm="1">
        <f t="array" ref="C128">_xlfn.IFS(B128&lt;3, "1", B128&lt;7, "2", B128&lt;12, "3", B128&lt;18, "4", B128&gt;18, "Fehler")</f>
        <v>2</v>
      </c>
      <c r="D128" s="4">
        <f>IF(COUNTIF($C$2:C128,C128),COUNTIF($C$2:C128,C128),"")</f>
        <v>43</v>
      </c>
      <c r="E128" s="2">
        <v>2</v>
      </c>
      <c r="F128" s="2">
        <v>112</v>
      </c>
      <c r="G128" s="2">
        <v>19</v>
      </c>
      <c r="H128" s="2">
        <v>1</v>
      </c>
      <c r="I128" s="2">
        <v>0</v>
      </c>
      <c r="J128" s="2" t="s">
        <v>177</v>
      </c>
      <c r="K128" s="13">
        <v>0.49305555555555558</v>
      </c>
      <c r="L128" s="13">
        <v>0.54861111111111105</v>
      </c>
      <c r="M128" s="13">
        <v>0.51458333333333328</v>
      </c>
      <c r="N128" s="13">
        <v>0.54305555555555551</v>
      </c>
      <c r="O128" s="2">
        <v>41</v>
      </c>
      <c r="P128" s="2">
        <v>80</v>
      </c>
      <c r="Q128" s="2">
        <v>2</v>
      </c>
      <c r="R128" s="2">
        <v>1</v>
      </c>
      <c r="S128" s="2">
        <v>1</v>
      </c>
      <c r="T128" s="2">
        <v>1</v>
      </c>
      <c r="U128" s="2">
        <v>2</v>
      </c>
      <c r="V128" s="2">
        <v>2.5</v>
      </c>
      <c r="W128" s="2" t="str">
        <f t="shared" si="33"/>
        <v>1</v>
      </c>
      <c r="X128" s="2">
        <v>1</v>
      </c>
      <c r="Y128" s="2">
        <v>1</v>
      </c>
      <c r="Z128" s="2">
        <v>1</v>
      </c>
      <c r="AA128" s="2">
        <v>0</v>
      </c>
      <c r="AD128" s="2">
        <v>38</v>
      </c>
      <c r="AE128" s="2">
        <v>38</v>
      </c>
      <c r="AF128" s="2">
        <v>13</v>
      </c>
      <c r="AG128" s="2">
        <v>0</v>
      </c>
      <c r="AH128" s="2">
        <v>0</v>
      </c>
      <c r="AI128" s="2">
        <v>230</v>
      </c>
      <c r="AJ128" s="2">
        <v>4300</v>
      </c>
      <c r="AK128" s="5">
        <f t="shared" si="34"/>
        <v>0</v>
      </c>
      <c r="AL128" s="5">
        <f t="shared" si="35"/>
        <v>0</v>
      </c>
      <c r="AM128" s="2">
        <v>1</v>
      </c>
      <c r="AN128" s="2">
        <v>80</v>
      </c>
      <c r="AO128" s="2">
        <v>1</v>
      </c>
      <c r="AP128" s="2">
        <v>1</v>
      </c>
      <c r="AQ128" s="2">
        <v>400</v>
      </c>
      <c r="AR128" s="2">
        <v>1</v>
      </c>
      <c r="AT128" s="2">
        <v>0</v>
      </c>
      <c r="AU128" s="2">
        <v>0</v>
      </c>
      <c r="AW128" s="2">
        <v>0</v>
      </c>
      <c r="AY128" s="2">
        <v>0</v>
      </c>
      <c r="BA128" s="2" t="s">
        <v>314</v>
      </c>
      <c r="BC128" s="2">
        <v>0</v>
      </c>
      <c r="BD128" s="2">
        <v>0</v>
      </c>
      <c r="BE128" s="2">
        <v>0</v>
      </c>
      <c r="BG128" s="2" t="s">
        <v>621</v>
      </c>
      <c r="BH128" s="2">
        <v>439</v>
      </c>
      <c r="BI128" s="2">
        <v>2</v>
      </c>
      <c r="BJ128" s="2">
        <v>20</v>
      </c>
      <c r="BK128" s="2">
        <v>0</v>
      </c>
      <c r="BL128" s="2">
        <v>4</v>
      </c>
      <c r="BM128" s="2">
        <v>1</v>
      </c>
      <c r="BN128" s="2">
        <v>2</v>
      </c>
      <c r="BO128" s="2">
        <v>0</v>
      </c>
      <c r="BT128" s="2">
        <v>0</v>
      </c>
      <c r="BY128" s="2" t="s">
        <v>610</v>
      </c>
    </row>
    <row r="129" spans="1:77" x14ac:dyDescent="0.2">
      <c r="A129" s="2" t="s">
        <v>269</v>
      </c>
      <c r="B129" s="2">
        <v>8</v>
      </c>
      <c r="C129" s="2" t="str" cm="1">
        <f t="array" ref="C129">_xlfn.IFS(B129&lt;3, "1", B129&lt;7, "2", B129&lt;12, "3", B129&lt;18, "4", B129&gt;18, "Fehler")</f>
        <v>3</v>
      </c>
      <c r="D129" s="4">
        <f>IF(COUNTIF($C$2:C129,C129),COUNTIF($C$2:C129,C129),"")</f>
        <v>16</v>
      </c>
      <c r="E129" s="2">
        <v>1</v>
      </c>
      <c r="F129" s="2">
        <v>129</v>
      </c>
      <c r="G129" s="2">
        <v>27.3</v>
      </c>
      <c r="H129" s="2">
        <v>1</v>
      </c>
      <c r="I129" s="2">
        <v>1</v>
      </c>
      <c r="J129" s="2" t="s">
        <v>647</v>
      </c>
      <c r="K129" s="13">
        <v>0.65277777777777779</v>
      </c>
      <c r="L129" s="13">
        <v>0.70138888888888884</v>
      </c>
      <c r="M129" s="13">
        <v>0.66527777777777775</v>
      </c>
      <c r="N129" s="13">
        <v>0.69305555555555554</v>
      </c>
      <c r="O129" s="2">
        <v>40</v>
      </c>
      <c r="P129" s="2">
        <v>70</v>
      </c>
      <c r="Q129" s="2">
        <v>2</v>
      </c>
      <c r="R129" s="2">
        <v>1</v>
      </c>
      <c r="S129" s="2">
        <v>1</v>
      </c>
      <c r="T129" s="2">
        <v>2</v>
      </c>
      <c r="U129" s="2">
        <v>2.5</v>
      </c>
      <c r="V129" s="2">
        <v>2.5</v>
      </c>
      <c r="W129" s="2" t="str">
        <f t="shared" si="33"/>
        <v>0</v>
      </c>
      <c r="X129" s="2">
        <v>0</v>
      </c>
      <c r="Y129" s="2">
        <v>0</v>
      </c>
      <c r="Z129" s="2">
        <v>1</v>
      </c>
      <c r="AA129" s="2">
        <v>1</v>
      </c>
      <c r="AB129" s="2">
        <v>2.5</v>
      </c>
      <c r="AC129" s="2">
        <v>1</v>
      </c>
      <c r="AD129" s="2">
        <v>34</v>
      </c>
      <c r="AF129" s="2">
        <v>14</v>
      </c>
      <c r="AG129" s="2">
        <v>20</v>
      </c>
      <c r="AH129" s="2" t="s">
        <v>330</v>
      </c>
      <c r="AI129" s="2">
        <v>150</v>
      </c>
      <c r="AJ129" s="2">
        <v>3500</v>
      </c>
      <c r="AK129" s="5">
        <f t="shared" si="34"/>
        <v>0.13333333333333333</v>
      </c>
      <c r="AL129" s="5" t="e">
        <f t="shared" si="35"/>
        <v>#VALUE!</v>
      </c>
      <c r="AM129" s="2">
        <v>1</v>
      </c>
      <c r="AN129" s="2">
        <v>100</v>
      </c>
      <c r="AO129" s="2">
        <v>1</v>
      </c>
      <c r="AP129" s="2">
        <v>1</v>
      </c>
      <c r="AQ129" s="2">
        <v>300</v>
      </c>
      <c r="AR129" s="2">
        <v>1</v>
      </c>
      <c r="AT129" s="2">
        <v>0</v>
      </c>
      <c r="AU129" s="2">
        <v>1</v>
      </c>
      <c r="AV129" s="2" t="s">
        <v>776</v>
      </c>
      <c r="AW129" s="2">
        <v>0</v>
      </c>
      <c r="AY129" s="2">
        <v>0</v>
      </c>
      <c r="BA129" s="2" t="s">
        <v>777</v>
      </c>
      <c r="BC129" s="2" t="s">
        <v>778</v>
      </c>
      <c r="BD129" s="2">
        <v>5</v>
      </c>
      <c r="BE129" s="2">
        <v>0</v>
      </c>
      <c r="BG129" s="2" t="s">
        <v>623</v>
      </c>
      <c r="BH129" s="2">
        <v>411</v>
      </c>
      <c r="BI129" s="2">
        <v>2</v>
      </c>
      <c r="BJ129" s="2">
        <v>25</v>
      </c>
      <c r="BK129" s="2">
        <v>0</v>
      </c>
      <c r="BL129" s="2">
        <v>4</v>
      </c>
      <c r="BM129" s="2">
        <v>2</v>
      </c>
      <c r="BN129" s="2">
        <v>2</v>
      </c>
      <c r="BO129" s="2">
        <v>0</v>
      </c>
      <c r="BT129" s="2">
        <v>0</v>
      </c>
      <c r="BY129" s="2" t="s">
        <v>610</v>
      </c>
    </row>
    <row r="130" spans="1:77" x14ac:dyDescent="0.2">
      <c r="A130" s="2" t="s">
        <v>269</v>
      </c>
      <c r="B130" s="2">
        <v>6</v>
      </c>
      <c r="C130" s="2" t="str" cm="1">
        <f t="array" ref="C130">_xlfn.IFS(B130&lt;3, "1", B130&lt;7, "2", B130&lt;12, "3", B130&lt;18, "4", B130&gt;18, "Fehler")</f>
        <v>2</v>
      </c>
      <c r="D130" s="4">
        <f>IF(COUNTIF($C$2:C130,C130),COUNTIF($C$2:C130,C130),"")</f>
        <v>44</v>
      </c>
      <c r="E130" s="2">
        <v>2</v>
      </c>
      <c r="G130" s="2">
        <v>28</v>
      </c>
      <c r="H130" s="2">
        <v>1</v>
      </c>
      <c r="I130" s="2">
        <v>1</v>
      </c>
      <c r="J130" s="2" t="s">
        <v>648</v>
      </c>
      <c r="K130" s="13">
        <v>0.50763888888888886</v>
      </c>
      <c r="L130" s="13">
        <v>0.55555555555555558</v>
      </c>
      <c r="M130" s="13">
        <v>0.5229166666666667</v>
      </c>
      <c r="N130" s="13">
        <v>0.54999999999999993</v>
      </c>
      <c r="O130" s="2">
        <f>(N130-M130)*1440</f>
        <v>38.999999999999858</v>
      </c>
      <c r="P130" s="2">
        <f>(L130-K130)*1440</f>
        <v>69.000000000000071</v>
      </c>
      <c r="Q130" s="2">
        <v>2</v>
      </c>
      <c r="R130" s="2">
        <v>1</v>
      </c>
      <c r="S130" s="2">
        <v>1</v>
      </c>
      <c r="T130" s="2">
        <v>1</v>
      </c>
      <c r="U130" s="2">
        <v>2.5</v>
      </c>
      <c r="V130" s="2">
        <v>2.5</v>
      </c>
      <c r="W130" s="2" t="str">
        <f t="shared" si="33"/>
        <v>0</v>
      </c>
      <c r="X130" s="2">
        <v>1</v>
      </c>
      <c r="Y130" s="2">
        <v>1</v>
      </c>
      <c r="Z130" s="2">
        <v>1</v>
      </c>
      <c r="AA130" s="2">
        <v>0</v>
      </c>
      <c r="AD130" s="2">
        <v>48</v>
      </c>
      <c r="AE130" s="2">
        <v>48</v>
      </c>
      <c r="AF130" s="2">
        <v>15</v>
      </c>
      <c r="AG130" s="2">
        <v>7</v>
      </c>
      <c r="AH130" s="2">
        <v>120</v>
      </c>
      <c r="AI130" s="2">
        <v>230</v>
      </c>
      <c r="AJ130" s="2">
        <v>3400</v>
      </c>
      <c r="AK130" s="5">
        <f t="shared" si="34"/>
        <v>3.0434782608695653E-2</v>
      </c>
      <c r="AL130" s="5">
        <f t="shared" si="35"/>
        <v>3.5294117647058823E-2</v>
      </c>
      <c r="AM130" s="2">
        <v>2</v>
      </c>
      <c r="AN130" s="2">
        <v>50</v>
      </c>
      <c r="AO130" s="2">
        <v>1</v>
      </c>
      <c r="AP130" s="2">
        <v>1</v>
      </c>
      <c r="AQ130" s="2">
        <v>600</v>
      </c>
      <c r="AR130" s="2">
        <v>1</v>
      </c>
      <c r="AT130" s="2">
        <v>0</v>
      </c>
      <c r="AU130" s="2">
        <v>0</v>
      </c>
      <c r="AW130" s="2">
        <v>0</v>
      </c>
      <c r="AY130" s="2">
        <v>0</v>
      </c>
      <c r="BA130" s="2" t="s">
        <v>566</v>
      </c>
      <c r="BC130" s="2" t="s">
        <v>651</v>
      </c>
      <c r="BD130" s="2" t="s">
        <v>650</v>
      </c>
      <c r="BE130" s="2">
        <v>0</v>
      </c>
      <c r="BG130" s="2" t="s">
        <v>395</v>
      </c>
      <c r="BH130" s="2">
        <v>449</v>
      </c>
      <c r="BI130" s="2">
        <v>1</v>
      </c>
      <c r="BJ130" s="2" t="s">
        <v>375</v>
      </c>
      <c r="BK130" s="2">
        <v>0</v>
      </c>
      <c r="BL130" s="2">
        <v>4</v>
      </c>
      <c r="BM130" s="2">
        <v>1</v>
      </c>
      <c r="BN130" s="2">
        <v>2</v>
      </c>
      <c r="BO130" s="2">
        <v>0</v>
      </c>
      <c r="BT130" s="2">
        <v>0</v>
      </c>
      <c r="BY130" s="2" t="s">
        <v>652</v>
      </c>
    </row>
    <row r="131" spans="1:77" x14ac:dyDescent="0.2">
      <c r="A131" s="2" t="s">
        <v>269</v>
      </c>
      <c r="B131" s="2">
        <v>7</v>
      </c>
      <c r="C131" s="2" t="str" cm="1">
        <f t="array" ref="C131">_xlfn.IFS(B131&lt;3, "1", B131&lt;7, "2", B131&lt;12, "3", B131&lt;18, "4", B131&gt;18, "Fehler")</f>
        <v>3</v>
      </c>
      <c r="D131" s="4">
        <f>IF(COUNTIF($C$2:C131,C131),COUNTIF($C$2:C131,C131),"")</f>
        <v>17</v>
      </c>
      <c r="E131" s="2">
        <v>2</v>
      </c>
      <c r="F131" s="2">
        <v>137</v>
      </c>
      <c r="G131" s="2">
        <v>32.799999999999997</v>
      </c>
      <c r="H131" s="2">
        <v>1</v>
      </c>
      <c r="I131" s="2">
        <v>0</v>
      </c>
      <c r="J131" s="2" t="s">
        <v>649</v>
      </c>
      <c r="K131" s="13">
        <v>0.40277777777777773</v>
      </c>
      <c r="L131" s="13">
        <v>0.47222222222222227</v>
      </c>
      <c r="M131" s="13">
        <v>0.42499999999999999</v>
      </c>
      <c r="N131" s="13">
        <v>0.46666666666666662</v>
      </c>
      <c r="O131" s="2">
        <v>60</v>
      </c>
      <c r="P131" s="2">
        <v>100</v>
      </c>
      <c r="Q131" s="2">
        <v>1</v>
      </c>
      <c r="R131" s="2">
        <v>1</v>
      </c>
      <c r="S131" s="2">
        <v>1</v>
      </c>
      <c r="T131" s="2">
        <v>1</v>
      </c>
      <c r="U131" s="2">
        <v>3</v>
      </c>
      <c r="V131" s="2">
        <v>3</v>
      </c>
      <c r="W131" s="2" t="str">
        <f t="shared" si="33"/>
        <v>0</v>
      </c>
      <c r="X131" s="2">
        <v>1</v>
      </c>
      <c r="Y131" s="2">
        <v>1</v>
      </c>
      <c r="Z131" s="2">
        <v>1</v>
      </c>
      <c r="AA131" s="2">
        <v>0</v>
      </c>
      <c r="AD131" s="2">
        <v>28</v>
      </c>
      <c r="AE131" s="2">
        <v>28</v>
      </c>
      <c r="AF131" s="2">
        <v>35</v>
      </c>
      <c r="AG131" s="2">
        <v>0</v>
      </c>
      <c r="AH131" s="2">
        <v>0</v>
      </c>
      <c r="AI131" s="2">
        <v>350</v>
      </c>
      <c r="AJ131" s="2">
        <v>5250</v>
      </c>
      <c r="AK131" s="5">
        <f t="shared" si="34"/>
        <v>0</v>
      </c>
      <c r="AL131" s="5">
        <f t="shared" si="35"/>
        <v>0</v>
      </c>
      <c r="AM131" s="2">
        <v>1</v>
      </c>
      <c r="AN131" s="2" t="s">
        <v>689</v>
      </c>
      <c r="AO131" s="2">
        <v>1</v>
      </c>
      <c r="AP131" s="2">
        <v>1</v>
      </c>
      <c r="AQ131" s="2">
        <v>300</v>
      </c>
      <c r="AR131" s="2">
        <v>1</v>
      </c>
      <c r="AT131" s="2">
        <v>0</v>
      </c>
      <c r="AU131" s="2">
        <v>0</v>
      </c>
      <c r="AW131" s="2">
        <v>0</v>
      </c>
      <c r="AY131" s="2">
        <v>0</v>
      </c>
      <c r="BA131" s="2" t="s">
        <v>779</v>
      </c>
      <c r="BC131" s="2" t="s">
        <v>646</v>
      </c>
      <c r="BD131" s="2" t="s">
        <v>650</v>
      </c>
      <c r="BE131" s="2">
        <v>0</v>
      </c>
      <c r="BG131" s="2" t="s">
        <v>643</v>
      </c>
      <c r="BH131" s="2">
        <v>443</v>
      </c>
      <c r="BI131" s="2">
        <v>2</v>
      </c>
      <c r="BJ131" s="2" t="s">
        <v>375</v>
      </c>
      <c r="BK131" s="2">
        <v>0</v>
      </c>
      <c r="BL131" s="2">
        <v>4</v>
      </c>
      <c r="BM131" s="2">
        <v>1</v>
      </c>
      <c r="BN131" s="2">
        <v>2</v>
      </c>
      <c r="BO131" s="2">
        <v>0</v>
      </c>
      <c r="BT131" s="2">
        <v>0</v>
      </c>
      <c r="BY131" s="2" t="s">
        <v>610</v>
      </c>
    </row>
    <row r="132" spans="1:77" x14ac:dyDescent="0.2">
      <c r="A132" s="2" t="s">
        <v>269</v>
      </c>
      <c r="B132" s="2">
        <v>8</v>
      </c>
      <c r="C132" s="2" t="str" cm="1">
        <f t="array" ref="C132">_xlfn.IFS(B132&lt;3, "1", B132&lt;7, "2", B132&lt;12, "3", B132&lt;18, "4", B132&gt;18, "Fehler")</f>
        <v>3</v>
      </c>
      <c r="D132" s="4">
        <f>IF(COUNTIF($C$2:C132,C132),COUNTIF($C$2:C132,C132),"")</f>
        <v>18</v>
      </c>
      <c r="E132" s="2">
        <v>2</v>
      </c>
      <c r="F132" s="2">
        <v>148</v>
      </c>
      <c r="G132" s="2">
        <v>33</v>
      </c>
      <c r="H132" s="2">
        <v>1</v>
      </c>
      <c r="I132" s="2">
        <v>0</v>
      </c>
      <c r="J132" s="2" t="s">
        <v>645</v>
      </c>
      <c r="K132" s="13">
        <v>0.39305555555555555</v>
      </c>
      <c r="L132" s="13">
        <v>0.44027777777777777</v>
      </c>
      <c r="M132" s="13">
        <v>0.4069444444444445</v>
      </c>
      <c r="N132" s="13">
        <v>0.43541666666666662</v>
      </c>
      <c r="O132" s="2">
        <v>41</v>
      </c>
      <c r="P132" s="2">
        <v>68</v>
      </c>
      <c r="Q132" s="2">
        <v>2</v>
      </c>
      <c r="R132" s="2">
        <v>1</v>
      </c>
      <c r="S132" s="2">
        <v>1</v>
      </c>
      <c r="T132" s="2">
        <v>1</v>
      </c>
      <c r="U132" s="2">
        <v>3</v>
      </c>
      <c r="V132" s="2">
        <v>3</v>
      </c>
      <c r="W132" s="2" t="str">
        <f t="shared" si="33"/>
        <v>0</v>
      </c>
      <c r="X132" s="2">
        <v>1</v>
      </c>
      <c r="Y132" s="2">
        <v>1</v>
      </c>
      <c r="Z132" s="2">
        <v>1</v>
      </c>
      <c r="AA132" s="2">
        <v>0</v>
      </c>
      <c r="AD132" s="2">
        <v>26</v>
      </c>
      <c r="AE132" s="2">
        <v>26</v>
      </c>
      <c r="AF132" s="2">
        <v>14</v>
      </c>
      <c r="AG132" s="2">
        <v>10</v>
      </c>
      <c r="AH132" s="2">
        <v>200</v>
      </c>
      <c r="AI132" s="2">
        <v>370</v>
      </c>
      <c r="AJ132" s="2">
        <v>5500</v>
      </c>
      <c r="AK132" s="5">
        <f t="shared" si="34"/>
        <v>2.7027027027027029E-2</v>
      </c>
      <c r="AL132" s="5">
        <f t="shared" si="35"/>
        <v>3.6363636363636362E-2</v>
      </c>
      <c r="AM132" s="2">
        <v>1</v>
      </c>
      <c r="AN132" s="2" t="s">
        <v>689</v>
      </c>
      <c r="AO132" s="2">
        <v>1</v>
      </c>
      <c r="AP132" s="2">
        <v>1</v>
      </c>
      <c r="AQ132" s="2">
        <v>300</v>
      </c>
      <c r="AR132" s="2">
        <v>1</v>
      </c>
      <c r="AT132" s="2">
        <v>0</v>
      </c>
      <c r="AU132" s="2">
        <v>0</v>
      </c>
      <c r="AW132" s="2">
        <v>0</v>
      </c>
      <c r="AY132" s="2">
        <v>0</v>
      </c>
      <c r="BA132" s="2" t="s">
        <v>21</v>
      </c>
      <c r="BC132" s="2" t="s">
        <v>21</v>
      </c>
      <c r="BD132" s="2">
        <v>0</v>
      </c>
      <c r="BE132" s="2">
        <v>0</v>
      </c>
      <c r="BG132" s="2" t="s">
        <v>643</v>
      </c>
      <c r="BH132" s="2">
        <v>443</v>
      </c>
      <c r="BI132" s="2">
        <v>2</v>
      </c>
      <c r="BJ132" s="2" t="s">
        <v>407</v>
      </c>
      <c r="BK132" s="2">
        <v>0</v>
      </c>
      <c r="BL132" s="2">
        <v>5</v>
      </c>
      <c r="BM132" s="2">
        <v>1</v>
      </c>
      <c r="BN132" s="2">
        <v>2</v>
      </c>
      <c r="BO132" s="2">
        <v>0</v>
      </c>
      <c r="BT132" s="2">
        <v>0</v>
      </c>
      <c r="BY132" s="2" t="s">
        <v>536</v>
      </c>
    </row>
    <row r="133" spans="1:77" x14ac:dyDescent="0.2">
      <c r="A133" s="2" t="s">
        <v>269</v>
      </c>
      <c r="B133" s="2">
        <v>5</v>
      </c>
      <c r="C133" s="2">
        <v>2</v>
      </c>
      <c r="D133" s="2">
        <v>56</v>
      </c>
      <c r="E133" s="2">
        <v>1</v>
      </c>
      <c r="F133" s="2">
        <v>115</v>
      </c>
      <c r="G133" s="2">
        <v>19</v>
      </c>
      <c r="H133" s="2">
        <v>1</v>
      </c>
      <c r="I133" s="2">
        <v>0</v>
      </c>
      <c r="J133" s="2" t="s">
        <v>780</v>
      </c>
      <c r="K133" s="13">
        <v>0.56388888888888888</v>
      </c>
      <c r="L133" s="13">
        <v>0.59305555555555556</v>
      </c>
      <c r="M133" s="13">
        <v>0.57638888888888895</v>
      </c>
      <c r="N133" s="13">
        <v>0.59027777777777779</v>
      </c>
      <c r="O133" s="2">
        <v>19.999999999999929</v>
      </c>
      <c r="P133" s="2">
        <v>42.000000000000014</v>
      </c>
      <c r="Q133" s="2">
        <v>1</v>
      </c>
      <c r="R133" s="2">
        <v>1</v>
      </c>
      <c r="S133" s="2">
        <v>1</v>
      </c>
      <c r="T133" s="2">
        <v>1</v>
      </c>
      <c r="U133" s="2">
        <v>2</v>
      </c>
      <c r="V133" s="2">
        <v>2.5</v>
      </c>
      <c r="W133" s="2" t="str">
        <f t="shared" si="33"/>
        <v>1</v>
      </c>
      <c r="X133" s="2">
        <v>1</v>
      </c>
      <c r="Y133" s="2">
        <v>1</v>
      </c>
      <c r="Z133" s="2">
        <v>1</v>
      </c>
      <c r="AA133" s="2">
        <v>0</v>
      </c>
      <c r="AD133" s="2">
        <v>21</v>
      </c>
      <c r="AE133" s="2">
        <v>21</v>
      </c>
      <c r="AF133" s="2">
        <v>29</v>
      </c>
      <c r="AG133" s="2">
        <v>0</v>
      </c>
      <c r="AH133" s="2">
        <v>0</v>
      </c>
      <c r="AI133" s="2">
        <v>220</v>
      </c>
      <c r="AJ133" s="2">
        <v>4400</v>
      </c>
      <c r="AK133" s="5">
        <f t="shared" si="34"/>
        <v>0</v>
      </c>
      <c r="AL133" s="5">
        <f t="shared" si="35"/>
        <v>0</v>
      </c>
      <c r="AM133" s="2">
        <v>2</v>
      </c>
      <c r="AN133" s="2">
        <v>40</v>
      </c>
      <c r="AO133" s="2">
        <v>1</v>
      </c>
      <c r="AP133" s="2">
        <v>1</v>
      </c>
      <c r="AQ133" s="2">
        <v>400</v>
      </c>
      <c r="AR133" s="2">
        <v>1</v>
      </c>
      <c r="AT133" s="2">
        <v>0</v>
      </c>
      <c r="AU133" s="2">
        <v>0</v>
      </c>
      <c r="AW133" s="2">
        <v>0</v>
      </c>
      <c r="AY133" s="2">
        <v>0</v>
      </c>
      <c r="BA133" s="2" t="s">
        <v>21</v>
      </c>
      <c r="BC133" s="2" t="s">
        <v>21</v>
      </c>
      <c r="BD133" s="2">
        <v>0</v>
      </c>
      <c r="BE133" s="2">
        <v>0</v>
      </c>
      <c r="BG133" s="2" t="s">
        <v>827</v>
      </c>
      <c r="BH133" s="2">
        <v>575</v>
      </c>
      <c r="BI133" s="2">
        <v>2</v>
      </c>
      <c r="BJ133" s="2">
        <v>5</v>
      </c>
      <c r="BK133" s="2">
        <v>0</v>
      </c>
      <c r="BL133" s="2">
        <v>5</v>
      </c>
      <c r="BM133" s="2">
        <v>1</v>
      </c>
      <c r="BN133" s="2">
        <v>2</v>
      </c>
      <c r="BO133" s="2">
        <v>0</v>
      </c>
      <c r="BT133" s="2">
        <v>0</v>
      </c>
      <c r="BY133" s="2" t="s">
        <v>536</v>
      </c>
    </row>
    <row r="134" spans="1:77" x14ac:dyDescent="0.2">
      <c r="A134" s="2" t="s">
        <v>269</v>
      </c>
      <c r="B134" s="2">
        <v>12</v>
      </c>
      <c r="C134" s="2">
        <v>4</v>
      </c>
      <c r="D134" s="2">
        <v>22</v>
      </c>
      <c r="E134" s="2">
        <v>2</v>
      </c>
      <c r="F134" s="2">
        <v>160</v>
      </c>
      <c r="G134" s="2">
        <v>52</v>
      </c>
      <c r="H134" s="2">
        <v>2</v>
      </c>
      <c r="I134" s="2">
        <v>0</v>
      </c>
      <c r="J134" s="2" t="s">
        <v>781</v>
      </c>
      <c r="K134" s="13">
        <v>0.67013888888888884</v>
      </c>
      <c r="L134" s="13">
        <v>0.74305555555555547</v>
      </c>
      <c r="M134" s="13">
        <v>0.6875</v>
      </c>
      <c r="N134" s="13">
        <v>0.7402777777777777</v>
      </c>
      <c r="O134" s="2">
        <v>75.999999999999886</v>
      </c>
      <c r="P134" s="2">
        <v>104.99999999999994</v>
      </c>
      <c r="Q134" s="2">
        <v>2</v>
      </c>
      <c r="R134" s="2">
        <v>1</v>
      </c>
      <c r="S134" s="2">
        <v>1</v>
      </c>
      <c r="T134" s="2">
        <v>1</v>
      </c>
      <c r="U134" s="2">
        <v>4</v>
      </c>
      <c r="V134" s="2">
        <v>4</v>
      </c>
      <c r="W134" s="2" t="str">
        <f t="shared" si="33"/>
        <v>0</v>
      </c>
      <c r="X134" s="2">
        <v>1</v>
      </c>
      <c r="Y134" s="2">
        <v>1</v>
      </c>
      <c r="Z134" s="2">
        <v>1</v>
      </c>
      <c r="AA134" s="2">
        <v>0</v>
      </c>
      <c r="AD134" s="2">
        <v>50</v>
      </c>
      <c r="AE134" s="2">
        <v>50</v>
      </c>
      <c r="AF134" s="2">
        <v>14</v>
      </c>
      <c r="AG134" s="2">
        <v>11</v>
      </c>
      <c r="AH134" s="2">
        <v>300</v>
      </c>
      <c r="AI134" s="2">
        <v>700</v>
      </c>
      <c r="AJ134" s="2">
        <v>4900</v>
      </c>
      <c r="AK134" s="5">
        <f t="shared" si="34"/>
        <v>1.5714285714285715E-2</v>
      </c>
      <c r="AL134" s="5">
        <f t="shared" si="35"/>
        <v>6.1224489795918366E-2</v>
      </c>
      <c r="AM134" s="2">
        <v>1</v>
      </c>
      <c r="AN134" s="2" t="s">
        <v>712</v>
      </c>
      <c r="AO134" s="2">
        <v>1</v>
      </c>
      <c r="AP134" s="2">
        <v>2</v>
      </c>
      <c r="AQ134" s="2" t="s">
        <v>799</v>
      </c>
      <c r="AR134" s="2">
        <v>1</v>
      </c>
      <c r="AT134" s="2">
        <v>1</v>
      </c>
      <c r="AU134" s="2">
        <v>0</v>
      </c>
      <c r="AW134" s="2">
        <v>0</v>
      </c>
      <c r="AY134" s="2">
        <v>0</v>
      </c>
      <c r="BA134" s="2" t="s">
        <v>815</v>
      </c>
      <c r="BC134" s="2" t="s">
        <v>21</v>
      </c>
      <c r="BD134" s="2">
        <v>0</v>
      </c>
      <c r="BE134" s="2">
        <v>0</v>
      </c>
      <c r="BG134" s="2" t="s">
        <v>623</v>
      </c>
      <c r="BH134" s="2">
        <v>411</v>
      </c>
      <c r="BI134" s="2">
        <v>2</v>
      </c>
      <c r="BJ134" s="2">
        <v>30</v>
      </c>
      <c r="BK134" s="2">
        <v>0</v>
      </c>
      <c r="BL134" s="2">
        <v>4</v>
      </c>
      <c r="BM134" s="2">
        <v>1</v>
      </c>
      <c r="BN134" s="2">
        <v>2</v>
      </c>
      <c r="BO134" s="2">
        <v>0</v>
      </c>
      <c r="BT134" s="2">
        <v>0</v>
      </c>
      <c r="BY134" s="2" t="s">
        <v>610</v>
      </c>
    </row>
    <row r="135" spans="1:77" x14ac:dyDescent="0.2">
      <c r="A135" s="2" t="s">
        <v>269</v>
      </c>
      <c r="B135" s="2">
        <v>5</v>
      </c>
      <c r="C135" s="2">
        <v>2</v>
      </c>
      <c r="D135" s="2">
        <v>57</v>
      </c>
      <c r="E135" s="2">
        <v>2</v>
      </c>
      <c r="F135" s="2">
        <v>125</v>
      </c>
      <c r="G135" s="2">
        <v>24</v>
      </c>
      <c r="H135" s="2">
        <v>1</v>
      </c>
      <c r="I135" s="2">
        <v>1</v>
      </c>
      <c r="J135" s="2" t="s">
        <v>782</v>
      </c>
      <c r="K135" s="13">
        <v>0.48194444444444445</v>
      </c>
      <c r="L135" s="13">
        <v>0.5131944444444444</v>
      </c>
      <c r="M135" s="13">
        <v>0.49583333333333335</v>
      </c>
      <c r="N135" s="13">
        <v>0.51041666666666663</v>
      </c>
      <c r="O135" s="2">
        <v>20.999999999999925</v>
      </c>
      <c r="P135" s="2">
        <v>44.999999999999922</v>
      </c>
      <c r="Q135" s="2">
        <v>1</v>
      </c>
      <c r="R135" s="2">
        <v>1</v>
      </c>
      <c r="S135" s="2">
        <v>1</v>
      </c>
      <c r="T135" s="2">
        <v>1</v>
      </c>
      <c r="U135" s="2">
        <v>2.5</v>
      </c>
      <c r="V135" s="2">
        <v>2.5</v>
      </c>
      <c r="W135" s="2" t="str">
        <f t="shared" si="33"/>
        <v>0</v>
      </c>
      <c r="X135" s="2">
        <v>1</v>
      </c>
      <c r="Y135" s="2">
        <v>0</v>
      </c>
      <c r="Z135" s="2">
        <v>2</v>
      </c>
      <c r="AA135" s="2">
        <v>0</v>
      </c>
      <c r="AD135" s="2">
        <v>25</v>
      </c>
      <c r="AE135" s="2">
        <v>25</v>
      </c>
      <c r="AF135" s="2">
        <v>19</v>
      </c>
      <c r="AG135" s="2">
        <v>0</v>
      </c>
      <c r="AH135" s="2">
        <v>0</v>
      </c>
      <c r="AI135" s="2">
        <v>240</v>
      </c>
      <c r="AJ135" s="2">
        <v>3800</v>
      </c>
      <c r="AK135" s="5">
        <f t="shared" si="34"/>
        <v>0</v>
      </c>
      <c r="AL135" s="5">
        <f t="shared" si="35"/>
        <v>0</v>
      </c>
      <c r="AM135" s="2">
        <v>1</v>
      </c>
      <c r="AN135" s="2">
        <v>125</v>
      </c>
      <c r="AO135" s="2">
        <v>1</v>
      </c>
      <c r="AP135" s="2">
        <v>1</v>
      </c>
      <c r="AQ135" s="2">
        <v>500</v>
      </c>
      <c r="AR135" s="2">
        <v>1</v>
      </c>
      <c r="AT135" s="2">
        <v>1</v>
      </c>
      <c r="AU135" s="2">
        <v>1</v>
      </c>
      <c r="AV135" s="2" t="s">
        <v>805</v>
      </c>
      <c r="AW135" s="2">
        <v>0</v>
      </c>
      <c r="AY135" s="2">
        <v>0</v>
      </c>
      <c r="BA135" s="2" t="s">
        <v>816</v>
      </c>
      <c r="BC135" s="2" t="s">
        <v>21</v>
      </c>
      <c r="BD135" s="2">
        <v>0</v>
      </c>
      <c r="BE135" s="2">
        <v>0</v>
      </c>
      <c r="BG135" s="2" t="s">
        <v>542</v>
      </c>
      <c r="BH135" s="2">
        <v>465</v>
      </c>
      <c r="BI135" s="2">
        <v>2</v>
      </c>
      <c r="BJ135" s="2">
        <v>100</v>
      </c>
      <c r="BK135" s="2">
        <v>0</v>
      </c>
      <c r="BL135" s="2">
        <v>4</v>
      </c>
      <c r="BM135" s="2">
        <v>1</v>
      </c>
      <c r="BN135" s="2">
        <v>2</v>
      </c>
      <c r="BO135" s="2">
        <v>0</v>
      </c>
      <c r="BT135" s="2">
        <v>0</v>
      </c>
      <c r="BY135" s="2" t="s">
        <v>536</v>
      </c>
    </row>
    <row r="136" spans="1:77" x14ac:dyDescent="0.2">
      <c r="A136" s="2" t="s">
        <v>269</v>
      </c>
      <c r="B136" s="2">
        <v>7</v>
      </c>
      <c r="C136" s="2">
        <v>3</v>
      </c>
      <c r="D136" s="2">
        <v>26</v>
      </c>
      <c r="E136" s="2">
        <v>1</v>
      </c>
      <c r="F136" s="2">
        <v>122</v>
      </c>
      <c r="G136" s="2">
        <v>28</v>
      </c>
      <c r="H136" s="2">
        <v>1</v>
      </c>
      <c r="I136" s="2">
        <v>0</v>
      </c>
      <c r="J136" s="2" t="s">
        <v>328</v>
      </c>
      <c r="K136" s="13">
        <v>0.32361111111111113</v>
      </c>
      <c r="L136" s="13">
        <v>0.34722222222222227</v>
      </c>
      <c r="M136" s="13">
        <v>0.33958333333333335</v>
      </c>
      <c r="N136" s="13">
        <v>0.34375</v>
      </c>
      <c r="O136" s="2">
        <v>5.9999999999999787</v>
      </c>
      <c r="P136" s="2">
        <v>34.000000000000043</v>
      </c>
      <c r="Q136" s="2">
        <v>1</v>
      </c>
      <c r="R136" s="2">
        <v>1</v>
      </c>
      <c r="S136" s="2">
        <v>1</v>
      </c>
      <c r="T136" s="2">
        <v>2</v>
      </c>
      <c r="V136" s="2" t="s">
        <v>789</v>
      </c>
      <c r="W136" s="2" t="str">
        <f t="shared" si="33"/>
        <v>1</v>
      </c>
      <c r="X136" s="2">
        <v>0</v>
      </c>
      <c r="Y136" s="2">
        <v>0</v>
      </c>
      <c r="Z136" s="2">
        <v>2</v>
      </c>
      <c r="AA136" s="2">
        <v>1</v>
      </c>
      <c r="AB136" s="2">
        <v>2.5</v>
      </c>
      <c r="AC136" s="2">
        <v>1</v>
      </c>
      <c r="AD136" s="2" t="s">
        <v>790</v>
      </c>
      <c r="AF136" s="2">
        <v>32</v>
      </c>
      <c r="AG136" s="2">
        <v>0</v>
      </c>
      <c r="AH136" s="2">
        <v>0</v>
      </c>
      <c r="AI136" s="2">
        <v>200</v>
      </c>
      <c r="AJ136" s="2">
        <v>4100</v>
      </c>
      <c r="AK136" s="5">
        <f t="shared" si="34"/>
        <v>0</v>
      </c>
      <c r="AL136" s="5">
        <f t="shared" si="35"/>
        <v>0</v>
      </c>
      <c r="AM136" s="2">
        <v>1</v>
      </c>
      <c r="AN136" s="2" t="s">
        <v>689</v>
      </c>
      <c r="AO136" s="2">
        <v>1</v>
      </c>
      <c r="AP136" s="2">
        <v>1</v>
      </c>
      <c r="AQ136" s="2">
        <v>400</v>
      </c>
      <c r="AR136" s="2">
        <v>1</v>
      </c>
      <c r="AT136" s="2">
        <v>0</v>
      </c>
      <c r="AU136" s="2">
        <v>1</v>
      </c>
      <c r="AV136" s="2" t="s">
        <v>806</v>
      </c>
      <c r="AW136" s="2">
        <v>0</v>
      </c>
      <c r="AY136" s="2">
        <v>0</v>
      </c>
      <c r="BA136" s="2" t="s">
        <v>817</v>
      </c>
      <c r="BC136" s="2" t="s">
        <v>21</v>
      </c>
      <c r="BD136" s="2">
        <v>0</v>
      </c>
      <c r="BE136" s="2">
        <v>0</v>
      </c>
      <c r="BG136" s="2" t="s">
        <v>538</v>
      </c>
      <c r="BH136" s="2">
        <v>434</v>
      </c>
      <c r="BI136" s="2">
        <v>2</v>
      </c>
      <c r="BJ136" s="2">
        <v>20</v>
      </c>
      <c r="BK136" s="2">
        <v>0</v>
      </c>
      <c r="BL136" s="2">
        <v>5</v>
      </c>
      <c r="BM136" s="2">
        <v>5</v>
      </c>
      <c r="BN136" s="2">
        <v>2</v>
      </c>
      <c r="BO136" s="2">
        <v>1</v>
      </c>
      <c r="BP136" s="2" t="s">
        <v>614</v>
      </c>
      <c r="BQ136" s="2">
        <v>159</v>
      </c>
      <c r="BT136" s="2">
        <v>0</v>
      </c>
      <c r="BY136" s="2" t="s">
        <v>536</v>
      </c>
    </row>
    <row r="137" spans="1:77" x14ac:dyDescent="0.2">
      <c r="A137" s="2" t="s">
        <v>269</v>
      </c>
      <c r="B137" s="2">
        <v>10</v>
      </c>
      <c r="C137" s="2">
        <v>3</v>
      </c>
      <c r="D137" s="2">
        <v>27</v>
      </c>
      <c r="E137" s="2">
        <v>2</v>
      </c>
      <c r="F137" s="2">
        <v>140</v>
      </c>
      <c r="G137" s="2">
        <v>31</v>
      </c>
      <c r="H137" s="2">
        <v>1</v>
      </c>
      <c r="I137" s="2">
        <v>0</v>
      </c>
      <c r="J137" s="2" t="s">
        <v>783</v>
      </c>
      <c r="K137" s="13">
        <v>0.45833333333333331</v>
      </c>
      <c r="L137" s="13">
        <v>0.50277777777777777</v>
      </c>
      <c r="M137" s="13">
        <v>0.47222222222222227</v>
      </c>
      <c r="N137" s="13">
        <v>0.50069444444444444</v>
      </c>
      <c r="O137" s="2">
        <v>40.999999999999936</v>
      </c>
      <c r="P137" s="2">
        <v>64.000000000000014</v>
      </c>
      <c r="Q137" s="2">
        <v>1</v>
      </c>
      <c r="R137" s="2">
        <v>1</v>
      </c>
      <c r="S137" s="2">
        <v>1</v>
      </c>
      <c r="T137" s="2">
        <v>1</v>
      </c>
      <c r="U137" s="2">
        <v>3</v>
      </c>
      <c r="V137" s="2">
        <v>3</v>
      </c>
      <c r="W137" s="2" t="str">
        <f t="shared" si="33"/>
        <v>0</v>
      </c>
      <c r="X137" s="2">
        <v>1</v>
      </c>
      <c r="Y137" s="2">
        <v>1</v>
      </c>
      <c r="Z137" s="2">
        <v>1</v>
      </c>
      <c r="AA137" s="2">
        <v>0</v>
      </c>
      <c r="AD137" s="2">
        <v>31</v>
      </c>
      <c r="AE137" s="2">
        <v>31</v>
      </c>
      <c r="AF137" s="2">
        <v>35</v>
      </c>
      <c r="AG137" s="2">
        <v>20</v>
      </c>
      <c r="AH137" s="2">
        <v>600</v>
      </c>
      <c r="AI137" s="2">
        <v>400</v>
      </c>
      <c r="AJ137" s="2">
        <v>6000</v>
      </c>
      <c r="AK137" s="5">
        <f t="shared" si="34"/>
        <v>0.05</v>
      </c>
      <c r="AL137" s="5">
        <f t="shared" si="35"/>
        <v>0.1</v>
      </c>
      <c r="AM137" s="2">
        <v>1</v>
      </c>
      <c r="AN137" s="2">
        <v>150</v>
      </c>
      <c r="AO137" s="2">
        <v>1</v>
      </c>
      <c r="AP137" s="2">
        <v>1</v>
      </c>
      <c r="AQ137" s="2">
        <v>300</v>
      </c>
      <c r="AR137" s="2">
        <v>1</v>
      </c>
      <c r="AT137" s="2">
        <v>0</v>
      </c>
      <c r="AU137" s="2">
        <v>0</v>
      </c>
      <c r="AW137" s="2">
        <v>0</v>
      </c>
      <c r="AY137" s="2">
        <v>0</v>
      </c>
      <c r="BA137" s="2" t="s">
        <v>818</v>
      </c>
      <c r="BC137" s="2" t="s">
        <v>21</v>
      </c>
      <c r="BD137" s="2">
        <v>0</v>
      </c>
      <c r="BE137" s="2">
        <v>0</v>
      </c>
      <c r="BG137" s="2" t="s">
        <v>827</v>
      </c>
      <c r="BH137" s="2">
        <v>575</v>
      </c>
      <c r="BI137" s="2">
        <v>2</v>
      </c>
      <c r="BJ137" s="2">
        <v>20</v>
      </c>
      <c r="BK137" s="2">
        <v>0</v>
      </c>
      <c r="BL137" s="2">
        <v>5</v>
      </c>
      <c r="BM137" s="2">
        <v>1</v>
      </c>
      <c r="BN137" s="2">
        <v>2</v>
      </c>
      <c r="BO137" s="2">
        <v>0</v>
      </c>
      <c r="BT137" s="2">
        <v>0</v>
      </c>
      <c r="BY137" s="2" t="s">
        <v>536</v>
      </c>
    </row>
    <row r="138" spans="1:77" x14ac:dyDescent="0.2">
      <c r="A138" s="2" t="s">
        <v>269</v>
      </c>
      <c r="B138" s="2">
        <v>10</v>
      </c>
      <c r="C138" s="2">
        <v>3</v>
      </c>
      <c r="D138" s="2">
        <v>28</v>
      </c>
      <c r="E138" s="2">
        <v>2</v>
      </c>
      <c r="F138" s="2">
        <v>151</v>
      </c>
      <c r="G138" s="2">
        <v>50.8</v>
      </c>
      <c r="H138" s="2">
        <v>1</v>
      </c>
      <c r="I138" s="2">
        <v>0</v>
      </c>
      <c r="J138" s="2" t="s">
        <v>463</v>
      </c>
      <c r="K138" s="13">
        <v>0.40277777777777773</v>
      </c>
      <c r="L138" s="13">
        <v>0.47291666666666665</v>
      </c>
      <c r="M138" s="13">
        <v>0.4201388888888889</v>
      </c>
      <c r="N138" s="13">
        <v>0.46458333333333335</v>
      </c>
      <c r="O138" s="2">
        <v>64.000000000000014</v>
      </c>
      <c r="P138" s="2">
        <v>101.00000000000004</v>
      </c>
      <c r="Q138" s="2">
        <v>2</v>
      </c>
      <c r="R138" s="2">
        <v>1</v>
      </c>
      <c r="S138" s="2">
        <v>2</v>
      </c>
      <c r="T138" s="2">
        <v>1</v>
      </c>
      <c r="U138" s="2">
        <v>4</v>
      </c>
      <c r="V138" s="2">
        <v>3</v>
      </c>
      <c r="W138" s="2" t="str">
        <f t="shared" si="33"/>
        <v>1</v>
      </c>
      <c r="X138" s="2">
        <v>1</v>
      </c>
      <c r="Y138" s="2">
        <v>1</v>
      </c>
      <c r="Z138" s="2">
        <v>1</v>
      </c>
      <c r="AA138" s="2">
        <v>0</v>
      </c>
      <c r="AD138" s="2">
        <v>42</v>
      </c>
      <c r="AE138" s="2">
        <v>42</v>
      </c>
      <c r="AF138" s="2">
        <v>35</v>
      </c>
      <c r="AG138" s="2">
        <v>0</v>
      </c>
      <c r="AH138" s="2">
        <v>0</v>
      </c>
      <c r="AI138" s="2">
        <v>290</v>
      </c>
      <c r="AJ138" s="2">
        <v>5000</v>
      </c>
      <c r="AK138" s="5">
        <f t="shared" si="34"/>
        <v>0</v>
      </c>
      <c r="AL138" s="5">
        <f t="shared" si="35"/>
        <v>0</v>
      </c>
      <c r="AM138" s="2">
        <v>1</v>
      </c>
      <c r="AN138" s="2" t="s">
        <v>795</v>
      </c>
      <c r="AO138" s="2">
        <v>2</v>
      </c>
      <c r="AP138" s="2">
        <v>3</v>
      </c>
      <c r="AQ138" s="2" t="s">
        <v>800</v>
      </c>
      <c r="AR138" s="2">
        <v>1</v>
      </c>
      <c r="AT138" s="2">
        <v>1</v>
      </c>
      <c r="AU138" s="2">
        <v>0</v>
      </c>
      <c r="AW138" s="2">
        <v>1</v>
      </c>
      <c r="AX138" s="2" t="s">
        <v>809</v>
      </c>
      <c r="AY138" s="2">
        <v>1</v>
      </c>
      <c r="AZ138" s="2" t="s">
        <v>813</v>
      </c>
      <c r="BA138" s="2" t="s">
        <v>819</v>
      </c>
      <c r="BC138" s="2" t="s">
        <v>826</v>
      </c>
      <c r="BD138" s="2">
        <v>0</v>
      </c>
      <c r="BE138" s="2">
        <v>0</v>
      </c>
      <c r="BG138" s="2" t="s">
        <v>331</v>
      </c>
      <c r="BH138" s="2">
        <v>342</v>
      </c>
      <c r="BI138" s="2">
        <v>2</v>
      </c>
      <c r="BJ138" s="2" t="s">
        <v>375</v>
      </c>
      <c r="BK138" s="2">
        <v>0</v>
      </c>
      <c r="BL138" s="2">
        <v>6</v>
      </c>
      <c r="BM138" s="2">
        <v>0</v>
      </c>
      <c r="BN138" s="2">
        <v>2</v>
      </c>
      <c r="BO138" s="2">
        <v>0</v>
      </c>
      <c r="BT138" s="2">
        <v>0</v>
      </c>
    </row>
    <row r="139" spans="1:77" x14ac:dyDescent="0.2">
      <c r="A139" s="2" t="s">
        <v>269</v>
      </c>
      <c r="B139" s="2">
        <v>10</v>
      </c>
      <c r="C139" s="2">
        <v>3</v>
      </c>
      <c r="D139" s="2">
        <v>29</v>
      </c>
      <c r="E139" s="2">
        <v>2</v>
      </c>
      <c r="F139" s="2">
        <v>150</v>
      </c>
      <c r="G139" s="2">
        <v>42.5</v>
      </c>
      <c r="H139" s="2">
        <v>2</v>
      </c>
      <c r="I139" s="2">
        <v>1</v>
      </c>
      <c r="J139" s="2" t="s">
        <v>313</v>
      </c>
      <c r="K139" s="13">
        <v>0.40069444444444446</v>
      </c>
      <c r="L139" s="13">
        <v>0.44305555555555554</v>
      </c>
      <c r="M139" s="13">
        <v>0.41111111111111115</v>
      </c>
      <c r="N139" s="13">
        <v>0.43958333333333338</v>
      </c>
      <c r="O139" s="2">
        <v>41.000000000000014</v>
      </c>
      <c r="P139" s="2">
        <v>60.999999999999943</v>
      </c>
      <c r="Q139" s="2">
        <v>2</v>
      </c>
      <c r="R139" s="2">
        <v>1</v>
      </c>
      <c r="S139" s="2">
        <v>1</v>
      </c>
      <c r="T139" s="2">
        <v>2</v>
      </c>
      <c r="U139" s="2">
        <v>3</v>
      </c>
      <c r="V139" s="2">
        <v>3</v>
      </c>
      <c r="W139" s="2" t="str">
        <f t="shared" si="33"/>
        <v>0</v>
      </c>
      <c r="X139" s="2">
        <v>1</v>
      </c>
      <c r="Y139" s="2">
        <v>1</v>
      </c>
      <c r="Z139" s="2">
        <v>1</v>
      </c>
      <c r="AA139" s="2">
        <v>0</v>
      </c>
      <c r="AD139" s="2">
        <v>28</v>
      </c>
      <c r="AE139" s="2">
        <v>28</v>
      </c>
      <c r="AF139" s="2">
        <v>35</v>
      </c>
      <c r="AG139" s="2">
        <v>20</v>
      </c>
      <c r="AH139" s="2">
        <v>70</v>
      </c>
      <c r="AI139" s="2">
        <v>310</v>
      </c>
      <c r="AJ139" s="2">
        <v>5000</v>
      </c>
      <c r="AK139" s="5">
        <f t="shared" si="34"/>
        <v>6.4516129032258063E-2</v>
      </c>
      <c r="AL139" s="5">
        <f t="shared" si="35"/>
        <v>1.4E-2</v>
      </c>
      <c r="AM139" s="2">
        <v>1</v>
      </c>
      <c r="AN139" s="2">
        <v>250</v>
      </c>
      <c r="AO139" s="2">
        <v>1</v>
      </c>
      <c r="AP139" s="2">
        <v>2</v>
      </c>
      <c r="AQ139" s="2">
        <v>0.1</v>
      </c>
      <c r="AR139" s="2">
        <v>1</v>
      </c>
      <c r="AT139" s="2">
        <v>0</v>
      </c>
      <c r="AU139" s="2">
        <v>0</v>
      </c>
      <c r="AW139" s="2">
        <v>0</v>
      </c>
      <c r="AY139" s="2">
        <v>0</v>
      </c>
      <c r="BA139" s="2" t="s">
        <v>820</v>
      </c>
      <c r="BC139" s="2" t="s">
        <v>21</v>
      </c>
      <c r="BD139" s="2">
        <v>0</v>
      </c>
      <c r="BE139" s="2">
        <v>0</v>
      </c>
      <c r="BG139" s="2" t="s">
        <v>827</v>
      </c>
      <c r="BH139" s="2">
        <v>575</v>
      </c>
      <c r="BI139" s="2">
        <v>2</v>
      </c>
      <c r="BJ139" s="2">
        <v>15</v>
      </c>
      <c r="BK139" s="2">
        <v>0</v>
      </c>
      <c r="BL139" s="2">
        <v>5</v>
      </c>
      <c r="BM139" s="2">
        <v>2</v>
      </c>
      <c r="BN139" s="2">
        <v>2</v>
      </c>
      <c r="BO139" s="2">
        <v>0</v>
      </c>
      <c r="BT139" s="2">
        <v>0</v>
      </c>
      <c r="BY139" s="2" t="s">
        <v>536</v>
      </c>
    </row>
    <row r="140" spans="1:77" x14ac:dyDescent="0.2">
      <c r="A140" s="2" t="s">
        <v>269</v>
      </c>
      <c r="B140" s="2">
        <v>1</v>
      </c>
      <c r="C140" s="2">
        <v>1</v>
      </c>
      <c r="D140" s="2">
        <v>76</v>
      </c>
      <c r="E140" s="2">
        <v>2</v>
      </c>
      <c r="F140" s="2">
        <v>100</v>
      </c>
      <c r="G140" s="2">
        <v>13.5</v>
      </c>
      <c r="H140" s="2">
        <v>2</v>
      </c>
      <c r="I140" s="2">
        <v>0</v>
      </c>
      <c r="J140" s="2" t="s">
        <v>302</v>
      </c>
      <c r="K140" s="13">
        <v>0.51388888888888895</v>
      </c>
      <c r="L140" s="13">
        <v>0.58680555555555558</v>
      </c>
      <c r="M140" s="13">
        <v>0.53333333333333333</v>
      </c>
      <c r="N140" s="13">
        <v>0.57708333333333328</v>
      </c>
      <c r="O140" s="2">
        <v>62.999999999999936</v>
      </c>
      <c r="P140" s="2">
        <v>104.99999999999994</v>
      </c>
      <c r="Q140" s="2">
        <v>2</v>
      </c>
      <c r="R140" s="2">
        <v>1</v>
      </c>
      <c r="S140" s="2">
        <v>1</v>
      </c>
      <c r="T140" s="2">
        <v>2</v>
      </c>
      <c r="U140" s="2">
        <v>2</v>
      </c>
      <c r="V140" s="2">
        <v>2</v>
      </c>
      <c r="W140" s="2" t="str">
        <f t="shared" si="33"/>
        <v>0</v>
      </c>
      <c r="X140" s="2">
        <v>1</v>
      </c>
      <c r="Y140" s="2">
        <v>1</v>
      </c>
      <c r="Z140" s="2">
        <v>1</v>
      </c>
      <c r="AA140" s="2">
        <v>0</v>
      </c>
      <c r="AD140" s="2">
        <v>56</v>
      </c>
      <c r="AE140" s="2">
        <v>56</v>
      </c>
      <c r="AF140" s="2">
        <v>29</v>
      </c>
      <c r="AG140" s="2">
        <v>0</v>
      </c>
      <c r="AH140" s="2">
        <v>70</v>
      </c>
      <c r="AI140" s="2">
        <v>110</v>
      </c>
      <c r="AJ140" s="2">
        <v>2400</v>
      </c>
      <c r="AK140" s="5">
        <f t="shared" si="34"/>
        <v>0</v>
      </c>
      <c r="AL140" s="5">
        <f t="shared" si="35"/>
        <v>2.9166666666666667E-2</v>
      </c>
      <c r="AM140" s="2">
        <v>2</v>
      </c>
      <c r="AN140" s="2" t="s">
        <v>686</v>
      </c>
      <c r="AO140" s="2">
        <v>1</v>
      </c>
      <c r="AP140" s="2">
        <v>1</v>
      </c>
      <c r="AQ140" s="2">
        <v>250</v>
      </c>
      <c r="AR140" s="2">
        <v>1</v>
      </c>
      <c r="AT140" s="2">
        <v>0</v>
      </c>
      <c r="AU140" s="2">
        <v>0</v>
      </c>
      <c r="AW140" s="2">
        <v>0</v>
      </c>
      <c r="AY140" s="2">
        <v>0</v>
      </c>
      <c r="BA140" s="2" t="s">
        <v>821</v>
      </c>
      <c r="BC140" s="2" t="s">
        <v>21</v>
      </c>
      <c r="BD140" s="2">
        <v>0</v>
      </c>
      <c r="BE140" s="2">
        <v>0</v>
      </c>
      <c r="BG140" s="2" t="s">
        <v>827</v>
      </c>
      <c r="BH140" s="2">
        <v>575</v>
      </c>
      <c r="BI140" s="2">
        <v>2</v>
      </c>
      <c r="BJ140" s="2">
        <v>20</v>
      </c>
      <c r="BK140" s="2">
        <v>0</v>
      </c>
      <c r="BL140" s="2">
        <v>5</v>
      </c>
      <c r="BM140" s="2">
        <v>3</v>
      </c>
      <c r="BN140" s="2">
        <v>2</v>
      </c>
      <c r="BO140" s="2">
        <v>0</v>
      </c>
      <c r="BT140" s="2">
        <v>0</v>
      </c>
      <c r="BY140" s="2" t="s">
        <v>536</v>
      </c>
    </row>
    <row r="141" spans="1:77" x14ac:dyDescent="0.2">
      <c r="A141" s="2" t="s">
        <v>269</v>
      </c>
      <c r="B141" s="2">
        <v>16</v>
      </c>
      <c r="C141" s="2">
        <v>4</v>
      </c>
      <c r="D141" s="2">
        <v>23</v>
      </c>
      <c r="E141" s="2">
        <v>1</v>
      </c>
      <c r="F141" s="2">
        <v>160</v>
      </c>
      <c r="G141" s="2">
        <v>50</v>
      </c>
      <c r="H141" s="2">
        <v>2</v>
      </c>
      <c r="I141" s="2">
        <v>0</v>
      </c>
      <c r="J141" s="2" t="s">
        <v>541</v>
      </c>
      <c r="K141" s="13">
        <v>0.50486111111111109</v>
      </c>
      <c r="L141" s="13">
        <v>0.53125</v>
      </c>
      <c r="M141" s="13">
        <v>0.52222222222222225</v>
      </c>
      <c r="N141" s="13">
        <v>0.52361111111111114</v>
      </c>
      <c r="O141" s="2">
        <v>1.9999999999999929</v>
      </c>
      <c r="P141" s="2">
        <v>38.000000000000028</v>
      </c>
      <c r="Q141" s="2">
        <v>1</v>
      </c>
      <c r="R141" s="2">
        <v>1</v>
      </c>
      <c r="S141" s="2">
        <v>2</v>
      </c>
      <c r="T141" s="2">
        <v>2</v>
      </c>
      <c r="U141" s="2">
        <v>4</v>
      </c>
      <c r="V141" s="2">
        <v>4</v>
      </c>
      <c r="W141" s="2" t="str">
        <f t="shared" si="33"/>
        <v>0</v>
      </c>
      <c r="X141" s="2">
        <v>1</v>
      </c>
      <c r="Y141" s="2">
        <v>1</v>
      </c>
      <c r="Z141" s="2">
        <v>1</v>
      </c>
      <c r="AA141" s="2">
        <v>0</v>
      </c>
      <c r="AD141" s="2">
        <v>51</v>
      </c>
      <c r="AE141" s="2">
        <v>51</v>
      </c>
      <c r="AF141" s="2">
        <v>35</v>
      </c>
      <c r="AG141" s="2">
        <v>0</v>
      </c>
      <c r="AH141" s="2">
        <v>0</v>
      </c>
      <c r="AI141" s="2">
        <v>400</v>
      </c>
      <c r="AJ141" s="2">
        <v>4400</v>
      </c>
      <c r="AK141" s="5">
        <f t="shared" si="34"/>
        <v>0</v>
      </c>
      <c r="AL141" s="5">
        <f t="shared" si="35"/>
        <v>0</v>
      </c>
      <c r="AM141" s="2">
        <v>1</v>
      </c>
      <c r="AN141" s="2">
        <v>250</v>
      </c>
      <c r="AO141" s="2">
        <v>2</v>
      </c>
      <c r="AP141" s="2">
        <v>3</v>
      </c>
      <c r="AQ141" s="2">
        <v>0.3</v>
      </c>
      <c r="AR141" s="2">
        <v>1</v>
      </c>
      <c r="AT141" s="2">
        <v>0</v>
      </c>
      <c r="AU141" s="2">
        <v>0</v>
      </c>
      <c r="AW141" s="2">
        <v>0</v>
      </c>
      <c r="AY141" s="2">
        <v>0</v>
      </c>
      <c r="BA141" s="2" t="s">
        <v>822</v>
      </c>
      <c r="BC141" s="2" t="s">
        <v>21</v>
      </c>
      <c r="BD141" s="2">
        <v>0</v>
      </c>
      <c r="BE141" s="2">
        <v>0</v>
      </c>
      <c r="BG141" s="2" t="s">
        <v>828</v>
      </c>
      <c r="BH141" s="2">
        <v>579</v>
      </c>
      <c r="BI141" s="2">
        <v>2</v>
      </c>
      <c r="BJ141" s="2">
        <v>0</v>
      </c>
      <c r="BK141" s="2">
        <v>0</v>
      </c>
      <c r="BL141" s="2">
        <v>0</v>
      </c>
      <c r="BM141" s="2">
        <v>4</v>
      </c>
      <c r="BN141" s="2">
        <v>2</v>
      </c>
      <c r="BO141" s="2">
        <v>0</v>
      </c>
      <c r="BT141" s="2">
        <v>0</v>
      </c>
      <c r="BY141" s="2" t="s">
        <v>834</v>
      </c>
    </row>
    <row r="142" spans="1:77" x14ac:dyDescent="0.2">
      <c r="A142" s="2" t="s">
        <v>269</v>
      </c>
      <c r="B142" s="2">
        <v>2</v>
      </c>
      <c r="C142" s="2">
        <v>1</v>
      </c>
      <c r="D142" s="2">
        <v>77</v>
      </c>
      <c r="E142" s="2">
        <v>1</v>
      </c>
      <c r="F142" s="2">
        <v>90</v>
      </c>
      <c r="G142" s="2">
        <v>11.5</v>
      </c>
      <c r="H142" s="2">
        <v>1</v>
      </c>
      <c r="I142" s="2">
        <v>2</v>
      </c>
      <c r="J142" s="2" t="s">
        <v>391</v>
      </c>
      <c r="K142" s="13">
        <v>0.34027777777777773</v>
      </c>
      <c r="L142" s="13">
        <v>0.39930555555555558</v>
      </c>
      <c r="M142" s="13">
        <v>0.37152777777777773</v>
      </c>
      <c r="N142" s="13">
        <v>0.39513888888888887</v>
      </c>
      <c r="O142" s="2">
        <v>34.000000000000043</v>
      </c>
      <c r="P142" s="2">
        <v>85.000000000000099</v>
      </c>
      <c r="Q142" s="2">
        <v>2</v>
      </c>
      <c r="R142" s="2">
        <v>1</v>
      </c>
      <c r="S142" s="2">
        <v>2</v>
      </c>
      <c r="T142" s="2">
        <v>2</v>
      </c>
      <c r="U142" s="2">
        <v>1</v>
      </c>
      <c r="V142" s="2">
        <v>1</v>
      </c>
      <c r="W142" s="2" t="str">
        <f t="shared" si="33"/>
        <v>0</v>
      </c>
      <c r="X142" s="2">
        <v>0</v>
      </c>
      <c r="Y142" s="2">
        <v>0</v>
      </c>
      <c r="Z142" s="2">
        <v>2</v>
      </c>
      <c r="AA142" s="2">
        <v>1</v>
      </c>
      <c r="AB142" s="2">
        <v>2</v>
      </c>
      <c r="AC142" s="2">
        <v>1</v>
      </c>
      <c r="AD142" s="2" t="s">
        <v>791</v>
      </c>
      <c r="AF142" s="2">
        <v>25</v>
      </c>
      <c r="AG142" s="2">
        <v>0</v>
      </c>
      <c r="AH142" s="2">
        <v>0</v>
      </c>
      <c r="AI142" s="2">
        <v>100</v>
      </c>
      <c r="AJ142" s="2">
        <v>2000</v>
      </c>
      <c r="AK142" s="5">
        <f t="shared" si="34"/>
        <v>0</v>
      </c>
      <c r="AL142" s="5">
        <f t="shared" si="35"/>
        <v>0</v>
      </c>
      <c r="AM142" s="2">
        <v>1</v>
      </c>
      <c r="AN142" s="2" t="s">
        <v>796</v>
      </c>
      <c r="AO142" s="2">
        <v>1</v>
      </c>
      <c r="AP142" s="2">
        <v>1</v>
      </c>
      <c r="AQ142" s="2" t="s">
        <v>727</v>
      </c>
      <c r="AR142" s="2">
        <v>1</v>
      </c>
      <c r="AT142" s="2">
        <v>0</v>
      </c>
      <c r="AU142" s="2">
        <v>1</v>
      </c>
      <c r="AV142" s="2" t="s">
        <v>807</v>
      </c>
      <c r="AW142" s="2">
        <v>0</v>
      </c>
      <c r="AY142" s="2">
        <v>0</v>
      </c>
      <c r="BA142" s="2" t="s">
        <v>823</v>
      </c>
      <c r="BC142" s="2" t="s">
        <v>21</v>
      </c>
      <c r="BD142" s="2">
        <v>0</v>
      </c>
      <c r="BE142" s="2">
        <v>0</v>
      </c>
      <c r="BG142" s="2" t="s">
        <v>829</v>
      </c>
      <c r="BH142" s="2">
        <v>451</v>
      </c>
      <c r="BI142" s="2">
        <v>2</v>
      </c>
      <c r="BJ142" s="2" t="s">
        <v>375</v>
      </c>
      <c r="BK142" s="2">
        <v>0</v>
      </c>
      <c r="BL142" s="2">
        <v>5</v>
      </c>
      <c r="BM142" s="2">
        <v>4</v>
      </c>
      <c r="BN142" s="2">
        <v>2</v>
      </c>
      <c r="BO142" s="2">
        <v>0</v>
      </c>
      <c r="BT142" s="2">
        <v>0</v>
      </c>
      <c r="BY142" s="2" t="s">
        <v>835</v>
      </c>
    </row>
    <row r="143" spans="1:77" x14ac:dyDescent="0.2">
      <c r="A143" s="2" t="s">
        <v>269</v>
      </c>
      <c r="B143" s="2">
        <v>7</v>
      </c>
      <c r="C143" s="2">
        <v>3</v>
      </c>
      <c r="D143" s="2">
        <v>30</v>
      </c>
      <c r="E143" s="2">
        <v>2</v>
      </c>
      <c r="F143" s="2">
        <v>128</v>
      </c>
      <c r="G143" s="2">
        <v>24</v>
      </c>
      <c r="H143" s="2">
        <v>3</v>
      </c>
      <c r="I143" s="2">
        <v>0</v>
      </c>
      <c r="J143" s="2" t="s">
        <v>784</v>
      </c>
      <c r="K143" s="13">
        <v>0.58194444444444449</v>
      </c>
      <c r="L143" s="13">
        <v>0.61458333333333337</v>
      </c>
      <c r="M143" s="13">
        <v>0.60347222222222219</v>
      </c>
      <c r="N143" s="13">
        <v>0.6118055555555556</v>
      </c>
      <c r="O143" s="2">
        <v>12.000000000000117</v>
      </c>
      <c r="P143" s="2">
        <v>46.999999999999993</v>
      </c>
      <c r="Q143" s="2">
        <v>2</v>
      </c>
      <c r="R143" s="2">
        <v>1</v>
      </c>
      <c r="S143" s="2">
        <v>2</v>
      </c>
      <c r="T143" s="2">
        <v>2</v>
      </c>
      <c r="V143" s="2">
        <v>2.5</v>
      </c>
      <c r="W143" s="2" t="str">
        <f t="shared" si="33"/>
        <v>1</v>
      </c>
      <c r="X143" s="2">
        <v>1</v>
      </c>
      <c r="Y143" s="2">
        <v>1</v>
      </c>
      <c r="Z143" s="2">
        <v>1</v>
      </c>
      <c r="AA143" s="2">
        <v>0</v>
      </c>
      <c r="AD143" s="2">
        <v>51</v>
      </c>
      <c r="AE143" s="2">
        <v>51</v>
      </c>
      <c r="AF143" s="2">
        <v>35</v>
      </c>
      <c r="AG143" s="2">
        <v>0</v>
      </c>
      <c r="AH143" s="2">
        <v>0</v>
      </c>
      <c r="AI143" s="2">
        <v>210</v>
      </c>
      <c r="AJ143" s="2">
        <v>4000</v>
      </c>
      <c r="AK143" s="5">
        <f t="shared" si="34"/>
        <v>0</v>
      </c>
      <c r="AL143" s="5">
        <f t="shared" si="35"/>
        <v>0</v>
      </c>
      <c r="AM143" s="2">
        <v>1</v>
      </c>
      <c r="AN143" s="2" t="s">
        <v>716</v>
      </c>
      <c r="AO143" s="2">
        <v>2</v>
      </c>
      <c r="AP143" s="2">
        <v>1</v>
      </c>
      <c r="AQ143" s="2">
        <v>400</v>
      </c>
      <c r="AR143" s="2">
        <v>1</v>
      </c>
      <c r="AT143" s="2">
        <v>0</v>
      </c>
      <c r="AU143" s="2">
        <v>0</v>
      </c>
      <c r="AW143" s="2">
        <v>0</v>
      </c>
      <c r="AY143" s="2">
        <v>0</v>
      </c>
      <c r="BA143" s="2" t="s">
        <v>21</v>
      </c>
      <c r="BC143" s="2" t="s">
        <v>646</v>
      </c>
      <c r="BD143" s="2">
        <v>0</v>
      </c>
      <c r="BE143" s="2">
        <v>0</v>
      </c>
      <c r="BG143" s="2" t="s">
        <v>830</v>
      </c>
      <c r="BH143" s="2">
        <v>426</v>
      </c>
      <c r="BI143" s="2">
        <v>2</v>
      </c>
      <c r="BJ143" s="2">
        <v>70</v>
      </c>
      <c r="BK143" s="2">
        <v>0</v>
      </c>
      <c r="BL143" s="2">
        <v>5</v>
      </c>
      <c r="BM143" s="2">
        <v>3</v>
      </c>
      <c r="BN143" s="2">
        <v>2</v>
      </c>
      <c r="BO143" s="2">
        <v>0</v>
      </c>
      <c r="BT143" s="2">
        <v>0</v>
      </c>
      <c r="BY143" s="2" t="s">
        <v>536</v>
      </c>
    </row>
    <row r="144" spans="1:77" x14ac:dyDescent="0.2">
      <c r="A144" s="2" t="s">
        <v>269</v>
      </c>
      <c r="B144" s="2">
        <v>5</v>
      </c>
      <c r="C144" s="2">
        <v>2</v>
      </c>
      <c r="D144" s="2">
        <v>58</v>
      </c>
      <c r="E144" s="2">
        <v>1</v>
      </c>
      <c r="F144" s="2">
        <v>120</v>
      </c>
      <c r="G144" s="2">
        <v>18.3</v>
      </c>
      <c r="H144" s="2">
        <v>1</v>
      </c>
      <c r="I144" s="2">
        <v>0</v>
      </c>
      <c r="J144" s="2" t="s">
        <v>298</v>
      </c>
      <c r="K144" s="13">
        <v>0.46736111111111112</v>
      </c>
      <c r="L144" s="13">
        <v>0.50347222222222221</v>
      </c>
      <c r="M144" s="13">
        <v>0.48958333333333331</v>
      </c>
      <c r="N144" s="13">
        <v>0.50138888888888888</v>
      </c>
      <c r="O144" s="2">
        <v>17.000000000000021</v>
      </c>
      <c r="P144" s="2">
        <v>51.999999999999972</v>
      </c>
      <c r="Q144" s="2">
        <v>1</v>
      </c>
      <c r="R144" s="2">
        <v>1</v>
      </c>
      <c r="S144" s="2">
        <v>1</v>
      </c>
      <c r="T144" s="2">
        <v>2</v>
      </c>
      <c r="U144" s="2">
        <v>2</v>
      </c>
      <c r="V144" s="2">
        <v>2</v>
      </c>
      <c r="W144" s="2" t="str">
        <f t="shared" si="33"/>
        <v>0</v>
      </c>
      <c r="X144" s="2">
        <v>1</v>
      </c>
      <c r="Y144" s="2">
        <v>1</v>
      </c>
      <c r="Z144" s="2">
        <v>1</v>
      </c>
      <c r="AA144" s="2">
        <v>0</v>
      </c>
      <c r="AD144" s="2">
        <v>28</v>
      </c>
      <c r="AE144" s="2">
        <v>28</v>
      </c>
      <c r="AF144" s="2">
        <v>35</v>
      </c>
      <c r="AG144" s="2">
        <v>0</v>
      </c>
      <c r="AH144" s="2">
        <v>0</v>
      </c>
      <c r="AI144" s="2">
        <v>170</v>
      </c>
      <c r="AJ144" s="2">
        <v>3000</v>
      </c>
      <c r="AK144" s="5">
        <f t="shared" si="34"/>
        <v>0</v>
      </c>
      <c r="AL144" s="5">
        <f t="shared" si="35"/>
        <v>0</v>
      </c>
      <c r="AM144" s="2">
        <v>2</v>
      </c>
      <c r="AN144" s="2">
        <v>80</v>
      </c>
      <c r="AO144" s="2">
        <v>1</v>
      </c>
      <c r="AP144" s="2">
        <v>1</v>
      </c>
      <c r="AQ144" s="2">
        <v>350</v>
      </c>
      <c r="AR144" s="2">
        <v>1</v>
      </c>
      <c r="AT144" s="2">
        <v>0</v>
      </c>
      <c r="AU144" s="2">
        <v>0</v>
      </c>
      <c r="AW144" s="2">
        <v>1</v>
      </c>
      <c r="AX144" s="2" t="s">
        <v>810</v>
      </c>
      <c r="AY144" s="2">
        <v>1</v>
      </c>
      <c r="AZ144" s="2" t="s">
        <v>814</v>
      </c>
      <c r="BA144" s="2" t="s">
        <v>824</v>
      </c>
      <c r="BC144" s="2" t="s">
        <v>21</v>
      </c>
      <c r="BD144" s="2">
        <v>0</v>
      </c>
      <c r="BE144" s="2">
        <v>0</v>
      </c>
      <c r="BG144" s="2" t="s">
        <v>831</v>
      </c>
      <c r="BH144" s="2">
        <v>453</v>
      </c>
      <c r="BI144" s="2">
        <v>2</v>
      </c>
      <c r="BJ144" s="2" t="s">
        <v>400</v>
      </c>
      <c r="BK144" s="2">
        <v>0</v>
      </c>
      <c r="BL144" s="2">
        <v>4</v>
      </c>
      <c r="BM144" s="2">
        <v>7</v>
      </c>
      <c r="BN144" s="2">
        <v>2</v>
      </c>
      <c r="BO144" s="2">
        <v>0</v>
      </c>
      <c r="BT144" s="2">
        <v>0</v>
      </c>
    </row>
    <row r="145" spans="1:77" x14ac:dyDescent="0.2">
      <c r="A145" s="2" t="s">
        <v>269</v>
      </c>
      <c r="B145" s="2">
        <v>3</v>
      </c>
      <c r="C145" s="2">
        <v>2</v>
      </c>
      <c r="D145" s="2">
        <v>59</v>
      </c>
      <c r="E145" s="2">
        <v>1</v>
      </c>
      <c r="F145" s="2">
        <v>92</v>
      </c>
      <c r="G145" s="2">
        <v>12</v>
      </c>
      <c r="H145" s="2">
        <v>2</v>
      </c>
      <c r="I145" s="2">
        <v>2</v>
      </c>
      <c r="J145" s="2" t="s">
        <v>785</v>
      </c>
      <c r="K145" s="13">
        <v>0.33749999999999997</v>
      </c>
      <c r="L145" s="13">
        <v>0.38194444444444442</v>
      </c>
      <c r="M145" s="13">
        <v>0.3611111111111111</v>
      </c>
      <c r="N145" s="13">
        <v>0.37847222222222227</v>
      </c>
      <c r="O145" s="2">
        <v>25.000000000000071</v>
      </c>
      <c r="P145" s="2">
        <v>64.000000000000014</v>
      </c>
      <c r="Q145" s="2">
        <v>1</v>
      </c>
      <c r="R145" s="2">
        <v>1</v>
      </c>
      <c r="S145" s="2">
        <v>2</v>
      </c>
      <c r="T145" s="2">
        <v>2</v>
      </c>
      <c r="U145" s="2">
        <v>2</v>
      </c>
      <c r="V145" s="2">
        <v>2</v>
      </c>
      <c r="W145" s="2" t="str">
        <f t="shared" si="33"/>
        <v>0</v>
      </c>
      <c r="X145" s="2">
        <v>1</v>
      </c>
      <c r="Y145" s="2">
        <v>1</v>
      </c>
      <c r="Z145" s="2">
        <v>1</v>
      </c>
      <c r="AA145" s="2">
        <v>0</v>
      </c>
      <c r="AD145" s="2">
        <v>32</v>
      </c>
      <c r="AE145" s="2">
        <v>32</v>
      </c>
      <c r="AF145" s="2">
        <v>31</v>
      </c>
      <c r="AG145" s="2">
        <v>0</v>
      </c>
      <c r="AH145" s="2">
        <v>60</v>
      </c>
      <c r="AI145" s="2">
        <v>90</v>
      </c>
      <c r="AJ145" s="2">
        <v>2300</v>
      </c>
      <c r="AK145" s="5">
        <f t="shared" si="34"/>
        <v>0</v>
      </c>
      <c r="AL145" s="5">
        <f t="shared" si="35"/>
        <v>2.6086956521739129E-2</v>
      </c>
      <c r="AM145" s="2">
        <v>1</v>
      </c>
      <c r="AN145" s="2">
        <v>60</v>
      </c>
      <c r="AO145" s="2">
        <v>2</v>
      </c>
      <c r="AP145" s="2">
        <v>5</v>
      </c>
      <c r="AQ145" s="2" t="s">
        <v>801</v>
      </c>
      <c r="AR145" s="2">
        <v>1</v>
      </c>
      <c r="AT145" s="2">
        <v>0</v>
      </c>
      <c r="AU145" s="2">
        <v>0</v>
      </c>
      <c r="AW145" s="2">
        <v>1</v>
      </c>
      <c r="AX145" s="2" t="s">
        <v>811</v>
      </c>
      <c r="AY145" s="2">
        <v>0</v>
      </c>
      <c r="BA145" s="2" t="s">
        <v>21</v>
      </c>
      <c r="BC145" s="2" t="s">
        <v>21</v>
      </c>
      <c r="BD145" s="2">
        <v>0</v>
      </c>
      <c r="BE145" s="2">
        <v>0</v>
      </c>
      <c r="BG145" s="2" t="s">
        <v>524</v>
      </c>
      <c r="BH145" s="2">
        <v>418</v>
      </c>
      <c r="BI145" s="2">
        <v>2</v>
      </c>
      <c r="BJ145" s="2">
        <v>20</v>
      </c>
      <c r="BK145" s="2">
        <v>0</v>
      </c>
      <c r="BL145" s="2">
        <v>5</v>
      </c>
      <c r="BM145" s="2">
        <v>2</v>
      </c>
      <c r="BN145" s="2">
        <v>2</v>
      </c>
      <c r="BO145" s="2">
        <v>0</v>
      </c>
      <c r="BT145" s="2">
        <v>0</v>
      </c>
      <c r="BY145" s="2" t="s">
        <v>536</v>
      </c>
    </row>
    <row r="146" spans="1:77" x14ac:dyDescent="0.2">
      <c r="A146" s="2" t="s">
        <v>269</v>
      </c>
      <c r="B146" s="2">
        <v>13</v>
      </c>
      <c r="C146" s="2">
        <v>4</v>
      </c>
      <c r="D146" s="2">
        <v>24</v>
      </c>
      <c r="E146" s="2">
        <v>2</v>
      </c>
      <c r="F146" s="2">
        <v>163</v>
      </c>
      <c r="G146" s="2">
        <v>32.5</v>
      </c>
      <c r="H146" s="2">
        <v>3</v>
      </c>
      <c r="I146" s="2">
        <v>1</v>
      </c>
      <c r="J146" s="2" t="s">
        <v>786</v>
      </c>
      <c r="K146" s="13">
        <v>0.41111111111111115</v>
      </c>
      <c r="L146" s="13">
        <v>0.49305555555555558</v>
      </c>
      <c r="M146" s="13">
        <v>0.44097222222222227</v>
      </c>
      <c r="N146" s="13">
        <v>0.48958333333333331</v>
      </c>
      <c r="O146" s="2">
        <v>69.999999999999915</v>
      </c>
      <c r="P146" s="2">
        <v>117.99999999999999</v>
      </c>
      <c r="Q146" s="2">
        <v>1</v>
      </c>
      <c r="R146" s="2">
        <v>1</v>
      </c>
      <c r="S146" s="2">
        <v>2</v>
      </c>
      <c r="T146" s="2">
        <v>1</v>
      </c>
      <c r="U146" s="2">
        <v>3</v>
      </c>
      <c r="V146" s="2">
        <v>3</v>
      </c>
      <c r="W146" s="2" t="str">
        <f t="shared" si="33"/>
        <v>0</v>
      </c>
      <c r="X146" s="2">
        <v>1</v>
      </c>
      <c r="Y146" s="2">
        <v>1</v>
      </c>
      <c r="Z146" s="2">
        <v>1</v>
      </c>
      <c r="AA146" s="2">
        <v>0</v>
      </c>
      <c r="AD146" s="2">
        <v>33</v>
      </c>
      <c r="AE146" s="2">
        <v>33</v>
      </c>
      <c r="AF146" s="2">
        <v>35</v>
      </c>
      <c r="AG146" s="2">
        <v>0</v>
      </c>
      <c r="AH146" s="2">
        <v>0</v>
      </c>
      <c r="AI146" s="2">
        <v>300</v>
      </c>
      <c r="AJ146" s="2">
        <v>5000</v>
      </c>
      <c r="AK146" s="5">
        <f t="shared" si="34"/>
        <v>0</v>
      </c>
      <c r="AL146" s="5">
        <f t="shared" si="35"/>
        <v>0</v>
      </c>
      <c r="AM146" s="2">
        <v>1</v>
      </c>
      <c r="AN146" s="2" t="s">
        <v>797</v>
      </c>
      <c r="AO146" s="2">
        <v>2</v>
      </c>
      <c r="AP146" s="2">
        <v>5</v>
      </c>
      <c r="AQ146" s="2" t="s">
        <v>802</v>
      </c>
      <c r="AR146" s="2">
        <v>1</v>
      </c>
      <c r="AT146" s="2">
        <v>0</v>
      </c>
      <c r="AU146" s="2">
        <v>0</v>
      </c>
      <c r="AW146" s="2">
        <v>0</v>
      </c>
      <c r="AY146" s="2">
        <v>0</v>
      </c>
      <c r="BA146" s="2" t="s">
        <v>825</v>
      </c>
      <c r="BC146" s="2" t="s">
        <v>21</v>
      </c>
      <c r="BD146" s="2">
        <v>0</v>
      </c>
      <c r="BE146" s="2">
        <v>0</v>
      </c>
      <c r="BG146" s="2" t="s">
        <v>832</v>
      </c>
      <c r="BH146" s="2">
        <v>412</v>
      </c>
      <c r="BI146" s="2">
        <v>1</v>
      </c>
      <c r="BJ146" s="2" t="s">
        <v>375</v>
      </c>
      <c r="BK146" s="2">
        <v>0</v>
      </c>
      <c r="BL146" s="2">
        <v>5</v>
      </c>
      <c r="BM146" s="2">
        <v>1</v>
      </c>
      <c r="BN146" s="2">
        <v>2</v>
      </c>
      <c r="BO146" s="2">
        <v>0</v>
      </c>
      <c r="BT146" s="2">
        <v>0</v>
      </c>
      <c r="BY146" s="2" t="s">
        <v>836</v>
      </c>
    </row>
    <row r="147" spans="1:77" x14ac:dyDescent="0.2">
      <c r="A147" s="2" t="s">
        <v>269</v>
      </c>
      <c r="B147" s="2">
        <v>14</v>
      </c>
      <c r="C147" s="2">
        <v>4</v>
      </c>
      <c r="D147" s="2">
        <v>25</v>
      </c>
      <c r="E147" s="2">
        <v>2</v>
      </c>
      <c r="F147" s="2">
        <v>168</v>
      </c>
      <c r="G147" s="2">
        <v>80</v>
      </c>
      <c r="H147" s="2">
        <v>1</v>
      </c>
      <c r="I147" s="2">
        <v>1</v>
      </c>
      <c r="J147" s="2" t="s">
        <v>787</v>
      </c>
      <c r="K147" s="13">
        <v>0.53819444444444442</v>
      </c>
      <c r="L147" s="13">
        <v>0.56944444444444442</v>
      </c>
      <c r="M147" s="13">
        <v>0.54999999999999993</v>
      </c>
      <c r="N147" s="13">
        <v>0.56388888888888888</v>
      </c>
      <c r="O147" s="2">
        <v>20.000000000000089</v>
      </c>
      <c r="P147" s="2">
        <v>45</v>
      </c>
      <c r="Q147" s="2">
        <v>1</v>
      </c>
      <c r="R147" s="2">
        <v>1</v>
      </c>
      <c r="S147" s="2">
        <v>1</v>
      </c>
      <c r="T147" s="2">
        <v>1</v>
      </c>
      <c r="U147" s="2">
        <v>5</v>
      </c>
      <c r="V147" s="2">
        <v>5</v>
      </c>
      <c r="W147" s="2" t="str">
        <f t="shared" si="33"/>
        <v>0</v>
      </c>
      <c r="X147" s="2">
        <v>1</v>
      </c>
      <c r="Y147" s="2">
        <v>1</v>
      </c>
      <c r="Z147" s="2">
        <v>1</v>
      </c>
      <c r="AA147" s="2">
        <v>0</v>
      </c>
      <c r="AD147" s="2">
        <v>42</v>
      </c>
      <c r="AE147" s="2">
        <v>42</v>
      </c>
      <c r="AF147" s="2">
        <v>25</v>
      </c>
      <c r="AG147" s="2">
        <v>1</v>
      </c>
      <c r="AH147" s="2">
        <v>0</v>
      </c>
      <c r="AI147" s="2">
        <v>480</v>
      </c>
      <c r="AJ147" s="2">
        <v>6700</v>
      </c>
      <c r="AK147" s="5">
        <f t="shared" si="34"/>
        <v>2.0833333333333333E-3</v>
      </c>
      <c r="AL147" s="5">
        <f t="shared" si="35"/>
        <v>0</v>
      </c>
      <c r="AM147" s="2">
        <v>1</v>
      </c>
      <c r="AN147" s="2" t="s">
        <v>727</v>
      </c>
      <c r="AO147" s="2">
        <v>1</v>
      </c>
      <c r="AP147" s="2">
        <v>1</v>
      </c>
      <c r="AQ147" s="2">
        <v>800</v>
      </c>
      <c r="AR147" s="2">
        <v>1</v>
      </c>
      <c r="AT147" s="2">
        <v>0</v>
      </c>
      <c r="AU147" s="2">
        <v>0</v>
      </c>
      <c r="AW147" s="2">
        <v>0</v>
      </c>
      <c r="AY147" s="2">
        <v>0</v>
      </c>
      <c r="BA147" s="2" t="s">
        <v>305</v>
      </c>
      <c r="BC147" s="2" t="s">
        <v>21</v>
      </c>
      <c r="BD147" s="2">
        <v>0</v>
      </c>
      <c r="BE147" s="2">
        <v>0</v>
      </c>
      <c r="BG147" s="2" t="s">
        <v>833</v>
      </c>
      <c r="BH147" s="2">
        <v>584</v>
      </c>
      <c r="BI147" s="2">
        <v>1</v>
      </c>
      <c r="BJ147" s="2" t="s">
        <v>375</v>
      </c>
      <c r="BK147" s="2">
        <v>1</v>
      </c>
      <c r="BL147" s="2">
        <v>10</v>
      </c>
      <c r="BM147" s="2">
        <v>1</v>
      </c>
      <c r="BN147" s="2">
        <v>0</v>
      </c>
      <c r="BO147" s="2">
        <v>0</v>
      </c>
      <c r="BT147" s="2">
        <v>0</v>
      </c>
      <c r="BY147" s="2" t="s">
        <v>610</v>
      </c>
    </row>
    <row r="148" spans="1:77" x14ac:dyDescent="0.2">
      <c r="A148" s="2" t="s">
        <v>269</v>
      </c>
      <c r="B148" s="2">
        <v>8</v>
      </c>
      <c r="C148" s="2">
        <v>3</v>
      </c>
      <c r="D148" s="2">
        <v>31</v>
      </c>
      <c r="E148" s="2">
        <v>2</v>
      </c>
      <c r="F148" s="2">
        <v>124</v>
      </c>
      <c r="G148" s="2">
        <v>23</v>
      </c>
      <c r="H148" s="2">
        <v>1</v>
      </c>
      <c r="I148" s="2">
        <v>0</v>
      </c>
      <c r="J148" s="2" t="s">
        <v>313</v>
      </c>
      <c r="K148" s="13">
        <v>0.58333333333333337</v>
      </c>
      <c r="L148" s="13">
        <v>0.63888888888888895</v>
      </c>
      <c r="M148" s="13">
        <v>0.60902777777777783</v>
      </c>
      <c r="N148" s="13">
        <v>0.6333333333333333</v>
      </c>
      <c r="O148" s="2">
        <v>34.999999999999872</v>
      </c>
      <c r="P148" s="2">
        <v>80.000000000000028</v>
      </c>
      <c r="Q148" s="2">
        <v>2</v>
      </c>
      <c r="R148" s="2">
        <v>1</v>
      </c>
      <c r="S148" s="2">
        <v>1</v>
      </c>
      <c r="T148" s="2">
        <v>2</v>
      </c>
      <c r="U148" s="2">
        <v>2</v>
      </c>
      <c r="V148" s="2">
        <v>2.5</v>
      </c>
      <c r="W148" s="2" t="str">
        <f t="shared" si="33"/>
        <v>1</v>
      </c>
      <c r="X148" s="2">
        <v>0</v>
      </c>
      <c r="Y148" s="2">
        <v>1</v>
      </c>
      <c r="Z148" s="2">
        <v>1</v>
      </c>
      <c r="AA148" s="2">
        <v>1</v>
      </c>
      <c r="AB148" s="2">
        <v>2.5</v>
      </c>
      <c r="AC148" s="2">
        <v>1</v>
      </c>
      <c r="AD148" s="2" t="s">
        <v>792</v>
      </c>
      <c r="AF148" s="2">
        <v>35</v>
      </c>
      <c r="AG148" s="2">
        <v>0</v>
      </c>
      <c r="AH148" s="2">
        <v>0</v>
      </c>
      <c r="AI148" s="2">
        <v>200</v>
      </c>
      <c r="AJ148" s="2">
        <v>3600</v>
      </c>
      <c r="AK148" s="5">
        <f t="shared" si="34"/>
        <v>0</v>
      </c>
      <c r="AL148" s="5">
        <f t="shared" si="35"/>
        <v>0</v>
      </c>
      <c r="AM148" s="2">
        <v>1</v>
      </c>
      <c r="AN148" s="2" t="s">
        <v>798</v>
      </c>
      <c r="AO148" s="2">
        <v>1</v>
      </c>
      <c r="AP148" s="2">
        <v>1</v>
      </c>
      <c r="AQ148" s="2">
        <v>400</v>
      </c>
      <c r="AR148" s="2">
        <v>1</v>
      </c>
      <c r="AT148" s="2">
        <v>0</v>
      </c>
      <c r="AU148" s="2">
        <v>0</v>
      </c>
      <c r="AW148" s="2">
        <v>1</v>
      </c>
      <c r="AX148" s="2" t="s">
        <v>812</v>
      </c>
      <c r="AY148" s="2">
        <v>0</v>
      </c>
      <c r="BA148" s="2" t="s">
        <v>566</v>
      </c>
      <c r="BC148" s="2" t="s">
        <v>21</v>
      </c>
      <c r="BD148" s="2">
        <v>0</v>
      </c>
      <c r="BE148" s="2">
        <v>0</v>
      </c>
      <c r="BG148" s="2" t="s">
        <v>538</v>
      </c>
      <c r="BH148" s="2">
        <v>434</v>
      </c>
      <c r="BI148" s="2">
        <v>2</v>
      </c>
      <c r="BJ148" s="2" t="s">
        <v>375</v>
      </c>
      <c r="BK148" s="2">
        <v>0</v>
      </c>
      <c r="BL148" s="2">
        <v>5</v>
      </c>
      <c r="BM148" s="2">
        <v>4</v>
      </c>
      <c r="BN148" s="2">
        <v>2</v>
      </c>
      <c r="BO148" s="2">
        <v>0</v>
      </c>
      <c r="BT148" s="2">
        <v>0</v>
      </c>
      <c r="BY148" s="2" t="s">
        <v>610</v>
      </c>
    </row>
    <row r="149" spans="1:77" x14ac:dyDescent="0.2">
      <c r="A149" s="2" t="s">
        <v>269</v>
      </c>
      <c r="B149" s="2">
        <v>4</v>
      </c>
      <c r="C149" s="2">
        <v>2</v>
      </c>
      <c r="D149" s="2">
        <v>60</v>
      </c>
      <c r="E149" s="2">
        <v>2</v>
      </c>
      <c r="F149" s="2">
        <v>108</v>
      </c>
      <c r="G149" s="2">
        <v>18</v>
      </c>
      <c r="I149" s="2">
        <v>2</v>
      </c>
      <c r="J149" s="2" t="s">
        <v>313</v>
      </c>
      <c r="K149" s="13">
        <v>0.39166666666666666</v>
      </c>
      <c r="L149" s="13">
        <v>0.45833333333333331</v>
      </c>
      <c r="M149" s="13">
        <v>0.41736111111111113</v>
      </c>
      <c r="N149" s="13">
        <v>0.4513888888888889</v>
      </c>
      <c r="O149" s="2">
        <v>48.999999999999986</v>
      </c>
      <c r="P149" s="2">
        <v>96</v>
      </c>
      <c r="Q149" s="2">
        <v>2</v>
      </c>
      <c r="R149" s="2">
        <v>1</v>
      </c>
      <c r="S149" s="2">
        <v>1</v>
      </c>
      <c r="T149" s="2">
        <v>1</v>
      </c>
      <c r="U149" s="2">
        <v>2</v>
      </c>
      <c r="V149" s="2">
        <v>2.5</v>
      </c>
      <c r="W149" s="2" t="str">
        <f t="shared" ref="W149:W211" si="72">IF(V149=U149,"0","1")</f>
        <v>1</v>
      </c>
      <c r="X149" s="2">
        <v>0</v>
      </c>
      <c r="Y149" s="2">
        <v>0</v>
      </c>
      <c r="Z149" s="2">
        <v>3</v>
      </c>
      <c r="AA149" s="2">
        <v>2</v>
      </c>
      <c r="AB149" s="2" t="s">
        <v>793</v>
      </c>
      <c r="AC149" s="2">
        <v>1</v>
      </c>
      <c r="AD149" s="2" t="s">
        <v>794</v>
      </c>
      <c r="AF149" s="2">
        <v>999</v>
      </c>
      <c r="AG149" s="2">
        <v>0</v>
      </c>
      <c r="AH149" s="2">
        <v>0</v>
      </c>
      <c r="AI149" s="2">
        <v>140</v>
      </c>
      <c r="AJ149" s="2">
        <v>2100</v>
      </c>
      <c r="AK149" s="5">
        <f t="shared" si="34"/>
        <v>0</v>
      </c>
      <c r="AL149" s="5">
        <f t="shared" si="35"/>
        <v>0</v>
      </c>
      <c r="AM149" s="2">
        <v>2</v>
      </c>
      <c r="AN149" s="2">
        <v>100</v>
      </c>
      <c r="AO149" s="2">
        <v>1</v>
      </c>
      <c r="AP149" s="2">
        <v>1</v>
      </c>
      <c r="AQ149" s="2">
        <v>300</v>
      </c>
      <c r="AR149" s="2">
        <v>2</v>
      </c>
      <c r="AS149" s="2" t="s">
        <v>804</v>
      </c>
      <c r="AT149" s="2">
        <v>0</v>
      </c>
      <c r="AU149" s="2">
        <v>1</v>
      </c>
      <c r="AV149" s="2" t="s">
        <v>808</v>
      </c>
      <c r="AW149" s="2">
        <v>0</v>
      </c>
      <c r="AY149" s="2">
        <v>0</v>
      </c>
      <c r="BA149" s="2" t="s">
        <v>838</v>
      </c>
      <c r="BC149" s="2" t="s">
        <v>21</v>
      </c>
      <c r="BD149" s="2">
        <v>0</v>
      </c>
      <c r="BE149" s="2">
        <v>0</v>
      </c>
      <c r="BG149" s="2" t="s">
        <v>608</v>
      </c>
      <c r="BH149" s="2">
        <v>443</v>
      </c>
      <c r="BI149" s="2">
        <v>2</v>
      </c>
      <c r="BJ149" s="2" t="s">
        <v>775</v>
      </c>
      <c r="BK149" s="2">
        <v>0</v>
      </c>
      <c r="BL149" s="2">
        <v>5</v>
      </c>
      <c r="BM149" s="2">
        <v>8</v>
      </c>
      <c r="BN149" s="2">
        <v>2</v>
      </c>
      <c r="BO149" s="2">
        <v>1</v>
      </c>
      <c r="BP149" s="2" t="s">
        <v>614</v>
      </c>
      <c r="BQ149" s="2">
        <v>159</v>
      </c>
      <c r="BT149" s="2">
        <v>0</v>
      </c>
      <c r="BY149" s="2" t="s">
        <v>837</v>
      </c>
    </row>
    <row r="150" spans="1:77" x14ac:dyDescent="0.2">
      <c r="A150" s="2" t="s">
        <v>269</v>
      </c>
      <c r="B150" s="2">
        <v>4</v>
      </c>
      <c r="C150" s="2">
        <v>2</v>
      </c>
      <c r="D150" s="2">
        <v>61</v>
      </c>
      <c r="E150" s="2">
        <v>2</v>
      </c>
      <c r="F150" s="2">
        <v>103</v>
      </c>
      <c r="G150" s="2">
        <v>18.399999999999999</v>
      </c>
      <c r="H150" s="2">
        <v>1</v>
      </c>
      <c r="I150" s="2">
        <v>1</v>
      </c>
      <c r="J150" s="2" t="s">
        <v>290</v>
      </c>
      <c r="K150" s="13">
        <v>0.37291666666666662</v>
      </c>
      <c r="L150" s="13">
        <v>0.4375</v>
      </c>
      <c r="M150" s="13">
        <v>0.3888888888888889</v>
      </c>
      <c r="N150" s="13">
        <v>0.42083333333333334</v>
      </c>
      <c r="O150" s="2">
        <v>46</v>
      </c>
      <c r="P150" s="2">
        <v>93.000000000000071</v>
      </c>
      <c r="Q150" s="2">
        <v>2</v>
      </c>
      <c r="R150" s="2">
        <v>1</v>
      </c>
      <c r="S150" s="2">
        <v>1</v>
      </c>
      <c r="T150" s="2">
        <v>1</v>
      </c>
      <c r="U150" s="2">
        <v>2</v>
      </c>
      <c r="V150" s="2">
        <v>2</v>
      </c>
      <c r="W150" s="2" t="str">
        <f t="shared" si="72"/>
        <v>0</v>
      </c>
      <c r="X150" s="2">
        <v>1</v>
      </c>
      <c r="Y150" s="2">
        <v>1</v>
      </c>
      <c r="Z150" s="2">
        <v>1</v>
      </c>
      <c r="AA150" s="2">
        <v>0</v>
      </c>
      <c r="AD150" s="2">
        <v>36</v>
      </c>
      <c r="AE150" s="2">
        <v>36</v>
      </c>
      <c r="AF150" s="2">
        <v>19</v>
      </c>
      <c r="AG150" s="2">
        <v>0</v>
      </c>
      <c r="AH150" s="2">
        <v>0</v>
      </c>
      <c r="AI150" s="2">
        <v>150</v>
      </c>
      <c r="AJ150" s="2">
        <v>2400</v>
      </c>
      <c r="AK150" s="5">
        <f t="shared" ref="AK150:AK212" si="73">AG150/AI150</f>
        <v>0</v>
      </c>
      <c r="AL150" s="5">
        <f t="shared" ref="AL150:AL212" si="74">AH150/AJ150</f>
        <v>0</v>
      </c>
      <c r="AM150" s="2">
        <v>1</v>
      </c>
      <c r="AN150" s="2">
        <v>70</v>
      </c>
      <c r="AO150" s="2">
        <v>1</v>
      </c>
      <c r="AP150" s="2">
        <v>1</v>
      </c>
      <c r="AQ150" s="2">
        <v>400</v>
      </c>
      <c r="AR150" s="2">
        <v>1</v>
      </c>
      <c r="AT150" s="2">
        <v>0</v>
      </c>
      <c r="AU150" s="2">
        <v>0</v>
      </c>
      <c r="AW150" s="2">
        <v>0</v>
      </c>
      <c r="AY150" s="2">
        <v>0</v>
      </c>
      <c r="BA150" s="2" t="s">
        <v>21</v>
      </c>
      <c r="BC150" s="2" t="s">
        <v>21</v>
      </c>
      <c r="BD150" s="2">
        <v>0</v>
      </c>
      <c r="BE150" s="2">
        <v>0</v>
      </c>
      <c r="BG150" s="2" t="s">
        <v>829</v>
      </c>
      <c r="BH150" s="2">
        <v>451</v>
      </c>
      <c r="BI150" s="2">
        <v>2</v>
      </c>
      <c r="BJ150" s="2">
        <v>40</v>
      </c>
      <c r="BK150" s="2">
        <v>0</v>
      </c>
      <c r="BL150" s="2">
        <v>5</v>
      </c>
      <c r="BM150" s="2">
        <v>3</v>
      </c>
      <c r="BN150" s="2">
        <v>2</v>
      </c>
      <c r="BO150" s="2">
        <v>0</v>
      </c>
      <c r="BT150" s="2">
        <v>0</v>
      </c>
      <c r="BY150" s="2" t="s">
        <v>536</v>
      </c>
    </row>
    <row r="151" spans="1:77" x14ac:dyDescent="0.2">
      <c r="A151" s="2" t="s">
        <v>270</v>
      </c>
      <c r="B151" s="2">
        <v>11</v>
      </c>
      <c r="C151" s="2">
        <v>3</v>
      </c>
      <c r="D151" s="2">
        <v>32</v>
      </c>
      <c r="E151" s="2">
        <v>2</v>
      </c>
      <c r="J151" s="2" t="s">
        <v>788</v>
      </c>
      <c r="R151" s="2">
        <v>1</v>
      </c>
      <c r="S151" s="2">
        <v>2</v>
      </c>
      <c r="T151" s="2">
        <v>2</v>
      </c>
      <c r="W151" s="2" t="str">
        <f t="shared" si="72"/>
        <v>0</v>
      </c>
      <c r="AK151" s="5" t="e">
        <f t="shared" si="73"/>
        <v>#DIV/0!</v>
      </c>
      <c r="AL151" s="5" t="e">
        <f t="shared" si="74"/>
        <v>#DIV/0!</v>
      </c>
    </row>
    <row r="152" spans="1:77" x14ac:dyDescent="0.2">
      <c r="W152" s="2" t="str">
        <f t="shared" si="72"/>
        <v>0</v>
      </c>
      <c r="AK152" s="5" t="e">
        <f t="shared" si="73"/>
        <v>#DIV/0!</v>
      </c>
      <c r="AL152" s="5" t="e">
        <f t="shared" si="74"/>
        <v>#DIV/0!</v>
      </c>
    </row>
    <row r="153" spans="1:77" x14ac:dyDescent="0.2">
      <c r="W153" s="2" t="str">
        <f t="shared" si="72"/>
        <v>0</v>
      </c>
      <c r="AK153" s="5" t="e">
        <f t="shared" si="73"/>
        <v>#DIV/0!</v>
      </c>
      <c r="AL153" s="5" t="e">
        <f t="shared" si="74"/>
        <v>#DIV/0!</v>
      </c>
    </row>
    <row r="154" spans="1:77" x14ac:dyDescent="0.2">
      <c r="W154" s="2" t="str">
        <f t="shared" si="72"/>
        <v>0</v>
      </c>
      <c r="AK154" s="5" t="e">
        <f t="shared" si="73"/>
        <v>#DIV/0!</v>
      </c>
      <c r="AL154" s="5" t="e">
        <f t="shared" si="74"/>
        <v>#DIV/0!</v>
      </c>
    </row>
    <row r="155" spans="1:77" x14ac:dyDescent="0.2">
      <c r="W155" s="2" t="str">
        <f t="shared" si="72"/>
        <v>0</v>
      </c>
      <c r="AK155" s="5" t="e">
        <f t="shared" si="73"/>
        <v>#DIV/0!</v>
      </c>
      <c r="AL155" s="5" t="e">
        <f t="shared" si="74"/>
        <v>#DIV/0!</v>
      </c>
    </row>
    <row r="156" spans="1:77" x14ac:dyDescent="0.2">
      <c r="W156" s="2" t="str">
        <f t="shared" si="72"/>
        <v>0</v>
      </c>
      <c r="AK156" s="5" t="e">
        <f t="shared" si="73"/>
        <v>#DIV/0!</v>
      </c>
      <c r="AL156" s="5" t="e">
        <f t="shared" si="74"/>
        <v>#DIV/0!</v>
      </c>
    </row>
    <row r="157" spans="1:77" x14ac:dyDescent="0.2">
      <c r="W157" s="2" t="str">
        <f t="shared" si="72"/>
        <v>0</v>
      </c>
      <c r="AK157" s="5" t="e">
        <f t="shared" si="73"/>
        <v>#DIV/0!</v>
      </c>
      <c r="AL157" s="5" t="e">
        <f t="shared" si="74"/>
        <v>#DIV/0!</v>
      </c>
    </row>
    <row r="158" spans="1:77" x14ac:dyDescent="0.2">
      <c r="W158" s="2" t="str">
        <f t="shared" si="72"/>
        <v>0</v>
      </c>
      <c r="AK158" s="5" t="e">
        <f t="shared" si="73"/>
        <v>#DIV/0!</v>
      </c>
      <c r="AL158" s="5" t="e">
        <f t="shared" si="74"/>
        <v>#DIV/0!</v>
      </c>
    </row>
    <row r="159" spans="1:77" x14ac:dyDescent="0.2">
      <c r="W159" s="2" t="str">
        <f t="shared" si="72"/>
        <v>0</v>
      </c>
      <c r="AK159" s="5" t="e">
        <f t="shared" si="73"/>
        <v>#DIV/0!</v>
      </c>
      <c r="AL159" s="5" t="e">
        <f t="shared" si="74"/>
        <v>#DIV/0!</v>
      </c>
    </row>
    <row r="160" spans="1:77" x14ac:dyDescent="0.2">
      <c r="W160" s="2" t="str">
        <f t="shared" si="72"/>
        <v>0</v>
      </c>
      <c r="AK160" s="5" t="e">
        <f t="shared" si="73"/>
        <v>#DIV/0!</v>
      </c>
      <c r="AL160" s="5" t="e">
        <f t="shared" si="74"/>
        <v>#DIV/0!</v>
      </c>
    </row>
    <row r="161" spans="23:38" x14ac:dyDescent="0.2">
      <c r="W161" s="2" t="str">
        <f t="shared" si="72"/>
        <v>0</v>
      </c>
      <c r="AK161" s="5" t="e">
        <f t="shared" si="73"/>
        <v>#DIV/0!</v>
      </c>
      <c r="AL161" s="5" t="e">
        <f t="shared" si="74"/>
        <v>#DIV/0!</v>
      </c>
    </row>
    <row r="162" spans="23:38" x14ac:dyDescent="0.2">
      <c r="W162" s="2" t="str">
        <f t="shared" si="72"/>
        <v>0</v>
      </c>
      <c r="AK162" s="5" t="e">
        <f t="shared" si="73"/>
        <v>#DIV/0!</v>
      </c>
      <c r="AL162" s="5" t="e">
        <f t="shared" si="74"/>
        <v>#DIV/0!</v>
      </c>
    </row>
    <row r="163" spans="23:38" x14ac:dyDescent="0.2">
      <c r="W163" s="2" t="str">
        <f t="shared" si="72"/>
        <v>0</v>
      </c>
      <c r="AK163" s="5" t="e">
        <f t="shared" si="73"/>
        <v>#DIV/0!</v>
      </c>
      <c r="AL163" s="5" t="e">
        <f t="shared" si="74"/>
        <v>#DIV/0!</v>
      </c>
    </row>
    <row r="164" spans="23:38" x14ac:dyDescent="0.2">
      <c r="W164" s="2" t="str">
        <f t="shared" si="72"/>
        <v>0</v>
      </c>
      <c r="AK164" s="5" t="e">
        <f t="shared" si="73"/>
        <v>#DIV/0!</v>
      </c>
      <c r="AL164" s="5" t="e">
        <f t="shared" si="74"/>
        <v>#DIV/0!</v>
      </c>
    </row>
    <row r="165" spans="23:38" x14ac:dyDescent="0.2">
      <c r="W165" s="2" t="str">
        <f t="shared" si="72"/>
        <v>0</v>
      </c>
      <c r="AK165" s="5" t="e">
        <f t="shared" si="73"/>
        <v>#DIV/0!</v>
      </c>
      <c r="AL165" s="5" t="e">
        <f t="shared" si="74"/>
        <v>#DIV/0!</v>
      </c>
    </row>
    <row r="166" spans="23:38" x14ac:dyDescent="0.2">
      <c r="W166" s="2" t="str">
        <f t="shared" si="72"/>
        <v>0</v>
      </c>
      <c r="AK166" s="5" t="e">
        <f t="shared" si="73"/>
        <v>#DIV/0!</v>
      </c>
      <c r="AL166" s="5" t="e">
        <f t="shared" si="74"/>
        <v>#DIV/0!</v>
      </c>
    </row>
    <row r="167" spans="23:38" x14ac:dyDescent="0.2">
      <c r="W167" s="2" t="str">
        <f t="shared" si="72"/>
        <v>0</v>
      </c>
      <c r="AK167" s="5" t="e">
        <f t="shared" si="73"/>
        <v>#DIV/0!</v>
      </c>
      <c r="AL167" s="5" t="e">
        <f t="shared" si="74"/>
        <v>#DIV/0!</v>
      </c>
    </row>
    <row r="168" spans="23:38" x14ac:dyDescent="0.2">
      <c r="W168" s="2" t="str">
        <f t="shared" si="72"/>
        <v>0</v>
      </c>
      <c r="AK168" s="5" t="e">
        <f t="shared" si="73"/>
        <v>#DIV/0!</v>
      </c>
      <c r="AL168" s="5" t="e">
        <f t="shared" si="74"/>
        <v>#DIV/0!</v>
      </c>
    </row>
    <row r="169" spans="23:38" x14ac:dyDescent="0.2">
      <c r="W169" s="2" t="str">
        <f t="shared" si="72"/>
        <v>0</v>
      </c>
      <c r="AK169" s="5" t="e">
        <f t="shared" si="73"/>
        <v>#DIV/0!</v>
      </c>
      <c r="AL169" s="5" t="e">
        <f t="shared" si="74"/>
        <v>#DIV/0!</v>
      </c>
    </row>
    <row r="170" spans="23:38" x14ac:dyDescent="0.2">
      <c r="W170" s="2" t="str">
        <f t="shared" si="72"/>
        <v>0</v>
      </c>
      <c r="AK170" s="5" t="e">
        <f t="shared" si="73"/>
        <v>#DIV/0!</v>
      </c>
      <c r="AL170" s="5" t="e">
        <f t="shared" si="74"/>
        <v>#DIV/0!</v>
      </c>
    </row>
    <row r="171" spans="23:38" x14ac:dyDescent="0.2">
      <c r="W171" s="2" t="str">
        <f t="shared" si="72"/>
        <v>0</v>
      </c>
      <c r="AK171" s="5" t="e">
        <f t="shared" si="73"/>
        <v>#DIV/0!</v>
      </c>
      <c r="AL171" s="5" t="e">
        <f t="shared" si="74"/>
        <v>#DIV/0!</v>
      </c>
    </row>
    <row r="172" spans="23:38" x14ac:dyDescent="0.2">
      <c r="W172" s="2" t="str">
        <f t="shared" si="72"/>
        <v>0</v>
      </c>
      <c r="AK172" s="5" t="e">
        <f t="shared" si="73"/>
        <v>#DIV/0!</v>
      </c>
      <c r="AL172" s="5" t="e">
        <f t="shared" si="74"/>
        <v>#DIV/0!</v>
      </c>
    </row>
    <row r="173" spans="23:38" x14ac:dyDescent="0.2">
      <c r="W173" s="2" t="str">
        <f t="shared" si="72"/>
        <v>0</v>
      </c>
      <c r="AK173" s="5" t="e">
        <f t="shared" si="73"/>
        <v>#DIV/0!</v>
      </c>
      <c r="AL173" s="5" t="e">
        <f t="shared" si="74"/>
        <v>#DIV/0!</v>
      </c>
    </row>
    <row r="174" spans="23:38" x14ac:dyDescent="0.2">
      <c r="W174" s="2" t="str">
        <f t="shared" si="72"/>
        <v>0</v>
      </c>
      <c r="AK174" s="5" t="e">
        <f t="shared" si="73"/>
        <v>#DIV/0!</v>
      </c>
      <c r="AL174" s="5" t="e">
        <f t="shared" si="74"/>
        <v>#DIV/0!</v>
      </c>
    </row>
    <row r="175" spans="23:38" x14ac:dyDescent="0.2">
      <c r="W175" s="2" t="str">
        <f t="shared" si="72"/>
        <v>0</v>
      </c>
      <c r="AK175" s="5" t="e">
        <f t="shared" si="73"/>
        <v>#DIV/0!</v>
      </c>
      <c r="AL175" s="5" t="e">
        <f t="shared" si="74"/>
        <v>#DIV/0!</v>
      </c>
    </row>
    <row r="176" spans="23:38" x14ac:dyDescent="0.2">
      <c r="W176" s="2" t="str">
        <f t="shared" si="72"/>
        <v>0</v>
      </c>
      <c r="AK176" s="5" t="e">
        <f t="shared" si="73"/>
        <v>#DIV/0!</v>
      </c>
      <c r="AL176" s="5" t="e">
        <f t="shared" si="74"/>
        <v>#DIV/0!</v>
      </c>
    </row>
    <row r="177" spans="23:38" x14ac:dyDescent="0.2">
      <c r="W177" s="2" t="str">
        <f t="shared" si="72"/>
        <v>0</v>
      </c>
      <c r="AK177" s="5" t="e">
        <f t="shared" si="73"/>
        <v>#DIV/0!</v>
      </c>
      <c r="AL177" s="5" t="e">
        <f t="shared" si="74"/>
        <v>#DIV/0!</v>
      </c>
    </row>
    <row r="178" spans="23:38" x14ac:dyDescent="0.2">
      <c r="W178" s="2" t="str">
        <f t="shared" si="72"/>
        <v>0</v>
      </c>
      <c r="AK178" s="5" t="e">
        <f t="shared" si="73"/>
        <v>#DIV/0!</v>
      </c>
      <c r="AL178" s="5" t="e">
        <f t="shared" si="74"/>
        <v>#DIV/0!</v>
      </c>
    </row>
    <row r="179" spans="23:38" x14ac:dyDescent="0.2">
      <c r="W179" s="2" t="str">
        <f t="shared" si="72"/>
        <v>0</v>
      </c>
      <c r="AK179" s="5" t="e">
        <f t="shared" si="73"/>
        <v>#DIV/0!</v>
      </c>
      <c r="AL179" s="5" t="e">
        <f t="shared" si="74"/>
        <v>#DIV/0!</v>
      </c>
    </row>
    <row r="180" spans="23:38" x14ac:dyDescent="0.2">
      <c r="W180" s="2" t="str">
        <f t="shared" si="72"/>
        <v>0</v>
      </c>
      <c r="AK180" s="5" t="e">
        <f t="shared" si="73"/>
        <v>#DIV/0!</v>
      </c>
      <c r="AL180" s="5" t="e">
        <f t="shared" si="74"/>
        <v>#DIV/0!</v>
      </c>
    </row>
    <row r="181" spans="23:38" x14ac:dyDescent="0.2">
      <c r="W181" s="2" t="str">
        <f t="shared" si="72"/>
        <v>0</v>
      </c>
      <c r="AK181" s="5" t="e">
        <f t="shared" si="73"/>
        <v>#DIV/0!</v>
      </c>
      <c r="AL181" s="5" t="e">
        <f t="shared" si="74"/>
        <v>#DIV/0!</v>
      </c>
    </row>
    <row r="182" spans="23:38" x14ac:dyDescent="0.2">
      <c r="W182" s="2" t="str">
        <f t="shared" si="72"/>
        <v>0</v>
      </c>
      <c r="AK182" s="5" t="e">
        <f t="shared" si="73"/>
        <v>#DIV/0!</v>
      </c>
      <c r="AL182" s="5" t="e">
        <f t="shared" si="74"/>
        <v>#DIV/0!</v>
      </c>
    </row>
    <row r="183" spans="23:38" x14ac:dyDescent="0.2">
      <c r="W183" s="2" t="str">
        <f t="shared" si="72"/>
        <v>0</v>
      </c>
      <c r="AK183" s="5" t="e">
        <f t="shared" si="73"/>
        <v>#DIV/0!</v>
      </c>
      <c r="AL183" s="5" t="e">
        <f t="shared" si="74"/>
        <v>#DIV/0!</v>
      </c>
    </row>
    <row r="184" spans="23:38" x14ac:dyDescent="0.2">
      <c r="W184" s="2" t="str">
        <f t="shared" si="72"/>
        <v>0</v>
      </c>
      <c r="AK184" s="5" t="e">
        <f t="shared" si="73"/>
        <v>#DIV/0!</v>
      </c>
      <c r="AL184" s="5" t="e">
        <f t="shared" si="74"/>
        <v>#DIV/0!</v>
      </c>
    </row>
    <row r="185" spans="23:38" x14ac:dyDescent="0.2">
      <c r="W185" s="2" t="str">
        <f t="shared" si="72"/>
        <v>0</v>
      </c>
      <c r="AK185" s="5" t="e">
        <f t="shared" si="73"/>
        <v>#DIV/0!</v>
      </c>
      <c r="AL185" s="5" t="e">
        <f t="shared" si="74"/>
        <v>#DIV/0!</v>
      </c>
    </row>
    <row r="186" spans="23:38" x14ac:dyDescent="0.2">
      <c r="W186" s="2" t="str">
        <f t="shared" si="72"/>
        <v>0</v>
      </c>
      <c r="AK186" s="5" t="e">
        <f t="shared" si="73"/>
        <v>#DIV/0!</v>
      </c>
      <c r="AL186" s="5" t="e">
        <f t="shared" si="74"/>
        <v>#DIV/0!</v>
      </c>
    </row>
    <row r="187" spans="23:38" x14ac:dyDescent="0.2">
      <c r="W187" s="2" t="str">
        <f t="shared" si="72"/>
        <v>0</v>
      </c>
      <c r="AK187" s="5" t="e">
        <f t="shared" si="73"/>
        <v>#DIV/0!</v>
      </c>
      <c r="AL187" s="5" t="e">
        <f t="shared" si="74"/>
        <v>#DIV/0!</v>
      </c>
    </row>
    <row r="188" spans="23:38" x14ac:dyDescent="0.2">
      <c r="W188" s="2" t="str">
        <f t="shared" si="72"/>
        <v>0</v>
      </c>
      <c r="AK188" s="5" t="e">
        <f t="shared" si="73"/>
        <v>#DIV/0!</v>
      </c>
      <c r="AL188" s="5" t="e">
        <f t="shared" si="74"/>
        <v>#DIV/0!</v>
      </c>
    </row>
    <row r="189" spans="23:38" x14ac:dyDescent="0.2">
      <c r="W189" s="2" t="str">
        <f t="shared" si="72"/>
        <v>0</v>
      </c>
      <c r="AK189" s="5" t="e">
        <f t="shared" si="73"/>
        <v>#DIV/0!</v>
      </c>
      <c r="AL189" s="5" t="e">
        <f t="shared" si="74"/>
        <v>#DIV/0!</v>
      </c>
    </row>
    <row r="190" spans="23:38" x14ac:dyDescent="0.2">
      <c r="W190" s="2" t="str">
        <f t="shared" si="72"/>
        <v>0</v>
      </c>
      <c r="AK190" s="5" t="e">
        <f t="shared" si="73"/>
        <v>#DIV/0!</v>
      </c>
      <c r="AL190" s="5" t="e">
        <f t="shared" si="74"/>
        <v>#DIV/0!</v>
      </c>
    </row>
    <row r="191" spans="23:38" x14ac:dyDescent="0.2">
      <c r="W191" s="2" t="str">
        <f t="shared" si="72"/>
        <v>0</v>
      </c>
      <c r="AK191" s="5" t="e">
        <f t="shared" si="73"/>
        <v>#DIV/0!</v>
      </c>
      <c r="AL191" s="5" t="e">
        <f t="shared" si="74"/>
        <v>#DIV/0!</v>
      </c>
    </row>
    <row r="192" spans="23:38" x14ac:dyDescent="0.2">
      <c r="W192" s="2" t="str">
        <f t="shared" si="72"/>
        <v>0</v>
      </c>
      <c r="AK192" s="5" t="e">
        <f t="shared" si="73"/>
        <v>#DIV/0!</v>
      </c>
      <c r="AL192" s="5" t="e">
        <f t="shared" si="74"/>
        <v>#DIV/0!</v>
      </c>
    </row>
    <row r="193" spans="23:38" x14ac:dyDescent="0.2">
      <c r="W193" s="2" t="str">
        <f t="shared" si="72"/>
        <v>0</v>
      </c>
      <c r="AK193" s="5" t="e">
        <f t="shared" si="73"/>
        <v>#DIV/0!</v>
      </c>
      <c r="AL193" s="5" t="e">
        <f t="shared" si="74"/>
        <v>#DIV/0!</v>
      </c>
    </row>
    <row r="194" spans="23:38" x14ac:dyDescent="0.2">
      <c r="W194" s="2" t="str">
        <f t="shared" si="72"/>
        <v>0</v>
      </c>
      <c r="AK194" s="5" t="e">
        <f t="shared" si="73"/>
        <v>#DIV/0!</v>
      </c>
      <c r="AL194" s="5" t="e">
        <f t="shared" si="74"/>
        <v>#DIV/0!</v>
      </c>
    </row>
    <row r="195" spans="23:38" x14ac:dyDescent="0.2">
      <c r="W195" s="2" t="str">
        <f t="shared" si="72"/>
        <v>0</v>
      </c>
      <c r="AK195" s="5" t="e">
        <f t="shared" si="73"/>
        <v>#DIV/0!</v>
      </c>
      <c r="AL195" s="5" t="e">
        <f t="shared" si="74"/>
        <v>#DIV/0!</v>
      </c>
    </row>
    <row r="196" spans="23:38" x14ac:dyDescent="0.2">
      <c r="W196" s="2" t="str">
        <f t="shared" si="72"/>
        <v>0</v>
      </c>
      <c r="AK196" s="5" t="e">
        <f t="shared" si="73"/>
        <v>#DIV/0!</v>
      </c>
      <c r="AL196" s="5" t="e">
        <f t="shared" si="74"/>
        <v>#DIV/0!</v>
      </c>
    </row>
    <row r="197" spans="23:38" x14ac:dyDescent="0.2">
      <c r="W197" s="2" t="str">
        <f t="shared" si="72"/>
        <v>0</v>
      </c>
      <c r="AK197" s="5" t="e">
        <f t="shared" si="73"/>
        <v>#DIV/0!</v>
      </c>
      <c r="AL197" s="5" t="e">
        <f t="shared" si="74"/>
        <v>#DIV/0!</v>
      </c>
    </row>
    <row r="198" spans="23:38" x14ac:dyDescent="0.2">
      <c r="W198" s="2" t="str">
        <f t="shared" si="72"/>
        <v>0</v>
      </c>
      <c r="AK198" s="5" t="e">
        <f t="shared" si="73"/>
        <v>#DIV/0!</v>
      </c>
      <c r="AL198" s="5" t="e">
        <f t="shared" si="74"/>
        <v>#DIV/0!</v>
      </c>
    </row>
    <row r="199" spans="23:38" x14ac:dyDescent="0.2">
      <c r="W199" s="2" t="str">
        <f t="shared" si="72"/>
        <v>0</v>
      </c>
      <c r="AK199" s="5" t="e">
        <f t="shared" si="73"/>
        <v>#DIV/0!</v>
      </c>
      <c r="AL199" s="5" t="e">
        <f t="shared" si="74"/>
        <v>#DIV/0!</v>
      </c>
    </row>
    <row r="200" spans="23:38" x14ac:dyDescent="0.2">
      <c r="W200" s="2" t="str">
        <f t="shared" si="72"/>
        <v>0</v>
      </c>
      <c r="AK200" s="5" t="e">
        <f t="shared" si="73"/>
        <v>#DIV/0!</v>
      </c>
      <c r="AL200" s="5" t="e">
        <f t="shared" si="74"/>
        <v>#DIV/0!</v>
      </c>
    </row>
    <row r="201" spans="23:38" x14ac:dyDescent="0.2">
      <c r="W201" s="2" t="str">
        <f t="shared" si="72"/>
        <v>0</v>
      </c>
      <c r="AK201" s="5" t="e">
        <f t="shared" si="73"/>
        <v>#DIV/0!</v>
      </c>
      <c r="AL201" s="5" t="e">
        <f t="shared" si="74"/>
        <v>#DIV/0!</v>
      </c>
    </row>
    <row r="202" spans="23:38" x14ac:dyDescent="0.2">
      <c r="W202" s="2" t="str">
        <f t="shared" si="72"/>
        <v>0</v>
      </c>
      <c r="AK202" s="5" t="e">
        <f t="shared" si="73"/>
        <v>#DIV/0!</v>
      </c>
      <c r="AL202" s="5" t="e">
        <f t="shared" si="74"/>
        <v>#DIV/0!</v>
      </c>
    </row>
    <row r="203" spans="23:38" x14ac:dyDescent="0.2">
      <c r="W203" s="2" t="str">
        <f t="shared" si="72"/>
        <v>0</v>
      </c>
      <c r="AK203" s="5" t="e">
        <f t="shared" si="73"/>
        <v>#DIV/0!</v>
      </c>
      <c r="AL203" s="5" t="e">
        <f t="shared" si="74"/>
        <v>#DIV/0!</v>
      </c>
    </row>
    <row r="204" spans="23:38" x14ac:dyDescent="0.2">
      <c r="W204" s="2" t="str">
        <f t="shared" si="72"/>
        <v>0</v>
      </c>
      <c r="AK204" s="5" t="e">
        <f t="shared" si="73"/>
        <v>#DIV/0!</v>
      </c>
      <c r="AL204" s="5" t="e">
        <f t="shared" si="74"/>
        <v>#DIV/0!</v>
      </c>
    </row>
    <row r="205" spans="23:38" x14ac:dyDescent="0.2">
      <c r="W205" s="2" t="str">
        <f t="shared" si="72"/>
        <v>0</v>
      </c>
      <c r="AK205" s="5" t="e">
        <f t="shared" si="73"/>
        <v>#DIV/0!</v>
      </c>
      <c r="AL205" s="5" t="e">
        <f t="shared" si="74"/>
        <v>#DIV/0!</v>
      </c>
    </row>
    <row r="206" spans="23:38" x14ac:dyDescent="0.2">
      <c r="W206" s="2" t="str">
        <f t="shared" si="72"/>
        <v>0</v>
      </c>
      <c r="AK206" s="5" t="e">
        <f t="shared" si="73"/>
        <v>#DIV/0!</v>
      </c>
      <c r="AL206" s="5" t="e">
        <f t="shared" si="74"/>
        <v>#DIV/0!</v>
      </c>
    </row>
    <row r="207" spans="23:38" x14ac:dyDescent="0.2">
      <c r="W207" s="2" t="str">
        <f t="shared" si="72"/>
        <v>0</v>
      </c>
      <c r="AK207" s="5" t="e">
        <f t="shared" si="73"/>
        <v>#DIV/0!</v>
      </c>
      <c r="AL207" s="5" t="e">
        <f t="shared" si="74"/>
        <v>#DIV/0!</v>
      </c>
    </row>
    <row r="208" spans="23:38" x14ac:dyDescent="0.2">
      <c r="W208" s="2" t="str">
        <f t="shared" si="72"/>
        <v>0</v>
      </c>
      <c r="AK208" s="5" t="e">
        <f t="shared" si="73"/>
        <v>#DIV/0!</v>
      </c>
      <c r="AL208" s="5" t="e">
        <f t="shared" si="74"/>
        <v>#DIV/0!</v>
      </c>
    </row>
    <row r="209" spans="23:38" x14ac:dyDescent="0.2">
      <c r="W209" s="2" t="str">
        <f t="shared" si="72"/>
        <v>0</v>
      </c>
      <c r="AK209" s="5" t="e">
        <f t="shared" si="73"/>
        <v>#DIV/0!</v>
      </c>
      <c r="AL209" s="5" t="e">
        <f t="shared" si="74"/>
        <v>#DIV/0!</v>
      </c>
    </row>
    <row r="210" spans="23:38" x14ac:dyDescent="0.2">
      <c r="W210" s="2" t="str">
        <f t="shared" si="72"/>
        <v>0</v>
      </c>
      <c r="AK210" s="5" t="e">
        <f t="shared" si="73"/>
        <v>#DIV/0!</v>
      </c>
      <c r="AL210" s="5" t="e">
        <f t="shared" si="74"/>
        <v>#DIV/0!</v>
      </c>
    </row>
    <row r="211" spans="23:38" x14ac:dyDescent="0.2">
      <c r="W211" s="2" t="str">
        <f t="shared" si="72"/>
        <v>0</v>
      </c>
      <c r="AK211" s="5" t="e">
        <f t="shared" si="73"/>
        <v>#DIV/0!</v>
      </c>
      <c r="AL211" s="5" t="e">
        <f t="shared" si="74"/>
        <v>#DIV/0!</v>
      </c>
    </row>
    <row r="212" spans="23:38" x14ac:dyDescent="0.2">
      <c r="W212" s="2" t="str">
        <f t="shared" ref="W212:W255" si="75">IF(V212=U212,"0","1")</f>
        <v>0</v>
      </c>
      <c r="AK212" s="5" t="e">
        <f t="shared" si="73"/>
        <v>#DIV/0!</v>
      </c>
      <c r="AL212" s="5" t="e">
        <f t="shared" si="74"/>
        <v>#DIV/0!</v>
      </c>
    </row>
    <row r="213" spans="23:38" x14ac:dyDescent="0.2">
      <c r="W213" s="2" t="str">
        <f t="shared" si="75"/>
        <v>0</v>
      </c>
      <c r="AK213" s="5" t="e">
        <f t="shared" ref="AK213:AK255" si="76">AG213/AI213</f>
        <v>#DIV/0!</v>
      </c>
      <c r="AL213" s="5" t="e">
        <f t="shared" ref="AL213:AL255" si="77">AH213/AJ213</f>
        <v>#DIV/0!</v>
      </c>
    </row>
    <row r="214" spans="23:38" x14ac:dyDescent="0.2">
      <c r="W214" s="2" t="str">
        <f t="shared" si="75"/>
        <v>0</v>
      </c>
      <c r="AK214" s="5" t="e">
        <f t="shared" si="76"/>
        <v>#DIV/0!</v>
      </c>
      <c r="AL214" s="5" t="e">
        <f t="shared" si="77"/>
        <v>#DIV/0!</v>
      </c>
    </row>
    <row r="215" spans="23:38" x14ac:dyDescent="0.2">
      <c r="W215" s="2" t="str">
        <f t="shared" si="75"/>
        <v>0</v>
      </c>
      <c r="AK215" s="5" t="e">
        <f t="shared" si="76"/>
        <v>#DIV/0!</v>
      </c>
      <c r="AL215" s="5" t="e">
        <f t="shared" si="77"/>
        <v>#DIV/0!</v>
      </c>
    </row>
    <row r="216" spans="23:38" x14ac:dyDescent="0.2">
      <c r="W216" s="2" t="str">
        <f t="shared" si="75"/>
        <v>0</v>
      </c>
      <c r="AK216" s="5" t="e">
        <f t="shared" si="76"/>
        <v>#DIV/0!</v>
      </c>
      <c r="AL216" s="5" t="e">
        <f t="shared" si="77"/>
        <v>#DIV/0!</v>
      </c>
    </row>
    <row r="217" spans="23:38" x14ac:dyDescent="0.2">
      <c r="W217" s="2" t="str">
        <f t="shared" si="75"/>
        <v>0</v>
      </c>
      <c r="AK217" s="5" t="e">
        <f t="shared" si="76"/>
        <v>#DIV/0!</v>
      </c>
      <c r="AL217" s="5" t="e">
        <f t="shared" si="77"/>
        <v>#DIV/0!</v>
      </c>
    </row>
    <row r="218" spans="23:38" x14ac:dyDescent="0.2">
      <c r="W218" s="2" t="str">
        <f t="shared" si="75"/>
        <v>0</v>
      </c>
      <c r="AK218" s="5" t="e">
        <f t="shared" si="76"/>
        <v>#DIV/0!</v>
      </c>
      <c r="AL218" s="5" t="e">
        <f t="shared" si="77"/>
        <v>#DIV/0!</v>
      </c>
    </row>
    <row r="219" spans="23:38" x14ac:dyDescent="0.2">
      <c r="W219" s="2" t="str">
        <f t="shared" si="75"/>
        <v>0</v>
      </c>
      <c r="AK219" s="5" t="e">
        <f t="shared" si="76"/>
        <v>#DIV/0!</v>
      </c>
      <c r="AL219" s="5" t="e">
        <f t="shared" si="77"/>
        <v>#DIV/0!</v>
      </c>
    </row>
    <row r="220" spans="23:38" x14ac:dyDescent="0.2">
      <c r="W220" s="2" t="str">
        <f t="shared" si="75"/>
        <v>0</v>
      </c>
      <c r="AK220" s="5" t="e">
        <f t="shared" si="76"/>
        <v>#DIV/0!</v>
      </c>
      <c r="AL220" s="5" t="e">
        <f t="shared" si="77"/>
        <v>#DIV/0!</v>
      </c>
    </row>
    <row r="221" spans="23:38" x14ac:dyDescent="0.2">
      <c r="W221" s="2" t="str">
        <f t="shared" si="75"/>
        <v>0</v>
      </c>
      <c r="AK221" s="5" t="e">
        <f t="shared" si="76"/>
        <v>#DIV/0!</v>
      </c>
      <c r="AL221" s="5" t="e">
        <f t="shared" si="77"/>
        <v>#DIV/0!</v>
      </c>
    </row>
    <row r="222" spans="23:38" x14ac:dyDescent="0.2">
      <c r="W222" s="2" t="str">
        <f t="shared" si="75"/>
        <v>0</v>
      </c>
      <c r="AK222" s="5" t="e">
        <f t="shared" si="76"/>
        <v>#DIV/0!</v>
      </c>
      <c r="AL222" s="5" t="e">
        <f t="shared" si="77"/>
        <v>#DIV/0!</v>
      </c>
    </row>
    <row r="223" spans="23:38" x14ac:dyDescent="0.2">
      <c r="W223" s="2" t="str">
        <f t="shared" si="75"/>
        <v>0</v>
      </c>
      <c r="AK223" s="5" t="e">
        <f t="shared" si="76"/>
        <v>#DIV/0!</v>
      </c>
      <c r="AL223" s="5" t="e">
        <f t="shared" si="77"/>
        <v>#DIV/0!</v>
      </c>
    </row>
    <row r="224" spans="23:38" x14ac:dyDescent="0.2">
      <c r="W224" s="2" t="str">
        <f t="shared" si="75"/>
        <v>0</v>
      </c>
      <c r="AK224" s="5" t="e">
        <f t="shared" si="76"/>
        <v>#DIV/0!</v>
      </c>
      <c r="AL224" s="5" t="e">
        <f t="shared" si="77"/>
        <v>#DIV/0!</v>
      </c>
    </row>
    <row r="225" spans="23:38" x14ac:dyDescent="0.2">
      <c r="W225" s="2" t="str">
        <f t="shared" si="75"/>
        <v>0</v>
      </c>
      <c r="AK225" s="5" t="e">
        <f t="shared" si="76"/>
        <v>#DIV/0!</v>
      </c>
      <c r="AL225" s="5" t="e">
        <f t="shared" si="77"/>
        <v>#DIV/0!</v>
      </c>
    </row>
    <row r="226" spans="23:38" x14ac:dyDescent="0.2">
      <c r="W226" s="2" t="str">
        <f t="shared" si="75"/>
        <v>0</v>
      </c>
      <c r="AK226" s="5" t="e">
        <f t="shared" si="76"/>
        <v>#DIV/0!</v>
      </c>
      <c r="AL226" s="5" t="e">
        <f t="shared" si="77"/>
        <v>#DIV/0!</v>
      </c>
    </row>
    <row r="227" spans="23:38" x14ac:dyDescent="0.2">
      <c r="W227" s="2" t="str">
        <f t="shared" si="75"/>
        <v>0</v>
      </c>
      <c r="AK227" s="5" t="e">
        <f t="shared" si="76"/>
        <v>#DIV/0!</v>
      </c>
      <c r="AL227" s="5" t="e">
        <f t="shared" si="77"/>
        <v>#DIV/0!</v>
      </c>
    </row>
    <row r="228" spans="23:38" x14ac:dyDescent="0.2">
      <c r="W228" s="2" t="str">
        <f t="shared" si="75"/>
        <v>0</v>
      </c>
      <c r="AK228" s="5" t="e">
        <f t="shared" si="76"/>
        <v>#DIV/0!</v>
      </c>
      <c r="AL228" s="5" t="e">
        <f t="shared" si="77"/>
        <v>#DIV/0!</v>
      </c>
    </row>
    <row r="229" spans="23:38" x14ac:dyDescent="0.2">
      <c r="W229" s="2" t="str">
        <f t="shared" si="75"/>
        <v>0</v>
      </c>
      <c r="AK229" s="5" t="e">
        <f t="shared" si="76"/>
        <v>#DIV/0!</v>
      </c>
      <c r="AL229" s="5" t="e">
        <f t="shared" si="77"/>
        <v>#DIV/0!</v>
      </c>
    </row>
    <row r="230" spans="23:38" x14ac:dyDescent="0.2">
      <c r="W230" s="2" t="str">
        <f t="shared" si="75"/>
        <v>0</v>
      </c>
      <c r="AK230" s="5" t="e">
        <f t="shared" si="76"/>
        <v>#DIV/0!</v>
      </c>
      <c r="AL230" s="5" t="e">
        <f t="shared" si="77"/>
        <v>#DIV/0!</v>
      </c>
    </row>
    <row r="231" spans="23:38" x14ac:dyDescent="0.2">
      <c r="W231" s="2" t="str">
        <f t="shared" si="75"/>
        <v>0</v>
      </c>
      <c r="AK231" s="5" t="e">
        <f t="shared" si="76"/>
        <v>#DIV/0!</v>
      </c>
      <c r="AL231" s="5" t="e">
        <f t="shared" si="77"/>
        <v>#DIV/0!</v>
      </c>
    </row>
    <row r="232" spans="23:38" x14ac:dyDescent="0.2">
      <c r="W232" s="2" t="str">
        <f t="shared" si="75"/>
        <v>0</v>
      </c>
      <c r="AK232" s="5" t="e">
        <f t="shared" si="76"/>
        <v>#DIV/0!</v>
      </c>
      <c r="AL232" s="5" t="e">
        <f t="shared" si="77"/>
        <v>#DIV/0!</v>
      </c>
    </row>
    <row r="233" spans="23:38" x14ac:dyDescent="0.2">
      <c r="W233" s="2" t="str">
        <f t="shared" si="75"/>
        <v>0</v>
      </c>
      <c r="AK233" s="5" t="e">
        <f t="shared" si="76"/>
        <v>#DIV/0!</v>
      </c>
      <c r="AL233" s="5" t="e">
        <f t="shared" si="77"/>
        <v>#DIV/0!</v>
      </c>
    </row>
    <row r="234" spans="23:38" x14ac:dyDescent="0.2">
      <c r="W234" s="2" t="str">
        <f t="shared" si="75"/>
        <v>0</v>
      </c>
      <c r="AK234" s="5" t="e">
        <f t="shared" si="76"/>
        <v>#DIV/0!</v>
      </c>
      <c r="AL234" s="5" t="e">
        <f t="shared" si="77"/>
        <v>#DIV/0!</v>
      </c>
    </row>
    <row r="235" spans="23:38" x14ac:dyDescent="0.2">
      <c r="W235" s="2" t="str">
        <f t="shared" si="75"/>
        <v>0</v>
      </c>
      <c r="AK235" s="5" t="e">
        <f t="shared" si="76"/>
        <v>#DIV/0!</v>
      </c>
      <c r="AL235" s="5" t="e">
        <f t="shared" si="77"/>
        <v>#DIV/0!</v>
      </c>
    </row>
    <row r="236" spans="23:38" x14ac:dyDescent="0.2">
      <c r="W236" s="2" t="str">
        <f t="shared" si="75"/>
        <v>0</v>
      </c>
      <c r="AK236" s="5" t="e">
        <f t="shared" si="76"/>
        <v>#DIV/0!</v>
      </c>
      <c r="AL236" s="5" t="e">
        <f t="shared" si="77"/>
        <v>#DIV/0!</v>
      </c>
    </row>
    <row r="237" spans="23:38" x14ac:dyDescent="0.2">
      <c r="W237" s="2" t="str">
        <f t="shared" si="75"/>
        <v>0</v>
      </c>
      <c r="AK237" s="5" t="e">
        <f t="shared" si="76"/>
        <v>#DIV/0!</v>
      </c>
      <c r="AL237" s="5" t="e">
        <f t="shared" si="77"/>
        <v>#DIV/0!</v>
      </c>
    </row>
    <row r="238" spans="23:38" x14ac:dyDescent="0.2">
      <c r="W238" s="2" t="str">
        <f t="shared" si="75"/>
        <v>0</v>
      </c>
      <c r="AK238" s="5" t="e">
        <f t="shared" si="76"/>
        <v>#DIV/0!</v>
      </c>
      <c r="AL238" s="5" t="e">
        <f t="shared" si="77"/>
        <v>#DIV/0!</v>
      </c>
    </row>
    <row r="239" spans="23:38" x14ac:dyDescent="0.2">
      <c r="W239" s="2" t="str">
        <f t="shared" si="75"/>
        <v>0</v>
      </c>
      <c r="AK239" s="5" t="e">
        <f t="shared" si="76"/>
        <v>#DIV/0!</v>
      </c>
      <c r="AL239" s="5" t="e">
        <f t="shared" si="77"/>
        <v>#DIV/0!</v>
      </c>
    </row>
    <row r="240" spans="23:38" x14ac:dyDescent="0.2">
      <c r="W240" s="2" t="str">
        <f t="shared" si="75"/>
        <v>0</v>
      </c>
      <c r="AK240" s="5" t="e">
        <f t="shared" si="76"/>
        <v>#DIV/0!</v>
      </c>
      <c r="AL240" s="5" t="e">
        <f t="shared" si="77"/>
        <v>#DIV/0!</v>
      </c>
    </row>
    <row r="241" spans="23:38" x14ac:dyDescent="0.2">
      <c r="W241" s="2" t="str">
        <f t="shared" si="75"/>
        <v>0</v>
      </c>
      <c r="AK241" s="5" t="e">
        <f t="shared" si="76"/>
        <v>#DIV/0!</v>
      </c>
      <c r="AL241" s="5" t="e">
        <f t="shared" si="77"/>
        <v>#DIV/0!</v>
      </c>
    </row>
    <row r="242" spans="23:38" x14ac:dyDescent="0.2">
      <c r="W242" s="2" t="str">
        <f t="shared" si="75"/>
        <v>0</v>
      </c>
      <c r="AK242" s="5" t="e">
        <f t="shared" si="76"/>
        <v>#DIV/0!</v>
      </c>
      <c r="AL242" s="5" t="e">
        <f t="shared" si="77"/>
        <v>#DIV/0!</v>
      </c>
    </row>
    <row r="243" spans="23:38" x14ac:dyDescent="0.2">
      <c r="W243" s="2" t="str">
        <f t="shared" si="75"/>
        <v>0</v>
      </c>
      <c r="AK243" s="5" t="e">
        <f t="shared" si="76"/>
        <v>#DIV/0!</v>
      </c>
      <c r="AL243" s="5" t="e">
        <f t="shared" si="77"/>
        <v>#DIV/0!</v>
      </c>
    </row>
    <row r="244" spans="23:38" x14ac:dyDescent="0.2">
      <c r="W244" s="2" t="str">
        <f t="shared" si="75"/>
        <v>0</v>
      </c>
      <c r="AK244" s="5" t="e">
        <f t="shared" si="76"/>
        <v>#DIV/0!</v>
      </c>
      <c r="AL244" s="5" t="e">
        <f t="shared" si="77"/>
        <v>#DIV/0!</v>
      </c>
    </row>
    <row r="245" spans="23:38" x14ac:dyDescent="0.2">
      <c r="W245" s="2" t="str">
        <f t="shared" si="75"/>
        <v>0</v>
      </c>
      <c r="AK245" s="5" t="e">
        <f t="shared" si="76"/>
        <v>#DIV/0!</v>
      </c>
      <c r="AL245" s="5" t="e">
        <f t="shared" si="77"/>
        <v>#DIV/0!</v>
      </c>
    </row>
    <row r="246" spans="23:38" x14ac:dyDescent="0.2">
      <c r="W246" s="2" t="str">
        <f t="shared" si="75"/>
        <v>0</v>
      </c>
      <c r="AK246" s="5" t="e">
        <f t="shared" si="76"/>
        <v>#DIV/0!</v>
      </c>
      <c r="AL246" s="5" t="e">
        <f t="shared" si="77"/>
        <v>#DIV/0!</v>
      </c>
    </row>
    <row r="247" spans="23:38" x14ac:dyDescent="0.2">
      <c r="W247" s="2" t="str">
        <f t="shared" si="75"/>
        <v>0</v>
      </c>
      <c r="AK247" s="5" t="e">
        <f t="shared" si="76"/>
        <v>#DIV/0!</v>
      </c>
      <c r="AL247" s="5" t="e">
        <f t="shared" si="77"/>
        <v>#DIV/0!</v>
      </c>
    </row>
    <row r="248" spans="23:38" x14ac:dyDescent="0.2">
      <c r="W248" s="2" t="str">
        <f t="shared" si="75"/>
        <v>0</v>
      </c>
      <c r="AK248" s="5" t="e">
        <f t="shared" si="76"/>
        <v>#DIV/0!</v>
      </c>
      <c r="AL248" s="5" t="e">
        <f t="shared" si="77"/>
        <v>#DIV/0!</v>
      </c>
    </row>
    <row r="249" spans="23:38" x14ac:dyDescent="0.2">
      <c r="W249" s="2" t="str">
        <f t="shared" si="75"/>
        <v>0</v>
      </c>
      <c r="AK249" s="5" t="e">
        <f t="shared" si="76"/>
        <v>#DIV/0!</v>
      </c>
      <c r="AL249" s="5" t="e">
        <f t="shared" si="77"/>
        <v>#DIV/0!</v>
      </c>
    </row>
    <row r="250" spans="23:38" x14ac:dyDescent="0.2">
      <c r="W250" s="2" t="str">
        <f t="shared" si="75"/>
        <v>0</v>
      </c>
      <c r="AK250" s="5" t="e">
        <f t="shared" si="76"/>
        <v>#DIV/0!</v>
      </c>
      <c r="AL250" s="5" t="e">
        <f t="shared" si="77"/>
        <v>#DIV/0!</v>
      </c>
    </row>
    <row r="251" spans="23:38" x14ac:dyDescent="0.2">
      <c r="W251" s="2" t="str">
        <f t="shared" si="75"/>
        <v>0</v>
      </c>
      <c r="AK251" s="5" t="e">
        <f t="shared" si="76"/>
        <v>#DIV/0!</v>
      </c>
      <c r="AL251" s="5" t="e">
        <f t="shared" si="77"/>
        <v>#DIV/0!</v>
      </c>
    </row>
    <row r="252" spans="23:38" x14ac:dyDescent="0.2">
      <c r="W252" s="2" t="str">
        <f t="shared" si="75"/>
        <v>0</v>
      </c>
      <c r="AK252" s="5" t="e">
        <f t="shared" si="76"/>
        <v>#DIV/0!</v>
      </c>
      <c r="AL252" s="5" t="e">
        <f t="shared" si="77"/>
        <v>#DIV/0!</v>
      </c>
    </row>
    <row r="253" spans="23:38" x14ac:dyDescent="0.2">
      <c r="W253" s="2" t="str">
        <f t="shared" si="75"/>
        <v>0</v>
      </c>
      <c r="AK253" s="5" t="e">
        <f t="shared" si="76"/>
        <v>#DIV/0!</v>
      </c>
      <c r="AL253" s="5" t="e">
        <f t="shared" si="77"/>
        <v>#DIV/0!</v>
      </c>
    </row>
    <row r="254" spans="23:38" x14ac:dyDescent="0.2">
      <c r="W254" s="2" t="str">
        <f t="shared" si="75"/>
        <v>0</v>
      </c>
      <c r="AK254" s="5" t="e">
        <f t="shared" si="76"/>
        <v>#DIV/0!</v>
      </c>
      <c r="AL254" s="5" t="e">
        <f t="shared" si="77"/>
        <v>#DIV/0!</v>
      </c>
    </row>
    <row r="255" spans="23:38" x14ac:dyDescent="0.2">
      <c r="W255" s="2" t="str">
        <f t="shared" si="75"/>
        <v>0</v>
      </c>
      <c r="AK255" s="5" t="e">
        <f t="shared" si="76"/>
        <v>#DIV/0!</v>
      </c>
      <c r="AL255" s="5" t="e">
        <f t="shared" si="77"/>
        <v>#DIV/0!</v>
      </c>
    </row>
  </sheetData>
  <autoFilter ref="A1:A255" xr:uid="{AF7CA35C-FF3C-F84A-873E-83008C879785}"/>
  <dataConsolidate/>
  <conditionalFormatting sqref="E26:AT26 E27:BY30 E31:AE34 E35:BY35 E36:AE38 E45:AT46 E47:AE49 D50:BY50 E51:AV51 E52:AT53 E54:BX54 E56:AT56 E57:BY58 E59:AV59 E60:AT60 E61:BY62 E63:AE70 E75:AT76 E79:AT80 E81:BY82 E93:AT93 E94:AE95 E96:AT96 E99:AT99 E100:AE103 E104:AT105 E106:BY106 E107:AT107 E108:AE109 E112:AT112 AV26 AX26:BY26 AF31:AT31 AV31 AX31:BY32 AF32:AV32 AF33:BY34 AF36:BY37 AF38:AT38 AV38:BY38 AV45:BY46 AF47:BY47 AF48:AV48 AX48:BY48 AF49:AT49 AV49:BY49 AX51:BY51 AV52:BY53 AV56:BY56 AX59:BY59 AV60:BY60 AF63:AV63 AX63:BY63 AF64:BY66 AF67:AL67 AO67:AT67 AV67:BY67 AF68:BY70 AV75:BY76 AV79 AX79:BY79 AV80:BY80 AF83:BY83 AF84:AV84 AX84:BY84 AF85:BY87 AF88:AZ88 BC88:BY88 AF89:BY89 AF90:AN90 AP90:AX90 AZ90:BY90 AF91:BY92 AV93:BY93 AF94:BY94 AF95:AT95 AV95:BY96 AV99:BY99 AF100:AT100 AV100 AX100:BY100 AF101:BY103 AV104:AX104 AZ104:BY104 AV105:BY105 AV107:AX107 AZ107:BY107 AF108:AT108 AV108:BY108 AF109:AO109 AQ109:BY109 AV112:BY113 D112:D114 AV118 AX118:BY118 AX122:BY122 AV123:BY123 AV124 AX124 AZ124:BY124 AW133:AW137 AY133:AY137 AW139:AW143 AY139:AY143 AY145:AY150 AW146:AW147 AW149:AW150 B127:AE128 B129:AU129 B113:AT113 B118:AT118 B122:AV122 B123:AT124 B130:BY130 B131:AE132 B152:BY255 A2:C2 K133:AV150 AX133:AX150 B125:BY126 B119:BY121 B114:BY117 E110:BY111 E97:BY98 E83:AE92 E77:BY78 E71:BY74 E55:BY55 B15:C19 B7:B18 C6:C18 K151:BY151 B133:J151 B3:C6 E2:BY25 E39:BY44 B19:D111 A3:A255">
    <cfRule type="expression" dxfId="18" priority="80">
      <formula>MOD(ROW(),2)=0</formula>
    </cfRule>
  </conditionalFormatting>
  <conditionalFormatting sqref="B56:AT56 B57:BY58 B59:AV59 B60:AT60 B61:BY62 A112:A113 AX26:BY26 AF31:AT31 AV31 AX31:BY32 AF32:AV32 AF33:BY34 AF36:BY37 AF38:AT38 AV38:BY38 AV45:BY46 AF47:BY47 AF48:AV48 AX48:BY48 AF49:AT49 AV49:BY49 AX51:BY51 AV52:BY53 AV56:BY56 AX59:BY59 AV60:BY60 AF63:AV63 AX63:BY63 AF64:BY66 AF67:AL67 AO67:AT67 AV67:BY67 B63:AE70 AF68:BY70 AV75:BY76 AV79 AX79:BY79 AV80:BY80 AF83:BY83 AF84:AV84 AX84:BY84 AF85:BY87 AF88:AZ88 BC88:BY88 AF89:BY89 AF90:AN90 AP90:AX90 AZ90:BY90 AF91:BY92 AV93:BY93 AF94:BY94 AF95:AT95 AV95:BY96 AV99:BY99 AF100:AT100 AV100 AX100:BY100 AF101:BY103 AV104:AX104 AZ104:BY104 AV105:BY105 AV107:AX107 AZ107:BY107 AF108:AT108 AV108:BY108 AF109:AO109 AQ109:BY110 D112:AT113 AV112:BY113 AV118 AX118:BY118 AX122:BY122 AV123:BY123 AV124 AX124 AZ124:BY124 AW139:AW143 AY139:AY143 AY145:AY150 AW146:AW147 AW149:AW150 A26:AT26 A27:BY30 A31:AE34 A35:BY35 A36:AE38 A45:AT46 A47:AE49 A50:BY50 A51:AV51 A52:AT53 A71:BY74 A75:AT76 A79:AT80 A81:BY82 A93:AT93 A94:AE95 A96:AT96 A99:AT99 A100:AE103 A104:AT105 A106:BY106 A107:AT107 A108:AE109 A110:AO110 A118:AT118 A122:AV122 A123:AT124 A152:BY255 AW133:AW137 AY133:AY137 AX133:AX150 K133:AV150 A125:BY132 A119:BY121 A114:BY117 O112:P114 A111:BY111 A97:BY98 A83:AE92 A77:BY78 B55:BY55 A54:BY54 A55:A70 K151:BY151 A133:J151 A2:BY25 A39:BY44">
    <cfRule type="expression" dxfId="17" priority="1">
      <formula>$A2="Drop-out"</formula>
    </cfRule>
  </conditionalFormatting>
  <conditionalFormatting sqref="AV26">
    <cfRule type="expression" dxfId="16" priority="63">
      <formula>$A26="Drop-out"</formula>
    </cfRule>
  </conditionalFormatting>
  <conditionalFormatting sqref="A2:A255">
    <cfRule type="containsText" dxfId="15" priority="64" operator="containsText" text="komplett">
      <formula>NOT(ISERROR(SEARCH("komplett",A2)))</formula>
    </cfRule>
    <cfRule type="containsText" dxfId="14" priority="65" operator="containsText" text="Drop-out">
      <formula>NOT(ISERROR(SEARCH("Drop-out",A2)))</formula>
    </cfRule>
    <cfRule type="containsText" dxfId="13" priority="66" operator="containsText" text="unvollständig">
      <formula>NOT(ISERROR(SEARCH("unvollständig",A2)))</formula>
    </cfRule>
  </conditionalFormatting>
  <conditionalFormatting sqref="AP110 B113:C113">
    <cfRule type="expression" dxfId="12" priority="84">
      <formula>$A109="Drop-out"</formula>
    </cfRule>
  </conditionalFormatting>
  <conditionalFormatting sqref="C113:C1048576 C1:C111">
    <cfRule type="containsText" dxfId="11" priority="79" operator="containsText" text="Fehler">
      <formula>NOT(ISERROR(SEARCH("Fehler",C1)))</formula>
    </cfRule>
  </conditionalFormatting>
  <conditionalFormatting sqref="H1:H1048576">
    <cfRule type="containsText" dxfId="10" priority="70" operator="containsText" text="&gt;III">
      <formula>NOT(ISERROR(SEARCH("&gt;III",H1)))</formula>
    </cfRule>
    <cfRule type="containsText" dxfId="9" priority="78" operator="containsText" text="fehlt">
      <formula>NOT(ISERROR(SEARCH("fehlt",H1)))</formula>
    </cfRule>
  </conditionalFormatting>
  <conditionalFormatting sqref="W1:W1048576">
    <cfRule type="containsText" dxfId="8" priority="77" operator="containsText" text="FALSCH">
      <formula>NOT(ISERROR(SEARCH("FALSCH",W1)))</formula>
    </cfRule>
  </conditionalFormatting>
  <conditionalFormatting sqref="AF127:BY128">
    <cfRule type="expression" dxfId="7" priority="52">
      <formula>MOD(ROW(),2)=0</formula>
    </cfRule>
  </conditionalFormatting>
  <conditionalFormatting sqref="AF131:BY132">
    <cfRule type="expression" dxfId="6" priority="40">
      <formula>MOD(ROW(),2)=0</formula>
    </cfRule>
  </conditionalFormatting>
  <conditionalFormatting sqref="AV129:BY129">
    <cfRule type="expression" dxfId="5" priority="46">
      <formula>MOD(ROW(),2)=0</formula>
    </cfRule>
  </conditionalFormatting>
  <conditionalFormatting sqref="AZ133:BY150">
    <cfRule type="expression" dxfId="4" priority="3">
      <formula>$A133="Drop-out"</formula>
    </cfRule>
    <cfRule type="expression" dxfId="3" priority="4">
      <formula>MOD(ROW(),2)=0</formula>
    </cfRule>
  </conditionalFormatting>
  <conditionalFormatting sqref="BY54">
    <cfRule type="expression" dxfId="2" priority="62">
      <formula>MOD(ROW(),2)=0</formula>
    </cfRule>
  </conditionalFormatting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701260A-E01F-4D8D-9529-2FDC53A93BE0}">
          <x14:formula1>
            <xm:f>Glossar!$E$68:$Q$68</xm:f>
          </x14:formula1>
          <xm:sqref>BM151:BM1048576 BM2:BM132</xm:sqref>
        </x14:dataValidation>
        <x14:dataValidation type="list" allowBlank="1" showInputMessage="1" showErrorMessage="1" xr:uid="{BD1F6ECC-B6D3-4D68-B5C4-AD51580227C3}">
          <x14:formula1>
            <xm:f>Glossar!$E$3:$H$3</xm:f>
          </x14:formula1>
          <xm:sqref>A2:A255</xm:sqref>
        </x14:dataValidation>
        <x14:dataValidation type="list" allowBlank="1" showInputMessage="1" showErrorMessage="1" xr:uid="{E602909D-EC11-0743-B8B7-FEC4D9620E7C}">
          <x14:formula1>
            <xm:f>Glossar!$E$28:$F$28</xm:f>
          </x14:formula1>
          <xm:sqref>T2:T255</xm:sqref>
        </x14:dataValidation>
        <x14:dataValidation type="list" allowBlank="1" showInputMessage="1" showErrorMessage="1" xr:uid="{A8B49749-3411-4A48-818E-1E0AB74F95FC}">
          <x14:formula1>
            <xm:f>Glossar!$E$73:$I$73</xm:f>
          </x14:formula1>
          <xm:sqref>BR2:BR255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7E60-5DD3-EE46-8986-34E36D69EC80}">
  <dimension ref="A1:H28"/>
  <sheetViews>
    <sheetView workbookViewId="0">
      <selection activeCell="D14" sqref="D14"/>
    </sheetView>
  </sheetViews>
  <sheetFormatPr baseColWidth="10" defaultRowHeight="16" x14ac:dyDescent="0.2"/>
  <cols>
    <col min="1" max="1" width="7.33203125" customWidth="1"/>
    <col min="2" max="2" width="37.33203125" style="6" bestFit="1" customWidth="1"/>
    <col min="3" max="3" width="15.5" bestFit="1" customWidth="1"/>
    <col min="4" max="4" width="20.83203125" bestFit="1" customWidth="1"/>
    <col min="5" max="5" width="29.6640625" bestFit="1" customWidth="1"/>
    <col min="6" max="6" width="23.1640625" bestFit="1" customWidth="1"/>
    <col min="7" max="7" width="20.5" bestFit="1" customWidth="1"/>
  </cols>
  <sheetData>
    <row r="1" spans="1:7" x14ac:dyDescent="0.2">
      <c r="A1" t="s">
        <v>25</v>
      </c>
      <c r="B1" s="6" t="s">
        <v>2</v>
      </c>
      <c r="C1" t="s">
        <v>658</v>
      </c>
      <c r="D1" t="s">
        <v>657</v>
      </c>
    </row>
    <row r="2" spans="1:7" x14ac:dyDescent="0.2">
      <c r="A2" t="s">
        <v>27</v>
      </c>
      <c r="B2" s="6" t="s">
        <v>179</v>
      </c>
      <c r="C2" t="s">
        <v>658</v>
      </c>
      <c r="D2" t="s">
        <v>657</v>
      </c>
      <c r="E2" t="s">
        <v>659</v>
      </c>
    </row>
    <row r="3" spans="1:7" x14ac:dyDescent="0.2">
      <c r="A3" t="s">
        <v>33</v>
      </c>
      <c r="B3" s="6" t="s">
        <v>5</v>
      </c>
      <c r="C3" t="s">
        <v>660</v>
      </c>
      <c r="D3" t="s">
        <v>661</v>
      </c>
      <c r="E3" t="s">
        <v>662</v>
      </c>
      <c r="F3" t="s">
        <v>663</v>
      </c>
    </row>
    <row r="4" spans="1:7" x14ac:dyDescent="0.2">
      <c r="A4" t="s">
        <v>35</v>
      </c>
      <c r="B4" s="6" t="s">
        <v>6</v>
      </c>
      <c r="C4" t="s">
        <v>664</v>
      </c>
      <c r="D4" t="s">
        <v>665</v>
      </c>
    </row>
    <row r="5" spans="1:7" x14ac:dyDescent="0.2">
      <c r="A5" t="s">
        <v>38</v>
      </c>
      <c r="B5" s="6" t="s">
        <v>9</v>
      </c>
      <c r="C5" t="s">
        <v>666</v>
      </c>
      <c r="D5" t="s">
        <v>667</v>
      </c>
      <c r="E5" t="s">
        <v>668</v>
      </c>
    </row>
    <row r="6" spans="1:7" x14ac:dyDescent="0.2">
      <c r="A6" t="s">
        <v>39</v>
      </c>
      <c r="B6" s="6" t="s">
        <v>10</v>
      </c>
      <c r="C6" t="s">
        <v>669</v>
      </c>
    </row>
    <row r="7" spans="1:7" x14ac:dyDescent="0.2">
      <c r="A7" t="s">
        <v>46</v>
      </c>
      <c r="B7" s="6" t="s">
        <v>98</v>
      </c>
      <c r="C7" t="s">
        <v>670</v>
      </c>
      <c r="D7" t="s">
        <v>671</v>
      </c>
    </row>
    <row r="8" spans="1:7" x14ac:dyDescent="0.2">
      <c r="A8" t="s">
        <v>47</v>
      </c>
      <c r="B8" s="6" t="s">
        <v>65</v>
      </c>
      <c r="C8" t="s">
        <v>672</v>
      </c>
    </row>
    <row r="9" spans="1:7" x14ac:dyDescent="0.2">
      <c r="A9" t="s">
        <v>48</v>
      </c>
      <c r="B9" s="6" t="s">
        <v>90</v>
      </c>
      <c r="C9" t="s">
        <v>673</v>
      </c>
      <c r="D9" t="s">
        <v>674</v>
      </c>
      <c r="E9" t="s">
        <v>675</v>
      </c>
    </row>
    <row r="10" spans="1:7" x14ac:dyDescent="0.2">
      <c r="A10" t="s">
        <v>49</v>
      </c>
      <c r="B10" s="6" t="s">
        <v>91</v>
      </c>
      <c r="C10" t="s">
        <v>676</v>
      </c>
      <c r="D10" t="s">
        <v>677</v>
      </c>
    </row>
    <row r="11" spans="1:7" x14ac:dyDescent="0.2">
      <c r="A11" t="s">
        <v>52</v>
      </c>
      <c r="B11" s="6" t="s">
        <v>678</v>
      </c>
      <c r="C11" t="s">
        <v>658</v>
      </c>
      <c r="D11" t="s">
        <v>657</v>
      </c>
    </row>
    <row r="12" spans="1:7" x14ac:dyDescent="0.2">
      <c r="A12" s="6" t="s">
        <v>53</v>
      </c>
      <c r="B12" s="2" t="s">
        <v>67</v>
      </c>
      <c r="C12" t="s">
        <v>658</v>
      </c>
      <c r="D12" t="s">
        <v>657</v>
      </c>
    </row>
    <row r="13" spans="1:7" x14ac:dyDescent="0.2">
      <c r="A13" t="s">
        <v>54</v>
      </c>
      <c r="B13" s="2" t="s">
        <v>66</v>
      </c>
      <c r="C13" t="s">
        <v>658</v>
      </c>
      <c r="D13" t="s">
        <v>657</v>
      </c>
    </row>
    <row r="14" spans="1:7" x14ac:dyDescent="0.2">
      <c r="A14" t="s">
        <v>135</v>
      </c>
      <c r="B14" s="6" t="s">
        <v>117</v>
      </c>
      <c r="C14" t="s">
        <v>679</v>
      </c>
      <c r="D14" t="s">
        <v>680</v>
      </c>
      <c r="E14" t="s">
        <v>681</v>
      </c>
    </row>
    <row r="15" spans="1:7" x14ac:dyDescent="0.2">
      <c r="A15" t="s">
        <v>146</v>
      </c>
      <c r="B15" s="6" t="s">
        <v>95</v>
      </c>
      <c r="C15" t="s">
        <v>717</v>
      </c>
      <c r="D15" t="s">
        <v>718</v>
      </c>
      <c r="E15" t="s">
        <v>719</v>
      </c>
      <c r="F15" t="s">
        <v>720</v>
      </c>
      <c r="G15" t="s">
        <v>721</v>
      </c>
    </row>
    <row r="16" spans="1:7" x14ac:dyDescent="0.2">
      <c r="A16" t="s">
        <v>149</v>
      </c>
      <c r="B16" s="6" t="s">
        <v>96</v>
      </c>
      <c r="C16" t="s">
        <v>722</v>
      </c>
      <c r="D16" t="s">
        <v>723</v>
      </c>
      <c r="E16" t="s">
        <v>724</v>
      </c>
    </row>
    <row r="17" spans="1:8" x14ac:dyDescent="0.2">
      <c r="A17" t="s">
        <v>148</v>
      </c>
      <c r="B17" s="6" t="s">
        <v>68</v>
      </c>
      <c r="C17" t="s">
        <v>737</v>
      </c>
      <c r="D17" t="s">
        <v>738</v>
      </c>
      <c r="E17" t="s">
        <v>739</v>
      </c>
      <c r="F17" t="s">
        <v>740</v>
      </c>
      <c r="G17" t="s">
        <v>741</v>
      </c>
      <c r="H17" t="s">
        <v>803</v>
      </c>
    </row>
    <row r="18" spans="1:8" x14ac:dyDescent="0.2">
      <c r="A18" t="s">
        <v>151</v>
      </c>
      <c r="B18" s="6" t="s">
        <v>123</v>
      </c>
      <c r="C18" t="s">
        <v>742</v>
      </c>
      <c r="D18" t="s">
        <v>743</v>
      </c>
    </row>
    <row r="19" spans="1:8" x14ac:dyDescent="0.2">
      <c r="A19" t="s">
        <v>153</v>
      </c>
      <c r="B19" s="6" t="s">
        <v>69</v>
      </c>
      <c r="C19" t="s">
        <v>658</v>
      </c>
      <c r="D19" t="s">
        <v>657</v>
      </c>
    </row>
    <row r="20" spans="1:8" x14ac:dyDescent="0.2">
      <c r="A20" t="s">
        <v>154</v>
      </c>
      <c r="B20" s="6" t="s">
        <v>744</v>
      </c>
      <c r="C20" t="s">
        <v>658</v>
      </c>
      <c r="D20" t="s">
        <v>657</v>
      </c>
    </row>
    <row r="21" spans="1:8" x14ac:dyDescent="0.2">
      <c r="A21" t="s">
        <v>156</v>
      </c>
      <c r="B21" s="6" t="s">
        <v>70</v>
      </c>
      <c r="C21" t="s">
        <v>658</v>
      </c>
      <c r="D21" t="s">
        <v>657</v>
      </c>
    </row>
    <row r="22" spans="1:8" x14ac:dyDescent="0.2">
      <c r="A22" t="s">
        <v>158</v>
      </c>
      <c r="B22" s="6" t="s">
        <v>71</v>
      </c>
      <c r="C22" t="s">
        <v>658</v>
      </c>
      <c r="D22" t="s">
        <v>657</v>
      </c>
    </row>
    <row r="23" spans="1:8" x14ac:dyDescent="0.2">
      <c r="A23" t="s">
        <v>164</v>
      </c>
      <c r="B23" s="6" t="s">
        <v>763</v>
      </c>
      <c r="C23" t="s">
        <v>658</v>
      </c>
      <c r="D23" t="s">
        <v>764</v>
      </c>
    </row>
    <row r="24" spans="1:8" x14ac:dyDescent="0.2">
      <c r="A24" t="s">
        <v>168</v>
      </c>
      <c r="B24" s="6" t="s">
        <v>765</v>
      </c>
      <c r="C24" t="s">
        <v>664</v>
      </c>
      <c r="D24" t="s">
        <v>665</v>
      </c>
    </row>
    <row r="25" spans="1:8" x14ac:dyDescent="0.2">
      <c r="A25" t="s">
        <v>170</v>
      </c>
      <c r="B25" s="6" t="s">
        <v>766</v>
      </c>
      <c r="C25" t="s">
        <v>658</v>
      </c>
      <c r="D25" t="s">
        <v>657</v>
      </c>
    </row>
    <row r="26" spans="1:8" x14ac:dyDescent="0.2">
      <c r="A26" t="s">
        <v>258</v>
      </c>
      <c r="B26" s="6" t="s">
        <v>767</v>
      </c>
      <c r="C26" t="s">
        <v>768</v>
      </c>
      <c r="D26" t="s">
        <v>769</v>
      </c>
      <c r="E26" t="s">
        <v>770</v>
      </c>
      <c r="F26" t="s">
        <v>771</v>
      </c>
    </row>
    <row r="27" spans="1:8" x14ac:dyDescent="0.2">
      <c r="A27" t="s">
        <v>264</v>
      </c>
      <c r="B27" s="6" t="s">
        <v>772</v>
      </c>
      <c r="C27" t="s">
        <v>658</v>
      </c>
      <c r="D27" t="s">
        <v>657</v>
      </c>
    </row>
    <row r="28" spans="1:8" x14ac:dyDescent="0.2">
      <c r="A28" t="s">
        <v>345</v>
      </c>
      <c r="B28" s="6" t="s">
        <v>773</v>
      </c>
      <c r="C28" t="s">
        <v>658</v>
      </c>
      <c r="D28" t="s">
        <v>657</v>
      </c>
    </row>
  </sheetData>
  <conditionalFormatting sqref="B2">
    <cfRule type="containsText" dxfId="1" priority="1" operator="containsText" text="in Klärung">
      <formula>NOT(ISERROR(SEARCH("in Klärung",B2)))</formula>
    </cfRule>
    <cfRule type="containsText" dxfId="0" priority="2" operator="containsText" text="ja">
      <formula>NOT(ISERROR(SEARCH("ja",B2)))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D023-6439-1345-B215-1DE4340CC912}">
  <dimension ref="A1:Q88"/>
  <sheetViews>
    <sheetView zoomScaleNormal="100" workbookViewId="0">
      <selection activeCell="D3" sqref="D3"/>
    </sheetView>
  </sheetViews>
  <sheetFormatPr baseColWidth="10" defaultRowHeight="16" x14ac:dyDescent="0.2"/>
  <cols>
    <col min="1" max="1" width="6.33203125" style="2" customWidth="1"/>
    <col min="2" max="2" width="35" customWidth="1"/>
    <col min="3" max="3" width="85.5" customWidth="1"/>
    <col min="4" max="4" width="17.1640625" customWidth="1"/>
    <col min="6" max="6" width="11.6640625" customWidth="1"/>
    <col min="8" max="8" width="11" customWidth="1"/>
  </cols>
  <sheetData>
    <row r="1" spans="1:8" ht="19" x14ac:dyDescent="0.25">
      <c r="A1" s="10" t="s">
        <v>15</v>
      </c>
      <c r="B1" s="9" t="s">
        <v>58</v>
      </c>
      <c r="C1" s="9" t="s">
        <v>19</v>
      </c>
      <c r="D1" s="9" t="s">
        <v>20</v>
      </c>
    </row>
    <row r="2" spans="1:8" x14ac:dyDescent="0.2">
      <c r="A2" s="2" t="s">
        <v>16</v>
      </c>
      <c r="B2" t="s">
        <v>0</v>
      </c>
      <c r="C2" s="8" t="s">
        <v>12</v>
      </c>
      <c r="D2" t="s">
        <v>21</v>
      </c>
    </row>
    <row r="3" spans="1:8" ht="17" thickBot="1" x14ac:dyDescent="0.25">
      <c r="A3" s="2" t="s">
        <v>17</v>
      </c>
      <c r="B3" t="s">
        <v>267</v>
      </c>
      <c r="C3" s="8" t="s">
        <v>268</v>
      </c>
      <c r="D3" t="s">
        <v>64</v>
      </c>
      <c r="E3" s="11" t="s">
        <v>269</v>
      </c>
      <c r="F3" s="11" t="s">
        <v>271</v>
      </c>
      <c r="G3" s="11" t="s">
        <v>270</v>
      </c>
      <c r="H3" s="11" t="s">
        <v>272</v>
      </c>
    </row>
    <row r="4" spans="1:8" ht="17" thickTop="1" x14ac:dyDescent="0.2">
      <c r="A4" s="2" t="s">
        <v>18</v>
      </c>
      <c r="B4" t="s">
        <v>1</v>
      </c>
      <c r="C4" s="8" t="s">
        <v>13</v>
      </c>
      <c r="D4" t="s">
        <v>22</v>
      </c>
    </row>
    <row r="5" spans="1:8" ht="17" thickBot="1" x14ac:dyDescent="0.25">
      <c r="A5" s="2" t="s">
        <v>25</v>
      </c>
      <c r="B5" t="s">
        <v>2</v>
      </c>
      <c r="C5" s="8" t="s">
        <v>14</v>
      </c>
      <c r="D5" t="s">
        <v>64</v>
      </c>
      <c r="E5" s="11" t="s">
        <v>23</v>
      </c>
      <c r="F5" s="11" t="s">
        <v>24</v>
      </c>
    </row>
    <row r="6" spans="1:8" ht="17" thickTop="1" x14ac:dyDescent="0.2">
      <c r="A6" s="2" t="s">
        <v>26</v>
      </c>
      <c r="B6" t="s">
        <v>59</v>
      </c>
      <c r="C6" s="8" t="s">
        <v>56</v>
      </c>
      <c r="D6" t="s">
        <v>22</v>
      </c>
    </row>
    <row r="7" spans="1:8" ht="17" thickBot="1" x14ac:dyDescent="0.25">
      <c r="A7" s="2" t="s">
        <v>27</v>
      </c>
      <c r="B7" t="s">
        <v>3</v>
      </c>
      <c r="C7" s="8" t="s">
        <v>57</v>
      </c>
      <c r="D7" t="s">
        <v>64</v>
      </c>
      <c r="E7" s="11" t="s">
        <v>23</v>
      </c>
      <c r="F7" s="11" t="s">
        <v>24</v>
      </c>
    </row>
    <row r="8" spans="1:8" ht="18" thickTop="1" thickBot="1" x14ac:dyDescent="0.25">
      <c r="A8" s="2" t="s">
        <v>28</v>
      </c>
      <c r="B8" s="6" t="s">
        <v>179</v>
      </c>
      <c r="C8" s="8" t="s">
        <v>180</v>
      </c>
      <c r="D8" t="s">
        <v>64</v>
      </c>
      <c r="E8" s="11" t="s">
        <v>23</v>
      </c>
      <c r="F8" s="11" t="s">
        <v>24</v>
      </c>
      <c r="G8" s="11" t="s">
        <v>181</v>
      </c>
    </row>
    <row r="9" spans="1:8" ht="17" thickTop="1" x14ac:dyDescent="0.2">
      <c r="A9" s="2" t="s">
        <v>29</v>
      </c>
      <c r="B9" t="s">
        <v>4</v>
      </c>
      <c r="C9" s="8" t="s">
        <v>60</v>
      </c>
      <c r="D9" t="s">
        <v>193</v>
      </c>
    </row>
    <row r="10" spans="1:8" x14ac:dyDescent="0.2">
      <c r="A10" s="2" t="s">
        <v>30</v>
      </c>
      <c r="B10" s="7" t="s">
        <v>89</v>
      </c>
      <c r="C10" s="8" t="s">
        <v>182</v>
      </c>
      <c r="D10" t="s">
        <v>22</v>
      </c>
    </row>
    <row r="11" spans="1:8" x14ac:dyDescent="0.2">
      <c r="A11" s="2" t="s">
        <v>31</v>
      </c>
      <c r="B11" s="6" t="s">
        <v>55</v>
      </c>
      <c r="C11" s="8" t="s">
        <v>183</v>
      </c>
      <c r="D11" t="s">
        <v>22</v>
      </c>
    </row>
    <row r="12" spans="1:8" x14ac:dyDescent="0.2">
      <c r="A12" s="2" t="s">
        <v>32</v>
      </c>
      <c r="B12" s="6" t="s">
        <v>97</v>
      </c>
      <c r="C12" s="8" t="s">
        <v>184</v>
      </c>
      <c r="D12" t="s">
        <v>186</v>
      </c>
      <c r="E12" s="12" t="str">
        <f>DATEDIF(G5,P5,"y") &amp; " Jahre, " &amp; DATEDIF(G5,P5,"YM") &amp; " Monate und " &amp; DATEDIF(G5,P5,"MD") &amp; " Tage"</f>
        <v>0 Jahre, 0 Monate und 0 Tage</v>
      </c>
    </row>
    <row r="13" spans="1:8" x14ac:dyDescent="0.2">
      <c r="A13" s="2" t="s">
        <v>33</v>
      </c>
      <c r="B13" s="6" t="s">
        <v>99</v>
      </c>
      <c r="C13" s="8" t="s">
        <v>185</v>
      </c>
      <c r="D13" t="s">
        <v>186</v>
      </c>
      <c r="E13" s="12">
        <f>DATEDIF(I6,H6,"y")</f>
        <v>0</v>
      </c>
    </row>
    <row r="14" spans="1:8" x14ac:dyDescent="0.2">
      <c r="A14" s="2" t="s">
        <v>34</v>
      </c>
      <c r="B14" s="6" t="s">
        <v>340</v>
      </c>
      <c r="C14" s="8" t="s">
        <v>341</v>
      </c>
      <c r="D14" t="s">
        <v>186</v>
      </c>
      <c r="E14" s="12">
        <f>DATEDIF(I7,H7,"d")</f>
        <v>0</v>
      </c>
    </row>
    <row r="15" spans="1:8" x14ac:dyDescent="0.2">
      <c r="A15" s="2" t="s">
        <v>35</v>
      </c>
      <c r="B15" t="s">
        <v>5</v>
      </c>
      <c r="C15" s="8" t="s">
        <v>62</v>
      </c>
      <c r="D15" t="s">
        <v>186</v>
      </c>
      <c r="E15" s="12" t="str" cm="1">
        <f t="array" ref="E15">_xlfn.IFS(K6&lt;3, "0-2 Jahre", K6&lt;7, "3-6 Jahre", K6&lt;12, "7-11 Jahre", K6&lt;18, "12-17 Jahre", K6&gt;18, "Fehler")</f>
        <v>0-2 Jahre</v>
      </c>
    </row>
    <row r="16" spans="1:8" x14ac:dyDescent="0.2">
      <c r="A16" s="2" t="s">
        <v>36</v>
      </c>
      <c r="B16" t="s">
        <v>61</v>
      </c>
      <c r="C16" s="8" t="s">
        <v>63</v>
      </c>
      <c r="D16" t="s">
        <v>186</v>
      </c>
      <c r="E16" s="12" t="str">
        <f>IF(COUNTIF($L$6:L6,L6),COUNTIF($L$6:L6,L6),"")</f>
        <v/>
      </c>
    </row>
    <row r="17" spans="1:9" ht="17" thickBot="1" x14ac:dyDescent="0.25">
      <c r="A17" s="2" t="s">
        <v>37</v>
      </c>
      <c r="B17" t="s">
        <v>6</v>
      </c>
      <c r="C17" s="8"/>
      <c r="D17" t="s">
        <v>64</v>
      </c>
      <c r="E17" s="11" t="s">
        <v>100</v>
      </c>
      <c r="F17" s="11" t="s">
        <v>101</v>
      </c>
      <c r="G17" s="11" t="s">
        <v>102</v>
      </c>
    </row>
    <row r="18" spans="1:9" ht="17" thickTop="1" x14ac:dyDescent="0.2">
      <c r="A18" s="2" t="s">
        <v>38</v>
      </c>
      <c r="B18" s="6" t="s">
        <v>7</v>
      </c>
      <c r="C18" s="8" t="s">
        <v>187</v>
      </c>
      <c r="D18" t="s">
        <v>193</v>
      </c>
    </row>
    <row r="19" spans="1:9" x14ac:dyDescent="0.2">
      <c r="A19" s="2" t="s">
        <v>39</v>
      </c>
      <c r="B19" s="6" t="s">
        <v>8</v>
      </c>
      <c r="C19" s="8" t="s">
        <v>188</v>
      </c>
      <c r="D19" t="s">
        <v>193</v>
      </c>
    </row>
    <row r="20" spans="1:9" ht="17" thickBot="1" x14ac:dyDescent="0.25">
      <c r="A20" s="2" t="s">
        <v>41</v>
      </c>
      <c r="B20" t="s">
        <v>9</v>
      </c>
      <c r="C20" s="8" t="s">
        <v>189</v>
      </c>
      <c r="D20" t="s">
        <v>64</v>
      </c>
      <c r="E20" s="11" t="s">
        <v>30</v>
      </c>
      <c r="F20" s="11" t="s">
        <v>103</v>
      </c>
      <c r="G20" s="11" t="s">
        <v>104</v>
      </c>
      <c r="H20" s="11" t="s">
        <v>105</v>
      </c>
      <c r="I20" s="11" t="s">
        <v>106</v>
      </c>
    </row>
    <row r="21" spans="1:9" ht="18" thickTop="1" thickBot="1" x14ac:dyDescent="0.25">
      <c r="A21" s="2" t="s">
        <v>40</v>
      </c>
      <c r="B21" t="s">
        <v>10</v>
      </c>
      <c r="C21" s="8" t="s">
        <v>190</v>
      </c>
      <c r="D21" t="s">
        <v>64</v>
      </c>
      <c r="E21" s="11">
        <v>1</v>
      </c>
      <c r="F21" s="11">
        <v>2</v>
      </c>
      <c r="G21" s="11">
        <v>3</v>
      </c>
      <c r="H21" s="11">
        <v>4</v>
      </c>
      <c r="I21" s="11" t="s">
        <v>107</v>
      </c>
    </row>
    <row r="22" spans="1:9" ht="17" thickTop="1" x14ac:dyDescent="0.2">
      <c r="A22" s="2" t="s">
        <v>110</v>
      </c>
      <c r="B22" s="6" t="s">
        <v>191</v>
      </c>
      <c r="C22" s="8" t="s">
        <v>192</v>
      </c>
      <c r="D22" t="s">
        <v>193</v>
      </c>
    </row>
    <row r="23" spans="1:9" x14ac:dyDescent="0.2">
      <c r="A23" s="2" t="s">
        <v>42</v>
      </c>
      <c r="B23" s="6" t="s">
        <v>11</v>
      </c>
      <c r="C23" s="8" t="s">
        <v>194</v>
      </c>
      <c r="D23" t="s">
        <v>193</v>
      </c>
    </row>
    <row r="24" spans="1:9" x14ac:dyDescent="0.2">
      <c r="A24" s="2" t="s">
        <v>43</v>
      </c>
      <c r="B24" s="6" t="s">
        <v>256</v>
      </c>
      <c r="C24" s="8" t="s">
        <v>257</v>
      </c>
      <c r="D24" t="s">
        <v>193</v>
      </c>
    </row>
    <row r="25" spans="1:9" ht="17" thickBot="1" x14ac:dyDescent="0.25">
      <c r="A25" s="2" t="s">
        <v>44</v>
      </c>
      <c r="B25" t="s">
        <v>98</v>
      </c>
      <c r="C25" s="8"/>
      <c r="D25" t="s">
        <v>64</v>
      </c>
      <c r="E25" s="11" t="s">
        <v>108</v>
      </c>
      <c r="F25" s="11" t="s">
        <v>109</v>
      </c>
    </row>
    <row r="26" spans="1:9" ht="18" thickTop="1" thickBot="1" x14ac:dyDescent="0.25">
      <c r="A26" s="2" t="s">
        <v>45</v>
      </c>
      <c r="B26" s="1" t="s">
        <v>65</v>
      </c>
      <c r="C26" s="8"/>
      <c r="D26" t="s">
        <v>64</v>
      </c>
      <c r="E26" s="11" t="s">
        <v>111</v>
      </c>
      <c r="F26" s="11" t="s">
        <v>255</v>
      </c>
      <c r="G26" s="11" t="s">
        <v>113</v>
      </c>
      <c r="H26" s="11" t="s">
        <v>112</v>
      </c>
    </row>
    <row r="27" spans="1:9" ht="17" thickTop="1" x14ac:dyDescent="0.2">
      <c r="A27" s="2" t="s">
        <v>46</v>
      </c>
      <c r="B27" s="6" t="s">
        <v>90</v>
      </c>
      <c r="C27" s="8"/>
      <c r="D27" t="s">
        <v>193</v>
      </c>
    </row>
    <row r="28" spans="1:9" ht="17" thickBot="1" x14ac:dyDescent="0.25">
      <c r="A28" s="2" t="s">
        <v>47</v>
      </c>
      <c r="B28" t="s">
        <v>91</v>
      </c>
      <c r="C28" s="8"/>
      <c r="D28" t="s">
        <v>64</v>
      </c>
      <c r="E28" s="11" t="s">
        <v>114</v>
      </c>
      <c r="F28" s="11" t="s">
        <v>115</v>
      </c>
    </row>
    <row r="29" spans="1:9" ht="17" thickTop="1" x14ac:dyDescent="0.2">
      <c r="A29" s="2" t="s">
        <v>48</v>
      </c>
      <c r="B29" s="6" t="s">
        <v>93</v>
      </c>
      <c r="C29" s="8" t="s">
        <v>195</v>
      </c>
      <c r="D29" t="s">
        <v>193</v>
      </c>
    </row>
    <row r="30" spans="1:9" x14ac:dyDescent="0.2">
      <c r="A30" s="2" t="s">
        <v>49</v>
      </c>
      <c r="B30" s="6" t="s">
        <v>92</v>
      </c>
      <c r="C30" s="8" t="s">
        <v>196</v>
      </c>
      <c r="D30" t="s">
        <v>193</v>
      </c>
    </row>
    <row r="31" spans="1:9" x14ac:dyDescent="0.2">
      <c r="A31" s="2" t="s">
        <v>50</v>
      </c>
      <c r="B31" s="6" t="s">
        <v>128</v>
      </c>
      <c r="C31" s="8" t="s">
        <v>197</v>
      </c>
      <c r="D31" t="s">
        <v>186</v>
      </c>
      <c r="E31" s="12" t="b">
        <f>IF(Z6=Y6,TRUE)</f>
        <v>1</v>
      </c>
    </row>
    <row r="32" spans="1:9" ht="17" thickBot="1" x14ac:dyDescent="0.25">
      <c r="A32" s="2" t="s">
        <v>51</v>
      </c>
      <c r="B32" s="1" t="s">
        <v>67</v>
      </c>
      <c r="C32" s="8" t="s">
        <v>198</v>
      </c>
      <c r="D32" t="s">
        <v>64</v>
      </c>
      <c r="E32" s="11" t="s">
        <v>129</v>
      </c>
      <c r="F32" s="11" t="s">
        <v>130</v>
      </c>
    </row>
    <row r="33" spans="1:8" ht="18" thickTop="1" thickBot="1" x14ac:dyDescent="0.25">
      <c r="A33" s="2" t="s">
        <v>52</v>
      </c>
      <c r="B33" t="s">
        <v>66</v>
      </c>
      <c r="C33" s="8" t="s">
        <v>199</v>
      </c>
      <c r="D33" t="s">
        <v>64</v>
      </c>
      <c r="E33" s="11" t="s">
        <v>129</v>
      </c>
      <c r="F33" s="11" t="s">
        <v>130</v>
      </c>
    </row>
    <row r="34" spans="1:8" ht="17" thickTop="1" x14ac:dyDescent="0.2">
      <c r="A34" s="2" t="s">
        <v>53</v>
      </c>
      <c r="B34" s="6" t="s">
        <v>116</v>
      </c>
      <c r="C34" s="8" t="s">
        <v>200</v>
      </c>
      <c r="D34" t="s">
        <v>193</v>
      </c>
    </row>
    <row r="35" spans="1:8" ht="17" thickBot="1" x14ac:dyDescent="0.25">
      <c r="A35" s="2" t="s">
        <v>54</v>
      </c>
      <c r="B35" t="s">
        <v>117</v>
      </c>
      <c r="C35" s="8" t="s">
        <v>201</v>
      </c>
      <c r="D35" t="s">
        <v>64</v>
      </c>
      <c r="E35" s="11" t="s">
        <v>132</v>
      </c>
      <c r="F35" s="11" t="s">
        <v>133</v>
      </c>
      <c r="G35" s="11" t="s">
        <v>134</v>
      </c>
      <c r="H35" s="11" t="s">
        <v>130</v>
      </c>
    </row>
    <row r="36" spans="1:8" ht="17" thickTop="1" x14ac:dyDescent="0.2">
      <c r="A36" s="2" t="s">
        <v>131</v>
      </c>
      <c r="B36" s="6" t="s">
        <v>92</v>
      </c>
      <c r="C36" s="8" t="s">
        <v>202</v>
      </c>
      <c r="D36" t="s">
        <v>193</v>
      </c>
    </row>
    <row r="37" spans="1:8" x14ac:dyDescent="0.2">
      <c r="A37" s="2" t="s">
        <v>135</v>
      </c>
      <c r="B37" s="6" t="s">
        <v>118</v>
      </c>
      <c r="C37" s="8" t="s">
        <v>203</v>
      </c>
      <c r="D37" t="s">
        <v>193</v>
      </c>
    </row>
    <row r="38" spans="1:8" x14ac:dyDescent="0.2">
      <c r="A38" s="2" t="s">
        <v>136</v>
      </c>
      <c r="B38" s="6" t="s">
        <v>119</v>
      </c>
      <c r="C38" s="8" t="s">
        <v>204</v>
      </c>
      <c r="D38" t="s">
        <v>193</v>
      </c>
    </row>
    <row r="39" spans="1:8" x14ac:dyDescent="0.2">
      <c r="A39" s="2" t="s">
        <v>137</v>
      </c>
      <c r="B39" s="6" t="s">
        <v>120</v>
      </c>
      <c r="C39" s="8" t="s">
        <v>205</v>
      </c>
      <c r="D39" t="s">
        <v>193</v>
      </c>
    </row>
    <row r="40" spans="1:8" x14ac:dyDescent="0.2">
      <c r="A40" s="2" t="s">
        <v>138</v>
      </c>
      <c r="B40" s="6" t="s">
        <v>121</v>
      </c>
      <c r="C40" s="8" t="s">
        <v>206</v>
      </c>
      <c r="D40" t="s">
        <v>193</v>
      </c>
    </row>
    <row r="41" spans="1:8" x14ac:dyDescent="0.2">
      <c r="A41" s="2" t="s">
        <v>139</v>
      </c>
      <c r="B41" s="6" t="s">
        <v>259</v>
      </c>
      <c r="C41" s="8"/>
      <c r="D41" t="s">
        <v>193</v>
      </c>
    </row>
    <row r="42" spans="1:8" x14ac:dyDescent="0.2">
      <c r="A42" s="2" t="s">
        <v>140</v>
      </c>
      <c r="B42" s="6" t="s">
        <v>94</v>
      </c>
      <c r="C42" s="8" t="s">
        <v>207</v>
      </c>
      <c r="D42" t="s">
        <v>193</v>
      </c>
    </row>
    <row r="43" spans="1:8" x14ac:dyDescent="0.2">
      <c r="A43" s="2" t="s">
        <v>141</v>
      </c>
      <c r="B43" s="6" t="s">
        <v>260</v>
      </c>
      <c r="C43" s="8" t="s">
        <v>261</v>
      </c>
      <c r="D43" t="s">
        <v>193</v>
      </c>
    </row>
    <row r="44" spans="1:8" x14ac:dyDescent="0.2">
      <c r="A44" s="2" t="s">
        <v>142</v>
      </c>
      <c r="B44" t="s">
        <v>122</v>
      </c>
      <c r="C44" s="8" t="s">
        <v>208</v>
      </c>
      <c r="D44" t="s">
        <v>186</v>
      </c>
      <c r="E44" s="12" t="e">
        <f>AJ6/AK6</f>
        <v>#DIV/0!</v>
      </c>
    </row>
    <row r="45" spans="1:8" x14ac:dyDescent="0.2">
      <c r="A45" s="2" t="s">
        <v>143</v>
      </c>
      <c r="B45" s="6" t="s">
        <v>262</v>
      </c>
      <c r="C45" s="8" t="s">
        <v>263</v>
      </c>
      <c r="D45" t="s">
        <v>186</v>
      </c>
      <c r="E45" s="12"/>
    </row>
    <row r="46" spans="1:8" x14ac:dyDescent="0.2">
      <c r="A46" s="2" t="s">
        <v>144</v>
      </c>
      <c r="B46" s="6" t="s">
        <v>95</v>
      </c>
      <c r="C46" s="8" t="s">
        <v>209</v>
      </c>
      <c r="D46" t="s">
        <v>193</v>
      </c>
    </row>
    <row r="47" spans="1:8" x14ac:dyDescent="0.2">
      <c r="A47" s="2" t="s">
        <v>145</v>
      </c>
      <c r="B47" s="6" t="s">
        <v>96</v>
      </c>
      <c r="C47" s="8" t="s">
        <v>210</v>
      </c>
      <c r="D47" t="s">
        <v>193</v>
      </c>
    </row>
    <row r="48" spans="1:8" x14ac:dyDescent="0.2">
      <c r="A48" s="2" t="s">
        <v>146</v>
      </c>
      <c r="B48" s="6" t="s">
        <v>68</v>
      </c>
      <c r="C48" s="8" t="s">
        <v>211</v>
      </c>
      <c r="D48" t="s">
        <v>193</v>
      </c>
    </row>
    <row r="49" spans="1:7" x14ac:dyDescent="0.2">
      <c r="A49" s="2" t="s">
        <v>147</v>
      </c>
      <c r="B49" s="6" t="s">
        <v>123</v>
      </c>
      <c r="C49" s="8" t="s">
        <v>212</v>
      </c>
      <c r="D49" t="s">
        <v>193</v>
      </c>
    </row>
    <row r="50" spans="1:7" ht="17" thickBot="1" x14ac:dyDescent="0.25">
      <c r="A50" s="2" t="s">
        <v>149</v>
      </c>
      <c r="B50" s="6" t="s">
        <v>69</v>
      </c>
      <c r="C50" s="8" t="s">
        <v>213</v>
      </c>
      <c r="D50" t="s">
        <v>64</v>
      </c>
      <c r="E50" s="11" t="s">
        <v>129</v>
      </c>
      <c r="F50" s="11" t="s">
        <v>130</v>
      </c>
    </row>
    <row r="51" spans="1:7" ht="17" thickTop="1" x14ac:dyDescent="0.2">
      <c r="A51" s="2" t="s">
        <v>148</v>
      </c>
      <c r="B51" s="6" t="s">
        <v>124</v>
      </c>
      <c r="C51" s="8" t="s">
        <v>214</v>
      </c>
      <c r="D51" t="s">
        <v>193</v>
      </c>
    </row>
    <row r="52" spans="1:7" x14ac:dyDescent="0.2">
      <c r="A52" s="2" t="s">
        <v>150</v>
      </c>
      <c r="B52" s="6" t="s">
        <v>70</v>
      </c>
      <c r="C52" s="8" t="s">
        <v>215</v>
      </c>
      <c r="D52" t="s">
        <v>193</v>
      </c>
    </row>
    <row r="53" spans="1:7" x14ac:dyDescent="0.2">
      <c r="A53" s="2" t="s">
        <v>151</v>
      </c>
      <c r="B53" s="6" t="s">
        <v>71</v>
      </c>
      <c r="C53" s="8" t="s">
        <v>216</v>
      </c>
      <c r="D53" t="s">
        <v>193</v>
      </c>
    </row>
    <row r="54" spans="1:7" x14ac:dyDescent="0.2">
      <c r="A54" s="2" t="s">
        <v>152</v>
      </c>
      <c r="B54" s="6" t="s">
        <v>72</v>
      </c>
      <c r="C54" s="8" t="s">
        <v>217</v>
      </c>
      <c r="D54" t="s">
        <v>193</v>
      </c>
    </row>
    <row r="55" spans="1:7" x14ac:dyDescent="0.2">
      <c r="A55" s="2" t="s">
        <v>153</v>
      </c>
      <c r="B55" s="6" t="s">
        <v>73</v>
      </c>
      <c r="C55" s="8" t="s">
        <v>218</v>
      </c>
      <c r="D55" t="s">
        <v>193</v>
      </c>
    </row>
    <row r="56" spans="1:7" x14ac:dyDescent="0.2">
      <c r="A56" s="2" t="s">
        <v>154</v>
      </c>
      <c r="B56" s="6" t="s">
        <v>173</v>
      </c>
      <c r="C56" s="8" t="s">
        <v>219</v>
      </c>
      <c r="D56" t="s">
        <v>193</v>
      </c>
    </row>
    <row r="57" spans="1:7" x14ac:dyDescent="0.2">
      <c r="A57" s="2" t="s">
        <v>155</v>
      </c>
      <c r="B57" s="6" t="s">
        <v>125</v>
      </c>
      <c r="C57" s="8" t="s">
        <v>220</v>
      </c>
      <c r="D57" t="s">
        <v>193</v>
      </c>
    </row>
    <row r="58" spans="1:7" x14ac:dyDescent="0.2">
      <c r="A58" s="2" t="s">
        <v>156</v>
      </c>
      <c r="B58" s="6" t="s">
        <v>126</v>
      </c>
      <c r="C58" s="8" t="s">
        <v>221</v>
      </c>
      <c r="D58" t="s">
        <v>193</v>
      </c>
    </row>
    <row r="59" spans="1:7" x14ac:dyDescent="0.2">
      <c r="A59" s="2" t="s">
        <v>157</v>
      </c>
      <c r="B59" s="6" t="s">
        <v>74</v>
      </c>
      <c r="C59" s="8"/>
      <c r="D59" t="s">
        <v>193</v>
      </c>
    </row>
    <row r="60" spans="1:7" x14ac:dyDescent="0.2">
      <c r="A60" s="2" t="s">
        <v>158</v>
      </c>
      <c r="B60" s="6" t="s">
        <v>75</v>
      </c>
      <c r="C60" s="8" t="s">
        <v>222</v>
      </c>
      <c r="D60" t="s">
        <v>193</v>
      </c>
    </row>
    <row r="61" spans="1:7" x14ac:dyDescent="0.2">
      <c r="A61" s="2" t="s">
        <v>159</v>
      </c>
      <c r="B61" s="6" t="s">
        <v>76</v>
      </c>
      <c r="C61" s="8" t="s">
        <v>223</v>
      </c>
      <c r="D61" t="s">
        <v>193</v>
      </c>
    </row>
    <row r="62" spans="1:7" ht="17" thickBot="1" x14ac:dyDescent="0.25">
      <c r="A62" s="2" t="s">
        <v>160</v>
      </c>
      <c r="B62" s="6" t="s">
        <v>224</v>
      </c>
      <c r="C62" s="8" t="s">
        <v>226</v>
      </c>
      <c r="D62" t="s">
        <v>64</v>
      </c>
      <c r="E62" s="11" t="s">
        <v>129</v>
      </c>
      <c r="F62" s="11" t="s">
        <v>130</v>
      </c>
      <c r="G62" s="11" t="s">
        <v>227</v>
      </c>
    </row>
    <row r="63" spans="1:7" ht="18" thickTop="1" thickBot="1" x14ac:dyDescent="0.25">
      <c r="A63" s="2" t="s">
        <v>161</v>
      </c>
      <c r="B63" s="6" t="s">
        <v>225</v>
      </c>
      <c r="C63" s="8" t="s">
        <v>225</v>
      </c>
      <c r="D63" t="s">
        <v>64</v>
      </c>
      <c r="E63" s="11" t="s">
        <v>129</v>
      </c>
      <c r="F63" s="11" t="s">
        <v>130</v>
      </c>
      <c r="G63" s="11" t="s">
        <v>227</v>
      </c>
    </row>
    <row r="64" spans="1:7" ht="18" thickTop="1" thickBot="1" x14ac:dyDescent="0.25">
      <c r="A64" s="2" t="s">
        <v>162</v>
      </c>
      <c r="B64" t="s">
        <v>6</v>
      </c>
      <c r="C64" s="8" t="s">
        <v>228</v>
      </c>
      <c r="D64" t="s">
        <v>64</v>
      </c>
      <c r="E64" s="11" t="s">
        <v>100</v>
      </c>
      <c r="F64" s="11" t="s">
        <v>101</v>
      </c>
      <c r="G64" s="11" t="s">
        <v>102</v>
      </c>
    </row>
    <row r="65" spans="1:17" ht="17" thickTop="1" x14ac:dyDescent="0.2">
      <c r="A65" s="2" t="s">
        <v>163</v>
      </c>
      <c r="B65" s="6" t="s">
        <v>229</v>
      </c>
      <c r="C65" s="8" t="s">
        <v>230</v>
      </c>
      <c r="D65" t="s">
        <v>193</v>
      </c>
    </row>
    <row r="66" spans="1:17" ht="17" thickBot="1" x14ac:dyDescent="0.25">
      <c r="A66" s="2" t="s">
        <v>164</v>
      </c>
      <c r="B66" t="s">
        <v>77</v>
      </c>
      <c r="C66" s="8"/>
      <c r="D66" t="s">
        <v>64</v>
      </c>
      <c r="E66" s="11" t="s">
        <v>23</v>
      </c>
      <c r="F66" s="11" t="s">
        <v>24</v>
      </c>
    </row>
    <row r="67" spans="1:17" ht="17" thickTop="1" x14ac:dyDescent="0.2">
      <c r="A67" s="2" t="s">
        <v>165</v>
      </c>
      <c r="B67" s="6" t="s">
        <v>175</v>
      </c>
      <c r="C67" s="8" t="s">
        <v>231</v>
      </c>
      <c r="D67" t="s">
        <v>193</v>
      </c>
    </row>
    <row r="68" spans="1:17" ht="17" thickBot="1" x14ac:dyDescent="0.25">
      <c r="A68" s="2" t="s">
        <v>166</v>
      </c>
      <c r="B68" s="6" t="s">
        <v>78</v>
      </c>
      <c r="C68" s="8" t="s">
        <v>232</v>
      </c>
      <c r="D68" t="s">
        <v>64</v>
      </c>
      <c r="E68" s="11">
        <v>0</v>
      </c>
      <c r="F68" s="11">
        <v>1</v>
      </c>
      <c r="G68" s="11">
        <v>2</v>
      </c>
      <c r="H68" s="11">
        <v>3</v>
      </c>
      <c r="I68" s="11">
        <v>4</v>
      </c>
      <c r="J68" s="11">
        <v>5</v>
      </c>
      <c r="K68" s="11">
        <v>6</v>
      </c>
      <c r="L68" s="11">
        <v>7</v>
      </c>
      <c r="M68" s="11">
        <v>8</v>
      </c>
      <c r="N68" s="11">
        <v>9</v>
      </c>
      <c r="O68" s="11">
        <v>10</v>
      </c>
      <c r="P68" s="11" t="s">
        <v>343</v>
      </c>
      <c r="Q68" s="11" t="s">
        <v>244</v>
      </c>
    </row>
    <row r="69" spans="1:17" ht="18" thickTop="1" thickBot="1" x14ac:dyDescent="0.25">
      <c r="A69" s="2" t="s">
        <v>167</v>
      </c>
      <c r="B69" s="6" t="s">
        <v>79</v>
      </c>
      <c r="C69" s="8" t="s">
        <v>233</v>
      </c>
      <c r="D69" t="s">
        <v>64</v>
      </c>
      <c r="E69" s="11" t="s">
        <v>234</v>
      </c>
      <c r="F69" s="11" t="s">
        <v>235</v>
      </c>
      <c r="G69" s="11" t="s">
        <v>236</v>
      </c>
      <c r="H69" s="11" t="s">
        <v>238</v>
      </c>
      <c r="I69" s="11" t="s">
        <v>237</v>
      </c>
      <c r="J69" s="11" t="s">
        <v>239</v>
      </c>
    </row>
    <row r="70" spans="1:17" ht="18" thickTop="1" thickBot="1" x14ac:dyDescent="0.25">
      <c r="A70" s="2" t="s">
        <v>168</v>
      </c>
      <c r="B70" s="6" t="s">
        <v>80</v>
      </c>
      <c r="C70" s="8" t="s">
        <v>240</v>
      </c>
      <c r="D70" t="s">
        <v>64</v>
      </c>
      <c r="E70" s="11" t="s">
        <v>129</v>
      </c>
      <c r="F70" s="11" t="s">
        <v>130</v>
      </c>
    </row>
    <row r="71" spans="1:17" ht="17" thickTop="1" x14ac:dyDescent="0.2">
      <c r="A71" s="2" t="s">
        <v>169</v>
      </c>
      <c r="B71" s="6" t="s">
        <v>81</v>
      </c>
      <c r="C71" s="8" t="s">
        <v>241</v>
      </c>
      <c r="D71" t="s">
        <v>193</v>
      </c>
    </row>
    <row r="72" spans="1:17" x14ac:dyDescent="0.2">
      <c r="A72" s="2" t="s">
        <v>170</v>
      </c>
      <c r="B72" s="6" t="s">
        <v>82</v>
      </c>
      <c r="C72" s="8" t="s">
        <v>242</v>
      </c>
      <c r="D72" t="s">
        <v>193</v>
      </c>
    </row>
    <row r="73" spans="1:17" ht="17" thickBot="1" x14ac:dyDescent="0.25">
      <c r="A73" s="2" t="s">
        <v>252</v>
      </c>
      <c r="B73" s="6" t="s">
        <v>83</v>
      </c>
      <c r="C73" s="8" t="s">
        <v>245</v>
      </c>
      <c r="D73" t="s">
        <v>64</v>
      </c>
      <c r="E73" s="11" t="s">
        <v>30</v>
      </c>
      <c r="F73" s="11" t="s">
        <v>103</v>
      </c>
      <c r="G73" s="11" t="s">
        <v>104</v>
      </c>
      <c r="H73" s="11" t="s">
        <v>243</v>
      </c>
      <c r="I73" s="11" t="s">
        <v>244</v>
      </c>
    </row>
    <row r="74" spans="1:17" ht="17" thickTop="1" x14ac:dyDescent="0.2">
      <c r="A74" s="2" t="s">
        <v>253</v>
      </c>
      <c r="B74" s="6" t="s">
        <v>246</v>
      </c>
      <c r="C74" s="8" t="s">
        <v>247</v>
      </c>
      <c r="D74" t="s">
        <v>193</v>
      </c>
    </row>
    <row r="75" spans="1:17" ht="17" thickBot="1" x14ac:dyDescent="0.25">
      <c r="A75" s="2" t="s">
        <v>258</v>
      </c>
      <c r="B75" s="6" t="s">
        <v>84</v>
      </c>
      <c r="C75" s="8" t="s">
        <v>248</v>
      </c>
      <c r="D75" t="s">
        <v>64</v>
      </c>
      <c r="E75" s="11" t="s">
        <v>129</v>
      </c>
      <c r="F75" s="11" t="s">
        <v>130</v>
      </c>
    </row>
    <row r="76" spans="1:17" ht="17" thickTop="1" x14ac:dyDescent="0.2">
      <c r="A76" s="2" t="s">
        <v>264</v>
      </c>
      <c r="B76" s="6" t="s">
        <v>85</v>
      </c>
      <c r="C76" s="8" t="s">
        <v>249</v>
      </c>
      <c r="D76" t="s">
        <v>193</v>
      </c>
    </row>
    <row r="77" spans="1:17" x14ac:dyDescent="0.2">
      <c r="A77" s="2" t="s">
        <v>265</v>
      </c>
      <c r="B77" s="6" t="s">
        <v>86</v>
      </c>
      <c r="C77" s="8" t="s">
        <v>250</v>
      </c>
      <c r="D77" t="s">
        <v>193</v>
      </c>
    </row>
    <row r="78" spans="1:17" x14ac:dyDescent="0.2">
      <c r="A78" s="2" t="s">
        <v>266</v>
      </c>
      <c r="B78" s="6" t="s">
        <v>87</v>
      </c>
      <c r="C78" s="8" t="s">
        <v>251</v>
      </c>
      <c r="D78" t="s">
        <v>193</v>
      </c>
    </row>
    <row r="79" spans="1:17" x14ac:dyDescent="0.2">
      <c r="A79" s="2" t="s">
        <v>273</v>
      </c>
      <c r="B79" s="6" t="s">
        <v>88</v>
      </c>
      <c r="C79" s="8"/>
      <c r="D79" t="s">
        <v>193</v>
      </c>
    </row>
    <row r="80" spans="1:17" x14ac:dyDescent="0.2">
      <c r="A80" s="2" t="s">
        <v>344</v>
      </c>
      <c r="B80" s="6" t="s">
        <v>127</v>
      </c>
      <c r="C80" s="8"/>
      <c r="D80" t="s">
        <v>193</v>
      </c>
    </row>
    <row r="81" spans="1:1" x14ac:dyDescent="0.2">
      <c r="A81" s="2" t="s">
        <v>345</v>
      </c>
    </row>
    <row r="82" spans="1:1" x14ac:dyDescent="0.2">
      <c r="A82" s="2" t="s">
        <v>346</v>
      </c>
    </row>
    <row r="83" spans="1:1" x14ac:dyDescent="0.2">
      <c r="A83" s="2" t="s">
        <v>347</v>
      </c>
    </row>
    <row r="84" spans="1:1" x14ac:dyDescent="0.2">
      <c r="A84" s="2" t="s">
        <v>348</v>
      </c>
    </row>
    <row r="85" spans="1:1" x14ac:dyDescent="0.2">
      <c r="A85" s="2" t="s">
        <v>349</v>
      </c>
    </row>
    <row r="86" spans="1:1" x14ac:dyDescent="0.2">
      <c r="A86" s="2" t="s">
        <v>350</v>
      </c>
    </row>
    <row r="87" spans="1:1" x14ac:dyDescent="0.2">
      <c r="A87" s="2" t="s">
        <v>351</v>
      </c>
    </row>
    <row r="88" spans="1:1" x14ac:dyDescent="0.2">
      <c r="A88" s="2" t="s">
        <v>352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Datensatz LaMaTuPe</vt:lpstr>
      <vt:lpstr>Legende SPSS</vt:lpstr>
      <vt:lpstr>Glossar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Kaltschmidt</dc:creator>
  <cp:lastModifiedBy>Stephan Katzenschlager</cp:lastModifiedBy>
  <dcterms:created xsi:type="dcterms:W3CDTF">2021-02-02T07:07:39Z</dcterms:created>
  <dcterms:modified xsi:type="dcterms:W3CDTF">2024-01-23T06:58:36Z</dcterms:modified>
</cp:coreProperties>
</file>