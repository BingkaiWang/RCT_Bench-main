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音乐镇痛试验\IJSN\"/>
    </mc:Choice>
  </mc:AlternateContent>
  <xr:revisionPtr revIDLastSave="0" documentId="13_ncr:1_{7C29AAB2-966D-44B4-90D8-03D623E993B9}" xr6:coauthVersionLast="47" xr6:coauthVersionMax="47" xr10:uidLastSave="{00000000-0000-0000-0000-000000000000}"/>
  <bookViews>
    <workbookView xWindow="1788" yWindow="1788" windowWidth="16224" windowHeight="12264" xr2:uid="{CB30E2A3-EE33-4EFC-8595-F7A229B1BC70}"/>
  </bookViews>
  <sheets>
    <sheet name="Characteristics of Participants" sheetId="4" r:id="rId1"/>
    <sheet name="pressure pain threshold data" sheetId="1" r:id="rId2"/>
    <sheet name="Color-Word Stroop test data" sheetId="2" r:id="rId3"/>
    <sheet name="the Self-Assessment Maniki data" sheetId="3" r:id="rId4"/>
  </sheets>
  <definedNames>
    <definedName name="_xlnm._FilterDatabase" localSheetId="0" hidden="1">'Characteristics of Participants'!$A$1:$H$41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1" i="4" l="1"/>
  <c r="J41" i="4"/>
  <c r="K39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J33" i="4"/>
  <c r="K33" i="4"/>
  <c r="J34" i="4"/>
  <c r="K34" i="4"/>
  <c r="J35" i="4"/>
  <c r="K35" i="4"/>
  <c r="J36" i="4"/>
  <c r="K36" i="4"/>
  <c r="J37" i="4"/>
  <c r="K37" i="4"/>
  <c r="J38" i="4"/>
  <c r="K38" i="4"/>
  <c r="J40" i="4"/>
  <c r="K40" i="4"/>
  <c r="J2" i="4"/>
  <c r="K2" i="4"/>
  <c r="J39" i="4"/>
</calcChain>
</file>

<file path=xl/sharedStrings.xml><?xml version="1.0" encoding="utf-8"?>
<sst xmlns="http://schemas.openxmlformats.org/spreadsheetml/2006/main" count="426" uniqueCount="54">
  <si>
    <t>Left biceps</t>
    <phoneticPr fontId="2" type="noConversion"/>
  </si>
  <si>
    <t>Right biceps</t>
    <phoneticPr fontId="2" type="noConversion"/>
  </si>
  <si>
    <t>Left rectus femoris</t>
    <phoneticPr fontId="2" type="noConversion"/>
  </si>
  <si>
    <t>Right rectus femoris</t>
    <phoneticPr fontId="2" type="noConversion"/>
  </si>
  <si>
    <t>Left lateral femoral muscle</t>
    <phoneticPr fontId="2" type="noConversion"/>
  </si>
  <si>
    <t>Right lateral femoral muscle</t>
    <phoneticPr fontId="2" type="noConversion"/>
  </si>
  <si>
    <t>Left medial femoris muscle</t>
    <phoneticPr fontId="2" type="noConversion"/>
  </si>
  <si>
    <t>Right medial femoris muscle</t>
    <phoneticPr fontId="2" type="noConversion"/>
  </si>
  <si>
    <t>Left tibialis anterior muscle</t>
    <phoneticPr fontId="2" type="noConversion"/>
  </si>
  <si>
    <t>Right tibialis anterior muscle</t>
    <phoneticPr fontId="2" type="noConversion"/>
  </si>
  <si>
    <t>Left trapezius</t>
    <phoneticPr fontId="2" type="noConversion"/>
  </si>
  <si>
    <t>Right trapezius</t>
    <phoneticPr fontId="2" type="noConversion"/>
  </si>
  <si>
    <t>Left erector spinae</t>
    <phoneticPr fontId="2" type="noConversion"/>
  </si>
  <si>
    <t>Right erector spinae</t>
    <phoneticPr fontId="2" type="noConversion"/>
  </si>
  <si>
    <t>pre</t>
    <phoneticPr fontId="2" type="noConversion"/>
  </si>
  <si>
    <t>post</t>
    <phoneticPr fontId="2" type="noConversion"/>
  </si>
  <si>
    <t>Music therapy group</t>
    <phoneticPr fontId="2" type="noConversion"/>
  </si>
  <si>
    <t>Control group</t>
    <phoneticPr fontId="2" type="noConversion"/>
  </si>
  <si>
    <t>pre-reaction time</t>
    <phoneticPr fontId="2" type="noConversion"/>
  </si>
  <si>
    <t>post-reaction time</t>
    <phoneticPr fontId="2" type="noConversion"/>
  </si>
  <si>
    <t>pre-accuracy</t>
    <phoneticPr fontId="2" type="noConversion"/>
  </si>
  <si>
    <t>post-accuracy</t>
    <phoneticPr fontId="2" type="noConversion"/>
  </si>
  <si>
    <t>Music therapy group</t>
  </si>
  <si>
    <t>Control group</t>
  </si>
  <si>
    <t>pre-pleasure</t>
    <phoneticPr fontId="2" type="noConversion"/>
  </si>
  <si>
    <t>post-pleasure</t>
    <phoneticPr fontId="2" type="noConversion"/>
  </si>
  <si>
    <t>pre-arousal</t>
    <phoneticPr fontId="2" type="noConversion"/>
  </si>
  <si>
    <t>post-arousal</t>
    <phoneticPr fontId="2" type="noConversion"/>
  </si>
  <si>
    <t>48.5</t>
  </si>
  <si>
    <t>58.7</t>
  </si>
  <si>
    <t>177.7</t>
  </si>
  <si>
    <t>47.6</t>
  </si>
  <si>
    <t>47.5</t>
  </si>
  <si>
    <t>87. 5</t>
  </si>
  <si>
    <t>Undergraduate</t>
  </si>
  <si>
    <t>Gender</t>
  </si>
  <si>
    <t>Master student</t>
  </si>
  <si>
    <t>Right handedness</t>
    <phoneticPr fontId="1" type="noConversion"/>
  </si>
  <si>
    <t>Education</t>
  </si>
  <si>
    <t>Music training</t>
  </si>
  <si>
    <t>No</t>
  </si>
  <si>
    <t>Yes</t>
  </si>
  <si>
    <t>Satisfaction</t>
  </si>
  <si>
    <t>General</t>
    <phoneticPr fontId="1" type="noConversion"/>
  </si>
  <si>
    <t>Dissatisfied</t>
  </si>
  <si>
    <t>Sleep quality</t>
    <phoneticPr fontId="1" type="noConversion"/>
  </si>
  <si>
    <t>Group</t>
    <phoneticPr fontId="1" type="noConversion"/>
  </si>
  <si>
    <t>Female</t>
    <phoneticPr fontId="1" type="noConversion"/>
  </si>
  <si>
    <t>male</t>
    <phoneticPr fontId="1" type="noConversion"/>
  </si>
  <si>
    <t>Age</t>
    <phoneticPr fontId="1" type="noConversion"/>
  </si>
  <si>
    <t>Height/m</t>
    <phoneticPr fontId="1" type="noConversion"/>
  </si>
  <si>
    <t>Height/cm</t>
    <phoneticPr fontId="1" type="noConversion"/>
  </si>
  <si>
    <r>
      <t>BMI/Kg/m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phoneticPr fontId="1" type="noConversion"/>
  </si>
  <si>
    <t>Weight/kg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</si>
</sst>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 Light"/>
      <family val="3"/>
      <charset val="134"/>
      <scheme val="major"/>
    </font>
    <font>
      <sz val="12"/>
      <color indexed="8"/>
      <name val="等线 Light"/>
      <family val="3"/>
      <charset val="134"/>
      <scheme val="major"/>
    </font>
    <font>
      <sz val="12"/>
      <color theme="1"/>
      <name val="等线 Light"/>
      <family val="3"/>
      <charset val="134"/>
      <scheme val="major"/>
    </font>
    <font>
      <sz val="11"/>
      <color indexed="8"/>
      <name val="等线 Light"/>
      <family val="3"/>
      <charset val="134"/>
      <scheme val="major"/>
    </font>
    <font>
      <vertAlign val="super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177" fontId="0" fillId="0" borderId="0" xfId="0" applyNumberFormat="1">
      <alignment vertical="center"/>
    </xf>
    <xf numFmtId="177" fontId="0" fillId="0" borderId="0" xfId="0" applyNumberFormat="1" applyAlignment="1"/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176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33C4-9BB9-4B1F-B1D8-4C1E5694AA66}">
  <dimension ref="A1:K41"/>
  <sheetViews>
    <sheetView tabSelected="1" topLeftCell="A19" workbookViewId="0">
      <selection activeCell="L41" sqref="L41"/>
    </sheetView>
  </sheetViews>
  <sheetFormatPr defaultRowHeight="13.8" x14ac:dyDescent="0.25"/>
  <cols>
    <col min="4" max="4" width="8.88671875" style="2"/>
  </cols>
  <sheetData>
    <row r="1" spans="1:11" ht="16.2" x14ac:dyDescent="0.25">
      <c r="A1" t="s">
        <v>46</v>
      </c>
      <c r="B1" t="s">
        <v>49</v>
      </c>
      <c r="C1" t="s">
        <v>35</v>
      </c>
      <c r="D1" t="s">
        <v>51</v>
      </c>
      <c r="E1" s="2" t="s">
        <v>53</v>
      </c>
      <c r="F1" s="1" t="s">
        <v>38</v>
      </c>
      <c r="H1" t="s">
        <v>39</v>
      </c>
      <c r="I1" t="s">
        <v>45</v>
      </c>
      <c r="J1" t="s">
        <v>50</v>
      </c>
      <c r="K1" t="s">
        <v>52</v>
      </c>
    </row>
    <row r="2" spans="1:11" x14ac:dyDescent="0.25">
      <c r="A2" s="1" t="s">
        <v>22</v>
      </c>
      <c r="B2" s="1">
        <v>21</v>
      </c>
      <c r="C2" s="1" t="s">
        <v>47</v>
      </c>
      <c r="D2" s="1">
        <v>162</v>
      </c>
      <c r="E2" s="3">
        <v>59</v>
      </c>
      <c r="F2" s="1" t="s">
        <v>34</v>
      </c>
      <c r="G2" s="1" t="s">
        <v>37</v>
      </c>
      <c r="H2" s="1" t="s">
        <v>40</v>
      </c>
      <c r="I2" s="1" t="s">
        <v>42</v>
      </c>
      <c r="J2">
        <f>D2/100</f>
        <v>1.62</v>
      </c>
      <c r="K2">
        <f>E2/J2/J2</f>
        <v>22.481329065691206</v>
      </c>
    </row>
    <row r="3" spans="1:11" x14ac:dyDescent="0.25">
      <c r="A3" s="1" t="s">
        <v>22</v>
      </c>
      <c r="B3" s="1">
        <v>25</v>
      </c>
      <c r="C3" s="1" t="s">
        <v>47</v>
      </c>
      <c r="D3" s="1">
        <v>160</v>
      </c>
      <c r="E3" s="3">
        <v>60</v>
      </c>
      <c r="F3" s="1" t="s">
        <v>36</v>
      </c>
      <c r="G3" s="1" t="s">
        <v>37</v>
      </c>
      <c r="H3" s="1" t="s">
        <v>40</v>
      </c>
      <c r="I3" s="1" t="s">
        <v>42</v>
      </c>
      <c r="J3">
        <f>D3/100</f>
        <v>1.6</v>
      </c>
      <c r="K3">
        <f>E3/J3/J3</f>
        <v>23.4375</v>
      </c>
    </row>
    <row r="4" spans="1:11" x14ac:dyDescent="0.25">
      <c r="A4" s="1" t="s">
        <v>22</v>
      </c>
      <c r="B4" s="1">
        <v>20</v>
      </c>
      <c r="C4" s="1" t="s">
        <v>47</v>
      </c>
      <c r="D4" s="1">
        <v>162</v>
      </c>
      <c r="E4" s="3">
        <v>56</v>
      </c>
      <c r="F4" s="1" t="s">
        <v>34</v>
      </c>
      <c r="G4" s="1" t="s">
        <v>37</v>
      </c>
      <c r="H4" s="1" t="s">
        <v>40</v>
      </c>
      <c r="I4" s="1" t="s">
        <v>43</v>
      </c>
      <c r="J4">
        <f>D4/100</f>
        <v>1.62</v>
      </c>
      <c r="K4">
        <f>E4/J4/J4</f>
        <v>21.338210638622158</v>
      </c>
    </row>
    <row r="5" spans="1:11" x14ac:dyDescent="0.25">
      <c r="A5" s="1" t="s">
        <v>22</v>
      </c>
      <c r="B5" s="1">
        <v>23</v>
      </c>
      <c r="C5" s="1" t="s">
        <v>47</v>
      </c>
      <c r="D5" s="1">
        <v>162</v>
      </c>
      <c r="E5" s="3">
        <v>52</v>
      </c>
      <c r="F5" s="1" t="s">
        <v>36</v>
      </c>
      <c r="G5" s="1" t="s">
        <v>37</v>
      </c>
      <c r="H5" s="1" t="s">
        <v>41</v>
      </c>
      <c r="I5" s="1" t="s">
        <v>42</v>
      </c>
      <c r="J5">
        <f>D5/100</f>
        <v>1.62</v>
      </c>
      <c r="K5">
        <f>E5/J5/J5</f>
        <v>19.814052735863434</v>
      </c>
    </row>
    <row r="6" spans="1:11" x14ac:dyDescent="0.25">
      <c r="A6" s="1" t="s">
        <v>22</v>
      </c>
      <c r="B6" s="1">
        <v>24</v>
      </c>
      <c r="C6" s="1" t="s">
        <v>47</v>
      </c>
      <c r="D6" s="1">
        <v>170</v>
      </c>
      <c r="E6" s="3">
        <v>59</v>
      </c>
      <c r="F6" s="1" t="s">
        <v>36</v>
      </c>
      <c r="G6" s="1" t="s">
        <v>37</v>
      </c>
      <c r="H6" s="1" t="s">
        <v>40</v>
      </c>
      <c r="I6" s="1" t="s">
        <v>43</v>
      </c>
      <c r="J6">
        <f>D6/100</f>
        <v>1.7</v>
      </c>
      <c r="K6">
        <f>E6/J6/J6</f>
        <v>20.415224913494807</v>
      </c>
    </row>
    <row r="7" spans="1:11" x14ac:dyDescent="0.25">
      <c r="A7" s="1" t="s">
        <v>22</v>
      </c>
      <c r="B7" s="1">
        <v>18</v>
      </c>
      <c r="C7" s="1" t="s">
        <v>48</v>
      </c>
      <c r="D7" s="1">
        <v>174</v>
      </c>
      <c r="E7" s="3">
        <v>68</v>
      </c>
      <c r="F7" s="1" t="s">
        <v>34</v>
      </c>
      <c r="G7" s="1" t="s">
        <v>37</v>
      </c>
      <c r="H7" s="1" t="s">
        <v>41</v>
      </c>
      <c r="I7" s="1" t="s">
        <v>42</v>
      </c>
      <c r="J7">
        <f>D7/100</f>
        <v>1.74</v>
      </c>
      <c r="K7">
        <f>E7/J7/J7</f>
        <v>22.460034350640772</v>
      </c>
    </row>
    <row r="8" spans="1:11" x14ac:dyDescent="0.25">
      <c r="A8" s="1" t="s">
        <v>22</v>
      </c>
      <c r="B8" s="1">
        <v>22</v>
      </c>
      <c r="C8" s="1" t="s">
        <v>47</v>
      </c>
      <c r="D8" s="1">
        <v>168</v>
      </c>
      <c r="E8" s="3">
        <v>60</v>
      </c>
      <c r="F8" s="1" t="s">
        <v>36</v>
      </c>
      <c r="G8" s="1" t="s">
        <v>37</v>
      </c>
      <c r="H8" s="1" t="s">
        <v>41</v>
      </c>
      <c r="I8" s="1" t="s">
        <v>43</v>
      </c>
      <c r="J8">
        <f>D8/100</f>
        <v>1.68</v>
      </c>
      <c r="K8">
        <f>E8/J8/J8</f>
        <v>21.258503401360546</v>
      </c>
    </row>
    <row r="9" spans="1:11" x14ac:dyDescent="0.25">
      <c r="A9" s="1" t="s">
        <v>22</v>
      </c>
      <c r="B9" s="1">
        <v>20</v>
      </c>
      <c r="C9" s="1" t="s">
        <v>47</v>
      </c>
      <c r="D9" s="1">
        <v>161</v>
      </c>
      <c r="E9" s="3" t="s">
        <v>28</v>
      </c>
      <c r="F9" s="1" t="s">
        <v>34</v>
      </c>
      <c r="G9" s="1" t="s">
        <v>37</v>
      </c>
      <c r="H9" s="1" t="s">
        <v>41</v>
      </c>
      <c r="I9" s="1" t="s">
        <v>42</v>
      </c>
      <c r="J9">
        <f>D9/100</f>
        <v>1.61</v>
      </c>
      <c r="K9">
        <f>E9/J9/J9</f>
        <v>18.710697889741905</v>
      </c>
    </row>
    <row r="10" spans="1:11" x14ac:dyDescent="0.25">
      <c r="A10" s="1" t="s">
        <v>22</v>
      </c>
      <c r="B10" s="1">
        <v>19</v>
      </c>
      <c r="C10" s="1" t="s">
        <v>47</v>
      </c>
      <c r="D10" s="1">
        <v>170</v>
      </c>
      <c r="E10" s="3" t="s">
        <v>29</v>
      </c>
      <c r="F10" s="1" t="s">
        <v>34</v>
      </c>
      <c r="G10" s="1" t="s">
        <v>37</v>
      </c>
      <c r="H10" s="1" t="s">
        <v>40</v>
      </c>
      <c r="I10" s="1" t="s">
        <v>42</v>
      </c>
      <c r="J10">
        <f>D10/100</f>
        <v>1.7</v>
      </c>
      <c r="K10">
        <f>E10/J10/J10</f>
        <v>20.311418685121108</v>
      </c>
    </row>
    <row r="11" spans="1:11" x14ac:dyDescent="0.25">
      <c r="A11" s="1" t="s">
        <v>22</v>
      </c>
      <c r="B11" s="1">
        <v>20</v>
      </c>
      <c r="C11" s="1" t="s">
        <v>48</v>
      </c>
      <c r="D11" s="1">
        <v>172</v>
      </c>
      <c r="E11" s="3">
        <v>65</v>
      </c>
      <c r="F11" s="1" t="s">
        <v>34</v>
      </c>
      <c r="G11" s="1" t="s">
        <v>37</v>
      </c>
      <c r="H11" s="1" t="s">
        <v>40</v>
      </c>
      <c r="I11" s="1" t="s">
        <v>42</v>
      </c>
      <c r="J11">
        <f>D11/100</f>
        <v>1.72</v>
      </c>
      <c r="K11">
        <f>E11/J11/J11</f>
        <v>21.971335857220119</v>
      </c>
    </row>
    <row r="12" spans="1:11" x14ac:dyDescent="0.25">
      <c r="A12" s="1" t="s">
        <v>22</v>
      </c>
      <c r="B12" s="1">
        <v>22</v>
      </c>
      <c r="C12" s="1" t="s">
        <v>47</v>
      </c>
      <c r="D12" s="1">
        <v>173</v>
      </c>
      <c r="E12" s="3">
        <v>60</v>
      </c>
      <c r="F12" s="1" t="s">
        <v>34</v>
      </c>
      <c r="G12" s="1" t="s">
        <v>37</v>
      </c>
      <c r="H12" s="1" t="s">
        <v>40</v>
      </c>
      <c r="I12" s="1" t="s">
        <v>42</v>
      </c>
      <c r="J12">
        <f>D12/100</f>
        <v>1.73</v>
      </c>
      <c r="K12">
        <f>E12/J12/J12</f>
        <v>20.047445621303751</v>
      </c>
    </row>
    <row r="13" spans="1:11" x14ac:dyDescent="0.25">
      <c r="A13" s="1" t="s">
        <v>22</v>
      </c>
      <c r="B13" s="1">
        <v>20</v>
      </c>
      <c r="C13" s="1" t="s">
        <v>48</v>
      </c>
      <c r="D13" s="1">
        <v>188</v>
      </c>
      <c r="E13" s="3">
        <v>86</v>
      </c>
      <c r="F13" s="1" t="s">
        <v>34</v>
      </c>
      <c r="G13" s="1" t="s">
        <v>37</v>
      </c>
      <c r="H13" s="1" t="s">
        <v>41</v>
      </c>
      <c r="I13" s="1" t="s">
        <v>42</v>
      </c>
      <c r="J13">
        <f>D13/100</f>
        <v>1.88</v>
      </c>
      <c r="K13">
        <f>E13/J13/J13</f>
        <v>24.332277048438211</v>
      </c>
    </row>
    <row r="14" spans="1:11" x14ac:dyDescent="0.25">
      <c r="A14" s="1" t="s">
        <v>22</v>
      </c>
      <c r="B14" s="1">
        <v>24</v>
      </c>
      <c r="C14" s="1" t="s">
        <v>47</v>
      </c>
      <c r="D14" s="1">
        <v>163</v>
      </c>
      <c r="E14" s="3">
        <v>52</v>
      </c>
      <c r="F14" s="1" t="s">
        <v>36</v>
      </c>
      <c r="G14" s="1" t="s">
        <v>37</v>
      </c>
      <c r="H14" s="1" t="s">
        <v>40</v>
      </c>
      <c r="I14" s="1" t="s">
        <v>43</v>
      </c>
      <c r="J14">
        <f>D14/100</f>
        <v>1.63</v>
      </c>
      <c r="K14">
        <f>E14/J14/J14</f>
        <v>19.571681282697881</v>
      </c>
    </row>
    <row r="15" spans="1:11" x14ac:dyDescent="0.25">
      <c r="A15" s="1" t="s">
        <v>22</v>
      </c>
      <c r="B15" s="1">
        <v>24</v>
      </c>
      <c r="C15" s="1" t="s">
        <v>48</v>
      </c>
      <c r="D15" s="1" t="s">
        <v>30</v>
      </c>
      <c r="E15" s="3">
        <v>85</v>
      </c>
      <c r="F15" s="1" t="s">
        <v>34</v>
      </c>
      <c r="G15" s="1" t="s">
        <v>37</v>
      </c>
      <c r="H15" s="1" t="s">
        <v>40</v>
      </c>
      <c r="I15" s="1" t="s">
        <v>42</v>
      </c>
      <c r="J15">
        <f>D15/100</f>
        <v>1.7769999999999999</v>
      </c>
      <c r="K15">
        <f>E15/J15/J15</f>
        <v>26.918079417201415</v>
      </c>
    </row>
    <row r="16" spans="1:11" x14ac:dyDescent="0.25">
      <c r="A16" s="1" t="s">
        <v>22</v>
      </c>
      <c r="B16" s="1">
        <v>20</v>
      </c>
      <c r="C16" s="1" t="s">
        <v>48</v>
      </c>
      <c r="D16" s="1">
        <v>168</v>
      </c>
      <c r="E16" s="3">
        <v>67</v>
      </c>
      <c r="F16" s="1" t="s">
        <v>34</v>
      </c>
      <c r="G16" s="1" t="s">
        <v>37</v>
      </c>
      <c r="H16" s="1" t="s">
        <v>40</v>
      </c>
      <c r="I16" s="1" t="s">
        <v>42</v>
      </c>
      <c r="J16">
        <f>D16/100</f>
        <v>1.68</v>
      </c>
      <c r="K16">
        <f>E16/J16/J16</f>
        <v>23.738662131519273</v>
      </c>
    </row>
    <row r="17" spans="1:11" x14ac:dyDescent="0.25">
      <c r="A17" s="1" t="s">
        <v>22</v>
      </c>
      <c r="B17" s="1">
        <v>20</v>
      </c>
      <c r="C17" s="1" t="s">
        <v>48</v>
      </c>
      <c r="D17" s="1">
        <v>160</v>
      </c>
      <c r="E17" s="3">
        <v>52</v>
      </c>
      <c r="F17" s="1" t="s">
        <v>34</v>
      </c>
      <c r="G17" s="1" t="s">
        <v>37</v>
      </c>
      <c r="H17" s="1" t="s">
        <v>40</v>
      </c>
      <c r="I17" s="1" t="s">
        <v>44</v>
      </c>
      <c r="J17">
        <f>D17/100</f>
        <v>1.6</v>
      </c>
      <c r="K17">
        <f>E17/J17/J17</f>
        <v>20.3125</v>
      </c>
    </row>
    <row r="18" spans="1:11" x14ac:dyDescent="0.25">
      <c r="A18" s="1" t="s">
        <v>22</v>
      </c>
      <c r="B18" s="1">
        <v>19</v>
      </c>
      <c r="C18" s="1" t="s">
        <v>48</v>
      </c>
      <c r="D18" s="1">
        <v>175</v>
      </c>
      <c r="E18" s="3">
        <v>65</v>
      </c>
      <c r="F18" s="1" t="s">
        <v>34</v>
      </c>
      <c r="G18" s="1" t="s">
        <v>37</v>
      </c>
      <c r="H18" s="1" t="s">
        <v>40</v>
      </c>
      <c r="I18" s="1" t="s">
        <v>43</v>
      </c>
      <c r="J18">
        <f>D18/100</f>
        <v>1.75</v>
      </c>
      <c r="K18">
        <f>E18/J18/J18</f>
        <v>21.22448979591837</v>
      </c>
    </row>
    <row r="19" spans="1:11" x14ac:dyDescent="0.25">
      <c r="A19" s="1" t="s">
        <v>22</v>
      </c>
      <c r="B19" s="1">
        <v>20</v>
      </c>
      <c r="C19" s="1" t="s">
        <v>48</v>
      </c>
      <c r="D19" s="1">
        <v>163</v>
      </c>
      <c r="E19" s="3">
        <v>68</v>
      </c>
      <c r="F19" s="1" t="s">
        <v>34</v>
      </c>
      <c r="G19" s="1" t="s">
        <v>37</v>
      </c>
      <c r="H19" s="1" t="s">
        <v>40</v>
      </c>
      <c r="I19" s="1" t="s">
        <v>43</v>
      </c>
      <c r="J19">
        <f>D19/100</f>
        <v>1.63</v>
      </c>
      <c r="K19">
        <f>E19/J19/J19</f>
        <v>25.59373706198954</v>
      </c>
    </row>
    <row r="20" spans="1:11" x14ac:dyDescent="0.25">
      <c r="A20" s="1" t="s">
        <v>22</v>
      </c>
      <c r="B20" s="1">
        <v>20</v>
      </c>
      <c r="C20" s="1" t="s">
        <v>48</v>
      </c>
      <c r="D20" s="1">
        <v>180</v>
      </c>
      <c r="E20" s="3">
        <v>72</v>
      </c>
      <c r="F20" s="1" t="s">
        <v>34</v>
      </c>
      <c r="G20" s="1" t="s">
        <v>37</v>
      </c>
      <c r="H20" s="1" t="s">
        <v>41</v>
      </c>
      <c r="I20" s="1" t="s">
        <v>44</v>
      </c>
      <c r="J20">
        <f>D20/100</f>
        <v>1.8</v>
      </c>
      <c r="K20">
        <f>E20/J20/J20</f>
        <v>22.222222222222221</v>
      </c>
    </row>
    <row r="21" spans="1:11" x14ac:dyDescent="0.25">
      <c r="A21" s="1" t="s">
        <v>22</v>
      </c>
      <c r="B21" s="1">
        <v>20</v>
      </c>
      <c r="C21" s="1" t="s">
        <v>48</v>
      </c>
      <c r="D21" s="1">
        <v>180</v>
      </c>
      <c r="E21" s="3">
        <v>80</v>
      </c>
      <c r="F21" s="1" t="s">
        <v>34</v>
      </c>
      <c r="G21" s="1" t="s">
        <v>37</v>
      </c>
      <c r="H21" s="1" t="s">
        <v>41</v>
      </c>
      <c r="I21" s="1" t="s">
        <v>42</v>
      </c>
      <c r="J21">
        <f>D21/100</f>
        <v>1.8</v>
      </c>
      <c r="K21">
        <f>E21/J21/J21</f>
        <v>24.691358024691358</v>
      </c>
    </row>
    <row r="22" spans="1:11" x14ac:dyDescent="0.25">
      <c r="A22" s="1" t="s">
        <v>23</v>
      </c>
      <c r="B22" s="1">
        <v>20</v>
      </c>
      <c r="C22" s="1" t="s">
        <v>47</v>
      </c>
      <c r="D22" s="1">
        <v>165</v>
      </c>
      <c r="E22" s="3">
        <v>61</v>
      </c>
      <c r="F22" s="1" t="s">
        <v>34</v>
      </c>
      <c r="G22" s="1" t="s">
        <v>37</v>
      </c>
      <c r="H22" s="1" t="s">
        <v>41</v>
      </c>
      <c r="I22" s="1" t="s">
        <v>43</v>
      </c>
      <c r="J22">
        <f>D22/100</f>
        <v>1.65</v>
      </c>
      <c r="K22">
        <f>E22/J22/J22</f>
        <v>22.405876951331496</v>
      </c>
    </row>
    <row r="23" spans="1:11" x14ac:dyDescent="0.25">
      <c r="A23" s="1" t="s">
        <v>23</v>
      </c>
      <c r="B23" s="1">
        <v>20</v>
      </c>
      <c r="C23" s="1" t="s">
        <v>47</v>
      </c>
      <c r="D23" s="1">
        <v>168</v>
      </c>
      <c r="E23" s="3">
        <v>51</v>
      </c>
      <c r="F23" s="1" t="s">
        <v>34</v>
      </c>
      <c r="G23" s="1" t="s">
        <v>37</v>
      </c>
      <c r="H23" s="1" t="s">
        <v>40</v>
      </c>
      <c r="I23" s="1" t="s">
        <v>42</v>
      </c>
      <c r="J23">
        <f>D23/100</f>
        <v>1.68</v>
      </c>
      <c r="K23">
        <f>E23/J23/J23</f>
        <v>18.069727891156464</v>
      </c>
    </row>
    <row r="24" spans="1:11" x14ac:dyDescent="0.25">
      <c r="A24" s="1" t="s">
        <v>23</v>
      </c>
      <c r="B24" s="1">
        <v>26</v>
      </c>
      <c r="C24" s="1" t="s">
        <v>47</v>
      </c>
      <c r="D24" s="1">
        <v>160</v>
      </c>
      <c r="E24" s="3" t="s">
        <v>31</v>
      </c>
      <c r="F24" s="1" t="s">
        <v>36</v>
      </c>
      <c r="G24" s="1" t="s">
        <v>37</v>
      </c>
      <c r="H24" s="1" t="s">
        <v>40</v>
      </c>
      <c r="I24" s="1" t="s">
        <v>42</v>
      </c>
      <c r="J24">
        <f>D24/100</f>
        <v>1.6</v>
      </c>
      <c r="K24">
        <f>E24/J24/J24</f>
        <v>18.59375</v>
      </c>
    </row>
    <row r="25" spans="1:11" x14ac:dyDescent="0.25">
      <c r="A25" s="1" t="s">
        <v>23</v>
      </c>
      <c r="B25" s="1">
        <v>27</v>
      </c>
      <c r="C25" s="1" t="s">
        <v>48</v>
      </c>
      <c r="D25" s="1">
        <v>178</v>
      </c>
      <c r="E25" s="3">
        <v>69</v>
      </c>
      <c r="F25" s="1" t="s">
        <v>36</v>
      </c>
      <c r="G25" s="1" t="s">
        <v>37</v>
      </c>
      <c r="H25" s="1" t="s">
        <v>40</v>
      </c>
      <c r="I25" s="1" t="s">
        <v>42</v>
      </c>
      <c r="J25">
        <f>D25/100</f>
        <v>1.78</v>
      </c>
      <c r="K25">
        <f>E25/J25/J25</f>
        <v>21.777553339224845</v>
      </c>
    </row>
    <row r="26" spans="1:11" x14ac:dyDescent="0.25">
      <c r="A26" s="1" t="s">
        <v>23</v>
      </c>
      <c r="B26" s="1">
        <v>24</v>
      </c>
      <c r="C26" s="1" t="s">
        <v>47</v>
      </c>
      <c r="D26" s="1">
        <v>167</v>
      </c>
      <c r="E26" s="3">
        <v>54</v>
      </c>
      <c r="F26" s="1" t="s">
        <v>36</v>
      </c>
      <c r="G26" s="1" t="s">
        <v>37</v>
      </c>
      <c r="H26" s="1" t="s">
        <v>40</v>
      </c>
      <c r="I26" s="1" t="s">
        <v>43</v>
      </c>
      <c r="J26">
        <f>D26/100</f>
        <v>1.67</v>
      </c>
      <c r="K26">
        <f>E26/J26/J26</f>
        <v>19.362472659471479</v>
      </c>
    </row>
    <row r="27" spans="1:11" x14ac:dyDescent="0.25">
      <c r="A27" s="1" t="s">
        <v>23</v>
      </c>
      <c r="B27" s="1">
        <v>24</v>
      </c>
      <c r="C27" s="1" t="s">
        <v>47</v>
      </c>
      <c r="D27" s="1">
        <v>160</v>
      </c>
      <c r="E27" s="3">
        <v>55</v>
      </c>
      <c r="F27" s="1" t="s">
        <v>36</v>
      </c>
      <c r="G27" s="1" t="s">
        <v>37</v>
      </c>
      <c r="H27" s="1" t="s">
        <v>40</v>
      </c>
      <c r="I27" s="1" t="s">
        <v>42</v>
      </c>
      <c r="J27">
        <f>D27/100</f>
        <v>1.6</v>
      </c>
      <c r="K27">
        <f>E27/J27/J27</f>
        <v>21.484375</v>
      </c>
    </row>
    <row r="28" spans="1:11" x14ac:dyDescent="0.25">
      <c r="A28" s="1" t="s">
        <v>23</v>
      </c>
      <c r="B28" s="1">
        <v>22</v>
      </c>
      <c r="C28" s="1" t="s">
        <v>47</v>
      </c>
      <c r="D28" s="1">
        <v>156</v>
      </c>
      <c r="E28" s="3" t="s">
        <v>32</v>
      </c>
      <c r="F28" s="1" t="s">
        <v>36</v>
      </c>
      <c r="G28" s="1" t="s">
        <v>37</v>
      </c>
      <c r="H28" s="1" t="s">
        <v>40</v>
      </c>
      <c r="I28" s="1" t="s">
        <v>43</v>
      </c>
      <c r="J28">
        <f>D28/100</f>
        <v>1.56</v>
      </c>
      <c r="K28">
        <f>E28/J28/J28</f>
        <v>19.518408941485863</v>
      </c>
    </row>
    <row r="29" spans="1:11" x14ac:dyDescent="0.25">
      <c r="A29" s="1" t="s">
        <v>23</v>
      </c>
      <c r="B29" s="1">
        <v>24</v>
      </c>
      <c r="C29" s="1" t="s">
        <v>47</v>
      </c>
      <c r="D29" s="1">
        <v>158</v>
      </c>
      <c r="E29" s="3">
        <v>47</v>
      </c>
      <c r="F29" s="1" t="s">
        <v>36</v>
      </c>
      <c r="G29" s="1" t="s">
        <v>37</v>
      </c>
      <c r="H29" s="1" t="s">
        <v>40</v>
      </c>
      <c r="I29" s="1" t="s">
        <v>42</v>
      </c>
      <c r="J29">
        <f>D29/100</f>
        <v>1.58</v>
      </c>
      <c r="K29">
        <f>E29/J29/J29</f>
        <v>18.827111039897449</v>
      </c>
    </row>
    <row r="30" spans="1:11" x14ac:dyDescent="0.25">
      <c r="A30" s="1" t="s">
        <v>23</v>
      </c>
      <c r="B30" s="1">
        <v>22</v>
      </c>
      <c r="C30" s="1" t="s">
        <v>48</v>
      </c>
      <c r="D30" s="1">
        <v>173</v>
      </c>
      <c r="E30" s="3">
        <v>63</v>
      </c>
      <c r="F30" s="1" t="s">
        <v>36</v>
      </c>
      <c r="G30" s="1" t="s">
        <v>37</v>
      </c>
      <c r="H30" s="1" t="s">
        <v>40</v>
      </c>
      <c r="I30" s="1" t="s">
        <v>42</v>
      </c>
      <c r="J30">
        <f>D30/100</f>
        <v>1.73</v>
      </c>
      <c r="K30">
        <f>E30/J30/J30</f>
        <v>21.04981790236894</v>
      </c>
    </row>
    <row r="31" spans="1:11" x14ac:dyDescent="0.25">
      <c r="A31" s="1" t="s">
        <v>23</v>
      </c>
      <c r="B31" s="1">
        <v>19</v>
      </c>
      <c r="C31" s="1" t="s">
        <v>47</v>
      </c>
      <c r="D31" s="1">
        <v>161</v>
      </c>
      <c r="E31" s="3">
        <v>58</v>
      </c>
      <c r="F31" s="1" t="s">
        <v>34</v>
      </c>
      <c r="G31" s="1" t="s">
        <v>37</v>
      </c>
      <c r="H31" s="1" t="s">
        <v>40</v>
      </c>
      <c r="I31" s="1" t="s">
        <v>43</v>
      </c>
      <c r="J31">
        <f>D31/100</f>
        <v>1.61</v>
      </c>
      <c r="K31">
        <f>E31/J31/J31</f>
        <v>22.375679950619187</v>
      </c>
    </row>
    <row r="32" spans="1:11" x14ac:dyDescent="0.25">
      <c r="A32" s="1" t="s">
        <v>23</v>
      </c>
      <c r="B32" s="1">
        <v>22</v>
      </c>
      <c r="C32" s="1" t="s">
        <v>47</v>
      </c>
      <c r="D32" s="1">
        <v>166</v>
      </c>
      <c r="E32" s="3">
        <v>48</v>
      </c>
      <c r="F32" s="1" t="s">
        <v>34</v>
      </c>
      <c r="G32" s="1" t="s">
        <v>37</v>
      </c>
      <c r="H32" s="1" t="s">
        <v>40</v>
      </c>
      <c r="I32" s="1" t="s">
        <v>43</v>
      </c>
      <c r="J32">
        <f>D32/100</f>
        <v>1.66</v>
      </c>
      <c r="K32">
        <f>E32/J32/J32</f>
        <v>17.419073885905068</v>
      </c>
    </row>
    <row r="33" spans="1:11" x14ac:dyDescent="0.25">
      <c r="A33" s="1" t="s">
        <v>23</v>
      </c>
      <c r="B33" s="1">
        <v>21</v>
      </c>
      <c r="C33" s="1" t="s">
        <v>47</v>
      </c>
      <c r="D33" s="1">
        <v>163</v>
      </c>
      <c r="E33" s="3">
        <v>49</v>
      </c>
      <c r="F33" s="1" t="s">
        <v>34</v>
      </c>
      <c r="G33" s="1" t="s">
        <v>37</v>
      </c>
      <c r="H33" s="1" t="s">
        <v>41</v>
      </c>
      <c r="I33" s="1" t="s">
        <v>42</v>
      </c>
      <c r="J33">
        <f>D33/100</f>
        <v>1.63</v>
      </c>
      <c r="K33">
        <f>E33/J33/J33</f>
        <v>18.4425458240807</v>
      </c>
    </row>
    <row r="34" spans="1:11" x14ac:dyDescent="0.25">
      <c r="A34" s="1" t="s">
        <v>23</v>
      </c>
      <c r="B34" s="1">
        <v>20</v>
      </c>
      <c r="C34" s="1" t="s">
        <v>48</v>
      </c>
      <c r="D34" s="1">
        <v>175</v>
      </c>
      <c r="E34" s="3">
        <v>65</v>
      </c>
      <c r="F34" s="1" t="s">
        <v>34</v>
      </c>
      <c r="G34" s="1" t="s">
        <v>37</v>
      </c>
      <c r="H34" s="1" t="s">
        <v>40</v>
      </c>
      <c r="I34" s="1" t="s">
        <v>42</v>
      </c>
      <c r="J34">
        <f>D34/100</f>
        <v>1.75</v>
      </c>
      <c r="K34">
        <f>E34/J34/J34</f>
        <v>21.22448979591837</v>
      </c>
    </row>
    <row r="35" spans="1:11" x14ac:dyDescent="0.25">
      <c r="A35" s="1" t="s">
        <v>23</v>
      </c>
      <c r="B35">
        <v>23</v>
      </c>
      <c r="C35" s="1" t="s">
        <v>48</v>
      </c>
      <c r="D35">
        <v>173</v>
      </c>
      <c r="E35" s="2">
        <v>74</v>
      </c>
      <c r="F35" s="1" t="s">
        <v>36</v>
      </c>
      <c r="G35" s="1" t="s">
        <v>37</v>
      </c>
      <c r="H35" s="1" t="s">
        <v>40</v>
      </c>
      <c r="I35" s="1" t="s">
        <v>42</v>
      </c>
      <c r="J35">
        <f>D35/100</f>
        <v>1.73</v>
      </c>
      <c r="K35">
        <f>E35/J35/J35</f>
        <v>24.725182932941298</v>
      </c>
    </row>
    <row r="36" spans="1:11" x14ac:dyDescent="0.25">
      <c r="A36" s="1" t="s">
        <v>23</v>
      </c>
      <c r="B36" s="1">
        <v>22</v>
      </c>
      <c r="C36" s="1" t="s">
        <v>48</v>
      </c>
      <c r="D36" s="1">
        <v>179</v>
      </c>
      <c r="E36" s="3">
        <v>77</v>
      </c>
      <c r="F36" s="1" t="s">
        <v>34</v>
      </c>
      <c r="G36" s="1" t="s">
        <v>37</v>
      </c>
      <c r="H36" s="1" t="s">
        <v>40</v>
      </c>
      <c r="I36" s="1" t="s">
        <v>42</v>
      </c>
      <c r="J36">
        <f>D36/100</f>
        <v>1.79</v>
      </c>
      <c r="K36">
        <f>E36/J36/J36</f>
        <v>24.031709372366652</v>
      </c>
    </row>
    <row r="37" spans="1:11" x14ac:dyDescent="0.25">
      <c r="A37" s="1" t="s">
        <v>23</v>
      </c>
      <c r="B37" s="1">
        <v>22</v>
      </c>
      <c r="C37" s="1" t="s">
        <v>48</v>
      </c>
      <c r="D37" s="1">
        <v>176</v>
      </c>
      <c r="E37" s="3">
        <v>73</v>
      </c>
      <c r="F37" s="1" t="s">
        <v>34</v>
      </c>
      <c r="G37" s="1" t="s">
        <v>37</v>
      </c>
      <c r="H37" s="1" t="s">
        <v>40</v>
      </c>
      <c r="I37" s="1" t="s">
        <v>42</v>
      </c>
      <c r="J37">
        <f>D37/100</f>
        <v>1.76</v>
      </c>
      <c r="K37">
        <f>E37/J37/J37</f>
        <v>23.566632231404959</v>
      </c>
    </row>
    <row r="38" spans="1:11" x14ac:dyDescent="0.25">
      <c r="A38" s="1" t="s">
        <v>23</v>
      </c>
      <c r="B38" s="1">
        <v>24</v>
      </c>
      <c r="C38" s="1" t="s">
        <v>48</v>
      </c>
      <c r="D38" s="1">
        <v>175</v>
      </c>
      <c r="E38" s="3">
        <v>63</v>
      </c>
      <c r="F38" s="1" t="s">
        <v>36</v>
      </c>
      <c r="G38" s="1" t="s">
        <v>37</v>
      </c>
      <c r="H38" s="1" t="s">
        <v>40</v>
      </c>
      <c r="I38" s="1" t="s">
        <v>43</v>
      </c>
      <c r="J38">
        <f>D38/100</f>
        <v>1.75</v>
      </c>
      <c r="K38">
        <f>E38/J38/J38</f>
        <v>20.571428571428573</v>
      </c>
    </row>
    <row r="39" spans="1:11" x14ac:dyDescent="0.25">
      <c r="A39" s="1" t="s">
        <v>23</v>
      </c>
      <c r="B39" s="1">
        <v>19</v>
      </c>
      <c r="C39" s="1" t="s">
        <v>48</v>
      </c>
      <c r="D39" s="1">
        <v>184</v>
      </c>
      <c r="E39" s="3" t="s">
        <v>33</v>
      </c>
      <c r="F39" s="1" t="s">
        <v>34</v>
      </c>
      <c r="G39" s="1" t="s">
        <v>37</v>
      </c>
      <c r="H39" s="1" t="s">
        <v>40</v>
      </c>
      <c r="I39" s="1" t="s">
        <v>42</v>
      </c>
      <c r="J39">
        <f>D39/100</f>
        <v>1.84</v>
      </c>
      <c r="K39">
        <f>87.5/1.84/1.84</f>
        <v>25.844754253308125</v>
      </c>
    </row>
    <row r="40" spans="1:11" x14ac:dyDescent="0.25">
      <c r="A40" s="1" t="s">
        <v>23</v>
      </c>
      <c r="B40" s="1">
        <v>21</v>
      </c>
      <c r="C40" s="1" t="s">
        <v>48</v>
      </c>
      <c r="D40" s="1">
        <v>178</v>
      </c>
      <c r="E40" s="3">
        <v>77</v>
      </c>
      <c r="F40" s="1" t="s">
        <v>34</v>
      </c>
      <c r="G40" s="1" t="s">
        <v>37</v>
      </c>
      <c r="H40" s="1" t="s">
        <v>40</v>
      </c>
      <c r="I40" s="1" t="s">
        <v>42</v>
      </c>
      <c r="J40">
        <f>D40/100</f>
        <v>1.78</v>
      </c>
      <c r="K40">
        <f>E40/J40/J40</f>
        <v>24.302487059714682</v>
      </c>
    </row>
    <row r="41" spans="1:11" x14ac:dyDescent="0.25">
      <c r="A41" s="1" t="s">
        <v>23</v>
      </c>
      <c r="B41" s="1">
        <v>21</v>
      </c>
      <c r="C41" s="1" t="s">
        <v>48</v>
      </c>
      <c r="D41" s="1">
        <v>185</v>
      </c>
      <c r="E41" s="3">
        <v>75</v>
      </c>
      <c r="F41" s="1" t="s">
        <v>34</v>
      </c>
      <c r="G41" s="1" t="s">
        <v>37</v>
      </c>
      <c r="H41" s="1" t="s">
        <v>40</v>
      </c>
      <c r="I41" s="1" t="s">
        <v>42</v>
      </c>
      <c r="J41">
        <f>D41/100</f>
        <v>1.85</v>
      </c>
      <c r="K41">
        <f>E41/J41/J41</f>
        <v>21.913805697589481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A1DA-B23F-4C93-BF74-FEB59B136BAB}">
  <dimension ref="A1:AC42"/>
  <sheetViews>
    <sheetView workbookViewId="0">
      <selection activeCell="B4" sqref="B4"/>
    </sheetView>
  </sheetViews>
  <sheetFormatPr defaultRowHeight="13.8" x14ac:dyDescent="0.25"/>
  <sheetData>
    <row r="1" spans="1:29" x14ac:dyDescent="0.25">
      <c r="A1" s="4"/>
      <c r="B1" s="13" t="s">
        <v>0</v>
      </c>
      <c r="C1" s="13"/>
      <c r="D1" s="13" t="s">
        <v>1</v>
      </c>
      <c r="E1" s="13"/>
      <c r="F1" s="13" t="s">
        <v>2</v>
      </c>
      <c r="G1" s="13"/>
      <c r="H1" s="13" t="s">
        <v>3</v>
      </c>
      <c r="I1" s="13"/>
      <c r="J1" s="13" t="s">
        <v>4</v>
      </c>
      <c r="K1" s="13"/>
      <c r="L1" s="13" t="s">
        <v>5</v>
      </c>
      <c r="M1" s="13"/>
      <c r="N1" s="13" t="s">
        <v>6</v>
      </c>
      <c r="O1" s="13"/>
      <c r="P1" s="13" t="s">
        <v>7</v>
      </c>
      <c r="Q1" s="13"/>
      <c r="R1" s="13" t="s">
        <v>8</v>
      </c>
      <c r="S1" s="13"/>
      <c r="T1" s="13" t="s">
        <v>9</v>
      </c>
      <c r="U1" s="13"/>
      <c r="V1" s="13" t="s">
        <v>10</v>
      </c>
      <c r="W1" s="13"/>
      <c r="X1" s="13" t="s">
        <v>11</v>
      </c>
      <c r="Y1" s="13"/>
      <c r="Z1" s="13" t="s">
        <v>12</v>
      </c>
      <c r="AA1" s="13"/>
      <c r="AB1" s="14" t="s">
        <v>13</v>
      </c>
      <c r="AC1" s="14"/>
    </row>
    <row r="2" spans="1:29" x14ac:dyDescent="0.25">
      <c r="A2" s="4"/>
      <c r="B2" s="5" t="s">
        <v>14</v>
      </c>
      <c r="C2" s="5" t="s">
        <v>15</v>
      </c>
      <c r="D2" s="5" t="s">
        <v>14</v>
      </c>
      <c r="E2" s="5" t="s">
        <v>15</v>
      </c>
      <c r="F2" s="5" t="s">
        <v>14</v>
      </c>
      <c r="G2" s="5" t="s">
        <v>15</v>
      </c>
      <c r="H2" s="5" t="s">
        <v>14</v>
      </c>
      <c r="I2" s="5" t="s">
        <v>15</v>
      </c>
      <c r="J2" s="5" t="s">
        <v>14</v>
      </c>
      <c r="K2" s="5" t="s">
        <v>15</v>
      </c>
      <c r="L2" s="5" t="s">
        <v>14</v>
      </c>
      <c r="M2" s="5" t="s">
        <v>15</v>
      </c>
      <c r="N2" s="5" t="s">
        <v>14</v>
      </c>
      <c r="O2" s="5" t="s">
        <v>15</v>
      </c>
      <c r="P2" s="5" t="s">
        <v>14</v>
      </c>
      <c r="Q2" s="5" t="s">
        <v>15</v>
      </c>
      <c r="R2" s="5" t="s">
        <v>14</v>
      </c>
      <c r="S2" s="5" t="s">
        <v>15</v>
      </c>
      <c r="T2" s="5" t="s">
        <v>14</v>
      </c>
      <c r="U2" s="5" t="s">
        <v>15</v>
      </c>
      <c r="V2" s="5" t="s">
        <v>14</v>
      </c>
      <c r="W2" s="5" t="s">
        <v>15</v>
      </c>
      <c r="X2" s="5" t="s">
        <v>14</v>
      </c>
      <c r="Y2" s="5" t="s">
        <v>15</v>
      </c>
      <c r="Z2" s="5" t="s">
        <v>14</v>
      </c>
      <c r="AA2" s="5" t="s">
        <v>15</v>
      </c>
      <c r="AB2" s="5" t="s">
        <v>14</v>
      </c>
      <c r="AC2" s="5" t="s">
        <v>15</v>
      </c>
    </row>
    <row r="3" spans="1:29" ht="15.6" x14ac:dyDescent="0.3">
      <c r="A3" s="6" t="s">
        <v>16</v>
      </c>
      <c r="B3" s="7">
        <v>2.0066666666666699</v>
      </c>
      <c r="C3" s="8">
        <v>2.39</v>
      </c>
      <c r="D3" s="9">
        <v>2.2133333333333298</v>
      </c>
      <c r="E3" s="7">
        <v>2.39</v>
      </c>
      <c r="F3" s="9">
        <v>4.6923333333333304</v>
      </c>
      <c r="G3" s="9">
        <v>5.0199999999999996</v>
      </c>
      <c r="H3" s="8">
        <v>4.38</v>
      </c>
      <c r="I3" s="9">
        <v>4.9666666666666668</v>
      </c>
      <c r="J3" s="7">
        <v>3.43333333333333</v>
      </c>
      <c r="K3" s="9">
        <v>3.7933333333333299</v>
      </c>
      <c r="L3" s="8">
        <v>3.70333333333333</v>
      </c>
      <c r="M3" s="9">
        <v>3.3433333333333302</v>
      </c>
      <c r="N3" s="10">
        <v>4.74</v>
      </c>
      <c r="O3" s="9">
        <v>4.82</v>
      </c>
      <c r="P3" s="8">
        <v>3.9466666666666699</v>
      </c>
      <c r="Q3" s="9">
        <v>4.0950000000000006</v>
      </c>
      <c r="R3" s="7">
        <v>4.4766666666666701</v>
      </c>
      <c r="S3" s="9">
        <v>4.4800000000000004</v>
      </c>
      <c r="T3" s="7">
        <v>3.9633333333333298</v>
      </c>
      <c r="U3" s="9">
        <v>4.0933333333333302</v>
      </c>
      <c r="V3" s="10">
        <v>4.7266666666666701</v>
      </c>
      <c r="W3" s="9">
        <v>5.01</v>
      </c>
      <c r="X3" s="8">
        <v>3.7833333333333301</v>
      </c>
      <c r="Y3" s="9">
        <v>3.4433333333333298</v>
      </c>
      <c r="Z3" s="7">
        <v>5.1166666666666698</v>
      </c>
      <c r="AA3" s="9">
        <v>4.81666666666667</v>
      </c>
      <c r="AB3" s="8">
        <v>5.6633333333333304</v>
      </c>
      <c r="AC3" s="11">
        <v>5.46</v>
      </c>
    </row>
    <row r="4" spans="1:29" ht="15.6" x14ac:dyDescent="0.25">
      <c r="A4" s="6" t="s">
        <v>16</v>
      </c>
      <c r="B4" s="7">
        <v>0.95499999999999996</v>
      </c>
      <c r="C4" s="7">
        <v>1.0433333333333299</v>
      </c>
      <c r="D4" s="9">
        <v>0.96</v>
      </c>
      <c r="E4" s="7">
        <v>1.25</v>
      </c>
      <c r="F4" s="9">
        <v>3.68</v>
      </c>
      <c r="G4" s="9">
        <v>4.0233333333333299</v>
      </c>
      <c r="H4" s="7">
        <v>3.52</v>
      </c>
      <c r="I4" s="9">
        <v>3.1666666666666701</v>
      </c>
      <c r="J4" s="7">
        <v>2.3466666666666698</v>
      </c>
      <c r="K4" s="9">
        <v>2.70333333333333</v>
      </c>
      <c r="L4" s="7">
        <v>3.67</v>
      </c>
      <c r="M4" s="9">
        <v>3.27</v>
      </c>
      <c r="N4" s="7">
        <v>2.86</v>
      </c>
      <c r="O4" s="9">
        <v>3.3250000000000002</v>
      </c>
      <c r="P4" s="7">
        <v>3.42</v>
      </c>
      <c r="Q4" s="9">
        <v>3.4449999999999998</v>
      </c>
      <c r="R4" s="7">
        <v>3.79</v>
      </c>
      <c r="S4" s="9">
        <v>3.4449999999999998</v>
      </c>
      <c r="T4" s="7">
        <v>4.0066666666666704</v>
      </c>
      <c r="U4" s="9">
        <v>4.4566666666666697</v>
      </c>
      <c r="V4" s="7">
        <v>3.77</v>
      </c>
      <c r="W4" s="9">
        <v>3.1366666666666698</v>
      </c>
      <c r="X4" s="7">
        <v>3.4766666666666701</v>
      </c>
      <c r="Y4" s="9">
        <v>3.2</v>
      </c>
      <c r="Z4" s="7">
        <v>7.1449999999999996</v>
      </c>
      <c r="AA4" s="9">
        <v>7.02</v>
      </c>
      <c r="AB4" s="7">
        <v>5.6933333333333298</v>
      </c>
      <c r="AC4" s="11">
        <v>6.33</v>
      </c>
    </row>
    <row r="5" spans="1:29" ht="15.6" x14ac:dyDescent="0.25">
      <c r="A5" s="6" t="s">
        <v>16</v>
      </c>
      <c r="B5" s="7">
        <v>1.67</v>
      </c>
      <c r="C5" s="7">
        <v>2.0099999999999998</v>
      </c>
      <c r="D5" s="12">
        <v>1.5533333333333299</v>
      </c>
      <c r="E5" s="7">
        <v>1.595</v>
      </c>
      <c r="F5" s="9">
        <v>3.4350000000000001</v>
      </c>
      <c r="G5" s="12">
        <v>3.55</v>
      </c>
      <c r="H5" s="7">
        <v>3.1933333333333298</v>
      </c>
      <c r="I5" s="9">
        <v>3.4766666666666701</v>
      </c>
      <c r="J5" s="7">
        <v>3.06666666666667</v>
      </c>
      <c r="K5" s="9">
        <v>3</v>
      </c>
      <c r="L5" s="7">
        <v>3.125</v>
      </c>
      <c r="M5" s="9">
        <v>2.73</v>
      </c>
      <c r="N5" s="7">
        <v>3.36</v>
      </c>
      <c r="O5" s="9">
        <v>3.42</v>
      </c>
      <c r="P5" s="7">
        <v>2.7349999999999999</v>
      </c>
      <c r="Q5" s="9">
        <v>2.54</v>
      </c>
      <c r="R5" s="7">
        <v>3.4633333333333298</v>
      </c>
      <c r="S5" s="9">
        <v>2.95</v>
      </c>
      <c r="T5" s="7">
        <v>3.1966666666666699</v>
      </c>
      <c r="U5" s="9">
        <v>3.3849999999999998</v>
      </c>
      <c r="V5" s="7">
        <v>2.7050000000000001</v>
      </c>
      <c r="W5" s="9">
        <v>2.7749999999999999</v>
      </c>
      <c r="X5" s="7">
        <v>2.4249999999999998</v>
      </c>
      <c r="Y5" s="9">
        <v>2.37</v>
      </c>
      <c r="Z5" s="7">
        <v>4.9800000000000004</v>
      </c>
      <c r="AA5" s="9">
        <v>4.7166666666666703</v>
      </c>
      <c r="AB5" s="7">
        <v>4.9249999999999998</v>
      </c>
      <c r="AC5" s="11">
        <v>5.1550000000000002</v>
      </c>
    </row>
    <row r="6" spans="1:29" ht="15.6" x14ac:dyDescent="0.25">
      <c r="A6" s="6" t="s">
        <v>16</v>
      </c>
      <c r="B6" s="7">
        <v>1.635</v>
      </c>
      <c r="C6" s="7">
        <v>1.6966666666666701</v>
      </c>
      <c r="D6" s="12">
        <v>1.54</v>
      </c>
      <c r="E6" s="7">
        <v>1.615</v>
      </c>
      <c r="F6" s="9">
        <v>2.8066666666666702</v>
      </c>
      <c r="G6" s="12">
        <v>3.1</v>
      </c>
      <c r="H6" s="7">
        <v>2.7650000000000001</v>
      </c>
      <c r="I6" s="9">
        <v>2.9166666666666701</v>
      </c>
      <c r="J6" s="7">
        <v>2.2650000000000001</v>
      </c>
      <c r="K6" s="9">
        <v>2.145</v>
      </c>
      <c r="L6" s="7">
        <v>2.84</v>
      </c>
      <c r="M6" s="9">
        <v>3.08666666666667</v>
      </c>
      <c r="N6" s="7">
        <v>2.5766666666666702</v>
      </c>
      <c r="O6" s="9">
        <v>2.86</v>
      </c>
      <c r="P6" s="7">
        <v>2.4933333333333301</v>
      </c>
      <c r="Q6" s="9">
        <v>2.58</v>
      </c>
      <c r="R6" s="7">
        <v>3.9849999999999999</v>
      </c>
      <c r="S6" s="9">
        <v>4.0199999999999996</v>
      </c>
      <c r="T6" s="7">
        <v>3.57</v>
      </c>
      <c r="U6" s="9">
        <v>3.0133333333333301</v>
      </c>
      <c r="V6" s="7">
        <v>2.5499999999999998</v>
      </c>
      <c r="W6" s="9">
        <v>2.9633333333333298</v>
      </c>
      <c r="X6" s="7">
        <v>2.9666666666666699</v>
      </c>
      <c r="Y6" s="9">
        <v>2.9049999999999998</v>
      </c>
      <c r="Z6" s="7">
        <v>3.9966666666666701</v>
      </c>
      <c r="AA6" s="9">
        <v>4.7450000000000001</v>
      </c>
      <c r="AB6" s="7">
        <v>5.66</v>
      </c>
      <c r="AC6" s="11">
        <v>5.03</v>
      </c>
    </row>
    <row r="7" spans="1:29" ht="15.6" x14ac:dyDescent="0.25">
      <c r="A7" s="6" t="s">
        <v>16</v>
      </c>
      <c r="B7" s="7">
        <v>2.2266666666666701</v>
      </c>
      <c r="C7" s="7">
        <v>2.76</v>
      </c>
      <c r="D7" s="12">
        <v>1.9450000000000001</v>
      </c>
      <c r="E7" s="7">
        <v>2.17</v>
      </c>
      <c r="F7" s="9">
        <v>4.7466666666666697</v>
      </c>
      <c r="G7" s="12">
        <v>5.24</v>
      </c>
      <c r="H7" s="7">
        <v>4.7750000000000004</v>
      </c>
      <c r="I7" s="9">
        <v>5.2050000000000001</v>
      </c>
      <c r="J7" s="7">
        <v>3.71</v>
      </c>
      <c r="K7" s="9">
        <v>4.0166666666666702</v>
      </c>
      <c r="L7" s="7">
        <v>3.4433333333333298</v>
      </c>
      <c r="M7" s="9">
        <v>3.04666666666667</v>
      </c>
      <c r="N7" s="7">
        <v>3.87666666666667</v>
      </c>
      <c r="O7" s="9">
        <v>3.71</v>
      </c>
      <c r="P7" s="7">
        <v>4</v>
      </c>
      <c r="Q7" s="9">
        <v>3.9049999999999998</v>
      </c>
      <c r="R7" s="7">
        <v>4.2949999999999999</v>
      </c>
      <c r="S7" s="9">
        <v>4.9050000000000002</v>
      </c>
      <c r="T7" s="7">
        <v>4.28</v>
      </c>
      <c r="U7" s="9">
        <v>4.2633333333333301</v>
      </c>
      <c r="V7" s="7">
        <v>5.1749999999999998</v>
      </c>
      <c r="W7" s="9">
        <v>5.26</v>
      </c>
      <c r="X7" s="7">
        <v>5.3733333333333304</v>
      </c>
      <c r="Y7" s="9">
        <v>5.97</v>
      </c>
      <c r="Z7" s="7">
        <v>7.4866666666666699</v>
      </c>
      <c r="AA7" s="9">
        <v>7.68</v>
      </c>
      <c r="AB7" s="7">
        <v>6.0166666666666702</v>
      </c>
      <c r="AC7" s="11">
        <v>5.98</v>
      </c>
    </row>
    <row r="8" spans="1:29" ht="15.6" x14ac:dyDescent="0.25">
      <c r="A8" s="6" t="s">
        <v>16</v>
      </c>
      <c r="B8" s="7">
        <v>1.1766666666666701</v>
      </c>
      <c r="C8" s="7">
        <v>1.3</v>
      </c>
      <c r="D8" s="12">
        <v>1.115</v>
      </c>
      <c r="E8" s="7">
        <v>1.4550000000000001</v>
      </c>
      <c r="F8" s="9">
        <v>3.0049999999999999</v>
      </c>
      <c r="G8" s="12">
        <v>3.4666666666666699</v>
      </c>
      <c r="H8" s="7">
        <v>2.35</v>
      </c>
      <c r="I8" s="9">
        <v>3.24</v>
      </c>
      <c r="J8" s="7">
        <v>2.0933333333333302</v>
      </c>
      <c r="K8" s="9">
        <v>2.5633333333333299</v>
      </c>
      <c r="L8" s="7">
        <v>2.2166666666666699</v>
      </c>
      <c r="M8" s="9">
        <v>3.07</v>
      </c>
      <c r="N8" s="7">
        <v>1.9366666666666701</v>
      </c>
      <c r="O8" s="9">
        <v>2.355</v>
      </c>
      <c r="P8" s="7">
        <v>1.78</v>
      </c>
      <c r="Q8" s="9">
        <v>2.2050000000000001</v>
      </c>
      <c r="R8" s="7">
        <v>3.18</v>
      </c>
      <c r="S8" s="9">
        <v>3.0966666666666698</v>
      </c>
      <c r="T8" s="7">
        <v>2.66</v>
      </c>
      <c r="U8" s="9">
        <v>3.60666666666667</v>
      </c>
      <c r="V8" s="7">
        <v>2.34</v>
      </c>
      <c r="W8" s="9">
        <v>2.2149999999999999</v>
      </c>
      <c r="X8" s="7">
        <v>2.36</v>
      </c>
      <c r="Y8" s="9">
        <v>2.06666666666667</v>
      </c>
      <c r="Z8" s="7">
        <v>4.37</v>
      </c>
      <c r="AA8" s="9">
        <v>5.19</v>
      </c>
      <c r="AB8" s="7">
        <v>4.5766666666666698</v>
      </c>
      <c r="AC8" s="11">
        <v>4.4166666666666696</v>
      </c>
    </row>
    <row r="9" spans="1:29" ht="15.6" x14ac:dyDescent="0.25">
      <c r="A9" s="6" t="s">
        <v>16</v>
      </c>
      <c r="B9" s="7">
        <v>2.1850000000000001</v>
      </c>
      <c r="C9" s="7">
        <v>2.9449999999999998</v>
      </c>
      <c r="D9" s="12">
        <v>2.25</v>
      </c>
      <c r="E9" s="7">
        <v>2.5049999999999999</v>
      </c>
      <c r="F9" s="9">
        <v>5.37</v>
      </c>
      <c r="G9" s="12">
        <v>5.81</v>
      </c>
      <c r="H9" s="7">
        <v>5.64</v>
      </c>
      <c r="I9" s="9">
        <v>6.1566666666666698</v>
      </c>
      <c r="J9" s="7">
        <v>4.5650000000000004</v>
      </c>
      <c r="K9" s="9">
        <v>4.8600000000000003</v>
      </c>
      <c r="L9" s="7">
        <v>5.24</v>
      </c>
      <c r="M9" s="9">
        <v>4.625</v>
      </c>
      <c r="N9" s="7">
        <v>5.12</v>
      </c>
      <c r="O9" s="9">
        <v>4.88</v>
      </c>
      <c r="P9" s="7">
        <v>3.9350000000000001</v>
      </c>
      <c r="Q9" s="9">
        <v>4.7300000000000004</v>
      </c>
      <c r="R9" s="7">
        <v>5.625</v>
      </c>
      <c r="S9" s="9">
        <v>4.6100000000000003</v>
      </c>
      <c r="T9" s="7">
        <v>5.45</v>
      </c>
      <c r="U9" s="9">
        <v>5.875</v>
      </c>
      <c r="V9" s="7">
        <v>3.55</v>
      </c>
      <c r="W9" s="9">
        <v>4.3</v>
      </c>
      <c r="X9" s="7">
        <v>4.165</v>
      </c>
      <c r="Y9" s="9">
        <v>4.5049999999999999</v>
      </c>
      <c r="Z9" s="7">
        <v>6.415</v>
      </c>
      <c r="AA9" s="9">
        <v>7.27</v>
      </c>
      <c r="AB9" s="7">
        <v>6.1050000000000004</v>
      </c>
      <c r="AC9" s="11">
        <v>6.21</v>
      </c>
    </row>
    <row r="10" spans="1:29" ht="15.6" x14ac:dyDescent="0.25">
      <c r="A10" s="6" t="s">
        <v>16</v>
      </c>
      <c r="B10" s="7">
        <v>0.75</v>
      </c>
      <c r="C10" s="7">
        <v>1.0633333333333299</v>
      </c>
      <c r="D10" s="12">
        <v>1.05</v>
      </c>
      <c r="E10" s="7">
        <v>0.80500000000000005</v>
      </c>
      <c r="F10" s="9">
        <v>2.94</v>
      </c>
      <c r="G10" s="12">
        <v>3.01</v>
      </c>
      <c r="H10" s="7">
        <v>3.1166666666666698</v>
      </c>
      <c r="I10" s="9">
        <v>3.2</v>
      </c>
      <c r="J10" s="7">
        <v>3.1033333333333299</v>
      </c>
      <c r="K10" s="9">
        <v>3</v>
      </c>
      <c r="L10" s="7">
        <v>2.5950000000000002</v>
      </c>
      <c r="M10" s="9">
        <v>2.86</v>
      </c>
      <c r="N10" s="7">
        <v>2.4350000000000001</v>
      </c>
      <c r="O10" s="9">
        <v>2.5033333333333299</v>
      </c>
      <c r="P10" s="7">
        <v>2.5033333333333299</v>
      </c>
      <c r="Q10" s="9">
        <v>2.12666666666667</v>
      </c>
      <c r="R10" s="7">
        <v>3.32</v>
      </c>
      <c r="S10" s="9">
        <v>3.1933333333333298</v>
      </c>
      <c r="T10" s="7">
        <v>3.04</v>
      </c>
      <c r="U10" s="9">
        <v>3.33</v>
      </c>
      <c r="V10" s="7">
        <v>1.9350000000000001</v>
      </c>
      <c r="W10" s="9">
        <v>1.835</v>
      </c>
      <c r="X10" s="7">
        <v>1.6566666666666701</v>
      </c>
      <c r="Y10" s="9">
        <v>1.9066666666666701</v>
      </c>
      <c r="Z10" s="7">
        <v>3.5033333333333299</v>
      </c>
      <c r="AA10" s="9">
        <v>3.6966666666666699</v>
      </c>
      <c r="AB10" s="7">
        <v>3.2050000000000001</v>
      </c>
      <c r="AC10" s="11">
        <v>3.4933333333333301</v>
      </c>
    </row>
    <row r="11" spans="1:29" ht="15.6" x14ac:dyDescent="0.25">
      <c r="A11" s="6" t="s">
        <v>16</v>
      </c>
      <c r="B11" s="7">
        <v>1.1100000000000001</v>
      </c>
      <c r="C11" s="7">
        <v>1.2</v>
      </c>
      <c r="D11" s="12">
        <v>0.82666666666666699</v>
      </c>
      <c r="E11" s="7">
        <v>0.96</v>
      </c>
      <c r="F11" s="9">
        <v>3.64</v>
      </c>
      <c r="G11" s="12">
        <v>3.5433333333333299</v>
      </c>
      <c r="H11" s="7">
        <v>3.3149999999999999</v>
      </c>
      <c r="I11" s="9">
        <v>3.71</v>
      </c>
      <c r="J11" s="7">
        <v>2.5</v>
      </c>
      <c r="K11" s="9">
        <v>2.8149999999999999</v>
      </c>
      <c r="L11" s="7">
        <v>2.415</v>
      </c>
      <c r="M11" s="9">
        <v>2.5750000000000002</v>
      </c>
      <c r="N11" s="7">
        <v>1.82</v>
      </c>
      <c r="O11" s="9">
        <v>2.3250000000000002</v>
      </c>
      <c r="P11" s="7">
        <v>2.165</v>
      </c>
      <c r="Q11" s="9">
        <v>2.4750000000000001</v>
      </c>
      <c r="R11" s="7">
        <v>3.16333333333333</v>
      </c>
      <c r="S11" s="9">
        <v>3.24</v>
      </c>
      <c r="T11" s="7">
        <v>2.5633333333333299</v>
      </c>
      <c r="U11" s="9">
        <v>3.1749999999999998</v>
      </c>
      <c r="V11" s="7">
        <v>2.3533333333333299</v>
      </c>
      <c r="W11" s="9">
        <v>2.5499999999999998</v>
      </c>
      <c r="X11" s="7">
        <v>2.1466666666666701</v>
      </c>
      <c r="Y11" s="9">
        <v>2.4550000000000001</v>
      </c>
      <c r="Z11" s="7">
        <v>3.70333333333333</v>
      </c>
      <c r="AA11" s="9">
        <v>4.4433333333333298</v>
      </c>
      <c r="AB11" s="7">
        <v>3.9666666666666699</v>
      </c>
      <c r="AC11" s="11">
        <v>4.22</v>
      </c>
    </row>
    <row r="12" spans="1:29" ht="15.6" x14ac:dyDescent="0.25">
      <c r="A12" s="6" t="s">
        <v>16</v>
      </c>
      <c r="B12" s="7">
        <v>2.09</v>
      </c>
      <c r="C12" s="7">
        <v>2.31</v>
      </c>
      <c r="D12" s="12">
        <v>1.7749999999999999</v>
      </c>
      <c r="E12" s="7">
        <v>1.655</v>
      </c>
      <c r="F12" s="9">
        <v>5.01</v>
      </c>
      <c r="G12" s="12">
        <v>4.8150000000000004</v>
      </c>
      <c r="H12" s="7">
        <v>4.8366666666666696</v>
      </c>
      <c r="I12" s="9">
        <v>5.43</v>
      </c>
      <c r="J12" s="7">
        <v>3.9</v>
      </c>
      <c r="K12" s="9">
        <v>3.6949999999999998</v>
      </c>
      <c r="L12" s="7">
        <v>3.43333333333333</v>
      </c>
      <c r="M12" s="9">
        <v>3.69</v>
      </c>
      <c r="N12" s="7">
        <v>3.6666666666666701</v>
      </c>
      <c r="O12" s="9">
        <v>3.5766666666666702</v>
      </c>
      <c r="P12" s="7">
        <v>3.17</v>
      </c>
      <c r="Q12" s="9">
        <v>3.32</v>
      </c>
      <c r="R12" s="7">
        <v>4.9133333333333304</v>
      </c>
      <c r="S12" s="9">
        <v>5.38</v>
      </c>
      <c r="T12" s="7">
        <v>5.0199999999999996</v>
      </c>
      <c r="U12" s="9">
        <v>4.5149999999999997</v>
      </c>
      <c r="V12" s="7">
        <v>3.1933333333333298</v>
      </c>
      <c r="W12" s="9">
        <v>3.25</v>
      </c>
      <c r="X12" s="7">
        <v>3.0066666666666699</v>
      </c>
      <c r="Y12" s="9">
        <v>3.4966666666666701</v>
      </c>
      <c r="Z12" s="7">
        <v>6.9133333333333304</v>
      </c>
      <c r="AA12" s="9">
        <v>7.18333333333333</v>
      </c>
      <c r="AB12" s="7">
        <v>7.04</v>
      </c>
      <c r="AC12" s="11">
        <v>7.63</v>
      </c>
    </row>
    <row r="13" spans="1:29" ht="15.6" x14ac:dyDescent="0.25">
      <c r="A13" s="6" t="s">
        <v>16</v>
      </c>
      <c r="B13" s="7">
        <v>1.06</v>
      </c>
      <c r="C13" s="7">
        <v>1.54</v>
      </c>
      <c r="D13" s="12">
        <v>1.415</v>
      </c>
      <c r="E13" s="7">
        <v>1.605</v>
      </c>
      <c r="F13" s="9">
        <v>3.64</v>
      </c>
      <c r="G13" s="12">
        <v>4.0733333333333297</v>
      </c>
      <c r="H13" s="7">
        <v>3.9266666666666699</v>
      </c>
      <c r="I13" s="9">
        <v>3.9666666666666699</v>
      </c>
      <c r="J13" s="7">
        <v>3.2</v>
      </c>
      <c r="K13" s="9">
        <v>3.76</v>
      </c>
      <c r="L13" s="7">
        <v>3.125</v>
      </c>
      <c r="M13" s="9">
        <v>2.9066666666666698</v>
      </c>
      <c r="N13" s="7">
        <v>2.6766666666666699</v>
      </c>
      <c r="O13" s="9">
        <v>3.99</v>
      </c>
      <c r="P13" s="7">
        <v>2.46</v>
      </c>
      <c r="Q13" s="9">
        <v>3.145</v>
      </c>
      <c r="R13" s="7">
        <v>4.3433333333333302</v>
      </c>
      <c r="S13" s="9">
        <v>5.1333333333333302</v>
      </c>
      <c r="T13" s="7">
        <v>5.24</v>
      </c>
      <c r="U13" s="9">
        <v>5.93333333333333</v>
      </c>
      <c r="V13" s="7">
        <v>3.17</v>
      </c>
      <c r="W13" s="9">
        <v>3.1333333333333302</v>
      </c>
      <c r="X13" s="7">
        <v>2.6666666666666701</v>
      </c>
      <c r="Y13" s="9">
        <v>3.3866666666666698</v>
      </c>
      <c r="Z13" s="7">
        <v>5.2666666666666702</v>
      </c>
      <c r="AA13" s="9">
        <v>6.2633333333333301</v>
      </c>
      <c r="AB13" s="7">
        <v>5.2966666666666704</v>
      </c>
      <c r="AC13" s="11">
        <v>5.5350000000000001</v>
      </c>
    </row>
    <row r="14" spans="1:29" ht="15.6" x14ac:dyDescent="0.25">
      <c r="A14" s="6" t="s">
        <v>16</v>
      </c>
      <c r="B14" s="7">
        <v>1.59</v>
      </c>
      <c r="C14" s="7">
        <v>1.7150000000000001</v>
      </c>
      <c r="D14" s="12">
        <v>1.135</v>
      </c>
      <c r="E14" s="7">
        <v>1.47</v>
      </c>
      <c r="F14" s="9">
        <v>3.6850000000000001</v>
      </c>
      <c r="G14" s="12">
        <v>4.21</v>
      </c>
      <c r="H14" s="7">
        <v>4.1900000000000004</v>
      </c>
      <c r="I14" s="9">
        <v>4.1433333333333335</v>
      </c>
      <c r="J14" s="7">
        <v>3.21</v>
      </c>
      <c r="K14" s="9">
        <v>3.9066666666666698</v>
      </c>
      <c r="L14" s="7">
        <v>3.1766666666666699</v>
      </c>
      <c r="M14" s="9">
        <v>3.9550000000000001</v>
      </c>
      <c r="N14" s="10">
        <v>3.5</v>
      </c>
      <c r="O14" s="9">
        <v>3.5433333333333299</v>
      </c>
      <c r="P14" s="7">
        <v>3.17</v>
      </c>
      <c r="Q14" s="9">
        <v>3.51</v>
      </c>
      <c r="R14" s="7">
        <v>3.8966666666666701</v>
      </c>
      <c r="S14" s="9">
        <v>3.9666666666666699</v>
      </c>
      <c r="T14" s="7">
        <v>4.0533333333333301</v>
      </c>
      <c r="U14" s="9">
        <v>4.0333333333333297</v>
      </c>
      <c r="V14" s="7">
        <v>2.4233333333333298</v>
      </c>
      <c r="W14" s="9">
        <v>2.64</v>
      </c>
      <c r="X14" s="7">
        <v>2.7949999999999999</v>
      </c>
      <c r="Y14" s="9">
        <v>2.645</v>
      </c>
      <c r="Z14" s="7">
        <v>4.8266666666666698</v>
      </c>
      <c r="AA14" s="9">
        <v>5.53</v>
      </c>
      <c r="AB14" s="7">
        <v>4.2666666666666702</v>
      </c>
      <c r="AC14" s="11">
        <v>5.2</v>
      </c>
    </row>
    <row r="15" spans="1:29" ht="15.6" x14ac:dyDescent="0.25">
      <c r="A15" s="6" t="s">
        <v>16</v>
      </c>
      <c r="B15" s="7">
        <v>1.0900000000000001</v>
      </c>
      <c r="C15" s="7">
        <v>1.24</v>
      </c>
      <c r="D15" s="12">
        <v>1.97</v>
      </c>
      <c r="E15" s="7">
        <v>1.89333333333333</v>
      </c>
      <c r="F15" s="9">
        <v>3.37333333333333</v>
      </c>
      <c r="G15" s="12">
        <v>2.8250000000000002</v>
      </c>
      <c r="H15" s="7">
        <v>3.22</v>
      </c>
      <c r="I15" s="9">
        <v>3.08</v>
      </c>
      <c r="J15" s="7">
        <v>3.0033333333333299</v>
      </c>
      <c r="K15" s="9">
        <v>2.8133333333333299</v>
      </c>
      <c r="L15" s="7">
        <v>2.41</v>
      </c>
      <c r="M15" s="9">
        <v>2.94</v>
      </c>
      <c r="N15" s="7">
        <v>2.87333333333333</v>
      </c>
      <c r="O15" s="9">
        <v>2.39</v>
      </c>
      <c r="P15" s="7">
        <v>3.1</v>
      </c>
      <c r="Q15" s="9">
        <v>3.32</v>
      </c>
      <c r="R15" s="7">
        <v>3.8433333333333302</v>
      </c>
      <c r="S15" s="9">
        <v>4.5199999999999996</v>
      </c>
      <c r="T15" s="7">
        <v>2.96</v>
      </c>
      <c r="U15" s="9">
        <v>3.7066666666666701</v>
      </c>
      <c r="V15" s="7">
        <v>3</v>
      </c>
      <c r="W15" s="9">
        <v>3.2</v>
      </c>
      <c r="X15" s="7">
        <v>2.6033333333333299</v>
      </c>
      <c r="Y15" s="9">
        <v>3.29</v>
      </c>
      <c r="Z15" s="7">
        <v>5.3949999999999996</v>
      </c>
      <c r="AA15" s="9">
        <v>5.8949999999999996</v>
      </c>
      <c r="AB15" s="7">
        <v>5.4733333333333301</v>
      </c>
      <c r="AC15" s="11">
        <v>6.75</v>
      </c>
    </row>
    <row r="16" spans="1:29" ht="15.6" x14ac:dyDescent="0.25">
      <c r="A16" s="6" t="s">
        <v>16</v>
      </c>
      <c r="B16" s="7">
        <v>4.6099999999999994</v>
      </c>
      <c r="C16" s="7">
        <v>4.16</v>
      </c>
      <c r="D16" s="12">
        <v>2.3233333333333337</v>
      </c>
      <c r="E16" s="7">
        <v>2.8666666666666671</v>
      </c>
      <c r="F16" s="9">
        <v>5.1349999999999998</v>
      </c>
      <c r="G16" s="12">
        <v>4.8366666666666696</v>
      </c>
      <c r="H16" s="7">
        <v>6.8966666666666656</v>
      </c>
      <c r="I16" s="9">
        <v>6.67</v>
      </c>
      <c r="J16" s="10">
        <v>4.1433333333333335</v>
      </c>
      <c r="K16" s="9">
        <v>4.1800000000000006</v>
      </c>
      <c r="L16" s="7">
        <v>4.53</v>
      </c>
      <c r="M16" s="9">
        <v>3.43</v>
      </c>
      <c r="N16" s="7">
        <v>3.9</v>
      </c>
      <c r="O16" s="9">
        <v>4.92</v>
      </c>
      <c r="P16" s="10">
        <v>5.4933333333333323</v>
      </c>
      <c r="Q16" s="9">
        <v>5.78</v>
      </c>
      <c r="R16" s="10">
        <v>4.7166666666666659</v>
      </c>
      <c r="S16" s="9">
        <v>5.0466666666666669</v>
      </c>
      <c r="T16" s="10">
        <v>5.6333333333333329</v>
      </c>
      <c r="U16" s="9">
        <v>4.1566666666666672</v>
      </c>
      <c r="V16" s="10">
        <v>3.42</v>
      </c>
      <c r="W16" s="9">
        <v>3.93</v>
      </c>
      <c r="X16" s="10">
        <v>2.9933333333333336</v>
      </c>
      <c r="Y16" s="9">
        <v>3.63</v>
      </c>
      <c r="Z16" s="10">
        <v>6.95</v>
      </c>
      <c r="AA16" s="9">
        <v>7.99</v>
      </c>
      <c r="AB16" s="10">
        <v>6.3849999999999998</v>
      </c>
      <c r="AC16" s="11">
        <v>7.456666666666667</v>
      </c>
    </row>
    <row r="17" spans="1:29" ht="15.6" x14ac:dyDescent="0.25">
      <c r="A17" s="6" t="s">
        <v>16</v>
      </c>
      <c r="B17" s="7">
        <v>1.5899999999999999</v>
      </c>
      <c r="C17" s="7">
        <v>1.73</v>
      </c>
      <c r="D17" s="12">
        <v>1.7150000000000001</v>
      </c>
      <c r="E17" s="7">
        <v>1.345</v>
      </c>
      <c r="F17" s="9">
        <v>4.16</v>
      </c>
      <c r="G17" s="12">
        <v>3.94</v>
      </c>
      <c r="H17" s="10">
        <v>4.1866666666666665</v>
      </c>
      <c r="I17" s="9">
        <v>4.0133333333333328</v>
      </c>
      <c r="J17" s="10">
        <v>3.2900000000000005</v>
      </c>
      <c r="K17" s="9">
        <v>3.41</v>
      </c>
      <c r="L17" s="10">
        <v>3.1849999999999996</v>
      </c>
      <c r="M17" s="9">
        <v>3.0999999999999996</v>
      </c>
      <c r="N17" s="10">
        <v>3.3</v>
      </c>
      <c r="O17" s="9">
        <v>3.5999999999999996</v>
      </c>
      <c r="P17" s="10">
        <v>2.9750000000000001</v>
      </c>
      <c r="Q17" s="9">
        <v>3.18</v>
      </c>
      <c r="R17" s="10">
        <v>4.1499999999999995</v>
      </c>
      <c r="S17" s="9">
        <v>3.7750000000000004</v>
      </c>
      <c r="T17" s="10">
        <v>4.04</v>
      </c>
      <c r="U17" s="9">
        <v>3.6666666666666665</v>
      </c>
      <c r="V17" s="7">
        <v>2.7533333333333334</v>
      </c>
      <c r="W17" s="9">
        <v>2.89</v>
      </c>
      <c r="X17" s="10">
        <v>2.9633333333333334</v>
      </c>
      <c r="Y17" s="9">
        <v>3.2566666666666664</v>
      </c>
      <c r="Z17" s="10">
        <v>5.5966666666666667</v>
      </c>
      <c r="AA17" s="9">
        <v>5.45</v>
      </c>
      <c r="AB17" s="10">
        <v>5.12</v>
      </c>
      <c r="AC17" s="11">
        <v>5.1966666666666663</v>
      </c>
    </row>
    <row r="18" spans="1:29" ht="15.6" x14ac:dyDescent="0.25">
      <c r="A18" s="6" t="s">
        <v>16</v>
      </c>
      <c r="B18" s="7">
        <v>1.9550000000000001</v>
      </c>
      <c r="C18" s="7">
        <v>1.78</v>
      </c>
      <c r="D18" s="12">
        <v>1.8333333333333333</v>
      </c>
      <c r="E18" s="7">
        <v>2.2450000000000001</v>
      </c>
      <c r="F18" s="9">
        <v>4.3166666666666673</v>
      </c>
      <c r="G18" s="12">
        <v>4.16</v>
      </c>
      <c r="H18" s="10">
        <v>3.3733333333333331</v>
      </c>
      <c r="I18" s="9">
        <v>3.9066666666666698</v>
      </c>
      <c r="J18" s="10">
        <v>4.0466666666666669</v>
      </c>
      <c r="K18" s="9">
        <v>4.0750000000000002</v>
      </c>
      <c r="L18" s="10">
        <v>3.5449999999999999</v>
      </c>
      <c r="M18" s="9">
        <v>3.4333333333333336</v>
      </c>
      <c r="N18" s="7">
        <v>2.6766666666666663</v>
      </c>
      <c r="O18" s="9">
        <v>2.9750000000000001</v>
      </c>
      <c r="P18" s="7">
        <v>2.3250000000000002</v>
      </c>
      <c r="Q18" s="9">
        <v>2.1666666666666665</v>
      </c>
      <c r="R18" s="10">
        <v>5.7233333333333336</v>
      </c>
      <c r="S18" s="9">
        <v>4.7233333333333336</v>
      </c>
      <c r="T18" s="10">
        <v>4.5933333333333328</v>
      </c>
      <c r="U18" s="9">
        <v>3.936666666666667</v>
      </c>
      <c r="V18" s="10">
        <v>2.8433333333333333</v>
      </c>
      <c r="W18" s="9">
        <v>3.0400000000000005</v>
      </c>
      <c r="X18" s="10">
        <v>2.8699999999999997</v>
      </c>
      <c r="Y18" s="9">
        <v>2.6</v>
      </c>
      <c r="Z18" s="10">
        <v>7.0566666666666658</v>
      </c>
      <c r="AA18" s="9">
        <v>6.6449999999999996</v>
      </c>
      <c r="AB18" s="10">
        <v>6.3866666666666667</v>
      </c>
      <c r="AC18" s="11">
        <v>6.1150000000000002</v>
      </c>
    </row>
    <row r="19" spans="1:29" ht="15.6" x14ac:dyDescent="0.25">
      <c r="A19" s="6" t="s">
        <v>16</v>
      </c>
      <c r="B19" s="7">
        <v>1.23</v>
      </c>
      <c r="C19" s="7">
        <v>0.72500000000000009</v>
      </c>
      <c r="D19" s="12">
        <v>0.9900000000000001</v>
      </c>
      <c r="E19" s="7">
        <v>0.97</v>
      </c>
      <c r="F19" s="9">
        <v>1.84</v>
      </c>
      <c r="G19" s="12">
        <v>2.35</v>
      </c>
      <c r="H19" s="10">
        <v>1.4633333333333336</v>
      </c>
      <c r="I19" s="9">
        <v>2.0933333333333302</v>
      </c>
      <c r="J19" s="10">
        <v>1.4799999999999998</v>
      </c>
      <c r="K19" s="9">
        <v>1.46</v>
      </c>
      <c r="L19" s="7">
        <v>1.5049999999999999</v>
      </c>
      <c r="M19" s="9">
        <v>1.115</v>
      </c>
      <c r="N19" s="7">
        <v>1.5150000000000001</v>
      </c>
      <c r="O19" s="9">
        <v>1.1400000000000001</v>
      </c>
      <c r="P19" s="10">
        <v>1.27</v>
      </c>
      <c r="Q19" s="9">
        <v>1.1333333333333335</v>
      </c>
      <c r="R19" s="10">
        <v>2.0499999999999998</v>
      </c>
      <c r="S19" s="9">
        <v>1.42</v>
      </c>
      <c r="T19" s="10">
        <v>1.62</v>
      </c>
      <c r="U19" s="9">
        <v>1.39</v>
      </c>
      <c r="V19" s="10">
        <v>1.8233333333333335</v>
      </c>
      <c r="W19" s="9">
        <v>1.6733333333333331</v>
      </c>
      <c r="X19" s="10">
        <v>1.8066666666666666</v>
      </c>
      <c r="Y19" s="9">
        <v>1.25</v>
      </c>
      <c r="Z19" s="10">
        <v>1.6833333333333333</v>
      </c>
      <c r="AA19" s="9">
        <v>1.8366666666666667</v>
      </c>
      <c r="AB19" s="10">
        <v>1.69</v>
      </c>
      <c r="AC19" s="11">
        <v>1.6666666666666667</v>
      </c>
    </row>
    <row r="20" spans="1:29" ht="15.6" x14ac:dyDescent="0.25">
      <c r="A20" s="6" t="s">
        <v>16</v>
      </c>
      <c r="B20" s="7">
        <v>4.4550000000000001</v>
      </c>
      <c r="C20" s="7">
        <v>4.165</v>
      </c>
      <c r="D20" s="12">
        <v>3.9633333333333334</v>
      </c>
      <c r="E20" s="7">
        <v>4.26</v>
      </c>
      <c r="F20" s="9">
        <v>5.1100000000000003</v>
      </c>
      <c r="G20" s="12">
        <v>4.8249999999999993</v>
      </c>
      <c r="H20" s="10">
        <v>4.7933333333333339</v>
      </c>
      <c r="I20" s="9">
        <v>4.5050000000000008</v>
      </c>
      <c r="J20" s="10">
        <v>4.0049999999999999</v>
      </c>
      <c r="K20" s="9">
        <v>4.0599999999999996</v>
      </c>
      <c r="L20" s="10">
        <v>3.375</v>
      </c>
      <c r="M20" s="9">
        <v>3.66</v>
      </c>
      <c r="N20" s="10">
        <v>4.3433333333333337</v>
      </c>
      <c r="O20" s="9">
        <v>4.3</v>
      </c>
      <c r="P20" s="7">
        <v>4.45</v>
      </c>
      <c r="Q20" s="9">
        <v>4.32</v>
      </c>
      <c r="R20" s="10">
        <v>4.9050000000000002</v>
      </c>
      <c r="S20" s="9">
        <v>4.0950000000000006</v>
      </c>
      <c r="T20" s="10">
        <v>4.59</v>
      </c>
      <c r="U20" s="9">
        <v>3.8200000000000003</v>
      </c>
      <c r="V20" s="10">
        <v>2.7549999999999999</v>
      </c>
      <c r="W20" s="9">
        <v>4.0549999999999997</v>
      </c>
      <c r="X20" s="10">
        <v>3.3766666666666665</v>
      </c>
      <c r="Y20" s="9">
        <v>3.6399999999999997</v>
      </c>
      <c r="Z20" s="10">
        <v>5.8166666666666664</v>
      </c>
      <c r="AA20" s="9">
        <v>6.0850000000000009</v>
      </c>
      <c r="AB20" s="10">
        <v>6.4433333333333325</v>
      </c>
      <c r="AC20" s="11">
        <v>7.3866666666666667</v>
      </c>
    </row>
    <row r="21" spans="1:29" ht="15.6" x14ac:dyDescent="0.25">
      <c r="A21" s="6" t="s">
        <v>16</v>
      </c>
      <c r="B21" s="7">
        <v>1.885</v>
      </c>
      <c r="C21" s="7">
        <v>1.9650000000000001</v>
      </c>
      <c r="D21" s="12">
        <v>1.78666666666667</v>
      </c>
      <c r="E21" s="7">
        <v>1.67</v>
      </c>
      <c r="F21" s="9">
        <v>3.6033333333333299</v>
      </c>
      <c r="G21" s="12">
        <v>3.61</v>
      </c>
      <c r="H21" s="7">
        <v>3.9266666666666699</v>
      </c>
      <c r="I21" s="9">
        <v>3.63</v>
      </c>
      <c r="J21" s="7">
        <v>2.98</v>
      </c>
      <c r="K21" s="9">
        <v>2.84</v>
      </c>
      <c r="L21" s="7">
        <v>3.395</v>
      </c>
      <c r="M21" s="9">
        <v>2.9550000000000001</v>
      </c>
      <c r="N21" s="7">
        <v>2.85</v>
      </c>
      <c r="O21" s="9">
        <v>3.125</v>
      </c>
      <c r="P21" s="7">
        <v>2.8149999999999999</v>
      </c>
      <c r="Q21" s="9">
        <v>2.7050000000000001</v>
      </c>
      <c r="R21" s="7">
        <v>3.3533333333333299</v>
      </c>
      <c r="S21" s="9">
        <v>4.1366666666666703</v>
      </c>
      <c r="T21" s="7">
        <v>3.98</v>
      </c>
      <c r="U21" s="9">
        <v>3.85</v>
      </c>
      <c r="V21" s="7">
        <v>2.395</v>
      </c>
      <c r="W21" s="9">
        <v>3.27</v>
      </c>
      <c r="X21" s="7">
        <v>2.91</v>
      </c>
      <c r="Y21" s="9">
        <v>3.58666666666667</v>
      </c>
      <c r="Z21" s="7">
        <v>7.1666666666666696</v>
      </c>
      <c r="AA21" s="9">
        <v>7.4349999999999996</v>
      </c>
      <c r="AB21" s="7">
        <v>5.4566666666666697</v>
      </c>
      <c r="AC21" s="11">
        <v>6.4966666666666697</v>
      </c>
    </row>
    <row r="22" spans="1:29" ht="15.6" x14ac:dyDescent="0.25">
      <c r="A22" s="6" t="s">
        <v>16</v>
      </c>
      <c r="B22" s="7">
        <v>2.1133333333333302</v>
      </c>
      <c r="C22" s="7">
        <v>3.23</v>
      </c>
      <c r="D22" s="12">
        <v>2.0699999999999998</v>
      </c>
      <c r="E22" s="7">
        <v>3.3333333333333299</v>
      </c>
      <c r="F22" s="9">
        <v>2.7450000000000001</v>
      </c>
      <c r="G22" s="12">
        <v>5.8633333333333297</v>
      </c>
      <c r="H22" s="7">
        <v>2.3866666666666698</v>
      </c>
      <c r="I22" s="9">
        <v>4.7633333333333301</v>
      </c>
      <c r="J22" s="7">
        <v>3.24</v>
      </c>
      <c r="K22" s="9">
        <v>5.2149999999999999</v>
      </c>
      <c r="L22" s="7">
        <v>3.8533333333333299</v>
      </c>
      <c r="M22" s="9">
        <v>4.6349999999999998</v>
      </c>
      <c r="N22" s="7">
        <v>4.8433333333333302</v>
      </c>
      <c r="O22" s="9">
        <v>6.46</v>
      </c>
      <c r="P22" s="7">
        <v>3.9866666666666699</v>
      </c>
      <c r="Q22" s="9">
        <v>5.38</v>
      </c>
      <c r="R22" s="7">
        <v>3.895</v>
      </c>
      <c r="S22" s="9">
        <v>6.56666666666667</v>
      </c>
      <c r="T22" s="7">
        <v>5.12</v>
      </c>
      <c r="U22" s="9">
        <v>6.4866666666666699</v>
      </c>
      <c r="V22" s="7">
        <v>3.14333333333333</v>
      </c>
      <c r="W22" s="9">
        <v>4.5049999999999999</v>
      </c>
      <c r="X22" s="7">
        <v>2.895</v>
      </c>
      <c r="Y22" s="9">
        <v>4.1550000000000002</v>
      </c>
      <c r="Z22" s="7">
        <v>6.22</v>
      </c>
      <c r="AA22" s="9">
        <v>7.8833333333333302</v>
      </c>
      <c r="AB22" s="7">
        <v>6.2766666666666699</v>
      </c>
      <c r="AC22" s="11">
        <v>6.89</v>
      </c>
    </row>
    <row r="23" spans="1:29" ht="15.6" x14ac:dyDescent="0.25">
      <c r="A23" s="6" t="s">
        <v>17</v>
      </c>
      <c r="B23" s="7">
        <v>1.54</v>
      </c>
      <c r="C23" s="7">
        <v>1.7649999999999999</v>
      </c>
      <c r="D23" s="9">
        <v>2.64</v>
      </c>
      <c r="E23" s="7">
        <v>1.915</v>
      </c>
      <c r="F23" s="9">
        <v>4.1050000000000004</v>
      </c>
      <c r="G23" s="12">
        <v>3.7349999999999999</v>
      </c>
      <c r="H23" s="7">
        <v>3.7133333333333298</v>
      </c>
      <c r="I23" s="9">
        <v>3.4733333333333301</v>
      </c>
      <c r="J23" s="7">
        <v>2.7549999999999999</v>
      </c>
      <c r="K23" s="9">
        <v>3.0366666666666702</v>
      </c>
      <c r="L23" s="7">
        <v>3.2250000000000001</v>
      </c>
      <c r="M23" s="9">
        <v>2.8066666666666702</v>
      </c>
      <c r="N23" s="7">
        <v>2.92</v>
      </c>
      <c r="O23" s="9">
        <v>2.7733333333333299</v>
      </c>
      <c r="P23" s="7">
        <v>3.15</v>
      </c>
      <c r="Q23" s="9">
        <v>2.89</v>
      </c>
      <c r="R23" s="7">
        <v>3.49</v>
      </c>
      <c r="S23" s="9">
        <v>3.5433333333333299</v>
      </c>
      <c r="T23" s="7">
        <v>3.7233333333333301</v>
      </c>
      <c r="U23" s="9">
        <v>4.4249999999999998</v>
      </c>
      <c r="V23" s="7">
        <v>3.0350000000000001</v>
      </c>
      <c r="W23" s="9">
        <v>2.7</v>
      </c>
      <c r="X23" s="7">
        <v>2.8066666666666702</v>
      </c>
      <c r="Y23" s="9">
        <v>2.6150000000000002</v>
      </c>
      <c r="Z23" s="7">
        <v>3.68</v>
      </c>
      <c r="AA23" s="9">
        <v>3.36</v>
      </c>
      <c r="AB23" s="7">
        <v>4.16</v>
      </c>
      <c r="AC23" s="11">
        <v>3.835</v>
      </c>
    </row>
    <row r="24" spans="1:29" ht="15.6" x14ac:dyDescent="0.25">
      <c r="A24" s="6" t="s">
        <v>17</v>
      </c>
      <c r="B24" s="7">
        <v>2.39</v>
      </c>
      <c r="C24" s="7">
        <v>2.7149999999999999</v>
      </c>
      <c r="D24" s="12">
        <v>2.7533333333333299</v>
      </c>
      <c r="E24" s="7">
        <v>3.2050000000000001</v>
      </c>
      <c r="F24" s="9">
        <v>5.57</v>
      </c>
      <c r="G24" s="12">
        <v>5.1349999999999998</v>
      </c>
      <c r="H24" s="7">
        <v>4.9966666666666697</v>
      </c>
      <c r="I24" s="9">
        <v>5.74</v>
      </c>
      <c r="J24" s="7">
        <v>4.4166666666666696</v>
      </c>
      <c r="K24" s="9">
        <v>4.0599999999999996</v>
      </c>
      <c r="L24" s="7">
        <v>5.27</v>
      </c>
      <c r="M24" s="9">
        <v>4.9166666666666696</v>
      </c>
      <c r="N24" s="7">
        <v>4.5066666666666704</v>
      </c>
      <c r="O24" s="9">
        <v>4.28</v>
      </c>
      <c r="P24" s="7">
        <v>3.76</v>
      </c>
      <c r="Q24" s="9">
        <v>3.7233333333333301</v>
      </c>
      <c r="R24" s="7">
        <v>6.7666666666666702</v>
      </c>
      <c r="S24" s="9">
        <v>6.4666666666666703</v>
      </c>
      <c r="T24" s="7">
        <v>5.3233333333333297</v>
      </c>
      <c r="U24" s="9">
        <v>5.18</v>
      </c>
      <c r="V24" s="7">
        <v>5.4033333333333298</v>
      </c>
      <c r="W24" s="9">
        <v>5.1033333333333299</v>
      </c>
      <c r="X24" s="7">
        <v>6.43</v>
      </c>
      <c r="Y24" s="9">
        <v>6.1</v>
      </c>
      <c r="Z24" s="7">
        <v>9.4749999999999996</v>
      </c>
      <c r="AA24" s="9">
        <v>9.3699999999999992</v>
      </c>
      <c r="AB24" s="7">
        <v>10.4133333333333</v>
      </c>
      <c r="AC24" s="11">
        <v>9.81</v>
      </c>
    </row>
    <row r="25" spans="1:29" ht="15.6" x14ac:dyDescent="0.25">
      <c r="A25" s="6" t="s">
        <v>17</v>
      </c>
      <c r="B25" s="7">
        <v>1.15333333333333</v>
      </c>
      <c r="C25" s="7">
        <v>1.25</v>
      </c>
      <c r="D25" s="12">
        <v>1.38666666666667</v>
      </c>
      <c r="E25" s="7">
        <v>1.4650000000000001</v>
      </c>
      <c r="F25" s="9">
        <v>2.39</v>
      </c>
      <c r="G25" s="12">
        <v>2.12333333333333</v>
      </c>
      <c r="H25" s="7">
        <v>2.4</v>
      </c>
      <c r="I25" s="9">
        <v>2.37</v>
      </c>
      <c r="J25" s="7">
        <v>2.2333333333333298</v>
      </c>
      <c r="K25" s="9">
        <v>2.5133333333333301</v>
      </c>
      <c r="L25" s="7">
        <v>2.11</v>
      </c>
      <c r="M25" s="9">
        <v>2.3149999999999999</v>
      </c>
      <c r="N25" s="7">
        <v>2.27</v>
      </c>
      <c r="O25" s="9">
        <v>2.35</v>
      </c>
      <c r="P25" s="7">
        <v>1.9550000000000001</v>
      </c>
      <c r="Q25" s="9">
        <v>1.57666666666667</v>
      </c>
      <c r="R25" s="7">
        <v>2.8133333333333299</v>
      </c>
      <c r="S25" s="9">
        <v>2.35666666666667</v>
      </c>
      <c r="T25" s="7">
        <v>3</v>
      </c>
      <c r="U25" s="9">
        <v>2.4700000000000002</v>
      </c>
      <c r="V25" s="7">
        <v>2.5266666666666699</v>
      </c>
      <c r="W25" s="9">
        <v>2.915</v>
      </c>
      <c r="X25" s="7">
        <v>2.2200000000000002</v>
      </c>
      <c r="Y25" s="9">
        <v>2.0449999999999999</v>
      </c>
      <c r="Z25" s="7">
        <v>3.45</v>
      </c>
      <c r="AA25" s="9">
        <v>3.3533333333333299</v>
      </c>
      <c r="AB25" s="7">
        <v>3.0766666666666702</v>
      </c>
      <c r="AC25" s="11">
        <v>3.57</v>
      </c>
    </row>
    <row r="26" spans="1:29" ht="15.6" x14ac:dyDescent="0.25">
      <c r="A26" s="6" t="s">
        <v>17</v>
      </c>
      <c r="B26" s="7">
        <v>1.53</v>
      </c>
      <c r="C26" s="7">
        <v>1.48</v>
      </c>
      <c r="D26" s="12">
        <v>1.85</v>
      </c>
      <c r="E26" s="7">
        <v>2.0433333333333299</v>
      </c>
      <c r="F26" s="9">
        <v>6.32</v>
      </c>
      <c r="G26" s="12">
        <v>6.26</v>
      </c>
      <c r="H26" s="7">
        <v>8.0966666666666693</v>
      </c>
      <c r="I26" s="9">
        <v>7.3133333333333335</v>
      </c>
      <c r="J26" s="7">
        <v>3.7766666666666699</v>
      </c>
      <c r="K26" s="9">
        <v>3.7333333333333298</v>
      </c>
      <c r="L26" s="7">
        <v>3.83</v>
      </c>
      <c r="M26" s="9">
        <v>3.13</v>
      </c>
      <c r="N26" s="10">
        <v>5.0266666666666699</v>
      </c>
      <c r="O26" s="9">
        <v>4.8133333333333299</v>
      </c>
      <c r="P26" s="7">
        <v>5.9433333333333298</v>
      </c>
      <c r="Q26" s="9">
        <v>5.5466666666666669</v>
      </c>
      <c r="R26" s="7">
        <v>6.3</v>
      </c>
      <c r="S26" s="9">
        <v>6.4666666666666703</v>
      </c>
      <c r="T26" s="7">
        <v>5.875</v>
      </c>
      <c r="U26" s="9">
        <v>5.663333333333334</v>
      </c>
      <c r="V26" s="10">
        <v>4.1466666666666701</v>
      </c>
      <c r="W26" s="9">
        <v>2.5750000000000002</v>
      </c>
      <c r="X26" s="7">
        <v>3.39</v>
      </c>
      <c r="Y26" s="9">
        <v>3.45</v>
      </c>
      <c r="Z26" s="7">
        <v>8.8233333333333306</v>
      </c>
      <c r="AA26" s="9">
        <v>7.95</v>
      </c>
      <c r="AB26" s="7">
        <v>11.15</v>
      </c>
      <c r="AC26" s="11">
        <v>10.4133333333333</v>
      </c>
    </row>
    <row r="27" spans="1:29" ht="15.6" x14ac:dyDescent="0.25">
      <c r="A27" s="6" t="s">
        <v>17</v>
      </c>
      <c r="B27" s="10">
        <v>1.4866666666666666</v>
      </c>
      <c r="C27" s="7">
        <v>1.0449999999999999</v>
      </c>
      <c r="D27" s="9">
        <v>1.4933333333333334</v>
      </c>
      <c r="E27" s="7">
        <v>0.94</v>
      </c>
      <c r="F27" s="9">
        <v>4.6333333333333337</v>
      </c>
      <c r="G27" s="9">
        <v>4.51</v>
      </c>
      <c r="H27" s="7">
        <v>4.51</v>
      </c>
      <c r="I27" s="9">
        <v>3.585</v>
      </c>
      <c r="J27" s="7">
        <v>3.2733333333333334</v>
      </c>
      <c r="K27" s="9">
        <v>3.83</v>
      </c>
      <c r="L27" s="7">
        <v>3.1366666666666667</v>
      </c>
      <c r="M27" s="9">
        <v>2.7166666666666663</v>
      </c>
      <c r="N27" s="7">
        <v>3.2733333333333334</v>
      </c>
      <c r="O27" s="9">
        <v>3.15</v>
      </c>
      <c r="P27" s="7">
        <v>3.26</v>
      </c>
      <c r="Q27" s="9">
        <v>3.7099999999999995</v>
      </c>
      <c r="R27" s="7">
        <v>3.5933333333333337</v>
      </c>
      <c r="S27" s="9">
        <v>3.24</v>
      </c>
      <c r="T27" s="7">
        <v>4.0933333333333328</v>
      </c>
      <c r="U27" s="9">
        <v>3.7166666666666699</v>
      </c>
      <c r="V27" s="7">
        <v>2.1849999999999996</v>
      </c>
      <c r="W27" s="9">
        <v>1.45</v>
      </c>
      <c r="X27" s="7">
        <v>2.41</v>
      </c>
      <c r="Y27" s="9">
        <v>1.82</v>
      </c>
      <c r="Z27" s="7">
        <v>4.05</v>
      </c>
      <c r="AA27" s="9">
        <v>3.5049999999999999</v>
      </c>
      <c r="AB27" s="7">
        <v>4.2349999999999994</v>
      </c>
      <c r="AC27" s="11">
        <v>4.16</v>
      </c>
    </row>
    <row r="28" spans="1:29" ht="15.6" x14ac:dyDescent="0.25">
      <c r="A28" s="6" t="s">
        <v>17</v>
      </c>
      <c r="B28" s="7">
        <v>1.17</v>
      </c>
      <c r="C28" s="7">
        <v>0.90500000000000003</v>
      </c>
      <c r="D28" s="9">
        <v>1.0550000000000002</v>
      </c>
      <c r="E28" s="7">
        <v>1.0449999999999999</v>
      </c>
      <c r="F28" s="9">
        <v>2.8666666666666667</v>
      </c>
      <c r="G28" s="9">
        <v>2.2949999999999999</v>
      </c>
      <c r="H28" s="7">
        <v>2.3666666666666667</v>
      </c>
      <c r="I28" s="9">
        <v>2.3833333333333333</v>
      </c>
      <c r="J28" s="7">
        <v>2.64</v>
      </c>
      <c r="K28" s="9">
        <v>2.44</v>
      </c>
      <c r="L28" s="7">
        <v>1.97</v>
      </c>
      <c r="M28" s="9">
        <v>2.2450000000000001</v>
      </c>
      <c r="N28" s="7">
        <v>1.7233333333333334</v>
      </c>
      <c r="O28" s="9">
        <v>1.57</v>
      </c>
      <c r="P28" s="7">
        <v>1.5433333333333332</v>
      </c>
      <c r="Q28" s="9">
        <v>1.835</v>
      </c>
      <c r="R28" s="7">
        <v>2.2533333333333334</v>
      </c>
      <c r="S28" s="9">
        <v>2.1150000000000002</v>
      </c>
      <c r="T28" s="7">
        <v>2.2199999999999998</v>
      </c>
      <c r="U28" s="9">
        <v>2.84</v>
      </c>
      <c r="V28" s="7">
        <v>1.5899999999999999</v>
      </c>
      <c r="W28" s="9">
        <v>1.77</v>
      </c>
      <c r="X28" s="7">
        <v>1.6033333333333333</v>
      </c>
      <c r="Y28" s="9">
        <v>1.5549999999999999</v>
      </c>
      <c r="Z28" s="7">
        <v>2.4733333333333332</v>
      </c>
      <c r="AA28" s="9">
        <v>2.6150000000000002</v>
      </c>
      <c r="AB28" s="7">
        <v>2.8633333333333333</v>
      </c>
      <c r="AC28" s="11">
        <v>2.7333333333333338</v>
      </c>
    </row>
    <row r="29" spans="1:29" ht="15.6" x14ac:dyDescent="0.25">
      <c r="A29" s="6" t="s">
        <v>17</v>
      </c>
      <c r="B29" s="7">
        <v>1.2433333333333334</v>
      </c>
      <c r="C29" s="7">
        <v>1.1600000000000001</v>
      </c>
      <c r="D29" s="9">
        <v>1.0150000000000001</v>
      </c>
      <c r="E29" s="7">
        <v>1.125</v>
      </c>
      <c r="F29" s="9">
        <v>2.0350000000000001</v>
      </c>
      <c r="G29" s="9">
        <v>2.0666666666666664</v>
      </c>
      <c r="H29" s="7">
        <v>1.6366666666666667</v>
      </c>
      <c r="I29" s="9">
        <v>1.9766666666666666</v>
      </c>
      <c r="J29" s="7">
        <v>1.7349999999999999</v>
      </c>
      <c r="K29" s="9">
        <v>2.11</v>
      </c>
      <c r="L29" s="7">
        <v>1.58</v>
      </c>
      <c r="M29" s="9">
        <v>1.7666666666666668</v>
      </c>
      <c r="N29" s="7">
        <v>1.605</v>
      </c>
      <c r="O29" s="9">
        <v>1.81</v>
      </c>
      <c r="P29" s="7">
        <v>1.6533333333333333</v>
      </c>
      <c r="Q29" s="9">
        <v>1.54</v>
      </c>
      <c r="R29" s="7">
        <v>1.92</v>
      </c>
      <c r="S29" s="9">
        <v>2.0033333333333334</v>
      </c>
      <c r="T29" s="7">
        <v>1.8499999999999999</v>
      </c>
      <c r="U29" s="9">
        <v>1.7000000000000002</v>
      </c>
      <c r="V29" s="7">
        <v>1.5</v>
      </c>
      <c r="W29" s="9">
        <v>1.77</v>
      </c>
      <c r="X29" s="7">
        <v>1.7300000000000002</v>
      </c>
      <c r="Y29" s="9">
        <v>1.79</v>
      </c>
      <c r="Z29" s="7">
        <v>2.3066666666666666</v>
      </c>
      <c r="AA29" s="9">
        <v>3.0533333333333332</v>
      </c>
      <c r="AB29" s="7">
        <v>2.6466666666666669</v>
      </c>
      <c r="AC29" s="11">
        <v>2.8899999999999997</v>
      </c>
    </row>
    <row r="30" spans="1:29" ht="15.6" x14ac:dyDescent="0.25">
      <c r="A30" s="6" t="s">
        <v>17</v>
      </c>
      <c r="B30" s="7">
        <v>0.79500000000000004</v>
      </c>
      <c r="C30" s="7">
        <v>0.81</v>
      </c>
      <c r="D30" s="9">
        <v>0.86499999999999999</v>
      </c>
      <c r="E30" s="7">
        <v>0.88</v>
      </c>
      <c r="F30" s="9">
        <v>1.81</v>
      </c>
      <c r="G30" s="9">
        <v>1.675</v>
      </c>
      <c r="H30" s="7">
        <v>1.9450000000000001</v>
      </c>
      <c r="I30" s="9">
        <v>1.845</v>
      </c>
      <c r="J30" s="7">
        <v>1.86</v>
      </c>
      <c r="K30" s="9">
        <v>1.42</v>
      </c>
      <c r="L30" s="7">
        <v>1.9450000000000001</v>
      </c>
      <c r="M30" s="9">
        <v>1.70333333333333</v>
      </c>
      <c r="N30" s="7">
        <v>1.41333333333333</v>
      </c>
      <c r="O30" s="9">
        <v>1.3149999999999999</v>
      </c>
      <c r="P30" s="7">
        <v>1.24</v>
      </c>
      <c r="Q30" s="9">
        <v>1.39</v>
      </c>
      <c r="R30" s="7">
        <v>2.6</v>
      </c>
      <c r="S30" s="9">
        <v>2.5750000000000002</v>
      </c>
      <c r="T30" s="7">
        <v>2.145</v>
      </c>
      <c r="U30" s="9">
        <v>2.21</v>
      </c>
      <c r="V30" s="7">
        <v>1.69333333333333</v>
      </c>
      <c r="W30" s="9">
        <v>1.325</v>
      </c>
      <c r="X30" s="7">
        <v>1.55</v>
      </c>
      <c r="Y30" s="9">
        <v>1.57</v>
      </c>
      <c r="Z30" s="7">
        <v>3.31</v>
      </c>
      <c r="AA30" s="9">
        <v>3.45</v>
      </c>
      <c r="AB30" s="7">
        <v>3.9049999999999998</v>
      </c>
      <c r="AC30" s="11">
        <v>3.3856666666666699</v>
      </c>
    </row>
    <row r="31" spans="1:29" ht="15.6" x14ac:dyDescent="0.25">
      <c r="A31" s="6" t="s">
        <v>17</v>
      </c>
      <c r="B31" s="7">
        <v>1.8</v>
      </c>
      <c r="C31" s="7">
        <v>1.85</v>
      </c>
      <c r="D31" s="9">
        <v>1.365</v>
      </c>
      <c r="E31" s="7">
        <v>1.9350000000000001</v>
      </c>
      <c r="F31" s="9">
        <v>6.26</v>
      </c>
      <c r="G31" s="9">
        <v>6.4233333333333302</v>
      </c>
      <c r="H31" s="7">
        <v>7.83</v>
      </c>
      <c r="I31" s="9">
        <v>7.18</v>
      </c>
      <c r="J31" s="7">
        <v>4.9050000000000002</v>
      </c>
      <c r="K31" s="9">
        <v>5.38</v>
      </c>
      <c r="L31" s="7">
        <v>3.83</v>
      </c>
      <c r="M31" s="9">
        <v>5.39</v>
      </c>
      <c r="N31" s="7">
        <v>4.2866666666666697</v>
      </c>
      <c r="O31" s="9">
        <v>4.9466666666666699</v>
      </c>
      <c r="P31" s="7">
        <v>4.24</v>
      </c>
      <c r="Q31" s="9">
        <v>4.5949999999999998</v>
      </c>
      <c r="R31" s="7">
        <v>6.13</v>
      </c>
      <c r="S31" s="9">
        <v>6.1933333333333298</v>
      </c>
      <c r="T31" s="7">
        <v>7.18</v>
      </c>
      <c r="U31" s="9">
        <v>7.1499999999999995</v>
      </c>
      <c r="V31" s="7">
        <v>3.3266666666666702</v>
      </c>
      <c r="W31" s="9">
        <v>3.01</v>
      </c>
      <c r="X31" s="7">
        <v>3.3966666666666701</v>
      </c>
      <c r="Y31" s="9">
        <v>2.9733333333333301</v>
      </c>
      <c r="Z31" s="7">
        <v>6.1150000000000002</v>
      </c>
      <c r="AA31" s="9">
        <v>6.5250000000000004</v>
      </c>
      <c r="AB31" s="7">
        <v>6.8366666666666696</v>
      </c>
      <c r="AC31" s="11">
        <v>6.6233333333333304</v>
      </c>
    </row>
    <row r="32" spans="1:29" ht="15.6" x14ac:dyDescent="0.25">
      <c r="A32" s="6" t="s">
        <v>17</v>
      </c>
      <c r="B32" s="7">
        <v>2.1349999999999998</v>
      </c>
      <c r="C32" s="7">
        <v>1.17</v>
      </c>
      <c r="D32" s="9">
        <v>1.355</v>
      </c>
      <c r="E32" s="7">
        <v>1.6</v>
      </c>
      <c r="F32" s="9">
        <v>3.2466666666666701</v>
      </c>
      <c r="G32" s="9">
        <v>2.2850000000000001</v>
      </c>
      <c r="H32" s="7">
        <v>3.69</v>
      </c>
      <c r="I32" s="9">
        <v>3.6366666666666698</v>
      </c>
      <c r="J32" s="7">
        <v>3.6366666666666698</v>
      </c>
      <c r="K32" s="9">
        <v>3.0966666666666698</v>
      </c>
      <c r="L32" s="7">
        <v>3.2866666666666702</v>
      </c>
      <c r="M32" s="9">
        <v>3.1533333333333302</v>
      </c>
      <c r="N32" s="7">
        <v>3.19</v>
      </c>
      <c r="O32" s="9">
        <v>3.23</v>
      </c>
      <c r="P32" s="7">
        <v>3.23</v>
      </c>
      <c r="Q32" s="9">
        <v>3.4499999999999997</v>
      </c>
      <c r="R32" s="7">
        <v>4.3499999999999996</v>
      </c>
      <c r="S32" s="9">
        <v>4.0933333333333328</v>
      </c>
      <c r="T32" s="7">
        <v>4.08</v>
      </c>
      <c r="U32" s="9">
        <v>3.8633333333333302</v>
      </c>
      <c r="V32" s="7">
        <v>1.88666666666667</v>
      </c>
      <c r="W32" s="9">
        <v>2.1749999999999998</v>
      </c>
      <c r="X32" s="7">
        <v>2.2799999999999998</v>
      </c>
      <c r="Y32" s="9">
        <v>2.2266666666666701</v>
      </c>
      <c r="Z32" s="7">
        <v>5.32</v>
      </c>
      <c r="AA32" s="9">
        <v>5.1733333333333302</v>
      </c>
      <c r="AB32" s="7">
        <v>4.7333333333333298</v>
      </c>
      <c r="AC32" s="11">
        <v>4.9833333333333298</v>
      </c>
    </row>
    <row r="33" spans="1:29" ht="15.6" x14ac:dyDescent="0.25">
      <c r="A33" s="6" t="s">
        <v>17</v>
      </c>
      <c r="B33" s="7">
        <v>0.83</v>
      </c>
      <c r="C33" s="7">
        <v>1.865</v>
      </c>
      <c r="D33" s="9">
        <v>1.0049999999999999</v>
      </c>
      <c r="E33" s="7">
        <v>0.72</v>
      </c>
      <c r="F33" s="9">
        <v>2.0966666666666698</v>
      </c>
      <c r="G33" s="9">
        <v>2.4049999999999998</v>
      </c>
      <c r="H33" s="7">
        <v>1.88</v>
      </c>
      <c r="I33" s="9">
        <v>2.0133333333333301</v>
      </c>
      <c r="J33" s="7">
        <v>2.2433333333333301</v>
      </c>
      <c r="K33" s="9">
        <v>1.96</v>
      </c>
      <c r="L33" s="7">
        <v>2.6566666666666698</v>
      </c>
      <c r="M33" s="9">
        <v>2.0350000000000001</v>
      </c>
      <c r="N33" s="7">
        <v>1.85</v>
      </c>
      <c r="O33" s="9">
        <v>1.575</v>
      </c>
      <c r="P33" s="7">
        <v>1.75</v>
      </c>
      <c r="Q33" s="9">
        <v>1.62</v>
      </c>
      <c r="R33" s="7">
        <v>2.375</v>
      </c>
      <c r="S33" s="9">
        <v>2.69</v>
      </c>
      <c r="T33" s="7">
        <v>3.24</v>
      </c>
      <c r="U33" s="9">
        <v>3.12</v>
      </c>
      <c r="V33" s="7">
        <v>1.61</v>
      </c>
      <c r="W33" s="9">
        <v>1.4550000000000001</v>
      </c>
      <c r="X33" s="7">
        <v>1.83</v>
      </c>
      <c r="Y33" s="9">
        <v>1.76</v>
      </c>
      <c r="Z33" s="7">
        <v>3.1933333333333298</v>
      </c>
      <c r="AA33" s="9">
        <v>2.7349999999999999</v>
      </c>
      <c r="AB33" s="7">
        <v>3.2850000000000001</v>
      </c>
      <c r="AC33" s="11">
        <v>3.07</v>
      </c>
    </row>
    <row r="34" spans="1:29" ht="15.6" x14ac:dyDescent="0.25">
      <c r="A34" s="6" t="s">
        <v>17</v>
      </c>
      <c r="B34" s="7">
        <v>1.22</v>
      </c>
      <c r="C34" s="7">
        <v>1.115</v>
      </c>
      <c r="D34" s="9">
        <v>1.6850000000000001</v>
      </c>
      <c r="E34" s="7">
        <v>1.2450000000000001</v>
      </c>
      <c r="F34" s="9">
        <v>2.68333333333333</v>
      </c>
      <c r="G34" s="9">
        <v>2.15</v>
      </c>
      <c r="H34" s="7">
        <v>2.6566666666666698</v>
      </c>
      <c r="I34" s="9">
        <v>2.12</v>
      </c>
      <c r="J34" s="7">
        <v>2.3233333333333301</v>
      </c>
      <c r="K34" s="9">
        <v>1.9466666666666701</v>
      </c>
      <c r="L34" s="7">
        <v>2.5499999999999998</v>
      </c>
      <c r="M34" s="9">
        <v>2.2633333333333301</v>
      </c>
      <c r="N34" s="7">
        <v>2.5950000000000002</v>
      </c>
      <c r="O34" s="9">
        <v>2.69</v>
      </c>
      <c r="P34" s="7">
        <v>2.6933333333333298</v>
      </c>
      <c r="Q34" s="9">
        <v>2.27</v>
      </c>
      <c r="R34" s="7">
        <v>3.1566666666666698</v>
      </c>
      <c r="S34" s="9">
        <v>3.12</v>
      </c>
      <c r="T34" s="7">
        <v>3.58666666666667</v>
      </c>
      <c r="U34" s="9">
        <v>2.7466666666666701</v>
      </c>
      <c r="V34" s="7">
        <v>1.4450000000000001</v>
      </c>
      <c r="W34" s="9">
        <v>2.38</v>
      </c>
      <c r="X34" s="7">
        <v>1.63</v>
      </c>
      <c r="Y34" s="9">
        <v>2.04666666666667</v>
      </c>
      <c r="Z34" s="7">
        <v>3.3466666666666698</v>
      </c>
      <c r="AA34" s="9">
        <v>3.1150000000000002</v>
      </c>
      <c r="AB34" s="7">
        <v>3.60666666666667</v>
      </c>
      <c r="AC34" s="11">
        <v>3.5750000000000002</v>
      </c>
    </row>
    <row r="35" spans="1:29" ht="15.6" x14ac:dyDescent="0.25">
      <c r="A35" s="6" t="s">
        <v>17</v>
      </c>
      <c r="B35" s="7">
        <v>1.89</v>
      </c>
      <c r="C35" s="7">
        <v>1.625</v>
      </c>
      <c r="D35" s="9">
        <v>2.18333333333333</v>
      </c>
      <c r="E35" s="7">
        <v>1.7450000000000001</v>
      </c>
      <c r="F35" s="9">
        <v>4.8533333333333299</v>
      </c>
      <c r="G35" s="9">
        <v>4.5133333333333301</v>
      </c>
      <c r="H35" s="7">
        <v>5.2833333333333297</v>
      </c>
      <c r="I35" s="9">
        <v>4.75</v>
      </c>
      <c r="J35" s="7">
        <v>4.34</v>
      </c>
      <c r="K35" s="9">
        <v>4.47</v>
      </c>
      <c r="L35" s="7">
        <v>3.55</v>
      </c>
      <c r="M35" s="9">
        <v>3.5950000000000002</v>
      </c>
      <c r="N35" s="7">
        <v>3.59</v>
      </c>
      <c r="O35" s="9">
        <v>3.27</v>
      </c>
      <c r="P35" s="7">
        <v>3.19</v>
      </c>
      <c r="Q35" s="9">
        <v>2.8866666666666698</v>
      </c>
      <c r="R35" s="7">
        <v>4.7733333333333299</v>
      </c>
      <c r="S35" s="9">
        <v>4.60666666666667</v>
      </c>
      <c r="T35" s="7">
        <v>5.6933333333333298</v>
      </c>
      <c r="U35" s="9">
        <v>5.875</v>
      </c>
      <c r="V35" s="7">
        <v>2.7366666666666699</v>
      </c>
      <c r="W35" s="9">
        <v>2.5166666666666702</v>
      </c>
      <c r="X35" s="7">
        <v>3.04666666666667</v>
      </c>
      <c r="Y35" s="9">
        <v>3.11</v>
      </c>
      <c r="Z35" s="7">
        <v>6.9550000000000001</v>
      </c>
      <c r="AA35" s="9">
        <v>6.6233333333333304</v>
      </c>
      <c r="AB35" s="7">
        <v>7.4766666666666701</v>
      </c>
      <c r="AC35" s="11">
        <v>7.3449999999999998</v>
      </c>
    </row>
    <row r="36" spans="1:29" ht="15.6" x14ac:dyDescent="0.25">
      <c r="A36" s="6" t="s">
        <v>17</v>
      </c>
      <c r="B36" s="7">
        <v>1.645</v>
      </c>
      <c r="C36" s="7">
        <v>3.2949999999999999</v>
      </c>
      <c r="D36" s="9">
        <v>3.21</v>
      </c>
      <c r="E36" s="7">
        <v>2.5033333333333299</v>
      </c>
      <c r="F36" s="9">
        <v>5.2066666666666697</v>
      </c>
      <c r="G36" s="9">
        <v>4.59</v>
      </c>
      <c r="H36" s="7">
        <v>4.9666666666666703</v>
      </c>
      <c r="I36" s="9">
        <v>4.5266666666666699</v>
      </c>
      <c r="J36" s="7">
        <v>3.8250000000000002</v>
      </c>
      <c r="K36" s="9">
        <v>4.0750000000000002</v>
      </c>
      <c r="L36" s="7">
        <v>4.72</v>
      </c>
      <c r="M36" s="9">
        <v>4.3949999999999996</v>
      </c>
      <c r="N36" s="7">
        <v>3.2466666666666701</v>
      </c>
      <c r="O36" s="9">
        <v>3.1349999999999998</v>
      </c>
      <c r="P36" s="7">
        <v>3.8</v>
      </c>
      <c r="Q36" s="9">
        <v>3.7233333333333301</v>
      </c>
      <c r="R36" s="7">
        <v>4.60666666666667</v>
      </c>
      <c r="S36" s="9">
        <v>4.5949999999999998</v>
      </c>
      <c r="T36" s="7">
        <v>5.3233333333333297</v>
      </c>
      <c r="U36" s="9">
        <v>4.60666666666667</v>
      </c>
      <c r="V36" s="7">
        <v>3.14</v>
      </c>
      <c r="W36" s="9">
        <v>2.9166666666666701</v>
      </c>
      <c r="X36" s="7">
        <v>3.05</v>
      </c>
      <c r="Y36" s="9">
        <v>3.4066666666666698</v>
      </c>
      <c r="Z36" s="7">
        <v>6.7466666666666697</v>
      </c>
      <c r="AA36" s="9">
        <v>6.6466666666666701</v>
      </c>
      <c r="AB36" s="7">
        <v>6.15</v>
      </c>
      <c r="AC36" s="11">
        <v>5.99</v>
      </c>
    </row>
    <row r="37" spans="1:29" ht="15.6" x14ac:dyDescent="0.25">
      <c r="A37" s="6" t="s">
        <v>17</v>
      </c>
      <c r="B37" s="7">
        <v>2.16</v>
      </c>
      <c r="C37" s="7">
        <v>1.9466666666666665</v>
      </c>
      <c r="D37" s="9">
        <v>1.8900000000000001</v>
      </c>
      <c r="E37" s="7">
        <v>2.02</v>
      </c>
      <c r="F37" s="9">
        <v>6.3966666666666674</v>
      </c>
      <c r="G37" s="9">
        <v>6.2733333333333334</v>
      </c>
      <c r="H37" s="7">
        <v>6.09</v>
      </c>
      <c r="I37" s="9">
        <v>5.496666666666667</v>
      </c>
      <c r="J37" s="7">
        <v>4.26</v>
      </c>
      <c r="K37" s="9">
        <v>4.0433333333333339</v>
      </c>
      <c r="L37" s="10">
        <v>4.0433333333333339</v>
      </c>
      <c r="M37" s="9">
        <v>3.4466666666666668</v>
      </c>
      <c r="N37" s="7">
        <v>3.97</v>
      </c>
      <c r="O37" s="9">
        <v>3.4499999999999997</v>
      </c>
      <c r="P37" s="7">
        <v>4.3299999999999992</v>
      </c>
      <c r="Q37" s="9">
        <v>3.9749999999999996</v>
      </c>
      <c r="R37" s="7">
        <v>5.2249999999999996</v>
      </c>
      <c r="S37" s="9">
        <v>4.97</v>
      </c>
      <c r="T37" s="7">
        <v>4.5449999999999999</v>
      </c>
      <c r="U37" s="9">
        <v>4.38</v>
      </c>
      <c r="V37" s="7">
        <v>3.62</v>
      </c>
      <c r="W37" s="9">
        <v>3.6433333333333331</v>
      </c>
      <c r="X37" s="7">
        <v>3.8250000000000002</v>
      </c>
      <c r="Y37" s="9">
        <v>3.9749999999999996</v>
      </c>
      <c r="Z37" s="7">
        <v>7.1499999999999995</v>
      </c>
      <c r="AA37" s="9">
        <v>7.1099999999999994</v>
      </c>
      <c r="AB37" s="7">
        <v>7.6533333333333333</v>
      </c>
      <c r="AC37" s="11">
        <v>7.48</v>
      </c>
    </row>
    <row r="38" spans="1:29" ht="15.6" x14ac:dyDescent="0.25">
      <c r="A38" s="6" t="s">
        <v>17</v>
      </c>
      <c r="B38" s="7">
        <v>2.4649999999999999</v>
      </c>
      <c r="C38" s="7">
        <v>2.46</v>
      </c>
      <c r="D38" s="9">
        <v>2.3033333333333332</v>
      </c>
      <c r="E38" s="7">
        <v>2.0099999999999998</v>
      </c>
      <c r="F38" s="9">
        <v>6.3966666666666674</v>
      </c>
      <c r="G38" s="9">
        <v>5.8233333333333333</v>
      </c>
      <c r="H38" s="7">
        <v>5.6166666666666671</v>
      </c>
      <c r="I38" s="9">
        <v>5.2666666666666666</v>
      </c>
      <c r="J38" s="7">
        <v>4.3900000000000006</v>
      </c>
      <c r="K38" s="9">
        <v>3.8033333333333332</v>
      </c>
      <c r="L38" s="7">
        <v>3.7433333333333336</v>
      </c>
      <c r="M38" s="9">
        <v>3.4966666666666661</v>
      </c>
      <c r="N38" s="7">
        <v>3.8633333333333333</v>
      </c>
      <c r="O38" s="9">
        <v>3.2250000000000001</v>
      </c>
      <c r="P38" s="7">
        <v>3.6550000000000002</v>
      </c>
      <c r="Q38" s="9">
        <v>3.5933333333333337</v>
      </c>
      <c r="R38" s="7">
        <v>5.5266666666666664</v>
      </c>
      <c r="S38" s="9">
        <v>5.3233333333333297</v>
      </c>
      <c r="T38" s="7">
        <v>5.663333333333334</v>
      </c>
      <c r="U38" s="9">
        <v>5.5466666666666669</v>
      </c>
      <c r="V38" s="7">
        <v>3.9950000000000001</v>
      </c>
      <c r="W38" s="9">
        <v>4.2333333333333334</v>
      </c>
      <c r="X38" s="7">
        <v>5.4</v>
      </c>
      <c r="Y38" s="9">
        <v>5.32</v>
      </c>
      <c r="Z38" s="10">
        <v>8.6133333333333333</v>
      </c>
      <c r="AA38" s="9">
        <v>8.91</v>
      </c>
      <c r="AB38" s="7">
        <v>8.7899999999999991</v>
      </c>
      <c r="AC38" s="11">
        <v>8.6133333333333333</v>
      </c>
    </row>
    <row r="39" spans="1:29" ht="15.6" x14ac:dyDescent="0.25">
      <c r="A39" s="6" t="s">
        <v>17</v>
      </c>
      <c r="B39" s="9">
        <v>2.6033333333333335</v>
      </c>
      <c r="C39" s="9">
        <v>2.1633333333333336</v>
      </c>
      <c r="D39" s="9">
        <v>3.0466666666666669</v>
      </c>
      <c r="E39" s="9">
        <v>2.1150000000000002</v>
      </c>
      <c r="F39" s="9">
        <v>6.3500000000000005</v>
      </c>
      <c r="G39" s="9">
        <v>5.663333333333334</v>
      </c>
      <c r="H39" s="10">
        <v>6.2733333333333334</v>
      </c>
      <c r="I39" s="9">
        <v>5.8</v>
      </c>
      <c r="J39" s="10">
        <v>4.07</v>
      </c>
      <c r="K39" s="9">
        <v>3.83</v>
      </c>
      <c r="L39" s="10">
        <v>5.3466666666666667</v>
      </c>
      <c r="M39" s="9">
        <v>4.5250000000000004</v>
      </c>
      <c r="N39" s="10">
        <v>3.3800000000000003</v>
      </c>
      <c r="O39" s="9">
        <v>3.1799999999999997</v>
      </c>
      <c r="P39" s="7">
        <v>3.2733333333333334</v>
      </c>
      <c r="Q39" s="9">
        <v>2.9766666666666666</v>
      </c>
      <c r="R39" s="10">
        <v>5.5466666666666669</v>
      </c>
      <c r="S39" s="9">
        <v>5.456666666666667</v>
      </c>
      <c r="T39" s="10">
        <v>7.3133333333333335</v>
      </c>
      <c r="U39" s="9">
        <v>7.1499999999999995</v>
      </c>
      <c r="V39" s="10">
        <v>3.1833333333333336</v>
      </c>
      <c r="W39" s="9">
        <v>2.1349999999999998</v>
      </c>
      <c r="X39" s="10">
        <v>4.05</v>
      </c>
      <c r="Y39" s="9">
        <v>4.16</v>
      </c>
      <c r="Z39" s="7">
        <v>8.5333333333333332</v>
      </c>
      <c r="AA39" s="9">
        <v>8.51</v>
      </c>
      <c r="AB39" s="10">
        <v>7.6533333333333333</v>
      </c>
      <c r="AC39" s="11">
        <v>8.1566666666666663</v>
      </c>
    </row>
    <row r="40" spans="1:29" ht="15.6" x14ac:dyDescent="0.25">
      <c r="A40" s="6" t="s">
        <v>17</v>
      </c>
      <c r="B40" s="9">
        <v>3.06666666666667</v>
      </c>
      <c r="C40" s="9">
        <v>2.5750000000000002</v>
      </c>
      <c r="D40" s="9">
        <v>4.3466666666666702</v>
      </c>
      <c r="E40" s="9">
        <v>2.4649999999999999</v>
      </c>
      <c r="F40" s="9">
        <v>7.0066666666666704</v>
      </c>
      <c r="G40" s="9">
        <v>6.65</v>
      </c>
      <c r="H40" s="7">
        <v>7.5933333333333302</v>
      </c>
      <c r="I40" s="9">
        <v>7.18</v>
      </c>
      <c r="J40" s="7">
        <v>4.37</v>
      </c>
      <c r="K40" s="9">
        <v>4.26</v>
      </c>
      <c r="L40" s="7">
        <v>5.0350000000000001</v>
      </c>
      <c r="M40" s="9">
        <v>3.1949999999999998</v>
      </c>
      <c r="N40" s="7">
        <v>5.2949999999999999</v>
      </c>
      <c r="O40" s="9">
        <v>5.38</v>
      </c>
      <c r="P40" s="7">
        <v>4.1849999999999996</v>
      </c>
      <c r="Q40" s="9">
        <v>3.7233333333333301</v>
      </c>
      <c r="R40" s="7">
        <v>8.51</v>
      </c>
      <c r="S40" s="9">
        <v>8.5333333333333332</v>
      </c>
      <c r="T40" s="7">
        <v>9.1133333333333297</v>
      </c>
      <c r="U40" s="9">
        <v>8.7066666666666706</v>
      </c>
      <c r="V40" s="7">
        <v>4.4800000000000004</v>
      </c>
      <c r="W40" s="9">
        <v>3.7166666666666699</v>
      </c>
      <c r="X40" s="10">
        <v>4.8966666666666701</v>
      </c>
      <c r="Y40" s="9">
        <v>4.7333333333333298</v>
      </c>
      <c r="Z40" s="7">
        <v>7.2966666666666704</v>
      </c>
      <c r="AA40" s="9">
        <v>6.79</v>
      </c>
      <c r="AB40" s="7">
        <v>6.7333333333333298</v>
      </c>
      <c r="AC40" s="11">
        <v>6.43</v>
      </c>
    </row>
    <row r="41" spans="1:29" ht="15.6" x14ac:dyDescent="0.25">
      <c r="A41" s="6" t="s">
        <v>17</v>
      </c>
      <c r="B41" s="9">
        <v>2.835</v>
      </c>
      <c r="C41" s="9">
        <v>1.7749999999999999</v>
      </c>
      <c r="D41" s="9">
        <v>2.1933333333333298</v>
      </c>
      <c r="E41" s="9">
        <v>1.88</v>
      </c>
      <c r="F41" s="9">
        <v>5.0333333333333297</v>
      </c>
      <c r="G41" s="9">
        <v>4.3266666666666698</v>
      </c>
      <c r="H41" s="7">
        <v>5.47</v>
      </c>
      <c r="I41" s="9">
        <v>4.8733333333333304</v>
      </c>
      <c r="J41" s="7">
        <v>4.68</v>
      </c>
      <c r="K41" s="9">
        <v>4.3900000000000006</v>
      </c>
      <c r="L41" s="7">
        <v>5.1366666666666703</v>
      </c>
      <c r="M41" s="9">
        <v>4.95</v>
      </c>
      <c r="N41" s="7">
        <v>4.4550000000000001</v>
      </c>
      <c r="O41" s="9">
        <v>4.0433333333333339</v>
      </c>
      <c r="P41" s="7">
        <v>4.6399999999999997</v>
      </c>
      <c r="Q41" s="9">
        <v>4.55</v>
      </c>
      <c r="R41" s="7">
        <v>6.0966666666666702</v>
      </c>
      <c r="S41" s="9">
        <v>5.875</v>
      </c>
      <c r="T41" s="7">
        <v>5.27</v>
      </c>
      <c r="U41" s="9">
        <v>5.1166666666666698</v>
      </c>
      <c r="V41" s="7">
        <v>3.0166666666666702</v>
      </c>
      <c r="W41" s="9">
        <v>2.7233333333333301</v>
      </c>
      <c r="X41" s="7">
        <v>2.44</v>
      </c>
      <c r="Y41" s="9">
        <v>2.0550000000000002</v>
      </c>
      <c r="Z41" s="7">
        <v>8.51</v>
      </c>
      <c r="AA41" s="9">
        <v>7.6533333333333333</v>
      </c>
      <c r="AB41" s="7">
        <v>7.17</v>
      </c>
      <c r="AC41" s="11">
        <v>6.79</v>
      </c>
    </row>
    <row r="42" spans="1:29" ht="15.6" x14ac:dyDescent="0.25">
      <c r="A42" s="6" t="s">
        <v>17</v>
      </c>
      <c r="B42" s="9">
        <v>1.7250000000000001</v>
      </c>
      <c r="C42" s="9">
        <v>1.4</v>
      </c>
      <c r="D42" s="9">
        <v>1.655</v>
      </c>
      <c r="E42" s="9">
        <v>1.7150000000000001</v>
      </c>
      <c r="F42" s="9">
        <v>4.2699999999999996</v>
      </c>
      <c r="G42" s="9">
        <v>3.9566666666666701</v>
      </c>
      <c r="H42" s="7">
        <v>5.8849999999999998</v>
      </c>
      <c r="I42" s="9">
        <v>4.9833333333333298</v>
      </c>
      <c r="J42" s="7">
        <v>3.835</v>
      </c>
      <c r="K42" s="9">
        <v>3.21</v>
      </c>
      <c r="L42" s="7">
        <v>4.3233333333333297</v>
      </c>
      <c r="M42" s="9">
        <v>3.6966666666666699</v>
      </c>
      <c r="N42" s="7">
        <v>2.8033333333333301</v>
      </c>
      <c r="O42" s="9">
        <v>2.89</v>
      </c>
      <c r="P42" s="7">
        <v>3.1133333333333302</v>
      </c>
      <c r="Q42" s="9">
        <v>2.7733333333333299</v>
      </c>
      <c r="R42" s="7">
        <v>4.32</v>
      </c>
      <c r="S42" s="9">
        <v>4.4249999999999998</v>
      </c>
      <c r="T42" s="7">
        <v>5.15</v>
      </c>
      <c r="U42" s="9">
        <v>4.43</v>
      </c>
      <c r="V42" s="7">
        <v>2.6349999999999998</v>
      </c>
      <c r="W42" s="9">
        <v>2.46</v>
      </c>
      <c r="X42" s="7">
        <v>3.0766666666666702</v>
      </c>
      <c r="Y42" s="9">
        <v>2.5733333333333301</v>
      </c>
      <c r="Z42" s="7">
        <v>7.0149999999999997</v>
      </c>
      <c r="AA42" s="9">
        <v>6.43</v>
      </c>
      <c r="AB42" s="7">
        <v>6.73</v>
      </c>
      <c r="AC42" s="11">
        <v>6.5333333333333297</v>
      </c>
    </row>
  </sheetData>
  <mergeCells count="14">
    <mergeCell ref="L1:M1"/>
    <mergeCell ref="B1:C1"/>
    <mergeCell ref="D1:E1"/>
    <mergeCell ref="F1:G1"/>
    <mergeCell ref="H1:I1"/>
    <mergeCell ref="J1:K1"/>
    <mergeCell ref="Z1:AA1"/>
    <mergeCell ref="AB1:AC1"/>
    <mergeCell ref="N1:O1"/>
    <mergeCell ref="P1:Q1"/>
    <mergeCell ref="R1:S1"/>
    <mergeCell ref="T1:U1"/>
    <mergeCell ref="V1:W1"/>
    <mergeCell ref="X1:Y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18A84-2F50-4A9F-8FAC-6C0206CA9A9D}">
  <dimension ref="A1:E41"/>
  <sheetViews>
    <sheetView workbookViewId="0">
      <selection activeCell="K47" sqref="K47"/>
    </sheetView>
  </sheetViews>
  <sheetFormatPr defaultRowHeight="13.8" x14ac:dyDescent="0.25"/>
  <sheetData>
    <row r="1" spans="1:5" x14ac:dyDescent="0.25">
      <c r="A1" s="1"/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 s="1" t="s">
        <v>22</v>
      </c>
      <c r="B2" s="1">
        <v>2740.5</v>
      </c>
      <c r="C2" s="1">
        <v>3479.75</v>
      </c>
      <c r="D2" s="1">
        <v>56</v>
      </c>
      <c r="E2" s="1">
        <v>54</v>
      </c>
    </row>
    <row r="3" spans="1:5" x14ac:dyDescent="0.25">
      <c r="A3" s="1" t="s">
        <v>22</v>
      </c>
      <c r="B3" s="1">
        <v>2766.5</v>
      </c>
      <c r="C3" s="1">
        <v>3135.5</v>
      </c>
      <c r="D3" s="1">
        <v>65</v>
      </c>
      <c r="E3" s="1">
        <v>65</v>
      </c>
    </row>
    <row r="4" spans="1:5" x14ac:dyDescent="0.25">
      <c r="A4" s="1" t="s">
        <v>22</v>
      </c>
      <c r="B4" s="1">
        <v>2012.75</v>
      </c>
      <c r="C4" s="1">
        <v>3103</v>
      </c>
      <c r="D4" s="1">
        <v>63</v>
      </c>
      <c r="E4" s="1">
        <v>66</v>
      </c>
    </row>
    <row r="5" spans="1:5" x14ac:dyDescent="0.25">
      <c r="A5" s="1" t="s">
        <v>22</v>
      </c>
      <c r="B5" s="1">
        <v>1542.75</v>
      </c>
      <c r="C5" s="1">
        <v>3941</v>
      </c>
      <c r="D5" s="1">
        <v>40</v>
      </c>
      <c r="E5" s="1">
        <v>58</v>
      </c>
    </row>
    <row r="6" spans="1:5" x14ac:dyDescent="0.25">
      <c r="A6" s="1" t="s">
        <v>22</v>
      </c>
      <c r="B6" s="1">
        <v>3531.75</v>
      </c>
      <c r="C6" s="1">
        <v>2860</v>
      </c>
      <c r="D6" s="1">
        <v>63</v>
      </c>
      <c r="E6" s="1">
        <v>66</v>
      </c>
    </row>
    <row r="7" spans="1:5" x14ac:dyDescent="0.25">
      <c r="A7" s="1" t="s">
        <v>22</v>
      </c>
      <c r="B7" s="1">
        <v>4539</v>
      </c>
      <c r="C7" s="1">
        <v>4848.5</v>
      </c>
      <c r="D7" s="1">
        <v>65</v>
      </c>
      <c r="E7" s="1">
        <v>67</v>
      </c>
    </row>
    <row r="8" spans="1:5" x14ac:dyDescent="0.25">
      <c r="A8" s="1" t="s">
        <v>22</v>
      </c>
      <c r="B8" s="1">
        <v>5122</v>
      </c>
      <c r="C8" s="1">
        <v>4399.25</v>
      </c>
      <c r="D8" s="1">
        <v>61</v>
      </c>
      <c r="E8" s="1">
        <v>70</v>
      </c>
    </row>
    <row r="9" spans="1:5" x14ac:dyDescent="0.25">
      <c r="A9" s="1" t="s">
        <v>22</v>
      </c>
      <c r="B9" s="1">
        <v>3098.5</v>
      </c>
      <c r="C9" s="1">
        <v>3524.75</v>
      </c>
      <c r="D9" s="1">
        <v>68</v>
      </c>
      <c r="E9" s="1">
        <v>67</v>
      </c>
    </row>
    <row r="10" spans="1:5" x14ac:dyDescent="0.25">
      <c r="A10" s="1" t="s">
        <v>22</v>
      </c>
      <c r="B10" s="1">
        <v>3126</v>
      </c>
      <c r="C10" s="1">
        <v>3052.25</v>
      </c>
      <c r="D10" s="1">
        <v>66</v>
      </c>
      <c r="E10" s="1">
        <v>71</v>
      </c>
    </row>
    <row r="11" spans="1:5" x14ac:dyDescent="0.25">
      <c r="A11" s="1" t="s">
        <v>22</v>
      </c>
      <c r="B11" s="1">
        <v>3471.75</v>
      </c>
      <c r="C11" s="1">
        <v>3732.75</v>
      </c>
      <c r="D11" s="1">
        <v>71</v>
      </c>
      <c r="E11" s="1">
        <v>71</v>
      </c>
    </row>
    <row r="12" spans="1:5" x14ac:dyDescent="0.25">
      <c r="A12" s="1" t="s">
        <v>22</v>
      </c>
      <c r="B12" s="1">
        <v>2863.25</v>
      </c>
      <c r="C12" s="1">
        <v>2292</v>
      </c>
      <c r="D12" s="1">
        <v>58</v>
      </c>
      <c r="E12" s="1">
        <v>61</v>
      </c>
    </row>
    <row r="13" spans="1:5" x14ac:dyDescent="0.25">
      <c r="A13" s="1" t="s">
        <v>22</v>
      </c>
      <c r="B13" s="1">
        <v>4595</v>
      </c>
      <c r="C13" s="1">
        <v>5543.75</v>
      </c>
      <c r="D13" s="1">
        <v>66</v>
      </c>
      <c r="E13" s="1">
        <v>65</v>
      </c>
    </row>
    <row r="14" spans="1:5" x14ac:dyDescent="0.25">
      <c r="A14" s="1" t="s">
        <v>22</v>
      </c>
      <c r="B14" s="1">
        <v>2858.5</v>
      </c>
      <c r="C14" s="1">
        <v>2342</v>
      </c>
      <c r="D14" s="1">
        <v>57</v>
      </c>
      <c r="E14" s="1">
        <v>65</v>
      </c>
    </row>
    <row r="15" spans="1:5" x14ac:dyDescent="0.25">
      <c r="A15" s="1" t="s">
        <v>22</v>
      </c>
      <c r="B15" s="1">
        <v>2938</v>
      </c>
      <c r="C15" s="1">
        <v>3380.5</v>
      </c>
      <c r="D15" s="1">
        <v>68</v>
      </c>
      <c r="E15" s="1">
        <v>70</v>
      </c>
    </row>
    <row r="16" spans="1:5" x14ac:dyDescent="0.25">
      <c r="A16" s="1" t="s">
        <v>22</v>
      </c>
      <c r="B16" s="1">
        <v>3323.75</v>
      </c>
      <c r="C16" s="1">
        <v>3505.25</v>
      </c>
      <c r="D16" s="1">
        <v>69</v>
      </c>
      <c r="E16" s="1">
        <v>63</v>
      </c>
    </row>
    <row r="17" spans="1:5" x14ac:dyDescent="0.25">
      <c r="A17" s="1" t="s">
        <v>22</v>
      </c>
      <c r="B17" s="1">
        <v>2164.25</v>
      </c>
      <c r="C17" s="1">
        <v>2828.25</v>
      </c>
      <c r="D17" s="1">
        <v>61</v>
      </c>
      <c r="E17" s="1">
        <v>71</v>
      </c>
    </row>
    <row r="18" spans="1:5" x14ac:dyDescent="0.25">
      <c r="A18" s="1" t="s">
        <v>22</v>
      </c>
      <c r="B18" s="1">
        <v>3719.75</v>
      </c>
      <c r="C18" s="1">
        <v>3861.5</v>
      </c>
      <c r="D18" s="1">
        <v>70</v>
      </c>
      <c r="E18" s="1">
        <v>70</v>
      </c>
    </row>
    <row r="19" spans="1:5" x14ac:dyDescent="0.25">
      <c r="A19" s="1" t="s">
        <v>22</v>
      </c>
      <c r="B19" s="1">
        <v>3492.75</v>
      </c>
      <c r="C19" s="1">
        <v>2778.25</v>
      </c>
      <c r="D19" s="1">
        <v>68</v>
      </c>
      <c r="E19" s="1">
        <v>65</v>
      </c>
    </row>
    <row r="20" spans="1:5" x14ac:dyDescent="0.25">
      <c r="A20" s="1" t="s">
        <v>22</v>
      </c>
      <c r="B20" s="1">
        <v>3747.5</v>
      </c>
      <c r="C20" s="1">
        <v>2492</v>
      </c>
      <c r="D20" s="1">
        <v>71</v>
      </c>
      <c r="E20" s="1">
        <v>72</v>
      </c>
    </row>
    <row r="21" spans="1:5" x14ac:dyDescent="0.25">
      <c r="A21" s="1" t="s">
        <v>22</v>
      </c>
      <c r="B21" s="1">
        <v>3885.5</v>
      </c>
      <c r="C21" s="1">
        <v>5146.25</v>
      </c>
      <c r="D21" s="1">
        <v>63</v>
      </c>
      <c r="E21" s="1">
        <v>66</v>
      </c>
    </row>
    <row r="22" spans="1:5" x14ac:dyDescent="0.25">
      <c r="A22" s="1" t="s">
        <v>23</v>
      </c>
      <c r="B22" s="1">
        <v>4772</v>
      </c>
      <c r="C22" s="1">
        <v>5095.25</v>
      </c>
      <c r="D22" s="1">
        <v>68</v>
      </c>
      <c r="E22" s="1">
        <v>69</v>
      </c>
    </row>
    <row r="23" spans="1:5" x14ac:dyDescent="0.25">
      <c r="A23" s="1" t="s">
        <v>23</v>
      </c>
      <c r="B23" s="1">
        <v>4207.25</v>
      </c>
      <c r="C23" s="1">
        <v>4536</v>
      </c>
      <c r="D23" s="1">
        <v>69</v>
      </c>
      <c r="E23" s="1">
        <v>68</v>
      </c>
    </row>
    <row r="24" spans="1:5" x14ac:dyDescent="0.25">
      <c r="A24" s="1" t="s">
        <v>23</v>
      </c>
      <c r="B24" s="1">
        <v>3604.5</v>
      </c>
      <c r="C24" s="1">
        <v>4544.5</v>
      </c>
      <c r="D24" s="1">
        <v>70</v>
      </c>
      <c r="E24" s="1">
        <v>67</v>
      </c>
    </row>
    <row r="25" spans="1:5" x14ac:dyDescent="0.25">
      <c r="A25" s="1" t="s">
        <v>23</v>
      </c>
      <c r="B25" s="1">
        <v>3747</v>
      </c>
      <c r="C25" s="1">
        <v>3406.25</v>
      </c>
      <c r="D25" s="1">
        <v>69</v>
      </c>
      <c r="E25" s="1">
        <v>68</v>
      </c>
    </row>
    <row r="26" spans="1:5" x14ac:dyDescent="0.25">
      <c r="A26" s="1" t="s">
        <v>23</v>
      </c>
      <c r="B26" s="1">
        <v>7292.25</v>
      </c>
      <c r="C26" s="1">
        <v>5860.25</v>
      </c>
      <c r="D26" s="1">
        <v>69</v>
      </c>
      <c r="E26" s="1">
        <v>69</v>
      </c>
    </row>
    <row r="27" spans="1:5" x14ac:dyDescent="0.25">
      <c r="A27" s="1" t="s">
        <v>23</v>
      </c>
      <c r="B27" s="1">
        <v>4206.75</v>
      </c>
      <c r="C27" s="1">
        <v>3718.75</v>
      </c>
      <c r="D27" s="1">
        <v>67</v>
      </c>
      <c r="E27" s="1">
        <v>72</v>
      </c>
    </row>
    <row r="28" spans="1:5" x14ac:dyDescent="0.25">
      <c r="A28" s="1" t="s">
        <v>23</v>
      </c>
      <c r="B28" s="1">
        <v>3240.25</v>
      </c>
      <c r="C28" s="1">
        <v>3975.25</v>
      </c>
      <c r="D28" s="1">
        <v>69</v>
      </c>
      <c r="E28" s="1">
        <v>71</v>
      </c>
    </row>
    <row r="29" spans="1:5" x14ac:dyDescent="0.25">
      <c r="A29" s="1" t="s">
        <v>23</v>
      </c>
      <c r="B29" s="1">
        <v>3325</v>
      </c>
      <c r="C29" s="1">
        <v>4606.5</v>
      </c>
      <c r="D29" s="1">
        <v>63</v>
      </c>
      <c r="E29" s="1">
        <v>68</v>
      </c>
    </row>
    <row r="30" spans="1:5" x14ac:dyDescent="0.25">
      <c r="A30" s="1" t="s">
        <v>23</v>
      </c>
      <c r="B30" s="1">
        <v>3810.25</v>
      </c>
      <c r="C30" s="1">
        <v>3468.5</v>
      </c>
      <c r="D30" s="1">
        <v>64</v>
      </c>
      <c r="E30" s="1">
        <v>63</v>
      </c>
    </row>
    <row r="31" spans="1:5" x14ac:dyDescent="0.25">
      <c r="A31" s="1" t="s">
        <v>23</v>
      </c>
      <c r="B31" s="1">
        <v>5078.75</v>
      </c>
      <c r="C31" s="1">
        <v>4806.75</v>
      </c>
      <c r="D31" s="1">
        <v>66</v>
      </c>
      <c r="E31" s="1">
        <v>69</v>
      </c>
    </row>
    <row r="32" spans="1:5" x14ac:dyDescent="0.25">
      <c r="A32" s="1" t="s">
        <v>23</v>
      </c>
      <c r="B32" s="1">
        <v>3230.75</v>
      </c>
      <c r="C32" s="1">
        <v>4679</v>
      </c>
      <c r="D32" s="1">
        <v>69</v>
      </c>
      <c r="E32" s="1">
        <v>70</v>
      </c>
    </row>
    <row r="33" spans="1:5" x14ac:dyDescent="0.25">
      <c r="A33" s="1" t="s">
        <v>23</v>
      </c>
      <c r="B33" s="1">
        <v>5364.5</v>
      </c>
      <c r="C33" s="1">
        <v>4205.25</v>
      </c>
      <c r="D33" s="1">
        <v>62</v>
      </c>
      <c r="E33" s="1">
        <v>65</v>
      </c>
    </row>
    <row r="34" spans="1:5" x14ac:dyDescent="0.25">
      <c r="A34" s="1" t="s">
        <v>23</v>
      </c>
      <c r="B34" s="1">
        <v>3346.25</v>
      </c>
      <c r="C34" s="1">
        <v>2947.5</v>
      </c>
      <c r="D34" s="1">
        <v>70</v>
      </c>
      <c r="E34" s="1">
        <v>72</v>
      </c>
    </row>
    <row r="35" spans="1:5" x14ac:dyDescent="0.25">
      <c r="A35" s="1" t="s">
        <v>23</v>
      </c>
      <c r="B35" s="1">
        <v>3469.75</v>
      </c>
      <c r="C35" s="1">
        <v>3330.5</v>
      </c>
      <c r="D35" s="1">
        <v>66</v>
      </c>
      <c r="E35" s="1">
        <v>68</v>
      </c>
    </row>
    <row r="36" spans="1:5" x14ac:dyDescent="0.25">
      <c r="A36" s="1" t="s">
        <v>23</v>
      </c>
      <c r="B36" s="1">
        <v>4044.25</v>
      </c>
      <c r="C36" s="1">
        <v>4123.25</v>
      </c>
      <c r="D36" s="1">
        <v>68</v>
      </c>
      <c r="E36" s="1">
        <v>59</v>
      </c>
    </row>
    <row r="37" spans="1:5" x14ac:dyDescent="0.25">
      <c r="A37" s="1" t="s">
        <v>23</v>
      </c>
      <c r="B37" s="1">
        <v>3554.5</v>
      </c>
      <c r="C37" s="1">
        <v>4237.75</v>
      </c>
      <c r="D37" s="1">
        <v>64</v>
      </c>
      <c r="E37" s="1">
        <v>69</v>
      </c>
    </row>
    <row r="38" spans="1:5" x14ac:dyDescent="0.25">
      <c r="A38" s="1" t="s">
        <v>23</v>
      </c>
      <c r="B38" s="1">
        <v>2814</v>
      </c>
      <c r="C38" s="1">
        <v>3372.5</v>
      </c>
      <c r="D38" s="1">
        <v>65</v>
      </c>
      <c r="E38" s="1">
        <v>65</v>
      </c>
    </row>
    <row r="39" spans="1:5" x14ac:dyDescent="0.25">
      <c r="A39" s="1" t="s">
        <v>23</v>
      </c>
      <c r="B39" s="1">
        <v>4062.5</v>
      </c>
      <c r="C39" s="1">
        <v>3616.5</v>
      </c>
      <c r="D39" s="1">
        <v>70</v>
      </c>
      <c r="E39" s="1">
        <v>68</v>
      </c>
    </row>
    <row r="40" spans="1:5" x14ac:dyDescent="0.25">
      <c r="A40" s="1" t="s">
        <v>23</v>
      </c>
      <c r="B40" s="1">
        <v>4197.75</v>
      </c>
      <c r="C40" s="1">
        <v>3100.5</v>
      </c>
      <c r="D40" s="1">
        <v>70</v>
      </c>
      <c r="E40" s="1">
        <v>72</v>
      </c>
    </row>
    <row r="41" spans="1:5" x14ac:dyDescent="0.25">
      <c r="A41" s="1" t="s">
        <v>23</v>
      </c>
      <c r="B41" s="1">
        <v>4197.6499999999996</v>
      </c>
      <c r="C41" s="1">
        <v>3087.4</v>
      </c>
      <c r="D41" s="1">
        <v>70</v>
      </c>
      <c r="E41" s="1">
        <v>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B6D1-049E-4C85-9184-7BC6692DBF47}">
  <dimension ref="A1:E41"/>
  <sheetViews>
    <sheetView workbookViewId="0">
      <selection activeCell="H27" sqref="H27"/>
    </sheetView>
  </sheetViews>
  <sheetFormatPr defaultRowHeight="13.8" x14ac:dyDescent="0.25"/>
  <sheetData>
    <row r="1" spans="1:5" x14ac:dyDescent="0.25">
      <c r="A1" s="1"/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s="1" t="s">
        <v>22</v>
      </c>
      <c r="B2" s="1">
        <v>7</v>
      </c>
      <c r="C2" s="1">
        <v>8</v>
      </c>
      <c r="D2" s="1">
        <v>6</v>
      </c>
      <c r="E2" s="1">
        <v>5</v>
      </c>
    </row>
    <row r="3" spans="1:5" x14ac:dyDescent="0.25">
      <c r="A3" s="1" t="s">
        <v>22</v>
      </c>
      <c r="B3" s="1">
        <v>7</v>
      </c>
      <c r="C3" s="1">
        <v>9</v>
      </c>
      <c r="D3" s="1">
        <v>5</v>
      </c>
      <c r="E3" s="1">
        <v>6</v>
      </c>
    </row>
    <row r="4" spans="1:5" x14ac:dyDescent="0.25">
      <c r="A4" s="1" t="s">
        <v>22</v>
      </c>
      <c r="B4" s="1">
        <v>6</v>
      </c>
      <c r="C4" s="1">
        <v>6</v>
      </c>
      <c r="D4" s="1">
        <v>2</v>
      </c>
      <c r="E4" s="1">
        <v>3</v>
      </c>
    </row>
    <row r="5" spans="1:5" x14ac:dyDescent="0.25">
      <c r="A5" s="1" t="s">
        <v>22</v>
      </c>
      <c r="B5" s="1">
        <v>7</v>
      </c>
      <c r="C5" s="1">
        <v>9</v>
      </c>
      <c r="D5" s="1">
        <v>4</v>
      </c>
      <c r="E5" s="1">
        <v>9</v>
      </c>
    </row>
    <row r="6" spans="1:5" x14ac:dyDescent="0.25">
      <c r="A6" s="1" t="s">
        <v>22</v>
      </c>
      <c r="B6" s="1">
        <v>6</v>
      </c>
      <c r="C6" s="1">
        <v>7</v>
      </c>
      <c r="D6" s="1">
        <v>5</v>
      </c>
      <c r="E6" s="1">
        <v>7</v>
      </c>
    </row>
    <row r="7" spans="1:5" x14ac:dyDescent="0.25">
      <c r="A7" s="1" t="s">
        <v>22</v>
      </c>
      <c r="B7" s="1">
        <v>7</v>
      </c>
      <c r="C7" s="1">
        <v>7</v>
      </c>
      <c r="D7" s="1">
        <v>4</v>
      </c>
      <c r="E7" s="1">
        <v>7</v>
      </c>
    </row>
    <row r="8" spans="1:5" x14ac:dyDescent="0.25">
      <c r="A8" s="1" t="s">
        <v>22</v>
      </c>
      <c r="B8" s="1">
        <v>4</v>
      </c>
      <c r="C8" s="1">
        <v>6</v>
      </c>
      <c r="D8" s="1">
        <v>3</v>
      </c>
      <c r="E8" s="1">
        <v>5</v>
      </c>
    </row>
    <row r="9" spans="1:5" x14ac:dyDescent="0.25">
      <c r="A9" s="1" t="s">
        <v>22</v>
      </c>
      <c r="B9" s="1">
        <v>6</v>
      </c>
      <c r="C9" s="1">
        <v>7</v>
      </c>
      <c r="D9" s="1">
        <v>3</v>
      </c>
      <c r="E9" s="1">
        <v>5</v>
      </c>
    </row>
    <row r="10" spans="1:5" x14ac:dyDescent="0.25">
      <c r="A10" s="1" t="s">
        <v>22</v>
      </c>
      <c r="B10" s="1">
        <v>6</v>
      </c>
      <c r="C10" s="1">
        <v>7</v>
      </c>
      <c r="D10" s="1">
        <v>5</v>
      </c>
      <c r="E10" s="1">
        <v>3</v>
      </c>
    </row>
    <row r="11" spans="1:5" x14ac:dyDescent="0.25">
      <c r="A11" s="1" t="s">
        <v>22</v>
      </c>
      <c r="B11" s="1">
        <v>7</v>
      </c>
      <c r="C11" s="1">
        <v>7</v>
      </c>
      <c r="D11" s="1">
        <v>5</v>
      </c>
      <c r="E11" s="1">
        <v>5</v>
      </c>
    </row>
    <row r="12" spans="1:5" x14ac:dyDescent="0.25">
      <c r="A12" s="1" t="s">
        <v>22</v>
      </c>
      <c r="B12" s="1">
        <v>5</v>
      </c>
      <c r="C12" s="1">
        <v>5</v>
      </c>
      <c r="D12" s="1">
        <v>5</v>
      </c>
      <c r="E12" s="1">
        <v>5</v>
      </c>
    </row>
    <row r="13" spans="1:5" x14ac:dyDescent="0.25">
      <c r="A13" s="1" t="s">
        <v>22</v>
      </c>
      <c r="B13" s="1">
        <v>5</v>
      </c>
      <c r="C13" s="1">
        <v>6</v>
      </c>
      <c r="D13" s="1">
        <v>4</v>
      </c>
      <c r="E13" s="1">
        <v>5</v>
      </c>
    </row>
    <row r="14" spans="1:5" x14ac:dyDescent="0.25">
      <c r="A14" s="1" t="s">
        <v>22</v>
      </c>
      <c r="B14" s="1">
        <v>5</v>
      </c>
      <c r="C14" s="1">
        <v>6</v>
      </c>
      <c r="D14" s="1">
        <v>1</v>
      </c>
      <c r="E14" s="1">
        <v>3</v>
      </c>
    </row>
    <row r="15" spans="1:5" x14ac:dyDescent="0.25">
      <c r="A15" s="1" t="s">
        <v>22</v>
      </c>
      <c r="B15" s="1">
        <v>5</v>
      </c>
      <c r="C15" s="1">
        <v>7</v>
      </c>
      <c r="D15" s="1">
        <v>4</v>
      </c>
      <c r="E15" s="1">
        <v>4</v>
      </c>
    </row>
    <row r="16" spans="1:5" x14ac:dyDescent="0.25">
      <c r="A16" s="1" t="s">
        <v>22</v>
      </c>
      <c r="B16" s="1">
        <v>5</v>
      </c>
      <c r="C16" s="1">
        <v>7</v>
      </c>
      <c r="D16" s="1">
        <v>3</v>
      </c>
      <c r="E16" s="1">
        <v>2</v>
      </c>
    </row>
    <row r="17" spans="1:5" x14ac:dyDescent="0.25">
      <c r="A17" s="1" t="s">
        <v>22</v>
      </c>
      <c r="B17" s="1">
        <v>6</v>
      </c>
      <c r="C17" s="1">
        <v>8</v>
      </c>
      <c r="D17" s="1">
        <v>3</v>
      </c>
      <c r="E17" s="1">
        <v>3</v>
      </c>
    </row>
    <row r="18" spans="1:5" x14ac:dyDescent="0.25">
      <c r="A18" s="1" t="s">
        <v>22</v>
      </c>
      <c r="B18" s="1">
        <v>5</v>
      </c>
      <c r="C18" s="1">
        <v>4</v>
      </c>
      <c r="D18" s="1">
        <v>3</v>
      </c>
      <c r="E18" s="1">
        <v>2</v>
      </c>
    </row>
    <row r="19" spans="1:5" x14ac:dyDescent="0.25">
      <c r="A19" s="1" t="s">
        <v>22</v>
      </c>
      <c r="B19" s="1">
        <v>5</v>
      </c>
      <c r="C19" s="1">
        <v>5</v>
      </c>
      <c r="D19" s="1">
        <v>6</v>
      </c>
      <c r="E19" s="1">
        <v>8</v>
      </c>
    </row>
    <row r="20" spans="1:5" x14ac:dyDescent="0.25">
      <c r="A20" s="1" t="s">
        <v>22</v>
      </c>
      <c r="B20" s="1">
        <v>4</v>
      </c>
      <c r="C20" s="1">
        <v>8</v>
      </c>
      <c r="D20" s="1">
        <v>2</v>
      </c>
      <c r="E20" s="1">
        <v>4</v>
      </c>
    </row>
    <row r="21" spans="1:5" x14ac:dyDescent="0.25">
      <c r="A21" s="1" t="s">
        <v>22</v>
      </c>
      <c r="B21" s="1">
        <v>6</v>
      </c>
      <c r="C21" s="1">
        <v>7</v>
      </c>
      <c r="D21" s="1">
        <v>5</v>
      </c>
      <c r="E21" s="1">
        <v>8</v>
      </c>
    </row>
    <row r="22" spans="1:5" x14ac:dyDescent="0.25">
      <c r="A22" s="1" t="s">
        <v>23</v>
      </c>
      <c r="B22" s="1">
        <v>5</v>
      </c>
      <c r="C22" s="1">
        <v>5</v>
      </c>
      <c r="D22" s="1">
        <v>6</v>
      </c>
      <c r="E22" s="1">
        <v>5</v>
      </c>
    </row>
    <row r="23" spans="1:5" x14ac:dyDescent="0.25">
      <c r="A23" s="1" t="s">
        <v>23</v>
      </c>
      <c r="B23" s="1">
        <v>7</v>
      </c>
      <c r="C23" s="1">
        <v>6</v>
      </c>
      <c r="D23" s="1">
        <v>3</v>
      </c>
      <c r="E23" s="1">
        <v>2</v>
      </c>
    </row>
    <row r="24" spans="1:5" x14ac:dyDescent="0.25">
      <c r="A24" s="1" t="s">
        <v>23</v>
      </c>
      <c r="B24" s="1">
        <v>3</v>
      </c>
      <c r="C24" s="1">
        <v>2</v>
      </c>
      <c r="D24" s="1">
        <v>3</v>
      </c>
      <c r="E24" s="1">
        <v>3</v>
      </c>
    </row>
    <row r="25" spans="1:5" x14ac:dyDescent="0.25">
      <c r="A25" s="1" t="s">
        <v>23</v>
      </c>
      <c r="B25" s="1">
        <v>7</v>
      </c>
      <c r="C25" s="1">
        <v>5</v>
      </c>
      <c r="D25" s="1">
        <v>2</v>
      </c>
      <c r="E25" s="1">
        <v>3</v>
      </c>
    </row>
    <row r="26" spans="1:5" x14ac:dyDescent="0.25">
      <c r="A26" s="1" t="s">
        <v>23</v>
      </c>
      <c r="B26" s="1">
        <v>5</v>
      </c>
      <c r="C26" s="1">
        <v>6</v>
      </c>
      <c r="D26" s="1">
        <v>7</v>
      </c>
      <c r="E26" s="1">
        <v>5</v>
      </c>
    </row>
    <row r="27" spans="1:5" x14ac:dyDescent="0.25">
      <c r="A27" s="1" t="s">
        <v>23</v>
      </c>
      <c r="B27" s="1">
        <v>8</v>
      </c>
      <c r="C27" s="1">
        <v>7</v>
      </c>
      <c r="D27" s="1">
        <v>4</v>
      </c>
      <c r="E27" s="1">
        <v>2</v>
      </c>
    </row>
    <row r="28" spans="1:5" x14ac:dyDescent="0.25">
      <c r="A28" s="1" t="s">
        <v>23</v>
      </c>
      <c r="B28" s="1">
        <v>7</v>
      </c>
      <c r="C28" s="1">
        <v>7</v>
      </c>
      <c r="D28" s="1">
        <v>5</v>
      </c>
      <c r="E28" s="1">
        <v>4</v>
      </c>
    </row>
    <row r="29" spans="1:5" x14ac:dyDescent="0.25">
      <c r="A29" s="1" t="s">
        <v>23</v>
      </c>
      <c r="B29" s="1">
        <v>5</v>
      </c>
      <c r="C29" s="1">
        <v>6</v>
      </c>
      <c r="D29" s="1">
        <v>5</v>
      </c>
      <c r="E29" s="1">
        <v>5</v>
      </c>
    </row>
    <row r="30" spans="1:5" x14ac:dyDescent="0.25">
      <c r="A30" s="1" t="s">
        <v>23</v>
      </c>
      <c r="B30" s="1">
        <v>6</v>
      </c>
      <c r="C30" s="1">
        <v>7</v>
      </c>
      <c r="D30" s="1">
        <v>6</v>
      </c>
      <c r="E30" s="1">
        <v>5</v>
      </c>
    </row>
    <row r="31" spans="1:5" x14ac:dyDescent="0.25">
      <c r="A31" s="1" t="s">
        <v>23</v>
      </c>
      <c r="B31" s="1">
        <v>5</v>
      </c>
      <c r="C31" s="1">
        <v>5</v>
      </c>
      <c r="D31" s="1">
        <v>4</v>
      </c>
      <c r="E31" s="1">
        <v>2</v>
      </c>
    </row>
    <row r="32" spans="1:5" x14ac:dyDescent="0.25">
      <c r="A32" s="1" t="s">
        <v>23</v>
      </c>
      <c r="B32" s="1">
        <v>5</v>
      </c>
      <c r="C32" s="1">
        <v>4</v>
      </c>
      <c r="D32" s="1">
        <v>2</v>
      </c>
      <c r="E32" s="1">
        <v>3</v>
      </c>
    </row>
    <row r="33" spans="1:5" x14ac:dyDescent="0.25">
      <c r="A33" s="1" t="s">
        <v>23</v>
      </c>
      <c r="B33" s="1">
        <v>6</v>
      </c>
      <c r="C33" s="1">
        <v>7</v>
      </c>
      <c r="D33" s="1">
        <v>5</v>
      </c>
      <c r="E33" s="1">
        <v>3</v>
      </c>
    </row>
    <row r="34" spans="1:5" x14ac:dyDescent="0.25">
      <c r="A34" s="1" t="s">
        <v>23</v>
      </c>
      <c r="B34" s="1">
        <v>6</v>
      </c>
      <c r="C34" s="1">
        <v>6</v>
      </c>
      <c r="D34" s="1">
        <v>4</v>
      </c>
      <c r="E34" s="1">
        <v>3</v>
      </c>
    </row>
    <row r="35" spans="1:5" x14ac:dyDescent="0.25">
      <c r="A35" s="1" t="s">
        <v>23</v>
      </c>
      <c r="B35" s="1">
        <v>6</v>
      </c>
      <c r="C35" s="1">
        <v>6</v>
      </c>
      <c r="D35" s="1">
        <v>7</v>
      </c>
      <c r="E35" s="1">
        <v>6</v>
      </c>
    </row>
    <row r="36" spans="1:5" x14ac:dyDescent="0.25">
      <c r="A36" s="1" t="s">
        <v>23</v>
      </c>
      <c r="B36" s="1">
        <v>5</v>
      </c>
      <c r="C36" s="1">
        <v>4</v>
      </c>
      <c r="D36" s="1">
        <v>5</v>
      </c>
      <c r="E36" s="1">
        <v>3</v>
      </c>
    </row>
    <row r="37" spans="1:5" x14ac:dyDescent="0.25">
      <c r="A37" s="1" t="s">
        <v>23</v>
      </c>
      <c r="B37" s="1">
        <v>6</v>
      </c>
      <c r="C37" s="1">
        <v>6</v>
      </c>
      <c r="D37" s="1">
        <v>1</v>
      </c>
      <c r="E37" s="1">
        <v>1</v>
      </c>
    </row>
    <row r="38" spans="1:5" x14ac:dyDescent="0.25">
      <c r="A38" s="1" t="s">
        <v>23</v>
      </c>
      <c r="B38" s="1">
        <v>5</v>
      </c>
      <c r="C38" s="1">
        <v>5</v>
      </c>
      <c r="D38" s="1">
        <v>1</v>
      </c>
      <c r="E38" s="1">
        <v>1</v>
      </c>
    </row>
    <row r="39" spans="1:5" x14ac:dyDescent="0.25">
      <c r="A39" s="1" t="s">
        <v>23</v>
      </c>
      <c r="B39" s="1">
        <v>7</v>
      </c>
      <c r="C39" s="1">
        <v>6</v>
      </c>
      <c r="D39" s="1">
        <v>3</v>
      </c>
      <c r="E39" s="1">
        <v>3</v>
      </c>
    </row>
    <row r="40" spans="1:5" x14ac:dyDescent="0.25">
      <c r="A40" s="1" t="s">
        <v>23</v>
      </c>
      <c r="B40" s="1">
        <v>5</v>
      </c>
      <c r="C40" s="1">
        <v>5</v>
      </c>
      <c r="D40" s="1">
        <v>5</v>
      </c>
      <c r="E40" s="1">
        <v>3</v>
      </c>
    </row>
    <row r="41" spans="1:5" x14ac:dyDescent="0.25">
      <c r="A41" s="1" t="s">
        <v>23</v>
      </c>
      <c r="B41" s="1">
        <v>5</v>
      </c>
      <c r="C41" s="1">
        <v>4</v>
      </c>
      <c r="D41" s="1">
        <v>2</v>
      </c>
      <c r="E41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Characteristics of Participants</vt:lpstr>
      <vt:lpstr>pressure pain threshold data</vt:lpstr>
      <vt:lpstr>Color-Word Stroop test data</vt:lpstr>
      <vt:lpstr>the Self-Assessment Maniki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吴呈呈</dc:creator>
  <cp:lastModifiedBy>吴呈呈</cp:lastModifiedBy>
  <dcterms:created xsi:type="dcterms:W3CDTF">2021-12-18T01:53:25Z</dcterms:created>
  <dcterms:modified xsi:type="dcterms:W3CDTF">2022-01-20T17:22:48Z</dcterms:modified>
</cp:coreProperties>
</file>