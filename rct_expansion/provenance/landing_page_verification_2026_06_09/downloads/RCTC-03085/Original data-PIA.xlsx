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E6AD54F3-5325-4E22-A102-378B0BF825CD}" xr6:coauthVersionLast="40" xr6:coauthVersionMax="40" xr10:uidLastSave="{00000000-0000-0000-0000-000000000000}"/>
  <bookViews>
    <workbookView xWindow="-108" yWindow="-108" windowWidth="23256" windowHeight="12576" activeTab="1" xr2:uid="{00000000-000D-0000-FFFF-FFFF00000000}"/>
  </bookViews>
  <sheets>
    <sheet name="Basic characteristics" sheetId="1" r:id="rId1"/>
    <sheet name="Pain" sheetId="2" r:id="rId2"/>
    <sheet name="Morphine consumption(mg)" sheetId="3" r:id="rId3"/>
    <sheet name="Functional recovery" sheetId="4" r:id="rId4"/>
    <sheet name="Adverse events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2" l="1"/>
  <c r="L42" i="2"/>
  <c r="L41" i="2"/>
  <c r="L39" i="2"/>
  <c r="L38" i="2"/>
  <c r="L37" i="2"/>
  <c r="L36" i="2"/>
  <c r="L35" i="2"/>
  <c r="L34" i="2"/>
  <c r="L33" i="2"/>
  <c r="L31" i="2"/>
  <c r="L28" i="2"/>
  <c r="L26" i="2"/>
  <c r="L25" i="2"/>
  <c r="L23" i="2"/>
  <c r="L22" i="2"/>
  <c r="L18" i="2"/>
  <c r="L17" i="2"/>
  <c r="L16" i="2"/>
  <c r="L15" i="2"/>
  <c r="L14" i="2"/>
  <c r="L13" i="2"/>
  <c r="L8" i="2"/>
  <c r="L6" i="2"/>
  <c r="L5" i="2"/>
  <c r="L4" i="2"/>
  <c r="L3" i="2"/>
  <c r="H47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6" i="2"/>
  <c r="H25" i="2"/>
  <c r="H24" i="2"/>
  <c r="H23" i="2"/>
  <c r="H22" i="2"/>
  <c r="H21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<sst xmlns="http://schemas.openxmlformats.org/spreadsheetml/2006/main" count="473" uniqueCount="133">
  <si>
    <t>NO.</t>
    <phoneticPr fontId="2" type="noConversion"/>
  </si>
  <si>
    <t>Name</t>
    <phoneticPr fontId="2" type="noConversion"/>
  </si>
  <si>
    <t>ID</t>
    <phoneticPr fontId="2" type="noConversion"/>
  </si>
  <si>
    <t>Bed number</t>
    <phoneticPr fontId="2" type="noConversion"/>
  </si>
  <si>
    <t>Age</t>
    <phoneticPr fontId="2" type="noConversion"/>
  </si>
  <si>
    <t>Sex</t>
    <phoneticPr fontId="2" type="noConversion"/>
  </si>
  <si>
    <t>Weight(kg)</t>
    <phoneticPr fontId="2" type="noConversion"/>
  </si>
  <si>
    <t>Hight(cm)</t>
    <phoneticPr fontId="2" type="noConversion"/>
  </si>
  <si>
    <t>BMI</t>
    <phoneticPr fontId="2" type="noConversion"/>
  </si>
  <si>
    <t>Side</t>
    <phoneticPr fontId="2" type="noConversion"/>
  </si>
  <si>
    <t>Pre-VAS</t>
  </si>
  <si>
    <t>Pre-quadriceps strength</t>
    <phoneticPr fontId="1" type="noConversion"/>
  </si>
  <si>
    <t>ASA status</t>
  </si>
  <si>
    <t>Duration of operation(min)</t>
    <phoneticPr fontId="1" type="noConversion"/>
  </si>
  <si>
    <t>Pain (VAS) at rest</t>
  </si>
  <si>
    <t>Pain (VAS) during motion</t>
  </si>
  <si>
    <t>2h</t>
    <phoneticPr fontId="1" type="noConversion"/>
  </si>
  <si>
    <t>8h</t>
    <phoneticPr fontId="1" type="noConversion"/>
  </si>
  <si>
    <t>12h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</si>
  <si>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</si>
  <si>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</si>
  <si>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</si>
  <si>
    <t>POD1</t>
    <phoneticPr fontId="1" type="noConversion"/>
  </si>
  <si>
    <t>POD2</t>
    <phoneticPr fontId="1" type="noConversion"/>
  </si>
  <si>
    <t>POD3</t>
    <phoneticPr fontId="1" type="noConversion"/>
  </si>
  <si>
    <t>Total(mg)</t>
    <phoneticPr fontId="1" type="noConversion"/>
  </si>
  <si>
    <t>Degree of knee ROM</t>
  </si>
  <si>
    <t>Quadriceps strength</t>
  </si>
  <si>
    <t>Daily mobilization (m)</t>
  </si>
  <si>
    <t>Po hospital stays (h)</t>
  </si>
  <si>
    <t>Nausea</t>
    <phoneticPr fontId="1" type="noConversion"/>
  </si>
  <si>
    <t>Vomiting</t>
  </si>
  <si>
    <t>Intramuscular venous thrombosis</t>
    <phoneticPr fontId="1" type="noConversion"/>
  </si>
  <si>
    <t>Neurovascular complications</t>
    <phoneticPr fontId="1" type="noConversion"/>
  </si>
  <si>
    <t>Xiaozhaxi</t>
    <phoneticPr fontId="2" type="noConversion"/>
  </si>
  <si>
    <t>Xiaohuai Hu</t>
    <phoneticPr fontId="2" type="noConversion"/>
  </si>
  <si>
    <t>Di Kang</t>
    <phoneticPr fontId="2" type="noConversion"/>
  </si>
  <si>
    <t>Yixizhima</t>
    <phoneticPr fontId="2" type="noConversion"/>
  </si>
  <si>
    <t>Xuehuai Wu</t>
    <phoneticPr fontId="2" type="noConversion"/>
  </si>
  <si>
    <t>Fuying Wang</t>
    <phoneticPr fontId="2" type="noConversion"/>
  </si>
  <si>
    <t>Changfu He</t>
    <phoneticPr fontId="2" type="noConversion"/>
  </si>
  <si>
    <t>Tianliang Chen</t>
    <phoneticPr fontId="2" type="noConversion"/>
  </si>
  <si>
    <t>Zerenzhengjia</t>
    <phoneticPr fontId="2" type="noConversion"/>
  </si>
  <si>
    <t>Renzengquzhen</t>
    <phoneticPr fontId="2" type="noConversion"/>
  </si>
  <si>
    <t>Shulan Ni</t>
    <phoneticPr fontId="2" type="noConversion"/>
  </si>
  <si>
    <t>Fenglan Ji</t>
    <phoneticPr fontId="2" type="noConversion"/>
  </si>
  <si>
    <t>Baimananzhuo</t>
    <phoneticPr fontId="2" type="noConversion"/>
  </si>
  <si>
    <t>Yisu Liu</t>
    <phoneticPr fontId="2" type="noConversion"/>
  </si>
  <si>
    <t>Jinxiang Shi</t>
    <phoneticPr fontId="2" type="noConversion"/>
  </si>
  <si>
    <t>Yufen Su</t>
    <phoneticPr fontId="2" type="noConversion"/>
  </si>
  <si>
    <t>Zhashang Liu</t>
    <phoneticPr fontId="2" type="noConversion"/>
  </si>
  <si>
    <t>Jici</t>
    <phoneticPr fontId="2" type="noConversion"/>
  </si>
  <si>
    <t>Yanxiu Pan</t>
    <phoneticPr fontId="2" type="noConversion"/>
  </si>
  <si>
    <t>Yingmao Guo</t>
    <phoneticPr fontId="2" type="noConversion"/>
  </si>
  <si>
    <t>Wanbo Lin</t>
    <phoneticPr fontId="2" type="noConversion"/>
  </si>
  <si>
    <t>Siyun Zhou</t>
    <phoneticPr fontId="2" type="noConversion"/>
  </si>
  <si>
    <t>Yuzhen Chen</t>
    <phoneticPr fontId="2" type="noConversion"/>
  </si>
  <si>
    <t>Quela</t>
    <phoneticPr fontId="2" type="noConversion"/>
  </si>
  <si>
    <t>Hanqing Zhang</t>
    <phoneticPr fontId="2" type="noConversion"/>
  </si>
  <si>
    <t>Xianzhen Zhang</t>
    <phoneticPr fontId="2" type="noConversion"/>
  </si>
  <si>
    <t>Tiancui Li</t>
    <phoneticPr fontId="2" type="noConversion"/>
  </si>
  <si>
    <t>Xiaoqiong Lu</t>
    <phoneticPr fontId="2" type="noConversion"/>
  </si>
  <si>
    <t>Yanping Chen</t>
    <phoneticPr fontId="2" type="noConversion"/>
  </si>
  <si>
    <t>Shukang Tan</t>
    <phoneticPr fontId="2" type="noConversion"/>
  </si>
  <si>
    <t>Shixiu Zhou</t>
    <phoneticPr fontId="2" type="noConversion"/>
  </si>
  <si>
    <t>Hua Guo</t>
    <phoneticPr fontId="2" type="noConversion"/>
  </si>
  <si>
    <t>Jin Wang</t>
    <phoneticPr fontId="2" type="noConversion"/>
  </si>
  <si>
    <t>Shengjian Zhou</t>
    <phoneticPr fontId="2" type="noConversion"/>
  </si>
  <si>
    <t>Wenzhong Han</t>
    <phoneticPr fontId="2" type="noConversion"/>
  </si>
  <si>
    <t>Fu Yang</t>
    <phoneticPr fontId="2" type="noConversion"/>
  </si>
  <si>
    <t>Zuosheng Wang</t>
    <phoneticPr fontId="2" type="noConversion"/>
  </si>
  <si>
    <t>Yuanru Zhan</t>
    <phoneticPr fontId="2" type="noConversion"/>
  </si>
  <si>
    <t>Yonghui Ma</t>
    <phoneticPr fontId="2" type="noConversion"/>
  </si>
  <si>
    <t>Zhimadexi</t>
    <phoneticPr fontId="2" type="noConversion"/>
  </si>
  <si>
    <t>Shirong Liao</t>
    <phoneticPr fontId="2" type="noConversion"/>
  </si>
  <si>
    <t>Zemabaxi</t>
    <phoneticPr fontId="2" type="noConversion"/>
  </si>
  <si>
    <t>Sewu</t>
    <phoneticPr fontId="2" type="noConversion"/>
  </si>
  <si>
    <t>Yingxue Liu</t>
    <phoneticPr fontId="2" type="noConversion"/>
  </si>
  <si>
    <t>Changbi Yang</t>
    <phoneticPr fontId="2" type="noConversion"/>
  </si>
  <si>
    <t>0018905203</t>
    <phoneticPr fontId="2" type="noConversion"/>
  </si>
  <si>
    <t>0020290839</t>
    <phoneticPr fontId="2" type="noConversion"/>
  </si>
  <si>
    <t>0020489722</t>
    <phoneticPr fontId="2" type="noConversion"/>
  </si>
  <si>
    <t>0013751376</t>
    <phoneticPr fontId="2" type="noConversion"/>
  </si>
  <si>
    <t>0018673596</t>
    <phoneticPr fontId="2" type="noConversion"/>
  </si>
  <si>
    <t>0015681860</t>
    <phoneticPr fontId="2" type="noConversion"/>
  </si>
  <si>
    <t>0020303183</t>
    <phoneticPr fontId="2" type="noConversion"/>
  </si>
  <si>
    <t>0020256087</t>
    <phoneticPr fontId="2" type="noConversion"/>
  </si>
  <si>
    <t>0019924160</t>
    <phoneticPr fontId="2" type="noConversion"/>
  </si>
  <si>
    <t>0020334796</t>
    <phoneticPr fontId="2" type="noConversion"/>
  </si>
  <si>
    <t>0020135046</t>
    <phoneticPr fontId="2" type="noConversion"/>
  </si>
  <si>
    <t>0018569626</t>
    <phoneticPr fontId="2" type="noConversion"/>
  </si>
  <si>
    <t>0020322042</t>
    <phoneticPr fontId="2" type="noConversion"/>
  </si>
  <si>
    <t>0020326886</t>
    <phoneticPr fontId="2" type="noConversion"/>
  </si>
  <si>
    <t>0019746092</t>
    <phoneticPr fontId="2" type="noConversion"/>
  </si>
  <si>
    <t>0019856706</t>
    <phoneticPr fontId="2" type="noConversion"/>
  </si>
  <si>
    <t>0019300566</t>
    <phoneticPr fontId="2" type="noConversion"/>
  </si>
  <si>
    <t>0019400480</t>
    <phoneticPr fontId="2" type="noConversion"/>
  </si>
  <si>
    <t>0002121656</t>
    <phoneticPr fontId="2" type="noConversion"/>
  </si>
  <si>
    <t>0019080073</t>
    <phoneticPr fontId="2" type="noConversion"/>
  </si>
  <si>
    <t>0018157012</t>
    <phoneticPr fontId="2" type="noConversion"/>
  </si>
  <si>
    <t>0019305950</t>
    <phoneticPr fontId="2" type="noConversion"/>
  </si>
  <si>
    <t>0019445609</t>
    <phoneticPr fontId="2" type="noConversion"/>
  </si>
  <si>
    <t>0008954537</t>
    <phoneticPr fontId="2" type="noConversion"/>
  </si>
  <si>
    <t>0019094729</t>
    <phoneticPr fontId="2" type="noConversion"/>
  </si>
  <si>
    <t>0019738208</t>
    <phoneticPr fontId="2" type="noConversion"/>
  </si>
  <si>
    <t>0019450040</t>
    <phoneticPr fontId="2" type="noConversion"/>
  </si>
  <si>
    <t>0019291513</t>
    <phoneticPr fontId="2" type="noConversion"/>
  </si>
  <si>
    <t>0015730582</t>
    <phoneticPr fontId="2" type="noConversion"/>
  </si>
  <si>
    <t>0019432267</t>
    <phoneticPr fontId="2" type="noConversion"/>
  </si>
  <si>
    <t>0008670666</t>
    <phoneticPr fontId="2" type="noConversion"/>
  </si>
  <si>
    <t>0004747863</t>
    <phoneticPr fontId="2" type="noConversion"/>
  </si>
  <si>
    <t>0019069862</t>
    <phoneticPr fontId="2" type="noConversion"/>
  </si>
  <si>
    <t>0018531715</t>
    <phoneticPr fontId="2" type="noConversion"/>
  </si>
  <si>
    <t>0016305770</t>
    <phoneticPr fontId="2" type="noConversion"/>
  </si>
  <si>
    <t>0005870492</t>
    <phoneticPr fontId="2" type="noConversion"/>
  </si>
  <si>
    <t>0016275382</t>
    <phoneticPr fontId="2" type="noConversion"/>
  </si>
  <si>
    <t>0001039460</t>
    <phoneticPr fontId="2" type="noConversion"/>
  </si>
  <si>
    <t>0019210980</t>
    <phoneticPr fontId="2" type="noConversion"/>
  </si>
  <si>
    <t>0019208399</t>
    <phoneticPr fontId="2" type="noConversion"/>
  </si>
  <si>
    <t>0016353988</t>
    <phoneticPr fontId="2" type="noConversion"/>
  </si>
  <si>
    <t>0008380888</t>
    <phoneticPr fontId="2" type="noConversion"/>
  </si>
  <si>
    <t>0008240006</t>
    <phoneticPr fontId="2" type="noConversion"/>
  </si>
  <si>
    <t>0019391110</t>
    <phoneticPr fontId="2" type="noConversion"/>
  </si>
  <si>
    <t>0005183984</t>
    <phoneticPr fontId="2" type="noConversion"/>
  </si>
  <si>
    <t>M</t>
  </si>
  <si>
    <t>F</t>
  </si>
  <si>
    <t>R</t>
  </si>
  <si>
    <t>L</t>
  </si>
  <si>
    <t>Pre-knee ROM</t>
    <phoneticPr fontId="1" type="noConversion"/>
  </si>
  <si>
    <t>Ö</t>
    <phoneticPr fontId="1" type="noConversion"/>
  </si>
  <si>
    <t>Wound swelling</t>
    <phoneticPr fontId="1" type="noConversion"/>
  </si>
  <si>
    <t>Wound oozes</t>
    <phoneticPr fontId="1" type="noConversion"/>
  </si>
  <si>
    <t>Delayed wound healing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</si>
</sst>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selection activeCell="F18" sqref="F18"/>
    </sheetView>
  </sheetViews>
  <sheetFormatPr defaultRowHeight="13.8" x14ac:dyDescent="0.25"/>
  <cols>
    <col min="2" max="2" width="16.21875" customWidth="1"/>
    <col min="3" max="3" width="13.21875" customWidth="1"/>
    <col min="4" max="4" width="9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128</v>
      </c>
      <c r="M1" s="2" t="s">
        <v>11</v>
      </c>
      <c r="N1" s="3" t="s">
        <v>12</v>
      </c>
      <c r="O1" s="3" t="s">
        <v>13</v>
      </c>
    </row>
    <row r="2" spans="1:15" x14ac:dyDescent="0.25">
      <c r="A2" s="7">
        <v>1</v>
      </c>
      <c r="B2" s="8" t="s">
        <v>34</v>
      </c>
      <c r="C2" s="9" t="s">
        <v>79</v>
      </c>
      <c r="D2" s="1">
        <v>63</v>
      </c>
      <c r="E2" s="10">
        <v>61</v>
      </c>
      <c r="F2" s="10" t="s">
        <v>124</v>
      </c>
      <c r="G2" s="10">
        <v>75</v>
      </c>
      <c r="H2" s="10">
        <v>160</v>
      </c>
      <c r="I2" s="4">
        <v>29.296875</v>
      </c>
      <c r="J2" s="10" t="s">
        <v>126</v>
      </c>
      <c r="K2" s="10">
        <v>4</v>
      </c>
      <c r="L2" s="10">
        <v>110</v>
      </c>
      <c r="M2" s="10">
        <v>5</v>
      </c>
      <c r="N2" s="10">
        <v>3</v>
      </c>
      <c r="O2" s="10">
        <v>75</v>
      </c>
    </row>
    <row r="3" spans="1:15" x14ac:dyDescent="0.25">
      <c r="A3" s="7">
        <v>2</v>
      </c>
      <c r="B3" s="8" t="s">
        <v>35</v>
      </c>
      <c r="C3" s="9" t="s">
        <v>80</v>
      </c>
      <c r="D3" s="1">
        <v>68</v>
      </c>
      <c r="E3" s="10">
        <v>53</v>
      </c>
      <c r="F3" s="10" t="s">
        <v>125</v>
      </c>
      <c r="G3" s="10">
        <v>51</v>
      </c>
      <c r="H3" s="10">
        <v>164</v>
      </c>
      <c r="I3" s="4">
        <v>18.961927424152289</v>
      </c>
      <c r="J3" s="10" t="s">
        <v>126</v>
      </c>
      <c r="K3" s="10">
        <v>5</v>
      </c>
      <c r="L3" s="10">
        <v>110</v>
      </c>
      <c r="M3" s="10">
        <v>5</v>
      </c>
      <c r="N3" s="10">
        <v>2</v>
      </c>
      <c r="O3" s="10">
        <v>70</v>
      </c>
    </row>
    <row r="4" spans="1:15" x14ac:dyDescent="0.25">
      <c r="A4" s="7">
        <v>3</v>
      </c>
      <c r="B4" s="8" t="s">
        <v>36</v>
      </c>
      <c r="C4" s="9" t="s">
        <v>81</v>
      </c>
      <c r="D4" s="1">
        <v>41</v>
      </c>
      <c r="E4" s="10">
        <v>74</v>
      </c>
      <c r="F4" s="10" t="s">
        <v>125</v>
      </c>
      <c r="G4" s="10">
        <v>55</v>
      </c>
      <c r="H4" s="10">
        <v>156</v>
      </c>
      <c r="I4" s="4">
        <v>22.60026298487837</v>
      </c>
      <c r="J4" s="10" t="s">
        <v>127</v>
      </c>
      <c r="K4" s="10">
        <v>6</v>
      </c>
      <c r="L4" s="10">
        <v>110</v>
      </c>
      <c r="M4" s="10">
        <v>5</v>
      </c>
      <c r="N4" s="10">
        <v>3</v>
      </c>
      <c r="O4" s="10">
        <v>70</v>
      </c>
    </row>
    <row r="5" spans="1:15" x14ac:dyDescent="0.25">
      <c r="A5" s="7">
        <v>4</v>
      </c>
      <c r="B5" s="8" t="s">
        <v>37</v>
      </c>
      <c r="C5" s="9" t="s">
        <v>82</v>
      </c>
      <c r="D5" s="1">
        <v>39</v>
      </c>
      <c r="E5" s="10">
        <v>55</v>
      </c>
      <c r="F5" s="10" t="s">
        <v>125</v>
      </c>
      <c r="G5" s="10">
        <v>90</v>
      </c>
      <c r="H5" s="10">
        <v>160</v>
      </c>
      <c r="I5" s="4">
        <v>35.15625</v>
      </c>
      <c r="J5" s="10" t="s">
        <v>127</v>
      </c>
      <c r="K5" s="10">
        <v>7</v>
      </c>
      <c r="L5" s="10">
        <v>110</v>
      </c>
      <c r="M5" s="10">
        <v>5</v>
      </c>
      <c r="N5" s="10">
        <v>2</v>
      </c>
      <c r="O5" s="10">
        <v>60</v>
      </c>
    </row>
    <row r="6" spans="1:15" x14ac:dyDescent="0.25">
      <c r="A6" s="7">
        <v>5</v>
      </c>
      <c r="B6" s="8" t="s">
        <v>38</v>
      </c>
      <c r="C6" s="9" t="s">
        <v>83</v>
      </c>
      <c r="D6" s="1">
        <v>55</v>
      </c>
      <c r="E6" s="10">
        <v>72</v>
      </c>
      <c r="F6" s="10" t="s">
        <v>125</v>
      </c>
      <c r="G6" s="10">
        <v>64</v>
      </c>
      <c r="H6" s="10">
        <v>155</v>
      </c>
      <c r="I6" s="4">
        <v>26.63891779396462</v>
      </c>
      <c r="J6" s="10" t="s">
        <v>127</v>
      </c>
      <c r="K6" s="10">
        <v>7</v>
      </c>
      <c r="L6" s="10">
        <v>100</v>
      </c>
      <c r="M6" s="10">
        <v>5</v>
      </c>
      <c r="N6" s="10">
        <v>2</v>
      </c>
      <c r="O6" s="10">
        <v>60</v>
      </c>
    </row>
    <row r="7" spans="1:15" x14ac:dyDescent="0.25">
      <c r="A7" s="7">
        <v>6</v>
      </c>
      <c r="B7" s="8" t="s">
        <v>39</v>
      </c>
      <c r="C7" s="9" t="s">
        <v>84</v>
      </c>
      <c r="D7" s="1">
        <v>59</v>
      </c>
      <c r="E7" s="10">
        <v>65</v>
      </c>
      <c r="F7" s="10" t="s">
        <v>125</v>
      </c>
      <c r="G7" s="10">
        <v>71</v>
      </c>
      <c r="H7" s="10">
        <v>155</v>
      </c>
      <c r="I7" s="4">
        <v>29.552549427679502</v>
      </c>
      <c r="J7" s="10" t="s">
        <v>127</v>
      </c>
      <c r="K7" s="10">
        <v>5</v>
      </c>
      <c r="L7" s="10">
        <v>110</v>
      </c>
      <c r="M7" s="10">
        <v>5</v>
      </c>
      <c r="N7" s="10">
        <v>2</v>
      </c>
      <c r="O7" s="10">
        <v>65</v>
      </c>
    </row>
    <row r="8" spans="1:15" x14ac:dyDescent="0.25">
      <c r="A8" s="7">
        <v>7</v>
      </c>
      <c r="B8" s="8" t="s">
        <v>40</v>
      </c>
      <c r="C8" s="9" t="s">
        <v>85</v>
      </c>
      <c r="D8" s="1">
        <v>10</v>
      </c>
      <c r="E8" s="10">
        <v>63</v>
      </c>
      <c r="F8" s="10" t="s">
        <v>124</v>
      </c>
      <c r="G8" s="10">
        <v>65</v>
      </c>
      <c r="H8" s="10">
        <v>165</v>
      </c>
      <c r="I8" s="4">
        <v>23.875114784205692</v>
      </c>
      <c r="J8" s="10" t="s">
        <v>126</v>
      </c>
      <c r="K8" s="10">
        <v>4</v>
      </c>
      <c r="L8" s="10">
        <v>90</v>
      </c>
      <c r="M8" s="10">
        <v>5</v>
      </c>
      <c r="N8" s="10">
        <v>3</v>
      </c>
      <c r="O8" s="10">
        <v>55</v>
      </c>
    </row>
    <row r="9" spans="1:15" x14ac:dyDescent="0.25">
      <c r="A9" s="7">
        <v>8</v>
      </c>
      <c r="B9" s="8" t="s">
        <v>41</v>
      </c>
      <c r="C9" s="9" t="s">
        <v>86</v>
      </c>
      <c r="D9" s="1">
        <v>51</v>
      </c>
      <c r="E9" s="10">
        <v>53</v>
      </c>
      <c r="F9" s="10" t="s">
        <v>124</v>
      </c>
      <c r="G9" s="10">
        <v>68</v>
      </c>
      <c r="H9" s="10">
        <v>160</v>
      </c>
      <c r="I9" s="4">
        <v>26.562499999999996</v>
      </c>
      <c r="J9" s="10" t="s">
        <v>126</v>
      </c>
      <c r="K9" s="10">
        <v>3</v>
      </c>
      <c r="L9" s="10">
        <v>80</v>
      </c>
      <c r="M9" s="10">
        <v>5</v>
      </c>
      <c r="N9" s="10">
        <v>2</v>
      </c>
      <c r="O9" s="10">
        <v>65</v>
      </c>
    </row>
    <row r="10" spans="1:15" x14ac:dyDescent="0.25">
      <c r="A10" s="7">
        <v>9</v>
      </c>
      <c r="B10" s="8" t="s">
        <v>42</v>
      </c>
      <c r="C10" s="9" t="s">
        <v>87</v>
      </c>
      <c r="D10" s="1">
        <v>59</v>
      </c>
      <c r="E10" s="10">
        <v>61</v>
      </c>
      <c r="F10" s="10" t="s">
        <v>125</v>
      </c>
      <c r="G10" s="10">
        <v>72</v>
      </c>
      <c r="H10" s="10">
        <v>160</v>
      </c>
      <c r="I10" s="4">
        <v>28.125</v>
      </c>
      <c r="J10" s="10" t="s">
        <v>126</v>
      </c>
      <c r="K10" s="10">
        <v>4</v>
      </c>
      <c r="L10" s="10">
        <v>100</v>
      </c>
      <c r="M10" s="10">
        <v>5</v>
      </c>
      <c r="N10" s="10">
        <v>2</v>
      </c>
      <c r="O10" s="10">
        <v>80</v>
      </c>
    </row>
    <row r="11" spans="1:15" x14ac:dyDescent="0.25">
      <c r="A11" s="7">
        <v>10</v>
      </c>
      <c r="B11" s="8" t="s">
        <v>43</v>
      </c>
      <c r="C11" s="9" t="s">
        <v>88</v>
      </c>
      <c r="D11" s="1">
        <v>71</v>
      </c>
      <c r="E11" s="10">
        <v>59</v>
      </c>
      <c r="F11" s="10" t="s">
        <v>125</v>
      </c>
      <c r="G11" s="10">
        <v>80</v>
      </c>
      <c r="H11" s="10">
        <v>170</v>
      </c>
      <c r="I11" s="4">
        <v>27.681660899653977</v>
      </c>
      <c r="J11" s="10" t="s">
        <v>126</v>
      </c>
      <c r="K11" s="10">
        <v>5</v>
      </c>
      <c r="L11" s="10">
        <v>120</v>
      </c>
      <c r="M11" s="10">
        <v>5</v>
      </c>
      <c r="N11" s="10">
        <v>3</v>
      </c>
      <c r="O11" s="10">
        <v>50</v>
      </c>
    </row>
    <row r="12" spans="1:15" x14ac:dyDescent="0.25">
      <c r="A12" s="7">
        <v>11</v>
      </c>
      <c r="B12" s="8" t="s">
        <v>44</v>
      </c>
      <c r="C12" s="9" t="s">
        <v>89</v>
      </c>
      <c r="D12" s="1">
        <v>27</v>
      </c>
      <c r="E12" s="10">
        <v>62</v>
      </c>
      <c r="F12" s="10" t="s">
        <v>125</v>
      </c>
      <c r="G12" s="10">
        <v>58</v>
      </c>
      <c r="H12" s="10">
        <v>158</v>
      </c>
      <c r="I12" s="4">
        <v>23.23345617689473</v>
      </c>
      <c r="J12" s="10" t="s">
        <v>126</v>
      </c>
      <c r="K12" s="10">
        <v>6</v>
      </c>
      <c r="L12" s="10">
        <v>90</v>
      </c>
      <c r="M12" s="10">
        <v>5</v>
      </c>
      <c r="N12" s="10">
        <v>2</v>
      </c>
      <c r="O12" s="10">
        <v>60</v>
      </c>
    </row>
    <row r="13" spans="1:15" x14ac:dyDescent="0.25">
      <c r="A13" s="7">
        <v>12</v>
      </c>
      <c r="B13" s="8" t="s">
        <v>45</v>
      </c>
      <c r="C13" s="9" t="s">
        <v>90</v>
      </c>
      <c r="D13" s="1">
        <v>59</v>
      </c>
      <c r="E13" s="10">
        <v>63</v>
      </c>
      <c r="F13" s="10" t="s">
        <v>125</v>
      </c>
      <c r="G13" s="10">
        <v>69</v>
      </c>
      <c r="H13" s="10">
        <v>160</v>
      </c>
      <c r="I13" s="4">
        <v>26.953125000000004</v>
      </c>
      <c r="J13" s="10" t="s">
        <v>126</v>
      </c>
      <c r="K13" s="10">
        <v>5</v>
      </c>
      <c r="L13" s="10">
        <v>110</v>
      </c>
      <c r="M13" s="10">
        <v>5</v>
      </c>
      <c r="N13" s="10">
        <v>2</v>
      </c>
      <c r="O13" s="10">
        <v>100</v>
      </c>
    </row>
    <row r="14" spans="1:15" x14ac:dyDescent="0.25">
      <c r="A14" s="7">
        <v>13</v>
      </c>
      <c r="B14" s="8" t="s">
        <v>46</v>
      </c>
      <c r="C14" s="9" t="s">
        <v>91</v>
      </c>
      <c r="D14" s="1">
        <v>42</v>
      </c>
      <c r="E14" s="10">
        <v>65</v>
      </c>
      <c r="F14" s="10" t="s">
        <v>125</v>
      </c>
      <c r="G14" s="10">
        <v>63</v>
      </c>
      <c r="H14" s="10">
        <v>158</v>
      </c>
      <c r="I14" s="4">
        <v>25.236340330075311</v>
      </c>
      <c r="J14" s="10" t="s">
        <v>126</v>
      </c>
      <c r="K14" s="10">
        <v>4</v>
      </c>
      <c r="L14" s="10">
        <v>110</v>
      </c>
      <c r="M14" s="10">
        <v>5</v>
      </c>
      <c r="N14" s="10">
        <v>3</v>
      </c>
      <c r="O14" s="10">
        <v>70</v>
      </c>
    </row>
    <row r="15" spans="1:15" x14ac:dyDescent="0.25">
      <c r="A15" s="7">
        <v>14</v>
      </c>
      <c r="B15" s="8" t="s">
        <v>47</v>
      </c>
      <c r="C15" s="9" t="s">
        <v>92</v>
      </c>
      <c r="D15" s="1">
        <v>38</v>
      </c>
      <c r="E15" s="10">
        <v>66</v>
      </c>
      <c r="F15" s="10" t="s">
        <v>125</v>
      </c>
      <c r="G15" s="10">
        <v>73</v>
      </c>
      <c r="H15" s="10">
        <v>150</v>
      </c>
      <c r="I15" s="4">
        <v>32.44444444444445</v>
      </c>
      <c r="J15" s="10" t="s">
        <v>126</v>
      </c>
      <c r="K15" s="10">
        <v>6</v>
      </c>
      <c r="L15" s="10">
        <v>110</v>
      </c>
      <c r="M15" s="10">
        <v>5</v>
      </c>
      <c r="N15" s="10">
        <v>3</v>
      </c>
      <c r="O15" s="10">
        <v>55</v>
      </c>
    </row>
    <row r="16" spans="1:15" x14ac:dyDescent="0.25">
      <c r="A16" s="7">
        <v>15</v>
      </c>
      <c r="B16" s="8" t="s">
        <v>48</v>
      </c>
      <c r="C16" s="9" t="s">
        <v>93</v>
      </c>
      <c r="D16" s="1">
        <v>47</v>
      </c>
      <c r="E16" s="10">
        <v>66</v>
      </c>
      <c r="F16" s="10" t="s">
        <v>125</v>
      </c>
      <c r="G16" s="10">
        <v>60</v>
      </c>
      <c r="H16" s="10">
        <v>151</v>
      </c>
      <c r="I16" s="4">
        <v>26.314635323012144</v>
      </c>
      <c r="J16" s="10" t="s">
        <v>126</v>
      </c>
      <c r="K16" s="10">
        <v>5</v>
      </c>
      <c r="L16" s="10">
        <v>120</v>
      </c>
      <c r="M16" s="10">
        <v>4</v>
      </c>
      <c r="N16" s="10">
        <v>2</v>
      </c>
      <c r="O16" s="10">
        <v>90</v>
      </c>
    </row>
    <row r="17" spans="1:15" x14ac:dyDescent="0.25">
      <c r="A17" s="7">
        <v>16</v>
      </c>
      <c r="B17" s="8" t="s">
        <v>49</v>
      </c>
      <c r="C17" s="9" t="s">
        <v>94</v>
      </c>
      <c r="D17" s="1">
        <v>73</v>
      </c>
      <c r="E17" s="10">
        <v>68</v>
      </c>
      <c r="F17" s="10" t="s">
        <v>125</v>
      </c>
      <c r="G17" s="10">
        <v>69</v>
      </c>
      <c r="H17" s="10">
        <v>156</v>
      </c>
      <c r="I17" s="4">
        <v>28.353057199211044</v>
      </c>
      <c r="J17" s="10" t="s">
        <v>126</v>
      </c>
      <c r="K17" s="10">
        <v>5</v>
      </c>
      <c r="L17" s="10">
        <v>90</v>
      </c>
      <c r="M17" s="10">
        <v>5</v>
      </c>
      <c r="N17" s="10">
        <v>2</v>
      </c>
      <c r="O17" s="10">
        <v>60</v>
      </c>
    </row>
    <row r="18" spans="1:15" x14ac:dyDescent="0.25">
      <c r="A18" s="7">
        <v>17</v>
      </c>
      <c r="B18" s="8" t="s">
        <v>50</v>
      </c>
      <c r="C18" s="9" t="s">
        <v>95</v>
      </c>
      <c r="D18" s="1">
        <v>73</v>
      </c>
      <c r="E18" s="10">
        <v>63</v>
      </c>
      <c r="F18" s="10" t="s">
        <v>124</v>
      </c>
      <c r="G18" s="10">
        <v>63</v>
      </c>
      <c r="H18" s="10">
        <v>165</v>
      </c>
      <c r="I18" s="4">
        <v>23.140495867768596</v>
      </c>
      <c r="J18" s="10" t="s">
        <v>126</v>
      </c>
      <c r="K18" s="10">
        <v>6</v>
      </c>
      <c r="L18" s="10">
        <v>130</v>
      </c>
      <c r="M18" s="10">
        <v>5</v>
      </c>
      <c r="N18" s="10">
        <v>1</v>
      </c>
      <c r="O18" s="10">
        <v>200</v>
      </c>
    </row>
    <row r="19" spans="1:15" x14ac:dyDescent="0.25">
      <c r="A19" s="7">
        <v>18</v>
      </c>
      <c r="B19" s="8" t="s">
        <v>51</v>
      </c>
      <c r="C19" s="9" t="s">
        <v>96</v>
      </c>
      <c r="D19" s="1">
        <v>64</v>
      </c>
      <c r="E19" s="10">
        <v>71</v>
      </c>
      <c r="F19" s="10" t="s">
        <v>125</v>
      </c>
      <c r="G19" s="10">
        <v>70</v>
      </c>
      <c r="H19" s="10">
        <v>153</v>
      </c>
      <c r="I19" s="4">
        <v>29.903028749626213</v>
      </c>
      <c r="J19" s="10" t="s">
        <v>126</v>
      </c>
      <c r="K19" s="10">
        <v>5</v>
      </c>
      <c r="L19" s="10">
        <v>90</v>
      </c>
      <c r="M19" s="10">
        <v>5</v>
      </c>
      <c r="N19" s="10">
        <v>2</v>
      </c>
      <c r="O19" s="10">
        <v>115</v>
      </c>
    </row>
    <row r="20" spans="1:15" x14ac:dyDescent="0.25">
      <c r="A20" s="7">
        <v>19</v>
      </c>
      <c r="B20" s="8" t="s">
        <v>52</v>
      </c>
      <c r="C20" s="9" t="s">
        <v>97</v>
      </c>
      <c r="D20" s="1">
        <v>80</v>
      </c>
      <c r="E20" s="10">
        <v>70</v>
      </c>
      <c r="F20" s="10" t="s">
        <v>125</v>
      </c>
      <c r="G20" s="10">
        <v>74</v>
      </c>
      <c r="H20" s="10">
        <v>176</v>
      </c>
      <c r="I20" s="4">
        <v>23.889462809917358</v>
      </c>
      <c r="J20" s="10" t="s">
        <v>127</v>
      </c>
      <c r="K20" s="10">
        <v>3</v>
      </c>
      <c r="L20" s="10">
        <v>110</v>
      </c>
      <c r="M20" s="10">
        <v>4</v>
      </c>
      <c r="N20" s="10">
        <v>3</v>
      </c>
      <c r="O20" s="10">
        <v>90</v>
      </c>
    </row>
    <row r="21" spans="1:15" x14ac:dyDescent="0.25">
      <c r="A21" s="7">
        <v>20</v>
      </c>
      <c r="B21" s="8" t="s">
        <v>53</v>
      </c>
      <c r="C21" s="9" t="s">
        <v>98</v>
      </c>
      <c r="D21" s="1">
        <v>66</v>
      </c>
      <c r="E21" s="10">
        <v>52</v>
      </c>
      <c r="F21" s="10" t="s">
        <v>125</v>
      </c>
      <c r="G21" s="10">
        <v>37</v>
      </c>
      <c r="H21" s="10">
        <v>142</v>
      </c>
      <c r="I21" s="4">
        <v>18.349533822654234</v>
      </c>
      <c r="J21" s="10" t="s">
        <v>126</v>
      </c>
      <c r="K21" s="10">
        <v>5</v>
      </c>
      <c r="L21" s="10">
        <v>100</v>
      </c>
      <c r="M21" s="10">
        <v>4</v>
      </c>
      <c r="N21" s="10">
        <v>2</v>
      </c>
      <c r="O21" s="10">
        <v>140</v>
      </c>
    </row>
    <row r="22" spans="1:15" x14ac:dyDescent="0.25">
      <c r="A22" s="7">
        <v>21</v>
      </c>
      <c r="B22" s="8" t="s">
        <v>54</v>
      </c>
      <c r="C22" s="9" t="s">
        <v>99</v>
      </c>
      <c r="D22" s="1">
        <v>82</v>
      </c>
      <c r="E22" s="10">
        <v>64</v>
      </c>
      <c r="F22" s="10" t="s">
        <v>124</v>
      </c>
      <c r="G22" s="10">
        <v>45</v>
      </c>
      <c r="H22" s="10">
        <v>148</v>
      </c>
      <c r="I22" s="4">
        <v>20.544192841490137</v>
      </c>
      <c r="J22" s="10" t="s">
        <v>127</v>
      </c>
      <c r="K22" s="10">
        <v>4</v>
      </c>
      <c r="L22" s="10">
        <v>90</v>
      </c>
      <c r="M22" s="10">
        <v>4</v>
      </c>
      <c r="N22" s="10">
        <v>3</v>
      </c>
      <c r="O22" s="10">
        <v>93</v>
      </c>
    </row>
    <row r="23" spans="1:15" x14ac:dyDescent="0.25">
      <c r="A23" s="7">
        <v>22</v>
      </c>
      <c r="B23" s="8" t="s">
        <v>55</v>
      </c>
      <c r="C23" s="9" t="s">
        <v>100</v>
      </c>
      <c r="D23" s="1">
        <v>48</v>
      </c>
      <c r="E23" s="10">
        <v>71</v>
      </c>
      <c r="F23" s="10" t="s">
        <v>125</v>
      </c>
      <c r="G23" s="10">
        <v>70</v>
      </c>
      <c r="H23" s="10">
        <v>154</v>
      </c>
      <c r="I23" s="4">
        <v>29.515938606847698</v>
      </c>
      <c r="J23" s="10" t="s">
        <v>126</v>
      </c>
      <c r="K23" s="10">
        <v>6</v>
      </c>
      <c r="L23" s="10">
        <v>120</v>
      </c>
      <c r="M23" s="10">
        <v>4</v>
      </c>
      <c r="N23" s="10">
        <v>3</v>
      </c>
      <c r="O23" s="10">
        <v>55</v>
      </c>
    </row>
    <row r="24" spans="1:15" x14ac:dyDescent="0.25">
      <c r="A24" s="7">
        <v>23</v>
      </c>
      <c r="B24" s="8" t="s">
        <v>56</v>
      </c>
      <c r="C24" s="9" t="s">
        <v>101</v>
      </c>
      <c r="D24" s="1">
        <v>41</v>
      </c>
      <c r="E24" s="10">
        <v>75</v>
      </c>
      <c r="F24" s="10" t="s">
        <v>125</v>
      </c>
      <c r="G24" s="10">
        <v>56</v>
      </c>
      <c r="H24" s="10">
        <v>156</v>
      </c>
      <c r="I24" s="4">
        <v>23.011176857330703</v>
      </c>
      <c r="J24" s="10" t="s">
        <v>127</v>
      </c>
      <c r="K24" s="10">
        <v>4</v>
      </c>
      <c r="L24" s="10">
        <v>105</v>
      </c>
      <c r="M24" s="10">
        <v>5</v>
      </c>
      <c r="N24" s="10">
        <v>2</v>
      </c>
      <c r="O24" s="10">
        <v>120</v>
      </c>
    </row>
    <row r="25" spans="1:15" x14ac:dyDescent="0.25">
      <c r="A25" s="7">
        <v>24</v>
      </c>
      <c r="B25" s="8" t="s">
        <v>57</v>
      </c>
      <c r="C25" s="9" t="s">
        <v>102</v>
      </c>
      <c r="D25" s="1">
        <v>18</v>
      </c>
      <c r="E25" s="10">
        <v>60</v>
      </c>
      <c r="F25" s="10" t="s">
        <v>125</v>
      </c>
      <c r="G25" s="10">
        <v>80</v>
      </c>
      <c r="H25" s="10">
        <v>160</v>
      </c>
      <c r="I25" s="4">
        <v>31.25</v>
      </c>
      <c r="J25" s="10" t="s">
        <v>126</v>
      </c>
      <c r="K25" s="10">
        <v>4</v>
      </c>
      <c r="L25" s="10">
        <v>110</v>
      </c>
      <c r="M25" s="10">
        <v>5</v>
      </c>
      <c r="N25" s="10">
        <v>3</v>
      </c>
      <c r="O25" s="10">
        <v>125</v>
      </c>
    </row>
    <row r="26" spans="1:15" x14ac:dyDescent="0.25">
      <c r="A26" s="7">
        <v>25</v>
      </c>
      <c r="B26" s="8" t="s">
        <v>58</v>
      </c>
      <c r="C26" s="9" t="s">
        <v>103</v>
      </c>
      <c r="D26" s="1">
        <v>48</v>
      </c>
      <c r="E26" s="10">
        <v>78</v>
      </c>
      <c r="F26" s="10" t="s">
        <v>124</v>
      </c>
      <c r="G26" s="10">
        <v>55</v>
      </c>
      <c r="H26" s="10">
        <v>172</v>
      </c>
      <c r="I26" s="4">
        <v>18.591130340724717</v>
      </c>
      <c r="J26" s="10" t="s">
        <v>127</v>
      </c>
      <c r="K26" s="10">
        <v>4</v>
      </c>
      <c r="L26" s="10">
        <v>110</v>
      </c>
      <c r="M26" s="10">
        <v>5</v>
      </c>
      <c r="N26" s="10">
        <v>2</v>
      </c>
      <c r="O26" s="10">
        <v>115</v>
      </c>
    </row>
    <row r="27" spans="1:15" x14ac:dyDescent="0.25">
      <c r="A27" s="7">
        <v>26</v>
      </c>
      <c r="B27" s="8" t="s">
        <v>59</v>
      </c>
      <c r="C27" s="9" t="s">
        <v>104</v>
      </c>
      <c r="D27" s="1">
        <v>45</v>
      </c>
      <c r="E27" s="10">
        <v>70</v>
      </c>
      <c r="F27" s="10" t="s">
        <v>125</v>
      </c>
      <c r="G27" s="10">
        <v>48.5</v>
      </c>
      <c r="H27" s="10">
        <v>155</v>
      </c>
      <c r="I27" s="4">
        <v>20.187304890738815</v>
      </c>
      <c r="J27" s="10" t="s">
        <v>126</v>
      </c>
      <c r="K27" s="10">
        <v>6</v>
      </c>
      <c r="L27" s="10">
        <v>80</v>
      </c>
      <c r="M27" s="10">
        <v>5</v>
      </c>
      <c r="N27" s="10">
        <v>3</v>
      </c>
      <c r="O27" s="10">
        <v>120</v>
      </c>
    </row>
    <row r="28" spans="1:15" x14ac:dyDescent="0.25">
      <c r="A28" s="7">
        <v>27</v>
      </c>
      <c r="B28" s="8" t="s">
        <v>60</v>
      </c>
      <c r="C28" s="9" t="s">
        <v>105</v>
      </c>
      <c r="D28" s="1">
        <v>78</v>
      </c>
      <c r="E28" s="10">
        <v>57</v>
      </c>
      <c r="F28" s="10" t="s">
        <v>125</v>
      </c>
      <c r="G28" s="10">
        <v>56</v>
      </c>
      <c r="H28" s="10">
        <v>165</v>
      </c>
      <c r="I28" s="4">
        <v>20.569329660238751</v>
      </c>
      <c r="J28" s="10" t="s">
        <v>127</v>
      </c>
      <c r="K28" s="10">
        <v>5</v>
      </c>
      <c r="L28" s="10">
        <v>120</v>
      </c>
      <c r="M28" s="10">
        <v>5</v>
      </c>
      <c r="N28" s="10">
        <v>2</v>
      </c>
      <c r="O28" s="10">
        <v>75</v>
      </c>
    </row>
    <row r="29" spans="1:15" x14ac:dyDescent="0.25">
      <c r="A29" s="7">
        <v>28</v>
      </c>
      <c r="B29" s="8" t="s">
        <v>61</v>
      </c>
      <c r="C29" s="9" t="s">
        <v>106</v>
      </c>
      <c r="D29" s="1">
        <v>76</v>
      </c>
      <c r="E29" s="10">
        <v>50</v>
      </c>
      <c r="F29" s="10" t="s">
        <v>125</v>
      </c>
      <c r="G29" s="10">
        <v>62</v>
      </c>
      <c r="H29" s="10">
        <v>160</v>
      </c>
      <c r="I29" s="4">
        <v>24.21875</v>
      </c>
      <c r="J29" s="10" t="s">
        <v>126</v>
      </c>
      <c r="K29" s="10">
        <v>3</v>
      </c>
      <c r="L29" s="10">
        <v>70</v>
      </c>
      <c r="M29" s="10">
        <v>5</v>
      </c>
      <c r="N29" s="10">
        <v>2</v>
      </c>
      <c r="O29" s="10">
        <v>120</v>
      </c>
    </row>
    <row r="30" spans="1:15" x14ac:dyDescent="0.25">
      <c r="A30" s="7">
        <v>29</v>
      </c>
      <c r="B30" s="8" t="s">
        <v>62</v>
      </c>
      <c r="C30" s="9" t="s">
        <v>107</v>
      </c>
      <c r="D30" s="1">
        <v>42</v>
      </c>
      <c r="E30" s="10">
        <v>61</v>
      </c>
      <c r="F30" s="10" t="s">
        <v>125</v>
      </c>
      <c r="G30" s="10">
        <v>75.5</v>
      </c>
      <c r="H30" s="10">
        <v>167</v>
      </c>
      <c r="I30" s="4">
        <v>27.071605292409195</v>
      </c>
      <c r="J30" s="10" t="s">
        <v>127</v>
      </c>
      <c r="K30" s="10">
        <v>5</v>
      </c>
      <c r="L30" s="10">
        <v>90</v>
      </c>
      <c r="M30" s="10">
        <v>5</v>
      </c>
      <c r="N30" s="10">
        <v>2</v>
      </c>
      <c r="O30" s="10">
        <v>75</v>
      </c>
    </row>
    <row r="31" spans="1:15" x14ac:dyDescent="0.25">
      <c r="A31" s="7">
        <v>30</v>
      </c>
      <c r="B31" s="8" t="s">
        <v>63</v>
      </c>
      <c r="C31" s="9" t="s">
        <v>108</v>
      </c>
      <c r="D31" s="1">
        <v>84</v>
      </c>
      <c r="E31" s="10">
        <v>75</v>
      </c>
      <c r="F31" s="10" t="s">
        <v>124</v>
      </c>
      <c r="G31" s="10">
        <v>51</v>
      </c>
      <c r="H31" s="10">
        <v>160</v>
      </c>
      <c r="I31" s="4">
        <v>19.921875</v>
      </c>
      <c r="J31" s="10" t="s">
        <v>127</v>
      </c>
      <c r="K31" s="10">
        <v>4</v>
      </c>
      <c r="L31" s="10">
        <v>105</v>
      </c>
      <c r="M31" s="10">
        <v>5</v>
      </c>
      <c r="N31" s="10">
        <v>3</v>
      </c>
      <c r="O31" s="10">
        <v>70</v>
      </c>
    </row>
    <row r="32" spans="1:15" x14ac:dyDescent="0.25">
      <c r="A32" s="7">
        <v>31</v>
      </c>
      <c r="B32" s="8" t="s">
        <v>64</v>
      </c>
      <c r="C32" s="9" t="s">
        <v>109</v>
      </c>
      <c r="D32" s="1">
        <v>46</v>
      </c>
      <c r="E32" s="10">
        <v>64</v>
      </c>
      <c r="F32" s="10" t="s">
        <v>125</v>
      </c>
      <c r="G32" s="10">
        <v>55</v>
      </c>
      <c r="H32" s="10">
        <v>146</v>
      </c>
      <c r="I32" s="4">
        <v>25.802214299118035</v>
      </c>
      <c r="J32" s="10" t="s">
        <v>126</v>
      </c>
      <c r="K32" s="10">
        <v>6</v>
      </c>
      <c r="L32" s="10">
        <v>100</v>
      </c>
      <c r="M32" s="10">
        <v>5</v>
      </c>
      <c r="N32" s="10">
        <v>2</v>
      </c>
      <c r="O32" s="10">
        <v>80</v>
      </c>
    </row>
    <row r="33" spans="1:15" x14ac:dyDescent="0.25">
      <c r="A33" s="7">
        <v>32</v>
      </c>
      <c r="B33" s="8" t="s">
        <v>65</v>
      </c>
      <c r="C33" s="9" t="s">
        <v>110</v>
      </c>
      <c r="D33" s="1">
        <v>48</v>
      </c>
      <c r="E33" s="10">
        <v>60</v>
      </c>
      <c r="F33" s="10" t="s">
        <v>125</v>
      </c>
      <c r="G33" s="10">
        <v>49</v>
      </c>
      <c r="H33" s="10">
        <v>148</v>
      </c>
      <c r="I33" s="4">
        <v>22.370343316289262</v>
      </c>
      <c r="J33" s="10" t="s">
        <v>126</v>
      </c>
      <c r="K33" s="10">
        <v>5</v>
      </c>
      <c r="L33" s="10">
        <v>100</v>
      </c>
      <c r="M33" s="10">
        <v>5</v>
      </c>
      <c r="N33" s="10">
        <v>2</v>
      </c>
      <c r="O33" s="10">
        <v>125</v>
      </c>
    </row>
    <row r="34" spans="1:15" x14ac:dyDescent="0.25">
      <c r="A34" s="7">
        <v>33</v>
      </c>
      <c r="B34" s="8" t="s">
        <v>66</v>
      </c>
      <c r="C34" s="9" t="s">
        <v>111</v>
      </c>
      <c r="D34" s="1">
        <v>69</v>
      </c>
      <c r="E34" s="10">
        <v>68</v>
      </c>
      <c r="F34" s="10" t="s">
        <v>125</v>
      </c>
      <c r="G34" s="10">
        <v>58</v>
      </c>
      <c r="H34" s="10">
        <v>158</v>
      </c>
      <c r="I34" s="4">
        <v>23.23345617689473</v>
      </c>
      <c r="J34" s="10" t="s">
        <v>126</v>
      </c>
      <c r="K34" s="10">
        <v>4</v>
      </c>
      <c r="L34" s="10">
        <v>100</v>
      </c>
      <c r="M34" s="10">
        <v>5</v>
      </c>
      <c r="N34" s="10">
        <v>3</v>
      </c>
      <c r="O34" s="10">
        <v>60</v>
      </c>
    </row>
    <row r="35" spans="1:15" x14ac:dyDescent="0.25">
      <c r="A35" s="7">
        <v>34</v>
      </c>
      <c r="B35" s="8" t="s">
        <v>67</v>
      </c>
      <c r="C35" s="9" t="s">
        <v>112</v>
      </c>
      <c r="D35" s="1">
        <v>51</v>
      </c>
      <c r="E35" s="10">
        <v>57</v>
      </c>
      <c r="F35" s="10" t="s">
        <v>124</v>
      </c>
      <c r="G35" s="10">
        <v>60</v>
      </c>
      <c r="H35" s="10">
        <v>168</v>
      </c>
      <c r="I35" s="4">
        <v>21.258503401360546</v>
      </c>
      <c r="J35" s="10" t="s">
        <v>127</v>
      </c>
      <c r="K35" s="10">
        <v>5</v>
      </c>
      <c r="L35" s="10">
        <v>100</v>
      </c>
      <c r="M35" s="10">
        <v>5</v>
      </c>
      <c r="N35" s="10">
        <v>2</v>
      </c>
      <c r="O35" s="10">
        <v>65</v>
      </c>
    </row>
    <row r="36" spans="1:15" x14ac:dyDescent="0.25">
      <c r="A36" s="7">
        <v>35</v>
      </c>
      <c r="B36" s="8" t="s">
        <v>68</v>
      </c>
      <c r="C36" s="9" t="s">
        <v>113</v>
      </c>
      <c r="D36" s="1">
        <v>52</v>
      </c>
      <c r="E36" s="10">
        <v>55</v>
      </c>
      <c r="F36" s="10" t="s">
        <v>124</v>
      </c>
      <c r="G36" s="10">
        <v>64</v>
      </c>
      <c r="H36" s="10">
        <v>168</v>
      </c>
      <c r="I36" s="4">
        <v>22.675736961451246</v>
      </c>
      <c r="J36" s="10" t="s">
        <v>126</v>
      </c>
      <c r="K36" s="10">
        <v>6</v>
      </c>
      <c r="L36" s="10">
        <v>100</v>
      </c>
      <c r="M36" s="10">
        <v>5</v>
      </c>
      <c r="N36" s="10">
        <v>3</v>
      </c>
      <c r="O36" s="10">
        <v>90</v>
      </c>
    </row>
    <row r="37" spans="1:15" x14ac:dyDescent="0.25">
      <c r="A37" s="7">
        <v>36</v>
      </c>
      <c r="B37" s="8" t="s">
        <v>69</v>
      </c>
      <c r="C37" s="9" t="s">
        <v>114</v>
      </c>
      <c r="D37" s="1">
        <v>54</v>
      </c>
      <c r="E37" s="10">
        <v>68</v>
      </c>
      <c r="F37" s="10" t="s">
        <v>124</v>
      </c>
      <c r="G37" s="10">
        <v>68</v>
      </c>
      <c r="H37" s="10">
        <v>160</v>
      </c>
      <c r="I37" s="4">
        <v>26.562499999999996</v>
      </c>
      <c r="J37" s="10" t="s">
        <v>126</v>
      </c>
      <c r="K37" s="10">
        <v>4</v>
      </c>
      <c r="L37" s="10">
        <v>100</v>
      </c>
      <c r="M37" s="10">
        <v>5</v>
      </c>
      <c r="N37" s="10">
        <v>2</v>
      </c>
      <c r="O37" s="10">
        <v>110</v>
      </c>
    </row>
    <row r="38" spans="1:15" x14ac:dyDescent="0.25">
      <c r="A38" s="7">
        <v>37</v>
      </c>
      <c r="B38" s="8" t="s">
        <v>70</v>
      </c>
      <c r="C38" s="9" t="s">
        <v>115</v>
      </c>
      <c r="D38" s="1">
        <v>42</v>
      </c>
      <c r="E38" s="10">
        <v>66</v>
      </c>
      <c r="F38" s="10" t="s">
        <v>124</v>
      </c>
      <c r="G38" s="10">
        <v>84</v>
      </c>
      <c r="H38" s="10">
        <v>174</v>
      </c>
      <c r="I38" s="4">
        <v>27.744748315497425</v>
      </c>
      <c r="J38" s="10" t="s">
        <v>126</v>
      </c>
      <c r="K38" s="10">
        <v>5</v>
      </c>
      <c r="L38" s="10">
        <v>110</v>
      </c>
      <c r="M38" s="10">
        <v>5</v>
      </c>
      <c r="N38" s="10">
        <v>2</v>
      </c>
      <c r="O38" s="10">
        <v>105</v>
      </c>
    </row>
    <row r="39" spans="1:15" x14ac:dyDescent="0.25">
      <c r="A39" s="7">
        <v>38</v>
      </c>
      <c r="B39" s="8" t="s">
        <v>71</v>
      </c>
      <c r="C39" s="9" t="s">
        <v>116</v>
      </c>
      <c r="D39" s="1">
        <v>64</v>
      </c>
      <c r="E39" s="10">
        <v>71</v>
      </c>
      <c r="F39" s="10" t="s">
        <v>124</v>
      </c>
      <c r="G39" s="10">
        <v>60</v>
      </c>
      <c r="H39" s="10">
        <v>160</v>
      </c>
      <c r="I39" s="4">
        <v>23.4375</v>
      </c>
      <c r="J39" s="10" t="s">
        <v>126</v>
      </c>
      <c r="K39" s="10">
        <v>5</v>
      </c>
      <c r="L39" s="10">
        <v>100</v>
      </c>
      <c r="M39" s="10">
        <v>5</v>
      </c>
      <c r="N39" s="10">
        <v>2</v>
      </c>
      <c r="O39" s="10">
        <v>75</v>
      </c>
    </row>
    <row r="40" spans="1:15" x14ac:dyDescent="0.25">
      <c r="A40" s="7">
        <v>39</v>
      </c>
      <c r="B40" s="8" t="s">
        <v>72</v>
      </c>
      <c r="C40" s="9" t="s">
        <v>117</v>
      </c>
      <c r="D40" s="1">
        <v>76</v>
      </c>
      <c r="E40" s="10">
        <v>62</v>
      </c>
      <c r="F40" s="10" t="s">
        <v>125</v>
      </c>
      <c r="G40" s="10">
        <v>47</v>
      </c>
      <c r="H40" s="10">
        <v>154</v>
      </c>
      <c r="I40" s="4">
        <v>19.817844493169169</v>
      </c>
      <c r="J40" s="10" t="s">
        <v>126</v>
      </c>
      <c r="K40" s="10">
        <v>5</v>
      </c>
      <c r="L40" s="10">
        <v>90</v>
      </c>
      <c r="M40" s="10">
        <v>5</v>
      </c>
      <c r="N40" s="10">
        <v>2</v>
      </c>
      <c r="O40" s="10">
        <v>110</v>
      </c>
    </row>
    <row r="41" spans="1:15" x14ac:dyDescent="0.25">
      <c r="A41" s="7">
        <v>40</v>
      </c>
      <c r="B41" s="8" t="s">
        <v>73</v>
      </c>
      <c r="C41" s="9" t="s">
        <v>118</v>
      </c>
      <c r="D41" s="1">
        <v>55</v>
      </c>
      <c r="E41" s="10">
        <v>66</v>
      </c>
      <c r="F41" s="10" t="s">
        <v>125</v>
      </c>
      <c r="G41" s="10">
        <v>47</v>
      </c>
      <c r="H41" s="10">
        <v>154</v>
      </c>
      <c r="I41" s="4">
        <v>19.817844493169169</v>
      </c>
      <c r="J41" s="10" t="s">
        <v>126</v>
      </c>
      <c r="K41" s="10">
        <v>4</v>
      </c>
      <c r="L41" s="10">
        <v>90</v>
      </c>
      <c r="M41" s="10">
        <v>5</v>
      </c>
      <c r="N41" s="10">
        <v>2</v>
      </c>
      <c r="O41" s="10">
        <v>120</v>
      </c>
    </row>
    <row r="42" spans="1:15" x14ac:dyDescent="0.25">
      <c r="A42" s="7">
        <v>41</v>
      </c>
      <c r="B42" s="8" t="s">
        <v>74</v>
      </c>
      <c r="C42" s="9" t="s">
        <v>119</v>
      </c>
      <c r="D42" s="1">
        <v>55</v>
      </c>
      <c r="E42" s="10">
        <v>66</v>
      </c>
      <c r="F42" s="10" t="s">
        <v>125</v>
      </c>
      <c r="G42" s="10">
        <v>55</v>
      </c>
      <c r="H42" s="10">
        <v>150</v>
      </c>
      <c r="I42" s="4">
        <v>24.444444444444443</v>
      </c>
      <c r="J42" s="10" t="s">
        <v>126</v>
      </c>
      <c r="K42" s="10">
        <v>6</v>
      </c>
      <c r="L42" s="10">
        <v>100</v>
      </c>
      <c r="M42" s="10">
        <v>5</v>
      </c>
      <c r="N42" s="10">
        <v>2</v>
      </c>
      <c r="O42" s="10">
        <v>105</v>
      </c>
    </row>
    <row r="43" spans="1:15" x14ac:dyDescent="0.25">
      <c r="A43" s="7">
        <v>42</v>
      </c>
      <c r="B43" s="8" t="s">
        <v>75</v>
      </c>
      <c r="C43" s="9" t="s">
        <v>120</v>
      </c>
      <c r="D43" s="1">
        <v>57</v>
      </c>
      <c r="E43" s="10">
        <v>72</v>
      </c>
      <c r="F43" s="10" t="s">
        <v>125</v>
      </c>
      <c r="G43" s="10">
        <v>76</v>
      </c>
      <c r="H43" s="10">
        <v>160</v>
      </c>
      <c r="I43" s="4">
        <v>29.6875</v>
      </c>
      <c r="J43" s="10" t="s">
        <v>127</v>
      </c>
      <c r="K43" s="10">
        <v>5</v>
      </c>
      <c r="L43" s="10">
        <v>90</v>
      </c>
      <c r="M43" s="10">
        <v>5</v>
      </c>
      <c r="N43" s="10">
        <v>2</v>
      </c>
      <c r="O43" s="10">
        <v>65</v>
      </c>
    </row>
    <row r="44" spans="1:15" x14ac:dyDescent="0.25">
      <c r="A44" s="7">
        <v>43</v>
      </c>
      <c r="B44" s="8" t="s">
        <v>76</v>
      </c>
      <c r="C44" s="9" t="s">
        <v>121</v>
      </c>
      <c r="D44" s="1">
        <v>36</v>
      </c>
      <c r="E44" s="10">
        <v>66</v>
      </c>
      <c r="F44" s="10" t="s">
        <v>125</v>
      </c>
      <c r="G44" s="10">
        <v>66</v>
      </c>
      <c r="H44" s="10">
        <v>162</v>
      </c>
      <c r="I44" s="4">
        <v>25.148605395518974</v>
      </c>
      <c r="J44" s="10" t="s">
        <v>127</v>
      </c>
      <c r="K44" s="10">
        <v>6</v>
      </c>
      <c r="L44" s="10">
        <v>90</v>
      </c>
      <c r="M44" s="10">
        <v>5</v>
      </c>
      <c r="N44" s="10">
        <v>2</v>
      </c>
      <c r="O44" s="10">
        <v>115</v>
      </c>
    </row>
    <row r="45" spans="1:15" x14ac:dyDescent="0.25">
      <c r="A45" s="7">
        <v>44</v>
      </c>
      <c r="B45" s="8" t="s">
        <v>77</v>
      </c>
      <c r="C45" s="9" t="s">
        <v>122</v>
      </c>
      <c r="D45" s="1">
        <v>63</v>
      </c>
      <c r="E45" s="10">
        <v>57</v>
      </c>
      <c r="F45" s="10" t="s">
        <v>125</v>
      </c>
      <c r="G45" s="10">
        <v>75</v>
      </c>
      <c r="H45" s="10">
        <v>160</v>
      </c>
      <c r="I45" s="4">
        <v>29.296875</v>
      </c>
      <c r="J45" s="10" t="s">
        <v>126</v>
      </c>
      <c r="K45" s="10">
        <v>5</v>
      </c>
      <c r="L45" s="10">
        <v>90</v>
      </c>
      <c r="M45" s="10">
        <v>5</v>
      </c>
      <c r="N45" s="10">
        <v>2</v>
      </c>
      <c r="O45" s="10">
        <v>80</v>
      </c>
    </row>
    <row r="46" spans="1:15" x14ac:dyDescent="0.25">
      <c r="A46" s="7">
        <v>45</v>
      </c>
      <c r="B46" s="8" t="s">
        <v>78</v>
      </c>
      <c r="C46" s="9" t="s">
        <v>123</v>
      </c>
      <c r="D46" s="1">
        <v>63</v>
      </c>
      <c r="E46" s="10">
        <v>57</v>
      </c>
      <c r="F46" s="10" t="s">
        <v>125</v>
      </c>
      <c r="G46" s="10">
        <v>75</v>
      </c>
      <c r="H46" s="10">
        <v>160</v>
      </c>
      <c r="I46" s="4">
        <v>29.296875</v>
      </c>
      <c r="J46" s="10" t="s">
        <v>126</v>
      </c>
      <c r="K46" s="10">
        <v>5</v>
      </c>
      <c r="L46" s="10">
        <v>90</v>
      </c>
      <c r="M46" s="10">
        <v>5</v>
      </c>
      <c r="N46" s="10">
        <v>2</v>
      </c>
      <c r="O46" s="10">
        <v>130</v>
      </c>
    </row>
  </sheetData>
  <phoneticPr fontId="1" type="noConversion"/>
  <conditionalFormatting sqref="B2:B46">
    <cfRule type="duplicateValues" dxfId="7" priority="4"/>
  </conditionalFormatting>
  <conditionalFormatting sqref="C2:C35 C37:C4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A891-AC04-4DE3-8013-B3492497BB11}">
  <dimension ref="A1:L47"/>
  <sheetViews>
    <sheetView tabSelected="1" workbookViewId="0">
      <selection activeCell="O15" sqref="O15"/>
    </sheetView>
  </sheetViews>
  <sheetFormatPr defaultRowHeight="13.8" x14ac:dyDescent="0.25"/>
  <cols>
    <col min="2" max="2" width="15.21875" customWidth="1"/>
  </cols>
  <sheetData>
    <row r="1" spans="1:12" x14ac:dyDescent="0.25">
      <c r="C1" s="12" t="s">
        <v>14</v>
      </c>
      <c r="D1" s="12"/>
      <c r="I1" s="3" t="s">
        <v>15</v>
      </c>
    </row>
    <row r="2" spans="1:12" x14ac:dyDescent="0.25">
      <c r="A2" s="1" t="s">
        <v>0</v>
      </c>
      <c r="B2" s="1" t="s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s="7">
        <v>1</v>
      </c>
      <c r="B3" s="8" t="s">
        <v>34</v>
      </c>
      <c r="C3" s="10">
        <v>3</v>
      </c>
      <c r="D3" s="10">
        <v>3</v>
      </c>
      <c r="E3" s="10">
        <v>3</v>
      </c>
      <c r="F3" s="10">
        <v>3</v>
      </c>
      <c r="G3" s="10">
        <v>2</v>
      </c>
      <c r="H3" s="10">
        <f>G3-1</f>
        <v>1</v>
      </c>
      <c r="I3" s="10">
        <v>7</v>
      </c>
      <c r="J3" s="10">
        <v>7</v>
      </c>
      <c r="K3" s="10">
        <v>6</v>
      </c>
      <c r="L3" s="10">
        <f>K3-1</f>
        <v>5</v>
      </c>
    </row>
    <row r="4" spans="1:12" x14ac:dyDescent="0.25">
      <c r="A4" s="7">
        <v>2</v>
      </c>
      <c r="B4" s="8" t="s">
        <v>35</v>
      </c>
      <c r="C4" s="10">
        <v>4</v>
      </c>
      <c r="D4" s="10">
        <v>4</v>
      </c>
      <c r="E4" s="10">
        <v>4</v>
      </c>
      <c r="F4" s="10">
        <v>5</v>
      </c>
      <c r="G4" s="10">
        <v>4</v>
      </c>
      <c r="H4" s="10">
        <f t="shared" ref="H4:H47" si="0">G4-1</f>
        <v>3</v>
      </c>
      <c r="I4" s="10">
        <v>7</v>
      </c>
      <c r="J4" s="10">
        <v>8</v>
      </c>
      <c r="K4" s="10">
        <v>7</v>
      </c>
      <c r="L4" s="10">
        <f t="shared" ref="L4:L44" si="1">K4-1</f>
        <v>6</v>
      </c>
    </row>
    <row r="5" spans="1:12" x14ac:dyDescent="0.25">
      <c r="A5" s="7">
        <v>3</v>
      </c>
      <c r="B5" s="8" t="s">
        <v>36</v>
      </c>
      <c r="C5" s="10">
        <v>4</v>
      </c>
      <c r="D5" s="10">
        <v>4</v>
      </c>
      <c r="E5" s="10">
        <v>4</v>
      </c>
      <c r="F5" s="10">
        <v>4</v>
      </c>
      <c r="G5" s="10">
        <v>3</v>
      </c>
      <c r="H5" s="10">
        <f t="shared" si="0"/>
        <v>2</v>
      </c>
      <c r="I5" s="10">
        <v>5</v>
      </c>
      <c r="J5" s="10">
        <v>5</v>
      </c>
      <c r="K5" s="10">
        <v>4</v>
      </c>
      <c r="L5" s="10">
        <f t="shared" si="1"/>
        <v>3</v>
      </c>
    </row>
    <row r="6" spans="1:12" x14ac:dyDescent="0.25">
      <c r="A6" s="7">
        <v>4</v>
      </c>
      <c r="B6" s="8" t="s">
        <v>37</v>
      </c>
      <c r="C6" s="10">
        <v>4</v>
      </c>
      <c r="D6" s="10">
        <v>4</v>
      </c>
      <c r="E6" s="10">
        <v>5</v>
      </c>
      <c r="F6" s="10">
        <v>4</v>
      </c>
      <c r="G6" s="10">
        <v>4</v>
      </c>
      <c r="H6" s="10">
        <f t="shared" si="0"/>
        <v>3</v>
      </c>
      <c r="I6" s="10">
        <v>7</v>
      </c>
      <c r="J6" s="10">
        <v>7</v>
      </c>
      <c r="K6" s="10">
        <v>6</v>
      </c>
      <c r="L6" s="10">
        <f t="shared" si="1"/>
        <v>5</v>
      </c>
    </row>
    <row r="7" spans="1:12" x14ac:dyDescent="0.25">
      <c r="A7" s="7">
        <v>5</v>
      </c>
      <c r="B7" s="8" t="s">
        <v>38</v>
      </c>
      <c r="C7" s="10">
        <v>4</v>
      </c>
      <c r="D7" s="10">
        <v>4</v>
      </c>
      <c r="E7" s="10">
        <v>3</v>
      </c>
      <c r="F7" s="10">
        <v>3</v>
      </c>
      <c r="G7" s="10">
        <v>2</v>
      </c>
      <c r="H7" s="10">
        <f t="shared" si="0"/>
        <v>1</v>
      </c>
      <c r="I7" s="10">
        <v>7</v>
      </c>
      <c r="J7" s="10">
        <v>6</v>
      </c>
      <c r="K7" s="10">
        <v>5</v>
      </c>
      <c r="L7" s="10">
        <v>2</v>
      </c>
    </row>
    <row r="8" spans="1:12" x14ac:dyDescent="0.25">
      <c r="A8" s="7">
        <v>6</v>
      </c>
      <c r="B8" s="8" t="s">
        <v>39</v>
      </c>
      <c r="C8" s="10">
        <v>4</v>
      </c>
      <c r="D8" s="10">
        <v>5</v>
      </c>
      <c r="E8" s="10">
        <v>5</v>
      </c>
      <c r="F8" s="10">
        <v>4</v>
      </c>
      <c r="G8" s="10">
        <v>3</v>
      </c>
      <c r="H8" s="10">
        <f t="shared" si="0"/>
        <v>2</v>
      </c>
      <c r="I8" s="10">
        <v>8</v>
      </c>
      <c r="J8" s="10">
        <v>7</v>
      </c>
      <c r="K8" s="10">
        <v>7</v>
      </c>
      <c r="L8" s="10">
        <f t="shared" si="1"/>
        <v>6</v>
      </c>
    </row>
    <row r="9" spans="1:12" x14ac:dyDescent="0.25">
      <c r="A9" s="7">
        <v>7</v>
      </c>
      <c r="B9" s="8" t="s">
        <v>40</v>
      </c>
      <c r="C9" s="10">
        <v>3</v>
      </c>
      <c r="D9" s="10">
        <v>3</v>
      </c>
      <c r="E9" s="10">
        <v>3</v>
      </c>
      <c r="F9" s="10">
        <v>4</v>
      </c>
      <c r="G9" s="10">
        <v>3</v>
      </c>
      <c r="H9" s="10">
        <f t="shared" si="0"/>
        <v>2</v>
      </c>
      <c r="I9" s="10">
        <v>6</v>
      </c>
      <c r="J9" s="10">
        <v>7</v>
      </c>
      <c r="K9" s="10">
        <v>6</v>
      </c>
      <c r="L9" s="10">
        <v>3</v>
      </c>
    </row>
    <row r="10" spans="1:12" x14ac:dyDescent="0.25">
      <c r="A10" s="7">
        <v>8</v>
      </c>
      <c r="B10" s="8" t="s">
        <v>41</v>
      </c>
      <c r="C10" s="10">
        <v>5</v>
      </c>
      <c r="D10" s="10">
        <v>5</v>
      </c>
      <c r="E10" s="10">
        <v>6</v>
      </c>
      <c r="F10" s="10">
        <v>5</v>
      </c>
      <c r="G10" s="10">
        <v>4</v>
      </c>
      <c r="H10" s="10">
        <f t="shared" si="0"/>
        <v>3</v>
      </c>
      <c r="I10" s="10">
        <v>8</v>
      </c>
      <c r="J10" s="10">
        <v>7</v>
      </c>
      <c r="K10" s="10">
        <v>6</v>
      </c>
      <c r="L10" s="10">
        <v>3</v>
      </c>
    </row>
    <row r="11" spans="1:12" x14ac:dyDescent="0.25">
      <c r="A11" s="7">
        <v>9</v>
      </c>
      <c r="B11" s="8" t="s">
        <v>42</v>
      </c>
      <c r="C11" s="10">
        <v>4</v>
      </c>
      <c r="D11" s="10">
        <v>4</v>
      </c>
      <c r="E11" s="10">
        <v>5</v>
      </c>
      <c r="F11" s="10">
        <v>5</v>
      </c>
      <c r="G11" s="10">
        <v>4</v>
      </c>
      <c r="H11" s="10">
        <f t="shared" si="0"/>
        <v>3</v>
      </c>
      <c r="I11" s="10">
        <v>8</v>
      </c>
      <c r="J11" s="10">
        <v>8</v>
      </c>
      <c r="K11" s="10">
        <v>6</v>
      </c>
      <c r="L11" s="10">
        <v>3</v>
      </c>
    </row>
    <row r="12" spans="1:12" x14ac:dyDescent="0.25">
      <c r="A12" s="7">
        <v>10</v>
      </c>
      <c r="B12" s="8" t="s">
        <v>43</v>
      </c>
      <c r="C12" s="10">
        <v>3</v>
      </c>
      <c r="D12" s="10">
        <v>3</v>
      </c>
      <c r="E12" s="10">
        <v>3</v>
      </c>
      <c r="F12" s="10">
        <v>4</v>
      </c>
      <c r="G12" s="10">
        <v>3</v>
      </c>
      <c r="H12" s="10">
        <f t="shared" si="0"/>
        <v>2</v>
      </c>
      <c r="I12" s="10">
        <v>6</v>
      </c>
      <c r="J12" s="10">
        <v>7</v>
      </c>
      <c r="K12" s="10">
        <v>6</v>
      </c>
      <c r="L12" s="10">
        <v>3</v>
      </c>
    </row>
    <row r="13" spans="1:12" x14ac:dyDescent="0.25">
      <c r="A13" s="7">
        <v>11</v>
      </c>
      <c r="B13" s="8" t="s">
        <v>44</v>
      </c>
      <c r="C13" s="10">
        <v>3</v>
      </c>
      <c r="D13" s="10">
        <v>4</v>
      </c>
      <c r="E13" s="10">
        <v>5</v>
      </c>
      <c r="F13" s="10">
        <v>4</v>
      </c>
      <c r="G13" s="10">
        <v>3</v>
      </c>
      <c r="H13" s="10">
        <f t="shared" si="0"/>
        <v>2</v>
      </c>
      <c r="I13" s="10">
        <v>7</v>
      </c>
      <c r="J13" s="10">
        <v>6</v>
      </c>
      <c r="K13" s="10">
        <v>5</v>
      </c>
      <c r="L13" s="10">
        <f t="shared" si="1"/>
        <v>4</v>
      </c>
    </row>
    <row r="14" spans="1:12" x14ac:dyDescent="0.25">
      <c r="A14" s="7">
        <v>12</v>
      </c>
      <c r="B14" s="8" t="s">
        <v>45</v>
      </c>
      <c r="C14" s="10">
        <v>4</v>
      </c>
      <c r="D14" s="10">
        <v>5</v>
      </c>
      <c r="E14" s="10">
        <v>4</v>
      </c>
      <c r="F14" s="10">
        <v>4</v>
      </c>
      <c r="G14" s="10">
        <v>2</v>
      </c>
      <c r="H14" s="10">
        <f t="shared" si="0"/>
        <v>1</v>
      </c>
      <c r="I14" s="10">
        <v>8</v>
      </c>
      <c r="J14" s="10">
        <v>7</v>
      </c>
      <c r="K14" s="10">
        <v>6</v>
      </c>
      <c r="L14" s="10">
        <f t="shared" si="1"/>
        <v>5</v>
      </c>
    </row>
    <row r="15" spans="1:12" x14ac:dyDescent="0.25">
      <c r="A15" s="7">
        <v>13</v>
      </c>
      <c r="B15" s="8" t="s">
        <v>46</v>
      </c>
      <c r="C15" s="10">
        <v>5</v>
      </c>
      <c r="D15" s="10">
        <v>5</v>
      </c>
      <c r="E15" s="10">
        <v>5</v>
      </c>
      <c r="F15" s="10">
        <v>5</v>
      </c>
      <c r="G15" s="10">
        <v>3</v>
      </c>
      <c r="H15" s="10">
        <f t="shared" si="0"/>
        <v>2</v>
      </c>
      <c r="I15" s="10">
        <v>7</v>
      </c>
      <c r="J15" s="10">
        <v>8</v>
      </c>
      <c r="K15" s="10">
        <v>6</v>
      </c>
      <c r="L15" s="10">
        <f t="shared" si="1"/>
        <v>5</v>
      </c>
    </row>
    <row r="16" spans="1:12" x14ac:dyDescent="0.25">
      <c r="A16" s="7">
        <v>14</v>
      </c>
      <c r="B16" s="8" t="s">
        <v>47</v>
      </c>
      <c r="C16" s="10">
        <v>5</v>
      </c>
      <c r="D16" s="10">
        <v>5</v>
      </c>
      <c r="E16" s="10">
        <v>5</v>
      </c>
      <c r="F16" s="10">
        <v>5</v>
      </c>
      <c r="G16" s="10">
        <v>3</v>
      </c>
      <c r="H16" s="10">
        <f t="shared" si="0"/>
        <v>2</v>
      </c>
      <c r="I16" s="10">
        <v>7</v>
      </c>
      <c r="J16" s="10">
        <v>8</v>
      </c>
      <c r="K16" s="10">
        <v>6</v>
      </c>
      <c r="L16" s="10">
        <f t="shared" si="1"/>
        <v>5</v>
      </c>
    </row>
    <row r="17" spans="1:12" x14ac:dyDescent="0.25">
      <c r="A17" s="7">
        <v>15</v>
      </c>
      <c r="B17" s="8" t="s">
        <v>48</v>
      </c>
      <c r="C17" s="10">
        <v>3</v>
      </c>
      <c r="D17" s="10">
        <v>3</v>
      </c>
      <c r="E17" s="10">
        <v>3</v>
      </c>
      <c r="F17" s="10">
        <v>3</v>
      </c>
      <c r="G17" s="10">
        <v>2</v>
      </c>
      <c r="H17" s="10">
        <f t="shared" si="0"/>
        <v>1</v>
      </c>
      <c r="I17" s="10">
        <v>5</v>
      </c>
      <c r="J17" s="10">
        <v>5</v>
      </c>
      <c r="K17" s="10">
        <v>3</v>
      </c>
      <c r="L17" s="10">
        <f t="shared" si="1"/>
        <v>2</v>
      </c>
    </row>
    <row r="18" spans="1:12" x14ac:dyDescent="0.25">
      <c r="A18" s="7">
        <v>16</v>
      </c>
      <c r="B18" s="8" t="s">
        <v>49</v>
      </c>
      <c r="C18" s="10">
        <v>3</v>
      </c>
      <c r="D18" s="10">
        <v>4</v>
      </c>
      <c r="E18" s="10">
        <v>5</v>
      </c>
      <c r="F18" s="10">
        <v>5</v>
      </c>
      <c r="G18" s="10">
        <v>4</v>
      </c>
      <c r="H18" s="10">
        <f t="shared" si="0"/>
        <v>3</v>
      </c>
      <c r="I18" s="10">
        <v>6</v>
      </c>
      <c r="J18" s="10">
        <v>7</v>
      </c>
      <c r="K18" s="10">
        <v>5</v>
      </c>
      <c r="L18" s="10">
        <f t="shared" si="1"/>
        <v>4</v>
      </c>
    </row>
    <row r="19" spans="1:12" x14ac:dyDescent="0.25">
      <c r="A19" s="7">
        <v>17</v>
      </c>
      <c r="B19" s="8" t="s">
        <v>50</v>
      </c>
      <c r="C19" s="10">
        <v>5</v>
      </c>
      <c r="D19" s="10">
        <v>5</v>
      </c>
      <c r="E19" s="10">
        <v>4</v>
      </c>
      <c r="F19" s="10">
        <v>3</v>
      </c>
      <c r="G19" s="10">
        <v>1</v>
      </c>
      <c r="H19" s="10">
        <v>1</v>
      </c>
      <c r="I19" s="10">
        <v>6</v>
      </c>
      <c r="J19" s="10">
        <v>4</v>
      </c>
      <c r="K19" s="10">
        <v>2</v>
      </c>
      <c r="L19" s="10">
        <v>2</v>
      </c>
    </row>
    <row r="20" spans="1:12" x14ac:dyDescent="0.25">
      <c r="A20" s="7">
        <v>18</v>
      </c>
      <c r="B20" s="8" t="s">
        <v>51</v>
      </c>
      <c r="C20" s="10">
        <v>5</v>
      </c>
      <c r="D20" s="10">
        <v>4</v>
      </c>
      <c r="E20" s="10">
        <v>4</v>
      </c>
      <c r="F20" s="10">
        <v>3</v>
      </c>
      <c r="G20" s="10">
        <v>1</v>
      </c>
      <c r="H20" s="10">
        <v>1</v>
      </c>
      <c r="I20" s="10">
        <v>5</v>
      </c>
      <c r="J20" s="10">
        <v>5</v>
      </c>
      <c r="K20" s="10">
        <v>2</v>
      </c>
      <c r="L20" s="10">
        <v>2</v>
      </c>
    </row>
    <row r="21" spans="1:12" x14ac:dyDescent="0.25">
      <c r="A21" s="7">
        <v>19</v>
      </c>
      <c r="B21" s="8" t="s">
        <v>52</v>
      </c>
      <c r="C21" s="10">
        <v>7</v>
      </c>
      <c r="D21" s="10">
        <v>5</v>
      </c>
      <c r="E21" s="10">
        <v>6</v>
      </c>
      <c r="F21" s="10">
        <v>5</v>
      </c>
      <c r="G21" s="10">
        <v>2</v>
      </c>
      <c r="H21" s="10">
        <f t="shared" si="0"/>
        <v>1</v>
      </c>
      <c r="I21" s="10">
        <v>7</v>
      </c>
      <c r="J21" s="10">
        <v>6</v>
      </c>
      <c r="K21" s="10">
        <v>3</v>
      </c>
      <c r="L21" s="10">
        <v>2</v>
      </c>
    </row>
    <row r="22" spans="1:12" x14ac:dyDescent="0.25">
      <c r="A22" s="7">
        <v>20</v>
      </c>
      <c r="B22" s="8" t="s">
        <v>53</v>
      </c>
      <c r="C22" s="10">
        <v>3</v>
      </c>
      <c r="D22" s="10">
        <v>3</v>
      </c>
      <c r="E22" s="10">
        <v>3</v>
      </c>
      <c r="F22" s="10">
        <v>4</v>
      </c>
      <c r="G22" s="10">
        <v>2</v>
      </c>
      <c r="H22" s="10">
        <f t="shared" si="0"/>
        <v>1</v>
      </c>
      <c r="I22" s="10">
        <v>6</v>
      </c>
      <c r="J22" s="10">
        <v>7</v>
      </c>
      <c r="K22" s="10">
        <v>5</v>
      </c>
      <c r="L22" s="10">
        <f t="shared" si="1"/>
        <v>4</v>
      </c>
    </row>
    <row r="23" spans="1:12" x14ac:dyDescent="0.25">
      <c r="A23" s="7">
        <v>21</v>
      </c>
      <c r="B23" s="8" t="s">
        <v>54</v>
      </c>
      <c r="C23" s="10">
        <v>5</v>
      </c>
      <c r="D23" s="10">
        <v>5</v>
      </c>
      <c r="E23" s="10">
        <v>5</v>
      </c>
      <c r="F23" s="10">
        <v>4</v>
      </c>
      <c r="G23" s="10">
        <v>2</v>
      </c>
      <c r="H23" s="10">
        <f t="shared" si="0"/>
        <v>1</v>
      </c>
      <c r="I23" s="10">
        <v>7</v>
      </c>
      <c r="J23" s="10">
        <v>6</v>
      </c>
      <c r="K23" s="10">
        <v>4</v>
      </c>
      <c r="L23" s="10">
        <f t="shared" si="1"/>
        <v>3</v>
      </c>
    </row>
    <row r="24" spans="1:12" x14ac:dyDescent="0.25">
      <c r="A24" s="7">
        <v>22</v>
      </c>
      <c r="B24" s="8" t="s">
        <v>55</v>
      </c>
      <c r="C24" s="10">
        <v>4</v>
      </c>
      <c r="D24" s="10">
        <v>6</v>
      </c>
      <c r="E24" s="10">
        <v>5</v>
      </c>
      <c r="F24" s="10">
        <v>5</v>
      </c>
      <c r="G24" s="10">
        <v>2</v>
      </c>
      <c r="H24" s="10">
        <f t="shared" si="0"/>
        <v>1</v>
      </c>
      <c r="I24" s="10">
        <v>6</v>
      </c>
      <c r="J24" s="10">
        <v>5</v>
      </c>
      <c r="K24" s="10">
        <v>2</v>
      </c>
      <c r="L24" s="10">
        <v>2</v>
      </c>
    </row>
    <row r="25" spans="1:12" x14ac:dyDescent="0.25">
      <c r="A25" s="7">
        <v>23</v>
      </c>
      <c r="B25" s="8" t="s">
        <v>56</v>
      </c>
      <c r="C25" s="10">
        <v>4</v>
      </c>
      <c r="D25" s="10">
        <v>4</v>
      </c>
      <c r="E25" s="10">
        <v>4</v>
      </c>
      <c r="F25" s="10">
        <v>4</v>
      </c>
      <c r="G25" s="10">
        <v>3</v>
      </c>
      <c r="H25" s="10">
        <f t="shared" si="0"/>
        <v>2</v>
      </c>
      <c r="I25" s="10">
        <v>6</v>
      </c>
      <c r="J25" s="10">
        <v>6</v>
      </c>
      <c r="K25" s="10">
        <v>5</v>
      </c>
      <c r="L25" s="10">
        <f t="shared" si="1"/>
        <v>4</v>
      </c>
    </row>
    <row r="26" spans="1:12" x14ac:dyDescent="0.25">
      <c r="A26" s="7">
        <v>24</v>
      </c>
      <c r="B26" s="8" t="s">
        <v>57</v>
      </c>
      <c r="C26" s="10">
        <v>1</v>
      </c>
      <c r="D26" s="10">
        <v>1</v>
      </c>
      <c r="E26" s="10">
        <v>2</v>
      </c>
      <c r="F26" s="10">
        <v>1</v>
      </c>
      <c r="G26" s="10">
        <v>3</v>
      </c>
      <c r="H26" s="10">
        <f t="shared" si="0"/>
        <v>2</v>
      </c>
      <c r="I26" s="10">
        <v>3</v>
      </c>
      <c r="J26" s="10">
        <v>2</v>
      </c>
      <c r="K26" s="10">
        <v>4</v>
      </c>
      <c r="L26" s="10">
        <f t="shared" si="1"/>
        <v>3</v>
      </c>
    </row>
    <row r="27" spans="1:12" x14ac:dyDescent="0.25">
      <c r="A27" s="7">
        <v>25</v>
      </c>
      <c r="B27" s="8" t="s">
        <v>58</v>
      </c>
      <c r="C27" s="10">
        <v>3</v>
      </c>
      <c r="D27" s="10">
        <v>3</v>
      </c>
      <c r="E27" s="10">
        <v>3</v>
      </c>
      <c r="F27" s="10">
        <v>3</v>
      </c>
      <c r="G27" s="10">
        <v>1</v>
      </c>
      <c r="H27" s="10">
        <v>1</v>
      </c>
      <c r="I27" s="10">
        <v>4</v>
      </c>
      <c r="J27" s="10">
        <v>4</v>
      </c>
      <c r="K27" s="10">
        <v>2</v>
      </c>
      <c r="L27" s="10">
        <v>2</v>
      </c>
    </row>
    <row r="28" spans="1:12" x14ac:dyDescent="0.25">
      <c r="A28" s="7">
        <v>26</v>
      </c>
      <c r="B28" s="8" t="s">
        <v>59</v>
      </c>
      <c r="C28" s="10">
        <v>3</v>
      </c>
      <c r="D28" s="10">
        <v>4</v>
      </c>
      <c r="E28" s="10">
        <v>5</v>
      </c>
      <c r="F28" s="10">
        <v>5</v>
      </c>
      <c r="G28" s="10">
        <v>3</v>
      </c>
      <c r="H28" s="10">
        <f t="shared" si="0"/>
        <v>2</v>
      </c>
      <c r="I28" s="10">
        <v>6</v>
      </c>
      <c r="J28" s="10">
        <v>6</v>
      </c>
      <c r="K28" s="10">
        <v>4</v>
      </c>
      <c r="L28" s="10">
        <f t="shared" si="1"/>
        <v>3</v>
      </c>
    </row>
    <row r="29" spans="1:12" x14ac:dyDescent="0.25">
      <c r="A29" s="7">
        <v>27</v>
      </c>
      <c r="B29" s="8" t="s">
        <v>60</v>
      </c>
      <c r="C29" s="10">
        <v>2</v>
      </c>
      <c r="D29" s="10">
        <v>3</v>
      </c>
      <c r="E29" s="10">
        <v>3</v>
      </c>
      <c r="F29" s="10">
        <v>4</v>
      </c>
      <c r="G29" s="10">
        <v>3</v>
      </c>
      <c r="H29" s="10">
        <f t="shared" si="0"/>
        <v>2</v>
      </c>
      <c r="I29" s="10">
        <v>3</v>
      </c>
      <c r="J29" s="10">
        <v>4</v>
      </c>
      <c r="K29" s="10">
        <v>3</v>
      </c>
      <c r="L29" s="10">
        <v>2</v>
      </c>
    </row>
    <row r="30" spans="1:12" x14ac:dyDescent="0.25">
      <c r="A30" s="7">
        <v>28</v>
      </c>
      <c r="B30" s="8" t="s">
        <v>61</v>
      </c>
      <c r="C30" s="10">
        <v>2</v>
      </c>
      <c r="D30" s="10">
        <v>3</v>
      </c>
      <c r="E30" s="10">
        <v>4</v>
      </c>
      <c r="F30" s="10">
        <v>5</v>
      </c>
      <c r="G30" s="10">
        <v>3</v>
      </c>
      <c r="H30" s="10">
        <f t="shared" si="0"/>
        <v>2</v>
      </c>
      <c r="I30" s="10">
        <v>5</v>
      </c>
      <c r="J30" s="10">
        <v>6</v>
      </c>
      <c r="K30" s="10">
        <v>3</v>
      </c>
      <c r="L30" s="10">
        <v>2</v>
      </c>
    </row>
    <row r="31" spans="1:12" x14ac:dyDescent="0.25">
      <c r="A31" s="7">
        <v>29</v>
      </c>
      <c r="B31" s="8" t="s">
        <v>62</v>
      </c>
      <c r="C31" s="10">
        <v>3</v>
      </c>
      <c r="D31" s="10">
        <v>4</v>
      </c>
      <c r="E31" s="10">
        <v>5</v>
      </c>
      <c r="F31" s="10">
        <v>6</v>
      </c>
      <c r="G31" s="10">
        <v>4</v>
      </c>
      <c r="H31" s="10">
        <f t="shared" si="0"/>
        <v>3</v>
      </c>
      <c r="I31" s="10">
        <v>6</v>
      </c>
      <c r="J31" s="10">
        <v>7</v>
      </c>
      <c r="K31" s="10">
        <v>4</v>
      </c>
      <c r="L31" s="10">
        <f t="shared" si="1"/>
        <v>3</v>
      </c>
    </row>
    <row r="32" spans="1:12" x14ac:dyDescent="0.25">
      <c r="A32" s="7">
        <v>30</v>
      </c>
      <c r="B32" s="8" t="s">
        <v>63</v>
      </c>
      <c r="C32" s="10">
        <v>2</v>
      </c>
      <c r="D32" s="10">
        <v>4</v>
      </c>
      <c r="E32" s="10">
        <v>5</v>
      </c>
      <c r="F32" s="10">
        <v>5</v>
      </c>
      <c r="G32" s="10">
        <v>5</v>
      </c>
      <c r="H32" s="10">
        <f t="shared" si="0"/>
        <v>4</v>
      </c>
      <c r="I32" s="10">
        <v>5</v>
      </c>
      <c r="J32" s="10">
        <v>6</v>
      </c>
      <c r="K32" s="10">
        <v>6</v>
      </c>
      <c r="L32" s="10">
        <v>3</v>
      </c>
    </row>
    <row r="33" spans="1:12" x14ac:dyDescent="0.25">
      <c r="A33" s="7">
        <v>31</v>
      </c>
      <c r="B33" s="8" t="s">
        <v>64</v>
      </c>
      <c r="C33" s="10">
        <v>2</v>
      </c>
      <c r="D33" s="10">
        <v>4</v>
      </c>
      <c r="E33" s="10">
        <v>4</v>
      </c>
      <c r="F33" s="10">
        <v>4</v>
      </c>
      <c r="G33" s="10">
        <v>3</v>
      </c>
      <c r="H33" s="10">
        <f t="shared" si="0"/>
        <v>2</v>
      </c>
      <c r="I33" s="10">
        <v>5</v>
      </c>
      <c r="J33" s="10">
        <v>5</v>
      </c>
      <c r="K33" s="10">
        <v>4</v>
      </c>
      <c r="L33" s="10">
        <f t="shared" si="1"/>
        <v>3</v>
      </c>
    </row>
    <row r="34" spans="1:12" x14ac:dyDescent="0.25">
      <c r="A34" s="7">
        <v>32</v>
      </c>
      <c r="B34" s="8" t="s">
        <v>65</v>
      </c>
      <c r="C34" s="10">
        <v>3</v>
      </c>
      <c r="D34" s="10">
        <v>4</v>
      </c>
      <c r="E34" s="10">
        <v>5</v>
      </c>
      <c r="F34" s="10">
        <v>5</v>
      </c>
      <c r="G34" s="10">
        <v>4</v>
      </c>
      <c r="H34" s="10">
        <f t="shared" si="0"/>
        <v>3</v>
      </c>
      <c r="I34" s="10">
        <v>6</v>
      </c>
      <c r="J34" s="10">
        <v>6</v>
      </c>
      <c r="K34" s="10">
        <v>5</v>
      </c>
      <c r="L34" s="10">
        <f t="shared" si="1"/>
        <v>4</v>
      </c>
    </row>
    <row r="35" spans="1:12" x14ac:dyDescent="0.25">
      <c r="A35" s="7">
        <v>33</v>
      </c>
      <c r="B35" s="8" t="s">
        <v>66</v>
      </c>
      <c r="C35" s="10">
        <v>3</v>
      </c>
      <c r="D35" s="10">
        <v>3</v>
      </c>
      <c r="E35" s="10">
        <v>4</v>
      </c>
      <c r="F35" s="10">
        <v>4</v>
      </c>
      <c r="G35" s="10">
        <v>3</v>
      </c>
      <c r="H35" s="10">
        <f t="shared" si="0"/>
        <v>2</v>
      </c>
      <c r="I35" s="10">
        <v>5</v>
      </c>
      <c r="J35" s="10">
        <v>5</v>
      </c>
      <c r="K35" s="10">
        <v>4</v>
      </c>
      <c r="L35" s="10">
        <f t="shared" si="1"/>
        <v>3</v>
      </c>
    </row>
    <row r="36" spans="1:12" x14ac:dyDescent="0.25">
      <c r="A36" s="7">
        <v>34</v>
      </c>
      <c r="B36" s="8" t="s">
        <v>67</v>
      </c>
      <c r="C36" s="10">
        <v>3</v>
      </c>
      <c r="D36" s="10">
        <v>4</v>
      </c>
      <c r="E36" s="10">
        <v>5</v>
      </c>
      <c r="F36" s="10">
        <v>5</v>
      </c>
      <c r="G36" s="10">
        <v>4</v>
      </c>
      <c r="H36" s="10">
        <f t="shared" si="0"/>
        <v>3</v>
      </c>
      <c r="I36" s="10">
        <v>6</v>
      </c>
      <c r="J36" s="10">
        <v>6</v>
      </c>
      <c r="K36" s="10">
        <v>5</v>
      </c>
      <c r="L36" s="10">
        <f t="shared" si="1"/>
        <v>4</v>
      </c>
    </row>
    <row r="37" spans="1:12" x14ac:dyDescent="0.25">
      <c r="A37" s="7">
        <v>35</v>
      </c>
      <c r="B37" s="8" t="s">
        <v>68</v>
      </c>
      <c r="C37" s="10">
        <v>2</v>
      </c>
      <c r="D37" s="10">
        <v>4</v>
      </c>
      <c r="E37" s="10">
        <v>4</v>
      </c>
      <c r="F37" s="10">
        <v>4</v>
      </c>
      <c r="G37" s="10">
        <v>4</v>
      </c>
      <c r="H37" s="10">
        <f t="shared" si="0"/>
        <v>3</v>
      </c>
      <c r="I37" s="10">
        <v>5</v>
      </c>
      <c r="J37" s="10">
        <v>6</v>
      </c>
      <c r="K37" s="10">
        <v>5</v>
      </c>
      <c r="L37" s="10">
        <f t="shared" si="1"/>
        <v>4</v>
      </c>
    </row>
    <row r="38" spans="1:12" x14ac:dyDescent="0.25">
      <c r="A38" s="7">
        <v>36</v>
      </c>
      <c r="B38" s="8" t="s">
        <v>69</v>
      </c>
      <c r="C38" s="10">
        <v>3</v>
      </c>
      <c r="D38" s="10">
        <v>3</v>
      </c>
      <c r="E38" s="10">
        <v>4</v>
      </c>
      <c r="F38" s="10">
        <v>4</v>
      </c>
      <c r="G38" s="10">
        <v>3</v>
      </c>
      <c r="H38" s="10">
        <f t="shared" si="0"/>
        <v>2</v>
      </c>
      <c r="I38" s="10">
        <v>5</v>
      </c>
      <c r="J38" s="10">
        <v>7</v>
      </c>
      <c r="K38" s="10">
        <v>5</v>
      </c>
      <c r="L38" s="10">
        <f t="shared" si="1"/>
        <v>4</v>
      </c>
    </row>
    <row r="39" spans="1:12" x14ac:dyDescent="0.25">
      <c r="A39" s="7">
        <v>37</v>
      </c>
      <c r="B39" s="8" t="s">
        <v>70</v>
      </c>
      <c r="C39" s="10">
        <v>5</v>
      </c>
      <c r="D39" s="10">
        <v>5</v>
      </c>
      <c r="E39" s="10">
        <v>6</v>
      </c>
      <c r="F39" s="10">
        <v>6</v>
      </c>
      <c r="G39" s="10">
        <v>5</v>
      </c>
      <c r="H39" s="10">
        <f t="shared" si="0"/>
        <v>4</v>
      </c>
      <c r="I39" s="10">
        <v>7</v>
      </c>
      <c r="J39" s="10">
        <v>8</v>
      </c>
      <c r="K39" s="10">
        <v>5</v>
      </c>
      <c r="L39" s="10">
        <f t="shared" si="1"/>
        <v>4</v>
      </c>
    </row>
    <row r="40" spans="1:12" x14ac:dyDescent="0.25">
      <c r="A40" s="7">
        <v>38</v>
      </c>
      <c r="B40" s="8" t="s">
        <v>71</v>
      </c>
      <c r="C40" s="10">
        <v>2</v>
      </c>
      <c r="D40" s="10">
        <v>3</v>
      </c>
      <c r="E40" s="10">
        <v>3</v>
      </c>
      <c r="F40" s="10">
        <v>3</v>
      </c>
      <c r="G40" s="10">
        <v>2</v>
      </c>
      <c r="H40" s="10">
        <f t="shared" si="0"/>
        <v>1</v>
      </c>
      <c r="I40" s="10">
        <v>5</v>
      </c>
      <c r="J40" s="10">
        <v>5</v>
      </c>
      <c r="K40" s="10">
        <v>3</v>
      </c>
      <c r="L40" s="10">
        <v>2</v>
      </c>
    </row>
    <row r="41" spans="1:12" x14ac:dyDescent="0.25">
      <c r="A41" s="7">
        <v>39</v>
      </c>
      <c r="B41" s="8" t="s">
        <v>72</v>
      </c>
      <c r="C41" s="10">
        <v>4</v>
      </c>
      <c r="D41" s="10">
        <v>5</v>
      </c>
      <c r="E41" s="10">
        <v>5</v>
      </c>
      <c r="F41" s="10">
        <v>5</v>
      </c>
      <c r="G41" s="10">
        <v>3</v>
      </c>
      <c r="H41" s="10">
        <f t="shared" si="0"/>
        <v>2</v>
      </c>
      <c r="I41" s="10">
        <v>7</v>
      </c>
      <c r="J41" s="10">
        <v>7</v>
      </c>
      <c r="K41" s="10">
        <v>5</v>
      </c>
      <c r="L41" s="10">
        <f t="shared" si="1"/>
        <v>4</v>
      </c>
    </row>
    <row r="42" spans="1:12" x14ac:dyDescent="0.25">
      <c r="A42" s="7">
        <v>40</v>
      </c>
      <c r="B42" s="8" t="s">
        <v>73</v>
      </c>
      <c r="C42" s="10">
        <v>2</v>
      </c>
      <c r="D42" s="10">
        <v>3</v>
      </c>
      <c r="E42" s="10">
        <v>5</v>
      </c>
      <c r="F42" s="10">
        <v>5</v>
      </c>
      <c r="G42" s="10">
        <v>4</v>
      </c>
      <c r="H42" s="10">
        <f t="shared" si="0"/>
        <v>3</v>
      </c>
      <c r="I42" s="10">
        <v>6</v>
      </c>
      <c r="J42" s="10">
        <v>6</v>
      </c>
      <c r="K42" s="10">
        <v>5</v>
      </c>
      <c r="L42" s="10">
        <f t="shared" si="1"/>
        <v>4</v>
      </c>
    </row>
    <row r="43" spans="1:12" x14ac:dyDescent="0.25">
      <c r="A43" s="7">
        <v>41</v>
      </c>
      <c r="B43" s="8" t="s">
        <v>74</v>
      </c>
      <c r="C43" s="10">
        <v>3</v>
      </c>
      <c r="D43" s="10">
        <v>5</v>
      </c>
      <c r="E43" s="10">
        <v>6</v>
      </c>
      <c r="F43" s="10">
        <v>6</v>
      </c>
      <c r="G43" s="10">
        <v>4</v>
      </c>
      <c r="H43" s="10">
        <f t="shared" si="0"/>
        <v>3</v>
      </c>
      <c r="I43" s="10">
        <v>7</v>
      </c>
      <c r="J43" s="10">
        <v>7</v>
      </c>
      <c r="K43" s="10">
        <v>5</v>
      </c>
      <c r="L43" s="10">
        <v>2</v>
      </c>
    </row>
    <row r="44" spans="1:12" x14ac:dyDescent="0.25">
      <c r="A44" s="7">
        <v>42</v>
      </c>
      <c r="B44" s="8" t="s">
        <v>75</v>
      </c>
      <c r="C44" s="10">
        <v>3</v>
      </c>
      <c r="D44" s="10">
        <v>3</v>
      </c>
      <c r="E44" s="10">
        <v>4</v>
      </c>
      <c r="F44" s="10">
        <v>4</v>
      </c>
      <c r="G44" s="10">
        <v>3</v>
      </c>
      <c r="H44" s="10">
        <f t="shared" si="0"/>
        <v>2</v>
      </c>
      <c r="I44" s="10">
        <v>5</v>
      </c>
      <c r="J44" s="10">
        <v>5</v>
      </c>
      <c r="K44" s="10">
        <v>4</v>
      </c>
      <c r="L44" s="10">
        <f t="shared" si="1"/>
        <v>3</v>
      </c>
    </row>
    <row r="45" spans="1:12" x14ac:dyDescent="0.25">
      <c r="A45" s="7">
        <v>43</v>
      </c>
      <c r="B45" s="8" t="s">
        <v>76</v>
      </c>
      <c r="C45" s="10">
        <v>3</v>
      </c>
      <c r="D45" s="10">
        <v>3</v>
      </c>
      <c r="E45" s="10">
        <v>3</v>
      </c>
      <c r="F45" s="10">
        <v>3</v>
      </c>
      <c r="G45" s="10">
        <v>1</v>
      </c>
      <c r="H45" s="10">
        <v>1</v>
      </c>
      <c r="I45" s="10">
        <v>4</v>
      </c>
      <c r="J45" s="10">
        <v>4</v>
      </c>
      <c r="K45" s="10">
        <v>2</v>
      </c>
      <c r="L45" s="10">
        <v>2</v>
      </c>
    </row>
    <row r="46" spans="1:12" x14ac:dyDescent="0.25">
      <c r="A46" s="7">
        <v>44</v>
      </c>
      <c r="B46" s="8" t="s">
        <v>77</v>
      </c>
      <c r="C46" s="10">
        <v>5</v>
      </c>
      <c r="D46" s="10">
        <v>5</v>
      </c>
      <c r="E46" s="10">
        <v>4</v>
      </c>
      <c r="F46" s="10">
        <v>3</v>
      </c>
      <c r="G46" s="10">
        <v>1</v>
      </c>
      <c r="H46" s="10">
        <v>1</v>
      </c>
      <c r="I46" s="10">
        <v>6</v>
      </c>
      <c r="J46" s="10">
        <v>4</v>
      </c>
      <c r="K46" s="10">
        <v>2</v>
      </c>
      <c r="L46" s="10">
        <v>1</v>
      </c>
    </row>
    <row r="47" spans="1:12" x14ac:dyDescent="0.25">
      <c r="A47" s="7">
        <v>45</v>
      </c>
      <c r="B47" s="8" t="s">
        <v>78</v>
      </c>
      <c r="C47" s="10">
        <v>3</v>
      </c>
      <c r="D47" s="10">
        <v>3</v>
      </c>
      <c r="E47" s="10">
        <v>3</v>
      </c>
      <c r="F47" s="10">
        <v>3</v>
      </c>
      <c r="G47" s="10">
        <v>2</v>
      </c>
      <c r="H47" s="10">
        <f t="shared" si="0"/>
        <v>1</v>
      </c>
      <c r="I47" s="10">
        <v>7</v>
      </c>
      <c r="J47" s="10">
        <v>7</v>
      </c>
      <c r="K47" s="10">
        <v>6</v>
      </c>
      <c r="L47" s="10">
        <v>5</v>
      </c>
    </row>
  </sheetData>
  <mergeCells count="1">
    <mergeCell ref="C1:D1"/>
  </mergeCells>
  <phoneticPr fontId="1" type="noConversion"/>
  <conditionalFormatting sqref="B3:B47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A54C-ACB2-477E-B318-1E3EC9741E23}">
  <dimension ref="A1:F46"/>
  <sheetViews>
    <sheetView workbookViewId="0">
      <selection activeCell="A2" sqref="A2:B46"/>
    </sheetView>
  </sheetViews>
  <sheetFormatPr defaultRowHeight="13.8" x14ac:dyDescent="0.25"/>
  <cols>
    <col min="2" max="2" width="15.44140625" customWidth="1"/>
  </cols>
  <sheetData>
    <row r="1" spans="1:6" x14ac:dyDescent="0.25">
      <c r="A1" s="1" t="s">
        <v>0</v>
      </c>
      <c r="B1" s="1" t="s">
        <v>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s="7">
        <v>1</v>
      </c>
      <c r="B2" s="8" t="s">
        <v>34</v>
      </c>
      <c r="C2" s="10">
        <v>10</v>
      </c>
      <c r="D2" s="10">
        <v>0</v>
      </c>
      <c r="E2" s="10">
        <v>0</v>
      </c>
      <c r="F2" s="10">
        <v>10</v>
      </c>
    </row>
    <row r="3" spans="1:6" x14ac:dyDescent="0.25">
      <c r="A3" s="7">
        <v>2</v>
      </c>
      <c r="B3" s="8" t="s">
        <v>35</v>
      </c>
      <c r="C3" s="10">
        <v>20</v>
      </c>
      <c r="D3" s="10">
        <v>10</v>
      </c>
      <c r="E3" s="10">
        <v>0</v>
      </c>
      <c r="F3" s="10">
        <v>30</v>
      </c>
    </row>
    <row r="4" spans="1:6" x14ac:dyDescent="0.25">
      <c r="A4" s="7">
        <v>3</v>
      </c>
      <c r="B4" s="8" t="s">
        <v>36</v>
      </c>
      <c r="C4" s="10">
        <v>10</v>
      </c>
      <c r="D4" s="10">
        <v>0</v>
      </c>
      <c r="E4" s="10">
        <v>0</v>
      </c>
      <c r="F4" s="10">
        <v>10</v>
      </c>
    </row>
    <row r="5" spans="1:6" x14ac:dyDescent="0.25">
      <c r="A5" s="7">
        <v>4</v>
      </c>
      <c r="B5" s="8" t="s">
        <v>37</v>
      </c>
      <c r="C5" s="10">
        <v>20</v>
      </c>
      <c r="D5" s="10">
        <v>0</v>
      </c>
      <c r="E5" s="10">
        <v>0</v>
      </c>
      <c r="F5" s="10">
        <v>20</v>
      </c>
    </row>
    <row r="6" spans="1:6" x14ac:dyDescent="0.25">
      <c r="A6" s="7">
        <v>5</v>
      </c>
      <c r="B6" s="8" t="s">
        <v>38</v>
      </c>
      <c r="C6" s="10">
        <v>10</v>
      </c>
      <c r="D6" s="10">
        <v>10</v>
      </c>
      <c r="E6" s="10">
        <v>0</v>
      </c>
      <c r="F6" s="10">
        <v>20</v>
      </c>
    </row>
    <row r="7" spans="1:6" x14ac:dyDescent="0.25">
      <c r="A7" s="7">
        <v>6</v>
      </c>
      <c r="B7" s="8" t="s">
        <v>39</v>
      </c>
      <c r="C7" s="10">
        <v>20</v>
      </c>
      <c r="D7" s="10">
        <v>0</v>
      </c>
      <c r="E7" s="10">
        <v>0</v>
      </c>
      <c r="F7" s="10">
        <v>20</v>
      </c>
    </row>
    <row r="8" spans="1:6" x14ac:dyDescent="0.25">
      <c r="A8" s="7">
        <v>7</v>
      </c>
      <c r="B8" s="8" t="s">
        <v>40</v>
      </c>
      <c r="C8" s="10">
        <v>20</v>
      </c>
      <c r="D8" s="10">
        <v>0</v>
      </c>
      <c r="E8" s="10">
        <v>0</v>
      </c>
      <c r="F8" s="10">
        <v>20</v>
      </c>
    </row>
    <row r="9" spans="1:6" x14ac:dyDescent="0.25">
      <c r="A9" s="7">
        <v>8</v>
      </c>
      <c r="B9" s="8" t="s">
        <v>41</v>
      </c>
      <c r="C9" s="10">
        <v>20</v>
      </c>
      <c r="D9" s="10">
        <v>10</v>
      </c>
      <c r="E9" s="10">
        <v>0</v>
      </c>
      <c r="F9" s="10">
        <v>30</v>
      </c>
    </row>
    <row r="10" spans="1:6" x14ac:dyDescent="0.25">
      <c r="A10" s="7">
        <v>9</v>
      </c>
      <c r="B10" s="8" t="s">
        <v>42</v>
      </c>
      <c r="C10" s="10">
        <v>20</v>
      </c>
      <c r="D10" s="10">
        <v>0</v>
      </c>
      <c r="E10" s="10">
        <v>0</v>
      </c>
      <c r="F10" s="10">
        <v>20</v>
      </c>
    </row>
    <row r="11" spans="1:6" x14ac:dyDescent="0.25">
      <c r="A11" s="7">
        <v>10</v>
      </c>
      <c r="B11" s="8" t="s">
        <v>43</v>
      </c>
      <c r="C11" s="10">
        <v>10</v>
      </c>
      <c r="D11" s="10">
        <v>0</v>
      </c>
      <c r="E11" s="10">
        <v>0</v>
      </c>
      <c r="F11" s="10">
        <v>10</v>
      </c>
    </row>
    <row r="12" spans="1:6" x14ac:dyDescent="0.25">
      <c r="A12" s="7">
        <v>11</v>
      </c>
      <c r="B12" s="8" t="s">
        <v>44</v>
      </c>
      <c r="C12" s="10">
        <v>20</v>
      </c>
      <c r="D12" s="10">
        <v>0</v>
      </c>
      <c r="E12" s="10">
        <v>0</v>
      </c>
      <c r="F12" s="10">
        <v>20</v>
      </c>
    </row>
    <row r="13" spans="1:6" x14ac:dyDescent="0.25">
      <c r="A13" s="7">
        <v>12</v>
      </c>
      <c r="B13" s="8" t="s">
        <v>45</v>
      </c>
      <c r="C13" s="10">
        <v>10</v>
      </c>
      <c r="D13" s="10">
        <v>10</v>
      </c>
      <c r="E13" s="10">
        <v>0</v>
      </c>
      <c r="F13" s="10">
        <v>20</v>
      </c>
    </row>
    <row r="14" spans="1:6" x14ac:dyDescent="0.25">
      <c r="A14" s="7">
        <v>13</v>
      </c>
      <c r="B14" s="8" t="s">
        <v>46</v>
      </c>
      <c r="C14" s="10">
        <v>10</v>
      </c>
      <c r="D14" s="10">
        <v>10</v>
      </c>
      <c r="E14" s="10">
        <v>0</v>
      </c>
      <c r="F14" s="10">
        <v>20</v>
      </c>
    </row>
    <row r="15" spans="1:6" x14ac:dyDescent="0.25">
      <c r="A15" s="7">
        <v>14</v>
      </c>
      <c r="B15" s="8" t="s">
        <v>47</v>
      </c>
      <c r="C15" s="10">
        <v>20</v>
      </c>
      <c r="D15" s="10">
        <v>0</v>
      </c>
      <c r="E15" s="10">
        <v>0</v>
      </c>
      <c r="F15" s="10">
        <v>20</v>
      </c>
    </row>
    <row r="16" spans="1:6" x14ac:dyDescent="0.25">
      <c r="A16" s="7">
        <v>15</v>
      </c>
      <c r="B16" s="8" t="s">
        <v>48</v>
      </c>
      <c r="C16" s="10">
        <v>0</v>
      </c>
      <c r="D16" s="10">
        <v>0</v>
      </c>
      <c r="E16" s="10">
        <v>0</v>
      </c>
      <c r="F16" s="10">
        <v>0</v>
      </c>
    </row>
    <row r="17" spans="1:6" x14ac:dyDescent="0.25">
      <c r="A17" s="7">
        <v>16</v>
      </c>
      <c r="B17" s="8" t="s">
        <v>49</v>
      </c>
      <c r="C17" s="10">
        <v>20</v>
      </c>
      <c r="D17" s="10">
        <v>0</v>
      </c>
      <c r="E17" s="10">
        <v>0</v>
      </c>
      <c r="F17" s="10">
        <v>20</v>
      </c>
    </row>
    <row r="18" spans="1:6" x14ac:dyDescent="0.25">
      <c r="A18" s="7">
        <v>17</v>
      </c>
      <c r="B18" s="8" t="s">
        <v>50</v>
      </c>
      <c r="C18" s="10">
        <v>10</v>
      </c>
      <c r="D18" s="10">
        <v>0</v>
      </c>
      <c r="E18" s="10">
        <v>0</v>
      </c>
      <c r="F18" s="10">
        <v>10</v>
      </c>
    </row>
    <row r="19" spans="1:6" x14ac:dyDescent="0.25">
      <c r="A19" s="7">
        <v>18</v>
      </c>
      <c r="B19" s="8" t="s">
        <v>51</v>
      </c>
      <c r="C19" s="10">
        <v>0</v>
      </c>
      <c r="D19" s="10">
        <v>0</v>
      </c>
      <c r="E19" s="10">
        <v>0</v>
      </c>
      <c r="F19" s="10">
        <v>0</v>
      </c>
    </row>
    <row r="20" spans="1:6" x14ac:dyDescent="0.25">
      <c r="A20" s="7">
        <v>19</v>
      </c>
      <c r="B20" s="8" t="s">
        <v>52</v>
      </c>
      <c r="C20" s="10">
        <v>10</v>
      </c>
      <c r="D20" s="10">
        <v>0</v>
      </c>
      <c r="E20" s="10">
        <v>0</v>
      </c>
      <c r="F20" s="10">
        <v>10</v>
      </c>
    </row>
    <row r="21" spans="1:6" x14ac:dyDescent="0.25">
      <c r="A21" s="7">
        <v>20</v>
      </c>
      <c r="B21" s="8" t="s">
        <v>53</v>
      </c>
      <c r="C21" s="10">
        <v>0</v>
      </c>
      <c r="D21" s="10">
        <v>0</v>
      </c>
      <c r="E21" s="10">
        <v>0</v>
      </c>
      <c r="F21" s="10">
        <v>0</v>
      </c>
    </row>
    <row r="22" spans="1:6" x14ac:dyDescent="0.25">
      <c r="A22" s="7">
        <v>21</v>
      </c>
      <c r="B22" s="8" t="s">
        <v>54</v>
      </c>
      <c r="C22" s="10">
        <v>10</v>
      </c>
      <c r="D22" s="10">
        <v>0</v>
      </c>
      <c r="E22" s="10">
        <v>0</v>
      </c>
      <c r="F22" s="10">
        <v>10</v>
      </c>
    </row>
    <row r="23" spans="1:6" x14ac:dyDescent="0.25">
      <c r="A23" s="7">
        <v>22</v>
      </c>
      <c r="B23" s="8" t="s">
        <v>55</v>
      </c>
      <c r="C23" s="10">
        <v>20</v>
      </c>
      <c r="D23" s="10">
        <v>20</v>
      </c>
      <c r="E23" s="10">
        <v>10</v>
      </c>
      <c r="F23" s="10">
        <v>50</v>
      </c>
    </row>
    <row r="24" spans="1:6" x14ac:dyDescent="0.25">
      <c r="A24" s="7">
        <v>23</v>
      </c>
      <c r="B24" s="8" t="s">
        <v>56</v>
      </c>
      <c r="C24" s="10">
        <v>10</v>
      </c>
      <c r="D24" s="10">
        <v>0</v>
      </c>
      <c r="E24" s="10">
        <v>0</v>
      </c>
      <c r="F24" s="10">
        <v>10</v>
      </c>
    </row>
    <row r="25" spans="1:6" x14ac:dyDescent="0.25">
      <c r="A25" s="7">
        <v>24</v>
      </c>
      <c r="B25" s="8" t="s">
        <v>57</v>
      </c>
      <c r="C25" s="10">
        <v>20</v>
      </c>
      <c r="D25" s="10">
        <v>10</v>
      </c>
      <c r="E25" s="10">
        <v>0</v>
      </c>
      <c r="F25" s="10">
        <v>30</v>
      </c>
    </row>
    <row r="26" spans="1:6" x14ac:dyDescent="0.25">
      <c r="A26" s="7">
        <v>25</v>
      </c>
      <c r="B26" s="8" t="s">
        <v>58</v>
      </c>
      <c r="C26" s="10">
        <v>20</v>
      </c>
      <c r="D26" s="10">
        <v>0</v>
      </c>
      <c r="E26" s="10">
        <v>0</v>
      </c>
      <c r="F26" s="10">
        <v>20</v>
      </c>
    </row>
    <row r="27" spans="1:6" x14ac:dyDescent="0.25">
      <c r="A27" s="7">
        <v>26</v>
      </c>
      <c r="B27" s="8" t="s">
        <v>59</v>
      </c>
      <c r="C27" s="10">
        <v>20</v>
      </c>
      <c r="D27" s="10">
        <v>10</v>
      </c>
      <c r="E27" s="10">
        <v>0</v>
      </c>
      <c r="F27" s="10">
        <v>30</v>
      </c>
    </row>
    <row r="28" spans="1:6" x14ac:dyDescent="0.25">
      <c r="A28" s="7">
        <v>27</v>
      </c>
      <c r="B28" s="8" t="s">
        <v>60</v>
      </c>
      <c r="C28" s="10">
        <v>20</v>
      </c>
      <c r="D28" s="10">
        <v>0</v>
      </c>
      <c r="E28" s="10">
        <v>0</v>
      </c>
      <c r="F28" s="10">
        <v>20</v>
      </c>
    </row>
    <row r="29" spans="1:6" x14ac:dyDescent="0.25">
      <c r="A29" s="7">
        <v>28</v>
      </c>
      <c r="B29" s="8" t="s">
        <v>61</v>
      </c>
      <c r="C29" s="10">
        <v>10</v>
      </c>
      <c r="D29" s="10">
        <v>10</v>
      </c>
      <c r="E29" s="10">
        <v>10</v>
      </c>
      <c r="F29" s="10">
        <v>30</v>
      </c>
    </row>
    <row r="30" spans="1:6" x14ac:dyDescent="0.25">
      <c r="A30" s="7">
        <v>29</v>
      </c>
      <c r="B30" s="8" t="s">
        <v>62</v>
      </c>
      <c r="C30" s="10">
        <v>0</v>
      </c>
      <c r="D30" s="10">
        <v>0</v>
      </c>
      <c r="E30" s="10">
        <v>0</v>
      </c>
      <c r="F30" s="10">
        <v>0</v>
      </c>
    </row>
    <row r="31" spans="1:6" x14ac:dyDescent="0.25">
      <c r="A31" s="7">
        <v>30</v>
      </c>
      <c r="B31" s="8" t="s">
        <v>63</v>
      </c>
      <c r="C31" s="10">
        <v>20</v>
      </c>
      <c r="D31" s="10">
        <v>0</v>
      </c>
      <c r="E31" s="10">
        <v>0</v>
      </c>
      <c r="F31" s="10">
        <v>20</v>
      </c>
    </row>
    <row r="32" spans="1:6" x14ac:dyDescent="0.25">
      <c r="A32" s="7">
        <v>31</v>
      </c>
      <c r="B32" s="8" t="s">
        <v>64</v>
      </c>
      <c r="C32" s="10">
        <v>10</v>
      </c>
      <c r="D32" s="10">
        <v>0</v>
      </c>
      <c r="E32" s="10">
        <v>0</v>
      </c>
      <c r="F32" s="10">
        <v>10</v>
      </c>
    </row>
    <row r="33" spans="1:6" x14ac:dyDescent="0.25">
      <c r="A33" s="7">
        <v>32</v>
      </c>
      <c r="B33" s="8" t="s">
        <v>65</v>
      </c>
      <c r="C33" s="10">
        <v>20</v>
      </c>
      <c r="D33" s="10">
        <v>0</v>
      </c>
      <c r="E33" s="10">
        <v>0</v>
      </c>
      <c r="F33" s="10">
        <v>20</v>
      </c>
    </row>
    <row r="34" spans="1:6" x14ac:dyDescent="0.25">
      <c r="A34" s="7">
        <v>33</v>
      </c>
      <c r="B34" s="8" t="s">
        <v>66</v>
      </c>
      <c r="C34" s="10">
        <v>20</v>
      </c>
      <c r="D34" s="10">
        <v>10</v>
      </c>
      <c r="E34" s="10">
        <v>0</v>
      </c>
      <c r="F34" s="10">
        <v>30</v>
      </c>
    </row>
    <row r="35" spans="1:6" x14ac:dyDescent="0.25">
      <c r="A35" s="7">
        <v>34</v>
      </c>
      <c r="B35" s="8" t="s">
        <v>67</v>
      </c>
      <c r="C35" s="10">
        <v>10</v>
      </c>
      <c r="D35" s="10">
        <v>10</v>
      </c>
      <c r="E35" s="10">
        <v>0</v>
      </c>
      <c r="F35" s="10">
        <v>20</v>
      </c>
    </row>
    <row r="36" spans="1:6" x14ac:dyDescent="0.25">
      <c r="A36" s="7">
        <v>35</v>
      </c>
      <c r="B36" s="8" t="s">
        <v>68</v>
      </c>
      <c r="C36" s="10">
        <v>20</v>
      </c>
      <c r="D36" s="10">
        <v>10</v>
      </c>
      <c r="E36" s="10">
        <v>0</v>
      </c>
      <c r="F36" s="10">
        <v>30</v>
      </c>
    </row>
    <row r="37" spans="1:6" x14ac:dyDescent="0.25">
      <c r="A37" s="7">
        <v>36</v>
      </c>
      <c r="B37" s="8" t="s">
        <v>69</v>
      </c>
      <c r="C37" s="10">
        <v>20</v>
      </c>
      <c r="D37" s="10">
        <v>0</v>
      </c>
      <c r="E37" s="10">
        <v>0</v>
      </c>
      <c r="F37" s="10">
        <v>20</v>
      </c>
    </row>
    <row r="38" spans="1:6" x14ac:dyDescent="0.25">
      <c r="A38" s="7">
        <v>37</v>
      </c>
      <c r="B38" s="8" t="s">
        <v>70</v>
      </c>
      <c r="C38" s="10">
        <v>20</v>
      </c>
      <c r="D38" s="10">
        <v>0</v>
      </c>
      <c r="E38" s="10">
        <v>0</v>
      </c>
      <c r="F38" s="10">
        <v>20</v>
      </c>
    </row>
    <row r="39" spans="1:6" x14ac:dyDescent="0.25">
      <c r="A39" s="7">
        <v>38</v>
      </c>
      <c r="B39" s="8" t="s">
        <v>71</v>
      </c>
      <c r="C39" s="10">
        <v>20</v>
      </c>
      <c r="D39" s="10">
        <v>0</v>
      </c>
      <c r="E39" s="10">
        <v>0</v>
      </c>
      <c r="F39" s="10">
        <v>20</v>
      </c>
    </row>
    <row r="40" spans="1:6" x14ac:dyDescent="0.25">
      <c r="A40" s="7">
        <v>39</v>
      </c>
      <c r="B40" s="8" t="s">
        <v>72</v>
      </c>
      <c r="C40" s="10">
        <v>10</v>
      </c>
      <c r="D40" s="10">
        <v>10</v>
      </c>
      <c r="E40" s="10">
        <v>0</v>
      </c>
      <c r="F40" s="10">
        <v>20</v>
      </c>
    </row>
    <row r="41" spans="1:6" x14ac:dyDescent="0.25">
      <c r="A41" s="7">
        <v>40</v>
      </c>
      <c r="B41" s="8" t="s">
        <v>73</v>
      </c>
      <c r="C41" s="10">
        <v>20</v>
      </c>
      <c r="D41" s="10">
        <v>10</v>
      </c>
      <c r="E41" s="10">
        <v>0</v>
      </c>
      <c r="F41" s="10">
        <v>30</v>
      </c>
    </row>
    <row r="42" spans="1:6" x14ac:dyDescent="0.25">
      <c r="A42" s="7">
        <v>41</v>
      </c>
      <c r="B42" s="8" t="s">
        <v>74</v>
      </c>
      <c r="C42" s="10">
        <v>20</v>
      </c>
      <c r="D42" s="10">
        <v>0</v>
      </c>
      <c r="E42" s="10">
        <v>0</v>
      </c>
      <c r="F42" s="10">
        <v>20</v>
      </c>
    </row>
    <row r="43" spans="1:6" x14ac:dyDescent="0.25">
      <c r="A43" s="7">
        <v>42</v>
      </c>
      <c r="B43" s="8" t="s">
        <v>75</v>
      </c>
      <c r="C43" s="10">
        <v>20</v>
      </c>
      <c r="D43" s="10">
        <v>0</v>
      </c>
      <c r="E43" s="10">
        <v>0</v>
      </c>
      <c r="F43" s="10">
        <v>20</v>
      </c>
    </row>
    <row r="44" spans="1:6" x14ac:dyDescent="0.25">
      <c r="A44" s="7">
        <v>43</v>
      </c>
      <c r="B44" s="8" t="s">
        <v>76</v>
      </c>
      <c r="C44" s="10">
        <v>20</v>
      </c>
      <c r="D44" s="10">
        <v>10</v>
      </c>
      <c r="E44" s="10">
        <v>0</v>
      </c>
      <c r="F44" s="10">
        <v>30</v>
      </c>
    </row>
    <row r="45" spans="1:6" x14ac:dyDescent="0.25">
      <c r="A45" s="7">
        <v>44</v>
      </c>
      <c r="B45" s="8" t="s">
        <v>77</v>
      </c>
      <c r="C45" s="10">
        <v>10</v>
      </c>
      <c r="D45" s="10">
        <v>0</v>
      </c>
      <c r="E45" s="10">
        <v>0</v>
      </c>
      <c r="F45" s="10">
        <v>10</v>
      </c>
    </row>
    <row r="46" spans="1:6" x14ac:dyDescent="0.25">
      <c r="A46" s="7">
        <v>45</v>
      </c>
      <c r="B46" s="8" t="s">
        <v>78</v>
      </c>
      <c r="C46" s="10">
        <v>20</v>
      </c>
      <c r="D46" s="10">
        <v>0</v>
      </c>
      <c r="E46" s="10">
        <v>0</v>
      </c>
      <c r="F46" s="10">
        <v>20</v>
      </c>
    </row>
  </sheetData>
  <phoneticPr fontId="1" type="noConversion"/>
  <conditionalFormatting sqref="B2:B4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A303-EC56-4AB1-AA6F-556C17AA5711}">
  <dimension ref="A1:L47"/>
  <sheetViews>
    <sheetView workbookViewId="0">
      <selection activeCell="A3" sqref="A3:B47"/>
    </sheetView>
  </sheetViews>
  <sheetFormatPr defaultRowHeight="13.8" x14ac:dyDescent="0.25"/>
  <cols>
    <col min="2" max="2" width="16.5546875" customWidth="1"/>
  </cols>
  <sheetData>
    <row r="1" spans="1:12" x14ac:dyDescent="0.25">
      <c r="C1" s="3" t="s">
        <v>26</v>
      </c>
      <c r="F1" t="s">
        <v>27</v>
      </c>
      <c r="I1" s="3" t="s">
        <v>28</v>
      </c>
      <c r="L1" s="3" t="s">
        <v>29</v>
      </c>
    </row>
    <row r="2" spans="1:12" x14ac:dyDescent="0.25">
      <c r="A2" s="1" t="s">
        <v>0</v>
      </c>
      <c r="B2" s="1" t="s">
        <v>1</v>
      </c>
      <c r="C2" t="s">
        <v>22</v>
      </c>
      <c r="D2" t="s">
        <v>23</v>
      </c>
      <c r="E2" t="s">
        <v>24</v>
      </c>
      <c r="F2" t="s">
        <v>22</v>
      </c>
      <c r="G2" t="s">
        <v>23</v>
      </c>
      <c r="H2" t="s">
        <v>24</v>
      </c>
      <c r="I2" t="s">
        <v>22</v>
      </c>
      <c r="J2" t="s">
        <v>23</v>
      </c>
      <c r="K2" t="s">
        <v>24</v>
      </c>
      <c r="L2" s="4"/>
    </row>
    <row r="3" spans="1:12" x14ac:dyDescent="0.25">
      <c r="A3" s="7">
        <v>1</v>
      </c>
      <c r="B3" s="8" t="s">
        <v>34</v>
      </c>
      <c r="C3" s="10">
        <v>60</v>
      </c>
      <c r="D3" s="10">
        <v>75</v>
      </c>
      <c r="E3" s="10">
        <v>90</v>
      </c>
      <c r="F3" s="10">
        <v>3</v>
      </c>
      <c r="G3" s="10">
        <v>4</v>
      </c>
      <c r="H3" s="10">
        <v>4</v>
      </c>
      <c r="I3" s="10">
        <v>20</v>
      </c>
      <c r="J3" s="10">
        <v>35</v>
      </c>
      <c r="K3" s="10">
        <v>50</v>
      </c>
      <c r="L3" s="10">
        <v>74</v>
      </c>
    </row>
    <row r="4" spans="1:12" x14ac:dyDescent="0.25">
      <c r="A4" s="7">
        <v>2</v>
      </c>
      <c r="B4" s="8" t="s">
        <v>35</v>
      </c>
      <c r="C4" s="10">
        <v>90</v>
      </c>
      <c r="D4" s="10">
        <v>95</v>
      </c>
      <c r="E4" s="10">
        <v>110</v>
      </c>
      <c r="F4" s="10">
        <v>5</v>
      </c>
      <c r="G4" s="10">
        <v>5</v>
      </c>
      <c r="H4" s="10">
        <v>5</v>
      </c>
      <c r="I4" s="10">
        <v>10</v>
      </c>
      <c r="J4" s="10">
        <v>20</v>
      </c>
      <c r="K4" s="10">
        <v>30</v>
      </c>
      <c r="L4" s="10">
        <v>75</v>
      </c>
    </row>
    <row r="5" spans="1:12" x14ac:dyDescent="0.25">
      <c r="A5" s="7">
        <v>3</v>
      </c>
      <c r="B5" s="8" t="s">
        <v>36</v>
      </c>
      <c r="C5" s="10">
        <v>95</v>
      </c>
      <c r="D5" s="10">
        <v>105</v>
      </c>
      <c r="E5" s="10">
        <v>120</v>
      </c>
      <c r="F5" s="10">
        <v>4</v>
      </c>
      <c r="G5" s="10">
        <v>5</v>
      </c>
      <c r="H5" s="10">
        <v>5</v>
      </c>
      <c r="I5" s="10">
        <v>15</v>
      </c>
      <c r="J5" s="10">
        <v>20</v>
      </c>
      <c r="K5" s="10">
        <v>35</v>
      </c>
      <c r="L5" s="10">
        <v>76</v>
      </c>
    </row>
    <row r="6" spans="1:12" x14ac:dyDescent="0.25">
      <c r="A6" s="7">
        <v>4</v>
      </c>
      <c r="B6" s="8" t="s">
        <v>37</v>
      </c>
      <c r="C6" s="10">
        <v>110</v>
      </c>
      <c r="D6" s="10">
        <v>115</v>
      </c>
      <c r="E6" s="10">
        <v>125</v>
      </c>
      <c r="F6" s="10">
        <v>4</v>
      </c>
      <c r="G6" s="10">
        <v>5</v>
      </c>
      <c r="H6" s="10">
        <v>5</v>
      </c>
      <c r="I6" s="10">
        <v>10</v>
      </c>
      <c r="J6" s="10">
        <v>25</v>
      </c>
      <c r="K6" s="10">
        <v>40</v>
      </c>
      <c r="L6" s="10">
        <v>74</v>
      </c>
    </row>
    <row r="7" spans="1:12" x14ac:dyDescent="0.25">
      <c r="A7" s="7">
        <v>5</v>
      </c>
      <c r="B7" s="8" t="s">
        <v>38</v>
      </c>
      <c r="C7" s="10">
        <v>110</v>
      </c>
      <c r="D7" s="10">
        <v>120</v>
      </c>
      <c r="E7" s="10">
        <v>125</v>
      </c>
      <c r="F7" s="10">
        <v>4</v>
      </c>
      <c r="G7" s="10">
        <v>5</v>
      </c>
      <c r="H7" s="10">
        <v>5</v>
      </c>
      <c r="I7" s="10">
        <v>10</v>
      </c>
      <c r="J7" s="10">
        <v>20</v>
      </c>
      <c r="K7" s="10">
        <v>50</v>
      </c>
      <c r="L7" s="10">
        <v>76</v>
      </c>
    </row>
    <row r="8" spans="1:12" x14ac:dyDescent="0.25">
      <c r="A8" s="7">
        <v>6</v>
      </c>
      <c r="B8" s="8" t="s">
        <v>39</v>
      </c>
      <c r="C8" s="10">
        <v>90</v>
      </c>
      <c r="D8" s="10">
        <v>95</v>
      </c>
      <c r="E8" s="10">
        <v>105</v>
      </c>
      <c r="F8" s="10">
        <v>4</v>
      </c>
      <c r="G8" s="10">
        <v>4</v>
      </c>
      <c r="H8" s="10">
        <v>5</v>
      </c>
      <c r="I8" s="10">
        <v>0</v>
      </c>
      <c r="J8" s="10">
        <v>10</v>
      </c>
      <c r="K8" s="10">
        <v>20</v>
      </c>
      <c r="L8" s="10">
        <v>69</v>
      </c>
    </row>
    <row r="9" spans="1:12" x14ac:dyDescent="0.25">
      <c r="A9" s="7">
        <v>7</v>
      </c>
      <c r="B9" s="8" t="s">
        <v>40</v>
      </c>
      <c r="C9" s="10">
        <v>100</v>
      </c>
      <c r="D9" s="10">
        <v>105</v>
      </c>
      <c r="E9" s="10">
        <v>110</v>
      </c>
      <c r="F9" s="10">
        <v>4</v>
      </c>
      <c r="G9" s="10">
        <v>5</v>
      </c>
      <c r="H9" s="10">
        <v>5</v>
      </c>
      <c r="I9" s="10">
        <v>15</v>
      </c>
      <c r="J9" s="10">
        <v>35</v>
      </c>
      <c r="K9" s="10">
        <v>55</v>
      </c>
      <c r="L9" s="10">
        <v>71</v>
      </c>
    </row>
    <row r="10" spans="1:12" x14ac:dyDescent="0.25">
      <c r="A10" s="7">
        <v>8</v>
      </c>
      <c r="B10" s="8" t="s">
        <v>41</v>
      </c>
      <c r="C10" s="10">
        <v>90</v>
      </c>
      <c r="D10" s="10">
        <v>95</v>
      </c>
      <c r="E10" s="10">
        <v>100</v>
      </c>
      <c r="F10" s="10">
        <v>4</v>
      </c>
      <c r="G10" s="10">
        <v>4</v>
      </c>
      <c r="H10" s="10">
        <v>5</v>
      </c>
      <c r="I10" s="10">
        <v>8</v>
      </c>
      <c r="J10" s="10">
        <v>30</v>
      </c>
      <c r="K10" s="10">
        <v>80</v>
      </c>
      <c r="L10" s="10">
        <v>65</v>
      </c>
    </row>
    <row r="11" spans="1:12" x14ac:dyDescent="0.25">
      <c r="A11" s="7">
        <v>9</v>
      </c>
      <c r="B11" s="8" t="s">
        <v>42</v>
      </c>
      <c r="C11" s="10">
        <v>95</v>
      </c>
      <c r="D11" s="10">
        <v>105</v>
      </c>
      <c r="E11" s="10">
        <v>110</v>
      </c>
      <c r="F11" s="10">
        <v>4</v>
      </c>
      <c r="G11" s="10">
        <v>5</v>
      </c>
      <c r="H11" s="10">
        <v>5</v>
      </c>
      <c r="I11" s="10">
        <v>15</v>
      </c>
      <c r="J11" s="10">
        <v>25</v>
      </c>
      <c r="K11" s="10">
        <v>50</v>
      </c>
      <c r="L11" s="10">
        <v>75</v>
      </c>
    </row>
    <row r="12" spans="1:12" x14ac:dyDescent="0.25">
      <c r="A12" s="7">
        <v>10</v>
      </c>
      <c r="B12" s="8" t="s">
        <v>43</v>
      </c>
      <c r="C12" s="10">
        <v>40</v>
      </c>
      <c r="D12" s="10">
        <v>65</v>
      </c>
      <c r="E12" s="10">
        <v>75</v>
      </c>
      <c r="F12" s="10">
        <v>3</v>
      </c>
      <c r="G12" s="10">
        <v>3</v>
      </c>
      <c r="H12" s="10">
        <v>4</v>
      </c>
      <c r="I12" s="10">
        <v>15</v>
      </c>
      <c r="J12" s="10">
        <v>30</v>
      </c>
      <c r="K12" s="10">
        <v>65</v>
      </c>
      <c r="L12" s="10">
        <v>66</v>
      </c>
    </row>
    <row r="13" spans="1:12" x14ac:dyDescent="0.25">
      <c r="A13" s="7">
        <v>11</v>
      </c>
      <c r="B13" s="8" t="s">
        <v>44</v>
      </c>
      <c r="C13" s="10">
        <v>85</v>
      </c>
      <c r="D13" s="10">
        <v>90</v>
      </c>
      <c r="E13" s="10">
        <v>100</v>
      </c>
      <c r="F13" s="10">
        <v>4</v>
      </c>
      <c r="G13" s="10">
        <v>4</v>
      </c>
      <c r="H13" s="10">
        <v>5</v>
      </c>
      <c r="I13" s="10">
        <v>30</v>
      </c>
      <c r="J13" s="10">
        <v>45</v>
      </c>
      <c r="K13" s="10">
        <v>70</v>
      </c>
      <c r="L13" s="10">
        <v>66</v>
      </c>
    </row>
    <row r="14" spans="1:12" x14ac:dyDescent="0.25">
      <c r="A14" s="7">
        <v>12</v>
      </c>
      <c r="B14" s="8" t="s">
        <v>45</v>
      </c>
      <c r="C14" s="10">
        <v>95</v>
      </c>
      <c r="D14" s="10">
        <v>100</v>
      </c>
      <c r="E14" s="10">
        <v>110</v>
      </c>
      <c r="F14" s="10">
        <v>4</v>
      </c>
      <c r="G14" s="10">
        <v>5</v>
      </c>
      <c r="H14" s="10">
        <v>5</v>
      </c>
      <c r="I14" s="10">
        <v>50</v>
      </c>
      <c r="J14" s="10">
        <v>70</v>
      </c>
      <c r="K14" s="10">
        <v>80</v>
      </c>
      <c r="L14" s="10">
        <v>75</v>
      </c>
    </row>
    <row r="15" spans="1:12" x14ac:dyDescent="0.25">
      <c r="A15" s="7">
        <v>13</v>
      </c>
      <c r="B15" s="8" t="s">
        <v>46</v>
      </c>
      <c r="C15" s="10">
        <v>40</v>
      </c>
      <c r="D15" s="10">
        <v>60</v>
      </c>
      <c r="E15" s="10">
        <v>75</v>
      </c>
      <c r="F15" s="10">
        <v>3</v>
      </c>
      <c r="G15" s="10">
        <v>3</v>
      </c>
      <c r="H15" s="10">
        <v>4</v>
      </c>
      <c r="I15" s="10">
        <v>1</v>
      </c>
      <c r="J15" s="10">
        <v>10</v>
      </c>
      <c r="K15" s="10">
        <v>25</v>
      </c>
      <c r="L15" s="10">
        <v>69</v>
      </c>
    </row>
    <row r="16" spans="1:12" x14ac:dyDescent="0.25">
      <c r="A16" s="7">
        <v>14</v>
      </c>
      <c r="B16" s="8" t="s">
        <v>47</v>
      </c>
      <c r="C16" s="10">
        <v>90</v>
      </c>
      <c r="D16" s="10">
        <v>100</v>
      </c>
      <c r="E16" s="10">
        <v>105</v>
      </c>
      <c r="F16" s="10">
        <v>4</v>
      </c>
      <c r="G16" s="10">
        <v>4</v>
      </c>
      <c r="H16" s="10">
        <v>5</v>
      </c>
      <c r="I16" s="10">
        <v>3</v>
      </c>
      <c r="J16" s="10">
        <v>10</v>
      </c>
      <c r="K16" s="10">
        <v>20</v>
      </c>
      <c r="L16" s="10">
        <v>74</v>
      </c>
    </row>
    <row r="17" spans="1:12" x14ac:dyDescent="0.25">
      <c r="A17" s="7">
        <v>15</v>
      </c>
      <c r="B17" s="8" t="s">
        <v>48</v>
      </c>
      <c r="C17" s="10">
        <v>115</v>
      </c>
      <c r="D17" s="10">
        <v>120</v>
      </c>
      <c r="E17" s="10">
        <v>120</v>
      </c>
      <c r="F17" s="10">
        <v>4</v>
      </c>
      <c r="G17" s="10">
        <v>5</v>
      </c>
      <c r="H17" s="10">
        <v>5</v>
      </c>
      <c r="I17" s="10">
        <v>30</v>
      </c>
      <c r="J17" s="10">
        <v>50</v>
      </c>
      <c r="K17" s="10">
        <v>65</v>
      </c>
      <c r="L17" s="10">
        <v>76</v>
      </c>
    </row>
    <row r="18" spans="1:12" x14ac:dyDescent="0.25">
      <c r="A18" s="7">
        <v>16</v>
      </c>
      <c r="B18" s="8" t="s">
        <v>49</v>
      </c>
      <c r="C18" s="10">
        <v>80</v>
      </c>
      <c r="D18" s="10">
        <v>90</v>
      </c>
      <c r="E18" s="10">
        <v>95</v>
      </c>
      <c r="F18" s="10">
        <v>4</v>
      </c>
      <c r="G18" s="10">
        <v>4</v>
      </c>
      <c r="H18" s="10">
        <v>5</v>
      </c>
      <c r="I18" s="10">
        <v>10</v>
      </c>
      <c r="J18" s="10">
        <v>20</v>
      </c>
      <c r="K18" s="10">
        <v>30</v>
      </c>
      <c r="L18" s="10">
        <v>77</v>
      </c>
    </row>
    <row r="19" spans="1:12" x14ac:dyDescent="0.25">
      <c r="A19" s="7">
        <v>17</v>
      </c>
      <c r="B19" s="8" t="s">
        <v>50</v>
      </c>
      <c r="C19" s="10">
        <v>80</v>
      </c>
      <c r="D19" s="10">
        <v>85</v>
      </c>
      <c r="E19" s="10">
        <v>90</v>
      </c>
      <c r="F19" s="10">
        <v>3</v>
      </c>
      <c r="G19" s="10">
        <v>3</v>
      </c>
      <c r="H19" s="10">
        <v>4</v>
      </c>
      <c r="I19" s="10">
        <v>3</v>
      </c>
      <c r="J19" s="10">
        <v>12</v>
      </c>
      <c r="K19" s="10">
        <v>30</v>
      </c>
      <c r="L19" s="10">
        <v>93</v>
      </c>
    </row>
    <row r="20" spans="1:12" x14ac:dyDescent="0.25">
      <c r="A20" s="7">
        <v>18</v>
      </c>
      <c r="B20" s="8" t="s">
        <v>51</v>
      </c>
      <c r="C20" s="10">
        <v>60</v>
      </c>
      <c r="D20" s="10">
        <v>70</v>
      </c>
      <c r="E20" s="10">
        <v>90</v>
      </c>
      <c r="F20" s="10">
        <v>2</v>
      </c>
      <c r="G20" s="10">
        <v>3</v>
      </c>
      <c r="H20" s="10">
        <v>4</v>
      </c>
      <c r="I20" s="10">
        <v>3</v>
      </c>
      <c r="J20" s="10">
        <v>10</v>
      </c>
      <c r="K20" s="10">
        <v>25</v>
      </c>
      <c r="L20" s="10">
        <v>68</v>
      </c>
    </row>
    <row r="21" spans="1:12" x14ac:dyDescent="0.25">
      <c r="A21" s="7">
        <v>19</v>
      </c>
      <c r="B21" s="8" t="s">
        <v>52</v>
      </c>
      <c r="C21" s="10">
        <v>90</v>
      </c>
      <c r="D21" s="10">
        <v>95</v>
      </c>
      <c r="E21" s="10">
        <v>100</v>
      </c>
      <c r="F21" s="10">
        <v>3</v>
      </c>
      <c r="G21" s="10">
        <v>4</v>
      </c>
      <c r="H21" s="10">
        <v>4</v>
      </c>
      <c r="I21" s="10">
        <v>4</v>
      </c>
      <c r="J21" s="10">
        <v>10</v>
      </c>
      <c r="K21" s="10">
        <v>20</v>
      </c>
      <c r="L21" s="10">
        <v>66</v>
      </c>
    </row>
    <row r="22" spans="1:12" x14ac:dyDescent="0.25">
      <c r="A22" s="7">
        <v>20</v>
      </c>
      <c r="B22" s="8" t="s">
        <v>53</v>
      </c>
      <c r="C22" s="10">
        <v>95</v>
      </c>
      <c r="D22" s="10">
        <v>105</v>
      </c>
      <c r="E22" s="10">
        <v>110</v>
      </c>
      <c r="F22" s="10">
        <v>4</v>
      </c>
      <c r="G22" s="10">
        <v>4</v>
      </c>
      <c r="H22" s="10">
        <v>5</v>
      </c>
      <c r="I22" s="10">
        <v>0</v>
      </c>
      <c r="J22" s="10">
        <v>0</v>
      </c>
      <c r="K22" s="10">
        <v>10</v>
      </c>
      <c r="L22" s="10">
        <v>124</v>
      </c>
    </row>
    <row r="23" spans="1:12" x14ac:dyDescent="0.25">
      <c r="A23" s="7">
        <v>21</v>
      </c>
      <c r="B23" s="8" t="s">
        <v>54</v>
      </c>
      <c r="C23" s="10">
        <v>60</v>
      </c>
      <c r="D23" s="10">
        <v>60</v>
      </c>
      <c r="E23" s="10">
        <v>80</v>
      </c>
      <c r="F23" s="10">
        <v>3</v>
      </c>
      <c r="G23" s="10">
        <v>4</v>
      </c>
      <c r="H23" s="10">
        <v>4</v>
      </c>
      <c r="I23" s="10">
        <v>0</v>
      </c>
      <c r="J23" s="10">
        <v>5</v>
      </c>
      <c r="K23" s="10">
        <v>10</v>
      </c>
      <c r="L23" s="10">
        <v>68</v>
      </c>
    </row>
    <row r="24" spans="1:12" x14ac:dyDescent="0.25">
      <c r="A24" s="7">
        <v>22</v>
      </c>
      <c r="B24" s="8" t="s">
        <v>55</v>
      </c>
      <c r="C24" s="10">
        <v>45</v>
      </c>
      <c r="D24" s="10">
        <v>75</v>
      </c>
      <c r="E24" s="10">
        <v>92</v>
      </c>
      <c r="F24" s="10">
        <v>3</v>
      </c>
      <c r="G24" s="10">
        <v>3</v>
      </c>
      <c r="H24" s="10">
        <v>4</v>
      </c>
      <c r="I24" s="10">
        <v>3</v>
      </c>
      <c r="J24" s="10">
        <v>5</v>
      </c>
      <c r="K24" s="10">
        <v>6</v>
      </c>
      <c r="L24" s="10">
        <v>72</v>
      </c>
    </row>
    <row r="25" spans="1:12" x14ac:dyDescent="0.25">
      <c r="A25" s="7">
        <v>23</v>
      </c>
      <c r="B25" s="8" t="s">
        <v>56</v>
      </c>
      <c r="C25" s="10">
        <v>85</v>
      </c>
      <c r="D25" s="10">
        <v>90</v>
      </c>
      <c r="E25" s="10">
        <v>100</v>
      </c>
      <c r="F25" s="10">
        <v>4</v>
      </c>
      <c r="G25" s="10">
        <v>4</v>
      </c>
      <c r="H25" s="10">
        <v>5</v>
      </c>
      <c r="I25" s="10">
        <v>0</v>
      </c>
      <c r="J25" s="10">
        <v>10</v>
      </c>
      <c r="K25" s="10">
        <v>20</v>
      </c>
      <c r="L25" s="10">
        <v>67</v>
      </c>
    </row>
    <row r="26" spans="1:12" x14ac:dyDescent="0.25">
      <c r="A26" s="7">
        <v>24</v>
      </c>
      <c r="B26" s="8" t="s">
        <v>57</v>
      </c>
      <c r="C26" s="10">
        <v>90</v>
      </c>
      <c r="D26" s="10">
        <v>110</v>
      </c>
      <c r="E26" s="10">
        <v>115</v>
      </c>
      <c r="F26" s="10">
        <v>4</v>
      </c>
      <c r="G26" s="10">
        <v>5</v>
      </c>
      <c r="H26" s="10">
        <v>5</v>
      </c>
      <c r="I26" s="10">
        <v>6</v>
      </c>
      <c r="J26" s="10">
        <v>6</v>
      </c>
      <c r="K26" s="10">
        <v>30</v>
      </c>
      <c r="L26" s="10">
        <v>72</v>
      </c>
    </row>
    <row r="27" spans="1:12" x14ac:dyDescent="0.25">
      <c r="A27" s="7">
        <v>25</v>
      </c>
      <c r="B27" s="8" t="s">
        <v>58</v>
      </c>
      <c r="C27" s="10">
        <v>85</v>
      </c>
      <c r="D27" s="10">
        <v>110</v>
      </c>
      <c r="E27" s="10">
        <v>120</v>
      </c>
      <c r="F27" s="10">
        <v>3</v>
      </c>
      <c r="G27" s="10">
        <v>4</v>
      </c>
      <c r="H27" s="10">
        <v>5</v>
      </c>
      <c r="I27" s="10">
        <v>15</v>
      </c>
      <c r="J27" s="10">
        <v>15</v>
      </c>
      <c r="K27" s="10">
        <v>35</v>
      </c>
      <c r="L27" s="10">
        <v>76</v>
      </c>
    </row>
    <row r="28" spans="1:12" x14ac:dyDescent="0.25">
      <c r="A28" s="7">
        <v>26</v>
      </c>
      <c r="B28" s="8" t="s">
        <v>59</v>
      </c>
      <c r="C28" s="10">
        <v>90</v>
      </c>
      <c r="D28" s="10">
        <v>95</v>
      </c>
      <c r="E28" s="10">
        <v>100</v>
      </c>
      <c r="F28" s="10">
        <v>4</v>
      </c>
      <c r="G28" s="10">
        <v>4</v>
      </c>
      <c r="H28" s="10">
        <v>5</v>
      </c>
      <c r="I28" s="10">
        <v>10</v>
      </c>
      <c r="J28" s="10">
        <v>15</v>
      </c>
      <c r="K28" s="10">
        <v>20</v>
      </c>
      <c r="L28" s="10">
        <v>79</v>
      </c>
    </row>
    <row r="29" spans="1:12" x14ac:dyDescent="0.25">
      <c r="A29" s="7">
        <v>27</v>
      </c>
      <c r="B29" s="8" t="s">
        <v>60</v>
      </c>
      <c r="C29" s="10">
        <v>55</v>
      </c>
      <c r="D29" s="10">
        <v>75</v>
      </c>
      <c r="E29" s="10">
        <v>90</v>
      </c>
      <c r="F29" s="10">
        <v>3</v>
      </c>
      <c r="G29" s="10">
        <v>3</v>
      </c>
      <c r="H29" s="10">
        <v>4</v>
      </c>
      <c r="I29" s="10">
        <v>6</v>
      </c>
      <c r="J29" s="10">
        <v>10</v>
      </c>
      <c r="K29" s="10">
        <v>25</v>
      </c>
      <c r="L29" s="10">
        <v>67</v>
      </c>
    </row>
    <row r="30" spans="1:12" x14ac:dyDescent="0.25">
      <c r="A30" s="7">
        <v>28</v>
      </c>
      <c r="B30" s="8" t="s">
        <v>61</v>
      </c>
      <c r="C30" s="10">
        <v>60</v>
      </c>
      <c r="D30" s="10">
        <v>70</v>
      </c>
      <c r="E30" s="10">
        <v>85</v>
      </c>
      <c r="F30" s="10">
        <v>3</v>
      </c>
      <c r="G30" s="10">
        <v>3</v>
      </c>
      <c r="H30" s="10">
        <v>4</v>
      </c>
      <c r="I30" s="10">
        <v>1</v>
      </c>
      <c r="J30" s="10">
        <v>10</v>
      </c>
      <c r="K30" s="10">
        <v>15</v>
      </c>
      <c r="L30" s="10">
        <v>70</v>
      </c>
    </row>
    <row r="31" spans="1:12" x14ac:dyDescent="0.25">
      <c r="A31" s="7">
        <v>29</v>
      </c>
      <c r="B31" s="8" t="s">
        <v>62</v>
      </c>
      <c r="C31" s="10">
        <v>90</v>
      </c>
      <c r="D31" s="10">
        <v>100</v>
      </c>
      <c r="E31" s="10">
        <v>105</v>
      </c>
      <c r="F31" s="10">
        <v>4</v>
      </c>
      <c r="G31" s="10">
        <v>4</v>
      </c>
      <c r="H31" s="10">
        <v>5</v>
      </c>
      <c r="I31" s="10">
        <v>10</v>
      </c>
      <c r="J31" s="10">
        <v>20</v>
      </c>
      <c r="K31" s="10">
        <v>25</v>
      </c>
      <c r="L31" s="10">
        <v>66</v>
      </c>
    </row>
    <row r="32" spans="1:12" x14ac:dyDescent="0.25">
      <c r="A32" s="7">
        <v>30</v>
      </c>
      <c r="B32" s="8" t="s">
        <v>63</v>
      </c>
      <c r="C32" s="10">
        <v>70</v>
      </c>
      <c r="D32" s="10">
        <v>105</v>
      </c>
      <c r="E32" s="10">
        <v>110</v>
      </c>
      <c r="F32" s="10">
        <v>3</v>
      </c>
      <c r="G32" s="10">
        <v>4</v>
      </c>
      <c r="H32" s="10">
        <v>5</v>
      </c>
      <c r="I32" s="10">
        <v>5</v>
      </c>
      <c r="J32" s="10">
        <v>40</v>
      </c>
      <c r="K32" s="10">
        <v>55</v>
      </c>
      <c r="L32" s="10">
        <v>68</v>
      </c>
    </row>
    <row r="33" spans="1:12" x14ac:dyDescent="0.25">
      <c r="A33" s="7">
        <v>31</v>
      </c>
      <c r="B33" s="8" t="s">
        <v>64</v>
      </c>
      <c r="C33" s="10">
        <v>85</v>
      </c>
      <c r="D33" s="10">
        <v>100</v>
      </c>
      <c r="E33" s="10">
        <v>105</v>
      </c>
      <c r="F33" s="10">
        <v>4</v>
      </c>
      <c r="G33" s="10">
        <v>4</v>
      </c>
      <c r="H33" s="10">
        <v>5</v>
      </c>
      <c r="I33" s="10">
        <v>10</v>
      </c>
      <c r="J33" s="10">
        <v>30</v>
      </c>
      <c r="K33" s="10">
        <v>50</v>
      </c>
      <c r="L33" s="10">
        <v>71</v>
      </c>
    </row>
    <row r="34" spans="1:12" x14ac:dyDescent="0.25">
      <c r="A34" s="7">
        <v>32</v>
      </c>
      <c r="B34" s="8" t="s">
        <v>65</v>
      </c>
      <c r="C34" s="10">
        <v>30</v>
      </c>
      <c r="D34" s="10">
        <v>60</v>
      </c>
      <c r="E34" s="10">
        <v>85</v>
      </c>
      <c r="F34" s="10">
        <v>2</v>
      </c>
      <c r="G34" s="10">
        <v>3</v>
      </c>
      <c r="H34" s="10">
        <v>3</v>
      </c>
      <c r="I34" s="10">
        <v>15</v>
      </c>
      <c r="J34" s="10">
        <v>25</v>
      </c>
      <c r="K34" s="10">
        <v>40</v>
      </c>
      <c r="L34" s="10">
        <v>69</v>
      </c>
    </row>
    <row r="35" spans="1:12" x14ac:dyDescent="0.25">
      <c r="A35" s="7">
        <v>33</v>
      </c>
      <c r="B35" s="8" t="s">
        <v>66</v>
      </c>
      <c r="C35" s="10">
        <v>85</v>
      </c>
      <c r="D35" s="10">
        <v>95</v>
      </c>
      <c r="E35" s="10">
        <v>100</v>
      </c>
      <c r="F35" s="10">
        <v>3</v>
      </c>
      <c r="G35" s="10">
        <v>4</v>
      </c>
      <c r="H35" s="10">
        <v>5</v>
      </c>
      <c r="I35" s="10">
        <v>2</v>
      </c>
      <c r="J35" s="10">
        <v>10</v>
      </c>
      <c r="K35" s="10">
        <v>20</v>
      </c>
      <c r="L35" s="10">
        <v>66</v>
      </c>
    </row>
    <row r="36" spans="1:12" x14ac:dyDescent="0.25">
      <c r="A36" s="7">
        <v>34</v>
      </c>
      <c r="B36" s="8" t="s">
        <v>67</v>
      </c>
      <c r="C36" s="10">
        <v>90</v>
      </c>
      <c r="D36" s="10">
        <v>100</v>
      </c>
      <c r="E36" s="10">
        <v>110</v>
      </c>
      <c r="F36" s="10">
        <v>4</v>
      </c>
      <c r="G36" s="10">
        <v>4</v>
      </c>
      <c r="H36" s="10">
        <v>5</v>
      </c>
      <c r="I36" s="10">
        <v>10</v>
      </c>
      <c r="J36" s="10">
        <v>20</v>
      </c>
      <c r="K36" s="10">
        <v>35</v>
      </c>
      <c r="L36" s="10">
        <v>68</v>
      </c>
    </row>
    <row r="37" spans="1:12" x14ac:dyDescent="0.25">
      <c r="A37" s="7">
        <v>35</v>
      </c>
      <c r="B37" s="8" t="s">
        <v>68</v>
      </c>
      <c r="C37" s="10">
        <v>75</v>
      </c>
      <c r="D37" s="10">
        <v>95</v>
      </c>
      <c r="E37" s="10">
        <v>100</v>
      </c>
      <c r="F37" s="10">
        <v>3</v>
      </c>
      <c r="G37" s="10">
        <v>4</v>
      </c>
      <c r="H37" s="10">
        <v>5</v>
      </c>
      <c r="I37" s="10">
        <v>3</v>
      </c>
      <c r="J37" s="10">
        <v>10</v>
      </c>
      <c r="K37" s="10">
        <v>15</v>
      </c>
      <c r="L37" s="10">
        <v>126</v>
      </c>
    </row>
    <row r="38" spans="1:12" x14ac:dyDescent="0.25">
      <c r="A38" s="7">
        <v>36</v>
      </c>
      <c r="B38" s="8" t="s">
        <v>69</v>
      </c>
      <c r="C38" s="10">
        <v>85</v>
      </c>
      <c r="D38" s="10">
        <v>95</v>
      </c>
      <c r="E38" s="10">
        <v>105</v>
      </c>
      <c r="F38" s="10">
        <v>4</v>
      </c>
      <c r="G38" s="10">
        <v>4</v>
      </c>
      <c r="H38" s="10">
        <v>5</v>
      </c>
      <c r="I38" s="10">
        <v>5</v>
      </c>
      <c r="J38" s="10">
        <v>10</v>
      </c>
      <c r="K38" s="10">
        <v>30</v>
      </c>
      <c r="L38" s="10">
        <v>72</v>
      </c>
    </row>
    <row r="39" spans="1:12" x14ac:dyDescent="0.25">
      <c r="A39" s="7">
        <v>37</v>
      </c>
      <c r="B39" s="8" t="s">
        <v>70</v>
      </c>
      <c r="C39" s="10">
        <v>90</v>
      </c>
      <c r="D39" s="10">
        <v>95</v>
      </c>
      <c r="E39" s="10">
        <v>110</v>
      </c>
      <c r="F39" s="10">
        <v>3</v>
      </c>
      <c r="G39" s="10">
        <v>4</v>
      </c>
      <c r="H39" s="10">
        <v>5</v>
      </c>
      <c r="I39" s="10">
        <v>15</v>
      </c>
      <c r="J39" s="10">
        <v>25</v>
      </c>
      <c r="K39" s="10">
        <v>40</v>
      </c>
      <c r="L39" s="10">
        <v>93</v>
      </c>
    </row>
    <row r="40" spans="1:12" x14ac:dyDescent="0.25">
      <c r="A40" s="7">
        <v>38</v>
      </c>
      <c r="B40" s="8" t="s">
        <v>71</v>
      </c>
      <c r="C40" s="10">
        <v>75</v>
      </c>
      <c r="D40" s="10">
        <v>95</v>
      </c>
      <c r="E40" s="10">
        <v>105</v>
      </c>
      <c r="F40" s="10">
        <v>3</v>
      </c>
      <c r="G40" s="10">
        <v>4</v>
      </c>
      <c r="H40" s="10">
        <v>5</v>
      </c>
      <c r="I40" s="10">
        <v>5</v>
      </c>
      <c r="J40" s="10">
        <v>10</v>
      </c>
      <c r="K40" s="10">
        <v>25</v>
      </c>
      <c r="L40" s="10">
        <v>70</v>
      </c>
    </row>
    <row r="41" spans="1:12" x14ac:dyDescent="0.25">
      <c r="A41" s="7">
        <v>39</v>
      </c>
      <c r="B41" s="8" t="s">
        <v>72</v>
      </c>
      <c r="C41" s="10">
        <v>80</v>
      </c>
      <c r="D41" s="10">
        <v>85</v>
      </c>
      <c r="E41" s="10">
        <v>100</v>
      </c>
      <c r="F41" s="10">
        <v>3</v>
      </c>
      <c r="G41" s="10">
        <v>4</v>
      </c>
      <c r="H41" s="10">
        <v>4</v>
      </c>
      <c r="I41" s="10">
        <v>10</v>
      </c>
      <c r="J41" s="10">
        <v>15</v>
      </c>
      <c r="K41" s="10">
        <v>25</v>
      </c>
      <c r="L41" s="10">
        <v>71</v>
      </c>
    </row>
    <row r="42" spans="1:12" x14ac:dyDescent="0.25">
      <c r="A42" s="7">
        <v>40</v>
      </c>
      <c r="B42" s="8" t="s">
        <v>73</v>
      </c>
      <c r="C42" s="10">
        <v>85</v>
      </c>
      <c r="D42" s="10">
        <v>95</v>
      </c>
      <c r="E42" s="10">
        <v>115</v>
      </c>
      <c r="F42" s="10">
        <v>4</v>
      </c>
      <c r="G42" s="10">
        <v>4</v>
      </c>
      <c r="H42" s="10">
        <v>5</v>
      </c>
      <c r="I42" s="10">
        <v>3</v>
      </c>
      <c r="J42" s="10">
        <v>20</v>
      </c>
      <c r="K42" s="10">
        <v>30</v>
      </c>
      <c r="L42" s="10">
        <v>74</v>
      </c>
    </row>
    <row r="43" spans="1:12" x14ac:dyDescent="0.25">
      <c r="A43" s="7">
        <v>41</v>
      </c>
      <c r="B43" s="8" t="s">
        <v>74</v>
      </c>
      <c r="C43" s="10">
        <v>90</v>
      </c>
      <c r="D43" s="10">
        <v>100</v>
      </c>
      <c r="E43" s="10">
        <v>120</v>
      </c>
      <c r="F43" s="10">
        <v>4</v>
      </c>
      <c r="G43" s="10">
        <v>5</v>
      </c>
      <c r="H43" s="10">
        <v>5</v>
      </c>
      <c r="I43" s="10">
        <v>15</v>
      </c>
      <c r="J43" s="10">
        <v>30</v>
      </c>
      <c r="K43" s="10">
        <v>45</v>
      </c>
      <c r="L43" s="10">
        <v>79</v>
      </c>
    </row>
    <row r="44" spans="1:12" x14ac:dyDescent="0.25">
      <c r="A44" s="7">
        <v>42</v>
      </c>
      <c r="B44" s="8" t="s">
        <v>75</v>
      </c>
      <c r="C44" s="10">
        <v>85</v>
      </c>
      <c r="D44" s="10">
        <v>95</v>
      </c>
      <c r="E44" s="10">
        <v>115</v>
      </c>
      <c r="F44" s="10">
        <v>3</v>
      </c>
      <c r="G44" s="10">
        <v>4</v>
      </c>
      <c r="H44" s="10">
        <v>4</v>
      </c>
      <c r="I44" s="10">
        <v>12</v>
      </c>
      <c r="J44" s="10">
        <v>25</v>
      </c>
      <c r="K44" s="10">
        <v>40</v>
      </c>
      <c r="L44" s="10">
        <v>75</v>
      </c>
    </row>
    <row r="45" spans="1:12" x14ac:dyDescent="0.25">
      <c r="A45" s="7">
        <v>43</v>
      </c>
      <c r="B45" s="8" t="s">
        <v>76</v>
      </c>
      <c r="C45" s="10">
        <v>80</v>
      </c>
      <c r="D45" s="10">
        <v>95</v>
      </c>
      <c r="E45" s="10">
        <v>120</v>
      </c>
      <c r="F45" s="10">
        <v>3</v>
      </c>
      <c r="G45" s="10">
        <v>4</v>
      </c>
      <c r="H45" s="10">
        <v>5</v>
      </c>
      <c r="I45" s="10">
        <v>5</v>
      </c>
      <c r="J45" s="10">
        <v>10</v>
      </c>
      <c r="K45" s="10">
        <v>30</v>
      </c>
      <c r="L45" s="10">
        <v>72</v>
      </c>
    </row>
    <row r="46" spans="1:12" x14ac:dyDescent="0.25">
      <c r="A46" s="7">
        <v>44</v>
      </c>
      <c r="B46" s="8" t="s">
        <v>77</v>
      </c>
      <c r="C46" s="10">
        <v>95</v>
      </c>
      <c r="D46" s="10">
        <v>100</v>
      </c>
      <c r="E46" s="10">
        <v>120</v>
      </c>
      <c r="F46" s="10">
        <v>4</v>
      </c>
      <c r="G46" s="10">
        <v>4</v>
      </c>
      <c r="H46" s="10">
        <v>5</v>
      </c>
      <c r="I46" s="10">
        <v>5</v>
      </c>
      <c r="J46" s="10">
        <v>10</v>
      </c>
      <c r="K46" s="10">
        <v>30</v>
      </c>
      <c r="L46" s="10">
        <v>61</v>
      </c>
    </row>
    <row r="47" spans="1:12" x14ac:dyDescent="0.25">
      <c r="A47" s="7">
        <v>45</v>
      </c>
      <c r="B47" s="8" t="s">
        <v>78</v>
      </c>
      <c r="C47" s="10">
        <v>110</v>
      </c>
      <c r="D47" s="10">
        <v>115</v>
      </c>
      <c r="E47" s="10">
        <v>125</v>
      </c>
      <c r="F47" s="10">
        <v>4</v>
      </c>
      <c r="G47" s="10">
        <v>5</v>
      </c>
      <c r="H47" s="10">
        <v>5</v>
      </c>
      <c r="I47" s="10">
        <v>15</v>
      </c>
      <c r="J47" s="10">
        <v>25</v>
      </c>
      <c r="K47" s="10">
        <v>50</v>
      </c>
      <c r="L47" s="10">
        <v>76</v>
      </c>
    </row>
  </sheetData>
  <phoneticPr fontId="1" type="noConversion"/>
  <conditionalFormatting sqref="B3:B47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1353-EDDC-4BDE-A089-599AF748FEB9}">
  <dimension ref="A1:K46"/>
  <sheetViews>
    <sheetView workbookViewId="0">
      <selection activeCell="J4" sqref="J4"/>
    </sheetView>
  </sheetViews>
  <sheetFormatPr defaultRowHeight="13.8" x14ac:dyDescent="0.25"/>
  <cols>
    <col min="2" max="2" width="18.109375" customWidth="1"/>
  </cols>
  <sheetData>
    <row r="1" spans="1:11" x14ac:dyDescent="0.25">
      <c r="A1" s="1" t="s">
        <v>0</v>
      </c>
      <c r="B1" s="1" t="s">
        <v>1</v>
      </c>
      <c r="C1" s="3" t="s">
        <v>30</v>
      </c>
      <c r="D1" s="3" t="s">
        <v>31</v>
      </c>
      <c r="E1" s="5" t="s">
        <v>130</v>
      </c>
      <c r="F1" s="3" t="s">
        <v>131</v>
      </c>
      <c r="G1" s="5" t="s">
        <v>132</v>
      </c>
      <c r="H1" s="3" t="s">
        <v>32</v>
      </c>
      <c r="I1" s="6" t="s">
        <v>33</v>
      </c>
      <c r="K1" s="6"/>
    </row>
    <row r="2" spans="1:11" x14ac:dyDescent="0.25">
      <c r="A2" s="7">
        <v>1</v>
      </c>
      <c r="B2" s="8" t="s">
        <v>34</v>
      </c>
      <c r="C2" s="11" t="s">
        <v>129</v>
      </c>
    </row>
    <row r="3" spans="1:11" x14ac:dyDescent="0.25">
      <c r="A3" s="7">
        <v>2</v>
      </c>
      <c r="B3" s="8" t="s">
        <v>35</v>
      </c>
      <c r="E3" s="11" t="s">
        <v>129</v>
      </c>
    </row>
    <row r="4" spans="1:11" x14ac:dyDescent="0.25">
      <c r="A4" s="7">
        <v>3</v>
      </c>
      <c r="B4" s="8" t="s">
        <v>36</v>
      </c>
    </row>
    <row r="5" spans="1:11" x14ac:dyDescent="0.25">
      <c r="A5" s="7">
        <v>4</v>
      </c>
      <c r="B5" s="8" t="s">
        <v>37</v>
      </c>
      <c r="C5" s="11" t="s">
        <v>129</v>
      </c>
      <c r="D5" s="11" t="s">
        <v>129</v>
      </c>
      <c r="E5" s="11" t="s">
        <v>129</v>
      </c>
      <c r="H5" s="11" t="s">
        <v>129</v>
      </c>
    </row>
    <row r="6" spans="1:11" x14ac:dyDescent="0.25">
      <c r="A6" s="7">
        <v>5</v>
      </c>
      <c r="B6" s="8" t="s">
        <v>38</v>
      </c>
      <c r="C6" s="11" t="s">
        <v>129</v>
      </c>
    </row>
    <row r="7" spans="1:11" x14ac:dyDescent="0.25">
      <c r="A7" s="7">
        <v>6</v>
      </c>
      <c r="B7" s="8" t="s">
        <v>39</v>
      </c>
      <c r="C7" s="11" t="s">
        <v>129</v>
      </c>
      <c r="D7" s="11" t="s">
        <v>129</v>
      </c>
    </row>
    <row r="8" spans="1:11" x14ac:dyDescent="0.25">
      <c r="A8" s="7">
        <v>7</v>
      </c>
      <c r="B8" s="8" t="s">
        <v>40</v>
      </c>
      <c r="E8" s="11" t="s">
        <v>129</v>
      </c>
      <c r="F8" s="11" t="s">
        <v>129</v>
      </c>
    </row>
    <row r="9" spans="1:11" x14ac:dyDescent="0.25">
      <c r="A9" s="7">
        <v>8</v>
      </c>
      <c r="B9" s="8" t="s">
        <v>41</v>
      </c>
      <c r="E9" s="11" t="s">
        <v>129</v>
      </c>
    </row>
    <row r="10" spans="1:11" x14ac:dyDescent="0.25">
      <c r="A10" s="7">
        <v>9</v>
      </c>
      <c r="B10" s="8" t="s">
        <v>42</v>
      </c>
    </row>
    <row r="11" spans="1:11" x14ac:dyDescent="0.25">
      <c r="A11" s="7">
        <v>10</v>
      </c>
      <c r="B11" s="8" t="s">
        <v>43</v>
      </c>
      <c r="C11" s="11" t="s">
        <v>129</v>
      </c>
      <c r="D11" s="11" t="s">
        <v>129</v>
      </c>
    </row>
    <row r="12" spans="1:11" x14ac:dyDescent="0.25">
      <c r="A12" s="7">
        <v>11</v>
      </c>
      <c r="B12" s="8" t="s">
        <v>44</v>
      </c>
      <c r="E12" s="11" t="s">
        <v>129</v>
      </c>
    </row>
    <row r="13" spans="1:11" x14ac:dyDescent="0.25">
      <c r="A13" s="7">
        <v>12</v>
      </c>
      <c r="B13" s="8" t="s">
        <v>45</v>
      </c>
      <c r="F13" s="11" t="s">
        <v>129</v>
      </c>
    </row>
    <row r="14" spans="1:11" x14ac:dyDescent="0.25">
      <c r="A14" s="7">
        <v>13</v>
      </c>
      <c r="B14" s="8" t="s">
        <v>46</v>
      </c>
      <c r="E14" s="11" t="s">
        <v>129</v>
      </c>
    </row>
    <row r="15" spans="1:11" x14ac:dyDescent="0.25">
      <c r="A15" s="7">
        <v>14</v>
      </c>
      <c r="B15" s="8" t="s">
        <v>47</v>
      </c>
      <c r="C15" s="11" t="s">
        <v>129</v>
      </c>
      <c r="D15" s="11" t="s">
        <v>129</v>
      </c>
      <c r="E15" s="11" t="s">
        <v>129</v>
      </c>
    </row>
    <row r="16" spans="1:11" x14ac:dyDescent="0.25">
      <c r="A16" s="7">
        <v>15</v>
      </c>
      <c r="B16" s="8" t="s">
        <v>48</v>
      </c>
    </row>
    <row r="17" spans="1:8" x14ac:dyDescent="0.25">
      <c r="A17" s="7">
        <v>16</v>
      </c>
      <c r="B17" s="8" t="s">
        <v>49</v>
      </c>
      <c r="C17" s="11" t="s">
        <v>129</v>
      </c>
    </row>
    <row r="18" spans="1:8" x14ac:dyDescent="0.25">
      <c r="A18" s="7">
        <v>17</v>
      </c>
      <c r="B18" s="8" t="s">
        <v>50</v>
      </c>
      <c r="C18" s="11"/>
      <c r="E18" s="11" t="s">
        <v>129</v>
      </c>
      <c r="F18" s="11" t="s">
        <v>129</v>
      </c>
      <c r="G18" s="11" t="s">
        <v>129</v>
      </c>
      <c r="H18" s="11" t="s">
        <v>129</v>
      </c>
    </row>
    <row r="19" spans="1:8" x14ac:dyDescent="0.25">
      <c r="A19" s="7">
        <v>18</v>
      </c>
      <c r="B19" s="8" t="s">
        <v>51</v>
      </c>
    </row>
    <row r="20" spans="1:8" x14ac:dyDescent="0.25">
      <c r="A20" s="7">
        <v>19</v>
      </c>
      <c r="B20" s="8" t="s">
        <v>52</v>
      </c>
    </row>
    <row r="21" spans="1:8" x14ac:dyDescent="0.25">
      <c r="A21" s="7">
        <v>20</v>
      </c>
      <c r="B21" s="8" t="s">
        <v>53</v>
      </c>
      <c r="C21" s="11" t="s">
        <v>129</v>
      </c>
      <c r="D21" s="11" t="s">
        <v>129</v>
      </c>
    </row>
    <row r="22" spans="1:8" x14ac:dyDescent="0.25">
      <c r="A22" s="7">
        <v>21</v>
      </c>
      <c r="B22" s="8" t="s">
        <v>54</v>
      </c>
      <c r="C22" s="11" t="s">
        <v>129</v>
      </c>
      <c r="D22" s="11" t="s">
        <v>129</v>
      </c>
      <c r="E22" s="11" t="s">
        <v>129</v>
      </c>
    </row>
    <row r="23" spans="1:8" x14ac:dyDescent="0.25">
      <c r="A23" s="7">
        <v>22</v>
      </c>
      <c r="B23" s="8" t="s">
        <v>55</v>
      </c>
    </row>
    <row r="24" spans="1:8" x14ac:dyDescent="0.25">
      <c r="A24" s="7">
        <v>23</v>
      </c>
      <c r="B24" s="8" t="s">
        <v>56</v>
      </c>
      <c r="C24" s="11" t="s">
        <v>129</v>
      </c>
      <c r="E24" s="11" t="s">
        <v>129</v>
      </c>
    </row>
    <row r="25" spans="1:8" x14ac:dyDescent="0.25">
      <c r="A25" s="7">
        <v>24</v>
      </c>
      <c r="B25" s="8" t="s">
        <v>57</v>
      </c>
      <c r="C25" s="11" t="s">
        <v>129</v>
      </c>
      <c r="D25" s="11" t="s">
        <v>129</v>
      </c>
    </row>
    <row r="26" spans="1:8" x14ac:dyDescent="0.25">
      <c r="A26" s="7">
        <v>25</v>
      </c>
      <c r="B26" s="8" t="s">
        <v>58</v>
      </c>
      <c r="E26" s="11" t="s">
        <v>129</v>
      </c>
      <c r="F26" s="11" t="s">
        <v>129</v>
      </c>
    </row>
    <row r="27" spans="1:8" x14ac:dyDescent="0.25">
      <c r="A27" s="7">
        <v>26</v>
      </c>
      <c r="B27" s="8" t="s">
        <v>59</v>
      </c>
    </row>
    <row r="28" spans="1:8" x14ac:dyDescent="0.25">
      <c r="A28" s="7">
        <v>27</v>
      </c>
      <c r="B28" s="8" t="s">
        <v>60</v>
      </c>
      <c r="C28" s="11" t="s">
        <v>129</v>
      </c>
      <c r="E28" s="11" t="s">
        <v>129</v>
      </c>
    </row>
    <row r="29" spans="1:8" x14ac:dyDescent="0.25">
      <c r="A29" s="7">
        <v>28</v>
      </c>
      <c r="B29" s="8" t="s">
        <v>61</v>
      </c>
      <c r="E29" s="11" t="s">
        <v>129</v>
      </c>
    </row>
    <row r="30" spans="1:8" x14ac:dyDescent="0.25">
      <c r="A30" s="7">
        <v>29</v>
      </c>
      <c r="B30" s="8" t="s">
        <v>62</v>
      </c>
    </row>
    <row r="31" spans="1:8" x14ac:dyDescent="0.25">
      <c r="A31" s="7">
        <v>30</v>
      </c>
      <c r="B31" s="8" t="s">
        <v>63</v>
      </c>
    </row>
    <row r="32" spans="1:8" x14ac:dyDescent="0.25">
      <c r="A32" s="7">
        <v>31</v>
      </c>
      <c r="B32" s="8" t="s">
        <v>64</v>
      </c>
    </row>
    <row r="33" spans="1:8" x14ac:dyDescent="0.25">
      <c r="A33" s="7">
        <v>32</v>
      </c>
      <c r="B33" s="8" t="s">
        <v>65</v>
      </c>
      <c r="C33" s="11" t="s">
        <v>129</v>
      </c>
      <c r="D33" s="11" t="s">
        <v>129</v>
      </c>
    </row>
    <row r="34" spans="1:8" x14ac:dyDescent="0.25">
      <c r="A34" s="7">
        <v>33</v>
      </c>
      <c r="B34" s="8" t="s">
        <v>66</v>
      </c>
      <c r="E34" s="11" t="s">
        <v>129</v>
      </c>
      <c r="F34" s="11" t="s">
        <v>129</v>
      </c>
    </row>
    <row r="35" spans="1:8" x14ac:dyDescent="0.25">
      <c r="A35" s="7">
        <v>34</v>
      </c>
      <c r="B35" s="8" t="s">
        <v>67</v>
      </c>
    </row>
    <row r="36" spans="1:8" x14ac:dyDescent="0.25">
      <c r="A36" s="7">
        <v>35</v>
      </c>
      <c r="B36" s="8" t="s">
        <v>68</v>
      </c>
    </row>
    <row r="37" spans="1:8" x14ac:dyDescent="0.25">
      <c r="A37" s="7">
        <v>36</v>
      </c>
      <c r="B37" s="8" t="s">
        <v>69</v>
      </c>
      <c r="C37" s="11" t="s">
        <v>129</v>
      </c>
    </row>
    <row r="38" spans="1:8" x14ac:dyDescent="0.25">
      <c r="A38" s="7">
        <v>37</v>
      </c>
      <c r="B38" s="8" t="s">
        <v>70</v>
      </c>
      <c r="C38" s="11" t="s">
        <v>129</v>
      </c>
      <c r="D38" s="11" t="s">
        <v>129</v>
      </c>
    </row>
    <row r="39" spans="1:8" x14ac:dyDescent="0.25">
      <c r="A39" s="7">
        <v>38</v>
      </c>
      <c r="B39" s="8" t="s">
        <v>71</v>
      </c>
      <c r="E39" s="11" t="s">
        <v>129</v>
      </c>
    </row>
    <row r="40" spans="1:8" x14ac:dyDescent="0.25">
      <c r="A40" s="7">
        <v>39</v>
      </c>
      <c r="B40" s="8" t="s">
        <v>72</v>
      </c>
      <c r="H40" s="11" t="s">
        <v>129</v>
      </c>
    </row>
    <row r="41" spans="1:8" x14ac:dyDescent="0.25">
      <c r="A41" s="7">
        <v>40</v>
      </c>
      <c r="B41" s="8" t="s">
        <v>73</v>
      </c>
      <c r="C41" s="11" t="s">
        <v>129</v>
      </c>
    </row>
    <row r="42" spans="1:8" x14ac:dyDescent="0.25">
      <c r="A42" s="7">
        <v>41</v>
      </c>
      <c r="B42" s="8" t="s">
        <v>74</v>
      </c>
    </row>
    <row r="43" spans="1:8" x14ac:dyDescent="0.25">
      <c r="A43" s="7">
        <v>42</v>
      </c>
      <c r="B43" s="8" t="s">
        <v>75</v>
      </c>
    </row>
    <row r="44" spans="1:8" x14ac:dyDescent="0.25">
      <c r="A44" s="7">
        <v>43</v>
      </c>
      <c r="B44" s="8" t="s">
        <v>76</v>
      </c>
    </row>
    <row r="45" spans="1:8" x14ac:dyDescent="0.25">
      <c r="A45" s="7">
        <v>44</v>
      </c>
      <c r="B45" s="8" t="s">
        <v>77</v>
      </c>
      <c r="C45" s="11" t="s">
        <v>129</v>
      </c>
      <c r="D45" s="11" t="s">
        <v>129</v>
      </c>
    </row>
    <row r="46" spans="1:8" x14ac:dyDescent="0.25">
      <c r="A46" s="7">
        <v>45</v>
      </c>
      <c r="B46" s="8" t="s">
        <v>78</v>
      </c>
      <c r="E46" s="11" t="s">
        <v>129</v>
      </c>
      <c r="F46" s="11" t="s">
        <v>129</v>
      </c>
      <c r="G46" s="11" t="s">
        <v>129</v>
      </c>
    </row>
  </sheetData>
  <phoneticPr fontId="1" type="noConversion"/>
  <conditionalFormatting sqref="B2:B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Basic characteristics</vt:lpstr>
      <vt:lpstr>Pain</vt:lpstr>
      <vt:lpstr>Morphine consumption(mg)</vt:lpstr>
      <vt:lpstr>Functional recovery</vt:lpstr>
      <vt:lpstr>Adverse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2019-02-08T06:25:30Z</dcterms:modified>
</cp:coreProperties>
</file>