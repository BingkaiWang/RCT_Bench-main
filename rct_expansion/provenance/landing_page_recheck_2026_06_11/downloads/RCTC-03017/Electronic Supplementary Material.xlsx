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0" windowWidth="19104" windowHeight="7356"/>
  </bookViews>
  <sheets>
    <sheet name="intravenous group" sheetId="6" r:id="rId1"/>
    <sheet name="topical group" sheetId="7" r:id="rId2"/>
    <sheet name="combined group" sheetId="1" r:id="rId3"/>
  </sheets>
  <calcPr calcId="125725"/>
</workbook>
</file>

<file path=xl/calcChain.xml><?xml version="1.0" encoding="utf-8"?>
<calcChain xmlns="http://schemas.openxmlformats.org/spreadsheetml/2006/main">
  <c r="K3" i="7"/>
  <c r="K4"/>
  <c r="K5"/>
  <c r="K6"/>
  <c r="K7"/>
  <c r="K8"/>
  <c r="K9"/>
  <c r="K10"/>
  <c r="K11"/>
  <c r="K12"/>
  <c r="K13"/>
  <c r="K14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2"/>
  <c r="V51"/>
  <c r="V52"/>
  <c r="V53"/>
  <c r="V54"/>
  <c r="V55"/>
  <c r="V56"/>
  <c r="V57"/>
  <c r="V58"/>
  <c r="V59"/>
  <c r="V60"/>
  <c r="V61"/>
  <c r="V62"/>
  <c r="V24"/>
  <c r="V25"/>
  <c r="V26"/>
  <c r="V27"/>
  <c r="V28"/>
  <c r="V29"/>
  <c r="V30"/>
  <c r="V31"/>
  <c r="V32"/>
  <c r="V33"/>
  <c r="V34"/>
  <c r="V35"/>
  <c r="V36"/>
  <c r="V37"/>
  <c r="V38"/>
  <c r="V16"/>
  <c r="V17"/>
  <c r="V18"/>
  <c r="V19"/>
  <c r="V20"/>
  <c r="V21"/>
  <c r="V22"/>
  <c r="V23"/>
  <c r="V40"/>
  <c r="V41"/>
  <c r="V42"/>
  <c r="V43"/>
  <c r="V44"/>
  <c r="V45"/>
  <c r="V46"/>
  <c r="V47"/>
  <c r="V48"/>
  <c r="V49"/>
  <c r="V50"/>
  <c r="V39"/>
  <c r="V3"/>
  <c r="V4"/>
  <c r="V5"/>
  <c r="V6"/>
  <c r="V7"/>
  <c r="V8"/>
  <c r="V9"/>
  <c r="V10"/>
  <c r="V11"/>
  <c r="V12"/>
  <c r="V13"/>
  <c r="V14"/>
  <c r="V15"/>
  <c r="V2"/>
  <c r="I37" i="6" l="1"/>
  <c r="S37" s="1"/>
  <c r="V37" s="1"/>
  <c r="X37" s="1"/>
  <c r="I50"/>
  <c r="K50" s="1"/>
  <c r="I46"/>
  <c r="S46" s="1"/>
  <c r="V46" s="1"/>
  <c r="X46" s="1"/>
  <c r="I22"/>
  <c r="K22" s="1"/>
  <c r="I59"/>
  <c r="S59" s="1"/>
  <c r="V59" s="1"/>
  <c r="X59" s="1"/>
  <c r="I24"/>
  <c r="K24" s="1"/>
  <c r="I13"/>
  <c r="O13" s="1"/>
  <c r="V13" s="1"/>
  <c r="X13" s="1"/>
  <c r="I16"/>
  <c r="K16" s="1"/>
  <c r="I49"/>
  <c r="S49" s="1"/>
  <c r="V49" s="1"/>
  <c r="X49" s="1"/>
  <c r="I6"/>
  <c r="K6" s="1"/>
  <c r="I44"/>
  <c r="S44" s="1"/>
  <c r="V44" s="1"/>
  <c r="X44" s="1"/>
  <c r="I45"/>
  <c r="K45" s="1"/>
  <c r="I38"/>
  <c r="S38" s="1"/>
  <c r="V38" s="1"/>
  <c r="X38" s="1"/>
  <c r="I30"/>
  <c r="K30" s="1"/>
  <c r="I34"/>
  <c r="O34" s="1"/>
  <c r="V34" s="1"/>
  <c r="X34" s="1"/>
  <c r="I9"/>
  <c r="K9" s="1"/>
  <c r="I26"/>
  <c r="O26" s="1"/>
  <c r="V26" s="1"/>
  <c r="X26" s="1"/>
  <c r="I40"/>
  <c r="K40" s="1"/>
  <c r="I27"/>
  <c r="O27" s="1"/>
  <c r="V27" s="1"/>
  <c r="X27" s="1"/>
  <c r="I29"/>
  <c r="K29" s="1"/>
  <c r="I28"/>
  <c r="O28" s="1"/>
  <c r="V28" s="1"/>
  <c r="X28" s="1"/>
  <c r="I15"/>
  <c r="K15" s="1"/>
  <c r="I35"/>
  <c r="O35" s="1"/>
  <c r="V35" s="1"/>
  <c r="X35" s="1"/>
  <c r="I51"/>
  <c r="K51" s="1"/>
  <c r="I14"/>
  <c r="O14" s="1"/>
  <c r="V14" s="1"/>
  <c r="X14" s="1"/>
  <c r="I62"/>
  <c r="K62" s="1"/>
  <c r="I23"/>
  <c r="O23" s="1"/>
  <c r="V23" s="1"/>
  <c r="X23" s="1"/>
  <c r="I12"/>
  <c r="K12" s="1"/>
  <c r="I11"/>
  <c r="O11" s="1"/>
  <c r="V11" s="1"/>
  <c r="X11" s="1"/>
  <c r="I48"/>
  <c r="K48" s="1"/>
  <c r="I47"/>
  <c r="S47" s="1"/>
  <c r="V47" s="1"/>
  <c r="X47" s="1"/>
  <c r="I61"/>
  <c r="K61" s="1"/>
  <c r="I60"/>
  <c r="S60" s="1"/>
  <c r="V60" s="1"/>
  <c r="X60" s="1"/>
  <c r="I54"/>
  <c r="K54" s="1"/>
  <c r="I56"/>
  <c r="S56" s="1"/>
  <c r="V56" s="1"/>
  <c r="X56" s="1"/>
  <c r="I10"/>
  <c r="K10" s="1"/>
  <c r="I33"/>
  <c r="O33" s="1"/>
  <c r="V33" s="1"/>
  <c r="X33" s="1"/>
  <c r="I32"/>
  <c r="K32" s="1"/>
  <c r="I43"/>
  <c r="S43" s="1"/>
  <c r="V43" s="1"/>
  <c r="X43" s="1"/>
  <c r="I8"/>
  <c r="K8" s="1"/>
  <c r="I42"/>
  <c r="S42" s="1"/>
  <c r="V42" s="1"/>
  <c r="X42" s="1"/>
  <c r="I41"/>
  <c r="K41" s="1"/>
  <c r="I39"/>
  <c r="S39" s="1"/>
  <c r="V39" s="1"/>
  <c r="X39" s="1"/>
  <c r="I21"/>
  <c r="K21" s="1"/>
  <c r="I7"/>
  <c r="O7" s="1"/>
  <c r="V7" s="1"/>
  <c r="X7" s="1"/>
  <c r="I20"/>
  <c r="K20" s="1"/>
  <c r="I31"/>
  <c r="O31" s="1"/>
  <c r="V31" s="1"/>
  <c r="X31" s="1"/>
  <c r="I19"/>
  <c r="K19" s="1"/>
  <c r="I18"/>
  <c r="O18" s="1"/>
  <c r="V18" s="1"/>
  <c r="X18" s="1"/>
  <c r="I58"/>
  <c r="K58" s="1"/>
  <c r="I17"/>
  <c r="O17" s="1"/>
  <c r="V17" s="1"/>
  <c r="X17" s="1"/>
  <c r="I5"/>
  <c r="K5" s="1"/>
  <c r="I25"/>
  <c r="O25" s="1"/>
  <c r="V25" s="1"/>
  <c r="X25" s="1"/>
  <c r="I53"/>
  <c r="K53" s="1"/>
  <c r="I57"/>
  <c r="S57" s="1"/>
  <c r="V57" s="1"/>
  <c r="X57" s="1"/>
  <c r="I4"/>
  <c r="K4" s="1"/>
  <c r="I55"/>
  <c r="S55" s="1"/>
  <c r="V55" s="1"/>
  <c r="X55" s="1"/>
  <c r="I52"/>
  <c r="K52" s="1"/>
  <c r="I36"/>
  <c r="S36" s="1"/>
  <c r="V36" s="1"/>
  <c r="X36" s="1"/>
  <c r="I3"/>
  <c r="K3" s="1"/>
  <c r="I2"/>
  <c r="O2" s="1"/>
  <c r="V2" s="1"/>
  <c r="I7" i="1"/>
  <c r="O7" s="1"/>
  <c r="I39"/>
  <c r="S39" s="1"/>
  <c r="I3"/>
  <c r="O3" s="1"/>
  <c r="I57"/>
  <c r="S57" s="1"/>
  <c r="I50"/>
  <c r="S50" s="1"/>
  <c r="I31"/>
  <c r="O31" s="1"/>
  <c r="I35"/>
  <c r="S35" s="1"/>
  <c r="I13"/>
  <c r="O13" s="1"/>
  <c r="I23"/>
  <c r="O23" s="1"/>
  <c r="I38"/>
  <c r="S38" s="1"/>
  <c r="I60"/>
  <c r="S60" s="1"/>
  <c r="I33"/>
  <c r="O33" s="1"/>
  <c r="I24"/>
  <c r="O24" s="1"/>
  <c r="I15"/>
  <c r="K15" s="1"/>
  <c r="I41"/>
  <c r="S41" s="1"/>
  <c r="I54"/>
  <c r="K54" s="1"/>
  <c r="I40"/>
  <c r="K40" s="1"/>
  <c r="I25"/>
  <c r="K25" s="1"/>
  <c r="I26"/>
  <c r="K26" s="1"/>
  <c r="I10"/>
  <c r="K10" s="1"/>
  <c r="I17"/>
  <c r="K17" s="1"/>
  <c r="I14"/>
  <c r="K14" s="1"/>
  <c r="I36"/>
  <c r="K36" s="1"/>
  <c r="I47"/>
  <c r="K47" s="1"/>
  <c r="I12"/>
  <c r="K12" s="1"/>
  <c r="I20"/>
  <c r="K20" s="1"/>
  <c r="I18"/>
  <c r="K18" s="1"/>
  <c r="I48"/>
  <c r="K48" s="1"/>
  <c r="I44"/>
  <c r="K44" s="1"/>
  <c r="I27"/>
  <c r="K27" s="1"/>
  <c r="I5"/>
  <c r="K5" s="1"/>
  <c r="I2"/>
  <c r="K2" s="1"/>
  <c r="I19"/>
  <c r="K19" s="1"/>
  <c r="I9"/>
  <c r="K9" s="1"/>
  <c r="I29"/>
  <c r="K29" s="1"/>
  <c r="I22"/>
  <c r="K22" s="1"/>
  <c r="I55"/>
  <c r="K55" s="1"/>
  <c r="I56"/>
  <c r="K56" s="1"/>
  <c r="I59"/>
  <c r="K59" s="1"/>
  <c r="I21"/>
  <c r="K21" s="1"/>
  <c r="I28"/>
  <c r="K28" s="1"/>
  <c r="I49"/>
  <c r="K49" s="1"/>
  <c r="I6"/>
  <c r="K6" s="1"/>
  <c r="I30"/>
  <c r="K30" s="1"/>
  <c r="I53"/>
  <c r="K53" s="1"/>
  <c r="I46"/>
  <c r="K46" s="1"/>
  <c r="I34"/>
  <c r="K34" s="1"/>
  <c r="I51"/>
  <c r="K51" s="1"/>
  <c r="I32"/>
  <c r="K32" s="1"/>
  <c r="I52"/>
  <c r="K52" s="1"/>
  <c r="I37"/>
  <c r="S37" s="1"/>
  <c r="I42"/>
  <c r="K42" s="1"/>
  <c r="I4"/>
  <c r="K4" s="1"/>
  <c r="I8"/>
  <c r="K8" s="1"/>
  <c r="I43"/>
  <c r="K43" s="1"/>
  <c r="I58"/>
  <c r="K58" s="1"/>
  <c r="I16"/>
  <c r="K16" s="1"/>
  <c r="I45"/>
  <c r="K45" s="1"/>
  <c r="I11"/>
  <c r="K11" s="1"/>
  <c r="S40" i="6" l="1"/>
  <c r="V40" s="1"/>
  <c r="X40" s="1"/>
  <c r="V37" i="1"/>
  <c r="X37" s="1"/>
  <c r="V41"/>
  <c r="X41" s="1"/>
  <c r="V60"/>
  <c r="X60" s="1"/>
  <c r="V23"/>
  <c r="X23" s="1"/>
  <c r="V50"/>
  <c r="X50" s="1"/>
  <c r="V3"/>
  <c r="X3" s="1"/>
  <c r="V35"/>
  <c r="X35" s="1"/>
  <c r="V7"/>
  <c r="X7" s="1"/>
  <c r="V33"/>
  <c r="X33" s="1"/>
  <c r="V38"/>
  <c r="X38" s="1"/>
  <c r="V13"/>
  <c r="X13" s="1"/>
  <c r="V31"/>
  <c r="X31" s="1"/>
  <c r="V57"/>
  <c r="X57" s="1"/>
  <c r="V39"/>
  <c r="X39" s="1"/>
  <c r="V24"/>
  <c r="X24" s="1"/>
  <c r="X2" i="6"/>
  <c r="O19"/>
  <c r="V19" s="1"/>
  <c r="X19" s="1"/>
  <c r="O4"/>
  <c r="V4" s="1"/>
  <c r="X4" s="1"/>
  <c r="S50"/>
  <c r="V50" s="1"/>
  <c r="X50" s="1"/>
  <c r="O5"/>
  <c r="V5" s="1"/>
  <c r="X5" s="1"/>
  <c r="O24"/>
  <c r="V24" s="1"/>
  <c r="X24" s="1"/>
  <c r="O3"/>
  <c r="V3" s="1"/>
  <c r="X3" s="1"/>
  <c r="O15"/>
  <c r="V15" s="1"/>
  <c r="X15" s="1"/>
  <c r="O22"/>
  <c r="V22" s="1"/>
  <c r="X22" s="1"/>
  <c r="S53"/>
  <c r="V53" s="1"/>
  <c r="X53" s="1"/>
  <c r="S51"/>
  <c r="V51" s="1"/>
  <c r="X51" s="1"/>
  <c r="S52"/>
  <c r="V52" s="1"/>
  <c r="X52" s="1"/>
  <c r="S58"/>
  <c r="V58" s="1"/>
  <c r="X58" s="1"/>
  <c r="O29"/>
  <c r="V29" s="1"/>
  <c r="X29" s="1"/>
  <c r="K2"/>
  <c r="K36"/>
  <c r="K55"/>
  <c r="K57"/>
  <c r="K25"/>
  <c r="K17"/>
  <c r="K18"/>
  <c r="K31"/>
  <c r="K7"/>
  <c r="K39"/>
  <c r="K42"/>
  <c r="K43"/>
  <c r="K33"/>
  <c r="K56"/>
  <c r="K60"/>
  <c r="K47"/>
  <c r="K11"/>
  <c r="K23"/>
  <c r="K14"/>
  <c r="K35"/>
  <c r="K28"/>
  <c r="K27"/>
  <c r="K26"/>
  <c r="K34"/>
  <c r="K38"/>
  <c r="K44"/>
  <c r="K49"/>
  <c r="K13"/>
  <c r="K59"/>
  <c r="K46"/>
  <c r="K37"/>
  <c r="O20"/>
  <c r="V20" s="1"/>
  <c r="X20" s="1"/>
  <c r="O21"/>
  <c r="V21" s="1"/>
  <c r="X21" s="1"/>
  <c r="S41"/>
  <c r="V41" s="1"/>
  <c r="X41" s="1"/>
  <c r="O8"/>
  <c r="V8" s="1"/>
  <c r="X8" s="1"/>
  <c r="O32"/>
  <c r="V32" s="1"/>
  <c r="X32" s="1"/>
  <c r="O10"/>
  <c r="V10" s="1"/>
  <c r="X10" s="1"/>
  <c r="S54"/>
  <c r="V54" s="1"/>
  <c r="X54" s="1"/>
  <c r="S61"/>
  <c r="V61" s="1"/>
  <c r="X61" s="1"/>
  <c r="S48"/>
  <c r="V48" s="1"/>
  <c r="X48" s="1"/>
  <c r="O12"/>
  <c r="V12" s="1"/>
  <c r="X12" s="1"/>
  <c r="S62"/>
  <c r="V62" s="1"/>
  <c r="X62" s="1"/>
  <c r="O9"/>
  <c r="V9" s="1"/>
  <c r="X9" s="1"/>
  <c r="O30"/>
  <c r="V30" s="1"/>
  <c r="X30" s="1"/>
  <c r="S45"/>
  <c r="V45" s="1"/>
  <c r="X45" s="1"/>
  <c r="O6"/>
  <c r="V6" s="1"/>
  <c r="X6" s="1"/>
  <c r="O16"/>
  <c r="V16" s="1"/>
  <c r="X16" s="1"/>
  <c r="K31" i="1"/>
  <c r="K7"/>
  <c r="K60"/>
  <c r="K35"/>
  <c r="K33"/>
  <c r="K23"/>
  <c r="K50"/>
  <c r="K13"/>
  <c r="K3"/>
  <c r="K38"/>
  <c r="K57"/>
  <c r="K39"/>
  <c r="K24"/>
  <c r="K37"/>
  <c r="O8"/>
  <c r="O6"/>
  <c r="O22"/>
  <c r="O18"/>
  <c r="S45"/>
  <c r="S44"/>
  <c r="O11"/>
  <c r="S58"/>
  <c r="O10"/>
  <c r="S55"/>
  <c r="S54"/>
  <c r="K41"/>
  <c r="O32"/>
  <c r="O16"/>
  <c r="O28"/>
  <c r="O9"/>
  <c r="O20"/>
  <c r="O29"/>
  <c r="O14"/>
  <c r="S40"/>
  <c r="S48"/>
  <c r="S53"/>
  <c r="S46"/>
  <c r="O4"/>
  <c r="O19"/>
  <c r="O34"/>
  <c r="O12"/>
  <c r="O26"/>
  <c r="O30"/>
  <c r="S59"/>
  <c r="S52"/>
  <c r="S47"/>
  <c r="S43"/>
  <c r="S42"/>
  <c r="S51"/>
  <c r="O5"/>
  <c r="O2"/>
  <c r="V2" s="1"/>
  <c r="O21"/>
  <c r="O27"/>
  <c r="O25"/>
  <c r="O17"/>
  <c r="O15"/>
  <c r="S56"/>
  <c r="S36"/>
  <c r="S49"/>
  <c r="V36" l="1"/>
  <c r="X36" s="1"/>
  <c r="V5"/>
  <c r="X5" s="1"/>
  <c r="V26"/>
  <c r="X26" s="1"/>
  <c r="V40"/>
  <c r="X40" s="1"/>
  <c r="V18"/>
  <c r="X18" s="1"/>
  <c r="V49"/>
  <c r="X49" s="1"/>
  <c r="V30"/>
  <c r="X30" s="1"/>
  <c r="V20"/>
  <c r="X20" s="1"/>
  <c r="V45"/>
  <c r="X45" s="1"/>
  <c r="V15"/>
  <c r="X15" s="1"/>
  <c r="V21"/>
  <c r="X21" s="1"/>
  <c r="V42"/>
  <c r="X42" s="1"/>
  <c r="V59"/>
  <c r="X59" s="1"/>
  <c r="V34"/>
  <c r="X34" s="1"/>
  <c r="V53"/>
  <c r="X53" s="1"/>
  <c r="V29"/>
  <c r="X29" s="1"/>
  <c r="V16"/>
  <c r="X16" s="1"/>
  <c r="V55"/>
  <c r="X55" s="1"/>
  <c r="V44"/>
  <c r="X44" s="1"/>
  <c r="V6"/>
  <c r="X6" s="1"/>
  <c r="V25"/>
  <c r="X25" s="1"/>
  <c r="V47"/>
  <c r="X47" s="1"/>
  <c r="V4"/>
  <c r="X4" s="1"/>
  <c r="V9"/>
  <c r="X9" s="1"/>
  <c r="V58"/>
  <c r="X58" s="1"/>
  <c r="V17"/>
  <c r="X17" s="1"/>
  <c r="V43"/>
  <c r="X43" s="1"/>
  <c r="V19"/>
  <c r="X19" s="1"/>
  <c r="V48"/>
  <c r="X48" s="1"/>
  <c r="V32"/>
  <c r="X32" s="1"/>
  <c r="V10"/>
  <c r="X10" s="1"/>
  <c r="V8"/>
  <c r="X8" s="1"/>
  <c r="V56"/>
  <c r="X56" s="1"/>
  <c r="V27"/>
  <c r="X27" s="1"/>
  <c r="V51"/>
  <c r="X51" s="1"/>
  <c r="V52"/>
  <c r="X52" s="1"/>
  <c r="V12"/>
  <c r="X12" s="1"/>
  <c r="V46"/>
  <c r="X46" s="1"/>
  <c r="V14"/>
  <c r="X14" s="1"/>
  <c r="V28"/>
  <c r="X28" s="1"/>
  <c r="V54"/>
  <c r="X54" s="1"/>
  <c r="V11"/>
  <c r="X11" s="1"/>
  <c r="V22"/>
  <c r="X22" s="1"/>
  <c r="X2"/>
</calcChain>
</file>

<file path=xl/sharedStrings.xml><?xml version="1.0" encoding="utf-8"?>
<sst xmlns="http://schemas.openxmlformats.org/spreadsheetml/2006/main" count="649" uniqueCount="238">
  <si>
    <t>BMI</t>
  </si>
  <si>
    <t>贾骆伟</t>
  </si>
  <si>
    <t>边瑞凤</t>
  </si>
  <si>
    <t>張子孝</t>
  </si>
  <si>
    <t>杨社丽</t>
  </si>
  <si>
    <t>范利中</t>
  </si>
  <si>
    <t>张永安</t>
  </si>
  <si>
    <t>李启永</t>
  </si>
  <si>
    <t>刘引山</t>
  </si>
  <si>
    <t>高喜平</t>
  </si>
  <si>
    <t>王青侠</t>
  </si>
  <si>
    <t>董金贵</t>
  </si>
  <si>
    <t>李婷丽</t>
  </si>
  <si>
    <t>任生军</t>
  </si>
  <si>
    <t>伏东亮</t>
  </si>
  <si>
    <t>何尚鸿</t>
  </si>
  <si>
    <t>侯群茹</t>
  </si>
  <si>
    <t>刘  伟</t>
  </si>
  <si>
    <t>刘利萍</t>
  </si>
  <si>
    <t>叶哲芳</t>
  </si>
  <si>
    <t>吕旭霞</t>
  </si>
  <si>
    <t>康  乐</t>
  </si>
  <si>
    <t>张红利</t>
  </si>
  <si>
    <t>张红娟</t>
  </si>
  <si>
    <t>张金钱</t>
  </si>
  <si>
    <t>拓宇鹏</t>
  </si>
  <si>
    <t>李拴勤</t>
  </si>
  <si>
    <t>李新平</t>
  </si>
  <si>
    <t>梁宏业</t>
  </si>
  <si>
    <t>王军旗</t>
  </si>
  <si>
    <t>王彬龙</t>
  </si>
  <si>
    <t>王贵莲</t>
  </si>
  <si>
    <t>胡翠荣</t>
  </si>
  <si>
    <t>苗君芳</t>
  </si>
  <si>
    <t>辛福亭</t>
  </si>
  <si>
    <t>金明春</t>
  </si>
  <si>
    <t>陈迪志</t>
  </si>
  <si>
    <t>魏根珠</t>
  </si>
  <si>
    <t>黄珍花</t>
  </si>
  <si>
    <t>黄顺萍</t>
  </si>
  <si>
    <t>L2</t>
    <phoneticPr fontId="1" type="noConversion"/>
  </si>
  <si>
    <t>T12</t>
    <phoneticPr fontId="1" type="noConversion"/>
  </si>
  <si>
    <t>L1</t>
    <phoneticPr fontId="1" type="noConversion"/>
  </si>
  <si>
    <t>T11</t>
    <phoneticPr fontId="1" type="noConversion"/>
  </si>
  <si>
    <r>
      <t>L</t>
    </r>
    <r>
      <rPr>
        <sz val="11"/>
        <color theme="1"/>
        <rFont val="宋体"/>
        <family val="3"/>
        <charset val="134"/>
        <scheme val="minor"/>
      </rPr>
      <t>1</t>
    </r>
    <phoneticPr fontId="1" type="noConversion"/>
  </si>
  <si>
    <t>L1</t>
    <phoneticPr fontId="1" type="noConversion"/>
  </si>
  <si>
    <t>T12</t>
    <phoneticPr fontId="1" type="noConversion"/>
  </si>
  <si>
    <t>138149264253？</t>
    <phoneticPr fontId="1" type="noConversion"/>
  </si>
  <si>
    <t>L2</t>
    <phoneticPr fontId="1" type="noConversion"/>
  </si>
  <si>
    <r>
      <t>T</t>
    </r>
    <r>
      <rPr>
        <sz val="11"/>
        <color theme="1"/>
        <rFont val="宋体"/>
        <family val="3"/>
        <charset val="134"/>
        <scheme val="minor"/>
      </rPr>
      <t>11</t>
    </r>
    <phoneticPr fontId="1" type="noConversion"/>
  </si>
  <si>
    <t>T12</t>
    <phoneticPr fontId="1" type="noConversion"/>
  </si>
  <si>
    <t>李建强</t>
  </si>
  <si>
    <t>宋新明</t>
  </si>
  <si>
    <t>谢卫勉</t>
  </si>
  <si>
    <t>李金海</t>
  </si>
  <si>
    <t>赵宽峰</t>
  </si>
  <si>
    <t>张阿涛</t>
  </si>
  <si>
    <t>朱定军</t>
  </si>
  <si>
    <t>付彩红</t>
  </si>
  <si>
    <t>吴玉珍</t>
  </si>
  <si>
    <t>安军浮</t>
  </si>
  <si>
    <t xml:space="preserve">宫  卫 </t>
  </si>
  <si>
    <t>彭  超</t>
  </si>
  <si>
    <t>李迎春</t>
  </si>
  <si>
    <t>樊改云</t>
  </si>
  <si>
    <t>毕现梅</t>
  </si>
  <si>
    <t>王朋革</t>
  </si>
  <si>
    <t>王永强</t>
  </si>
  <si>
    <t>雷晓玲</t>
  </si>
  <si>
    <t>黄小茹</t>
  </si>
  <si>
    <t>林  静</t>
    <phoneticPr fontId="1" type="noConversion"/>
  </si>
  <si>
    <t>张朋朋</t>
    <phoneticPr fontId="1" type="noConversion"/>
  </si>
  <si>
    <t>k1</t>
    <phoneticPr fontId="1" type="noConversion"/>
  </si>
  <si>
    <t>k2</t>
    <phoneticPr fontId="1" type="noConversion"/>
  </si>
  <si>
    <t>k3</t>
    <phoneticPr fontId="1" type="noConversion"/>
  </si>
  <si>
    <t>k4</t>
    <phoneticPr fontId="1" type="noConversion"/>
  </si>
  <si>
    <t>k5</t>
    <phoneticPr fontId="1" type="noConversion"/>
  </si>
  <si>
    <t>k6</t>
    <phoneticPr fontId="1" type="noConversion"/>
  </si>
  <si>
    <t>3.27</t>
    <phoneticPr fontId="1" type="noConversion"/>
  </si>
  <si>
    <t>3.57</t>
    <phoneticPr fontId="1" type="noConversion"/>
  </si>
  <si>
    <t>5.29</t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</si>
  <si>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.26</t>
    </r>
    <phoneticPr fontId="1" type="noConversion"/>
  </si>
  <si>
    <t>2.32</t>
    <phoneticPr fontId="1" type="noConversion"/>
  </si>
  <si>
    <t>4.39</t>
    <phoneticPr fontId="1" type="noConversion"/>
  </si>
  <si>
    <t>3.30</t>
    <phoneticPr fontId="1" type="noConversion"/>
  </si>
  <si>
    <t>3.23</t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</si>
  <si>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.46</t>
    </r>
    <phoneticPr fontId="1" type="noConversion"/>
  </si>
  <si>
    <t>3.58</t>
    <phoneticPr fontId="1" type="noConversion"/>
  </si>
  <si>
    <t>2.87</t>
    <phoneticPr fontId="1" type="noConversion"/>
  </si>
  <si>
    <t>3.07</t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</si>
  <si>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.90</t>
    </r>
    <phoneticPr fontId="1" type="noConversion"/>
  </si>
  <si>
    <t>2.98</t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</si>
  <si>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.78</t>
    </r>
    <phoneticPr fontId="1" type="noConversion"/>
  </si>
  <si>
    <t>4.62</t>
    <phoneticPr fontId="1" type="noConversion"/>
  </si>
  <si>
    <t>3.88</t>
    <phoneticPr fontId="1" type="noConversion"/>
  </si>
  <si>
    <t>4</t>
    <phoneticPr fontId="1" type="noConversion"/>
  </si>
  <si>
    <t>王管杰</t>
  </si>
  <si>
    <t>孙亚红</t>
  </si>
  <si>
    <t>宋克雄</t>
  </si>
  <si>
    <t>张新爱</t>
  </si>
  <si>
    <t>陈明苍</t>
  </si>
  <si>
    <t>张春秀</t>
  </si>
  <si>
    <t>张  敏</t>
  </si>
  <si>
    <t>蒋立霞</t>
  </si>
  <si>
    <t>雷  铁</t>
  </si>
  <si>
    <t>高成海</t>
  </si>
  <si>
    <t>张维成</t>
  </si>
  <si>
    <t>曹会霞</t>
  </si>
  <si>
    <t>徐秀英</t>
  </si>
  <si>
    <t>王永祯</t>
  </si>
  <si>
    <t>杨小敏</t>
  </si>
  <si>
    <t>李  旭</t>
  </si>
  <si>
    <t>常新华</t>
  </si>
  <si>
    <t>辛增荣</t>
  </si>
  <si>
    <t>贾  玉</t>
  </si>
  <si>
    <t>李仕奎</t>
  </si>
  <si>
    <t>张松鹤</t>
  </si>
  <si>
    <t>黄海莉</t>
  </si>
  <si>
    <t>刘永爱</t>
  </si>
  <si>
    <t>弓快鸽</t>
  </si>
  <si>
    <t>史特特</t>
  </si>
  <si>
    <t>王赵云</t>
  </si>
  <si>
    <t>龚后华</t>
  </si>
  <si>
    <t>赵晓飞</t>
  </si>
  <si>
    <t>张建波</t>
  </si>
  <si>
    <t>刘  娟</t>
  </si>
  <si>
    <t>薛维平</t>
  </si>
  <si>
    <t>吴桂兰</t>
  </si>
  <si>
    <t>任亚宁</t>
  </si>
  <si>
    <t>张寿琼</t>
  </si>
  <si>
    <t>马  俊</t>
  </si>
  <si>
    <t>陈光辉</t>
  </si>
  <si>
    <t>金铁昌</t>
  </si>
  <si>
    <t>白福秀</t>
  </si>
  <si>
    <t>刘永杰</t>
  </si>
  <si>
    <t>张芳利</t>
  </si>
  <si>
    <t>樊  晶</t>
  </si>
  <si>
    <t>尚元元</t>
  </si>
  <si>
    <t>何治俊</t>
  </si>
  <si>
    <t>董永杰</t>
  </si>
  <si>
    <t>刘书贵</t>
  </si>
  <si>
    <t>强利军</t>
  </si>
  <si>
    <t>杨栓民</t>
  </si>
  <si>
    <t>陈友谊</t>
  </si>
  <si>
    <t>王济中</t>
  </si>
  <si>
    <t>L1</t>
  </si>
  <si>
    <t>T11</t>
  </si>
  <si>
    <t>T12</t>
  </si>
  <si>
    <t>L2</t>
  </si>
  <si>
    <t>谢荣虎</t>
  </si>
  <si>
    <t xml:space="preserve">L1 </t>
  </si>
  <si>
    <t>陈玉亮</t>
  </si>
  <si>
    <t>姚小梅</t>
  </si>
  <si>
    <t>赵国有</t>
  </si>
  <si>
    <r>
      <t>n</t>
    </r>
    <r>
      <rPr>
        <sz val="11"/>
        <color theme="1"/>
        <rFont val="宋体"/>
        <family val="3"/>
        <charset val="134"/>
        <scheme val="minor"/>
      </rPr>
      <t>ame</t>
    </r>
    <phoneticPr fontId="1" type="noConversion"/>
  </si>
  <si>
    <t>pre d-dimer</t>
    <phoneticPr fontId="1" type="noConversion"/>
  </si>
  <si>
    <t>post d-dimer</t>
    <phoneticPr fontId="1" type="noConversion"/>
  </si>
  <si>
    <t>time</t>
    <phoneticPr fontId="1" type="noConversion"/>
  </si>
  <si>
    <r>
      <t>g</t>
    </r>
    <r>
      <rPr>
        <sz val="11"/>
        <color theme="1"/>
        <rFont val="宋体"/>
        <family val="3"/>
        <charset val="134"/>
        <scheme val="minor"/>
      </rPr>
      <t>ender</t>
    </r>
    <phoneticPr fontId="1" type="noConversion"/>
  </si>
  <si>
    <r>
      <t>a</t>
    </r>
    <r>
      <rPr>
        <sz val="11"/>
        <color theme="1"/>
        <rFont val="宋体"/>
        <family val="3"/>
        <charset val="134"/>
        <scheme val="minor"/>
      </rPr>
      <t>ge</t>
    </r>
    <phoneticPr fontId="1" type="noConversion"/>
  </si>
  <si>
    <r>
      <t>h</t>
    </r>
    <r>
      <rPr>
        <sz val="11"/>
        <color theme="1"/>
        <rFont val="宋体"/>
        <family val="3"/>
        <charset val="134"/>
        <scheme val="minor"/>
      </rPr>
      <t>eight</t>
    </r>
    <phoneticPr fontId="1" type="noConversion"/>
  </si>
  <si>
    <r>
      <t>w</t>
    </r>
    <r>
      <rPr>
        <sz val="11"/>
        <color theme="1"/>
        <rFont val="宋体"/>
        <family val="3"/>
        <charset val="134"/>
        <scheme val="minor"/>
      </rPr>
      <t>eight</t>
    </r>
    <phoneticPr fontId="1" type="noConversion"/>
  </si>
  <si>
    <t>total blood loss</t>
    <phoneticPr fontId="1" type="noConversion"/>
  </si>
  <si>
    <r>
      <t>p</t>
    </r>
    <r>
      <rPr>
        <sz val="11"/>
        <color theme="1"/>
        <rFont val="宋体"/>
        <family val="3"/>
        <charset val="134"/>
        <scheme val="minor"/>
      </rPr>
      <t xml:space="preserve">re </t>
    </r>
    <r>
      <rPr>
        <sz val="11"/>
        <color theme="1"/>
        <rFont val="宋体"/>
        <charset val="134"/>
        <scheme val="minor"/>
      </rPr>
      <t>Hct</t>
    </r>
    <phoneticPr fontId="1" type="noConversion"/>
  </si>
  <si>
    <r>
      <t>p</t>
    </r>
    <r>
      <rPr>
        <sz val="11"/>
        <color theme="1"/>
        <rFont val="宋体"/>
        <family val="3"/>
        <charset val="134"/>
        <scheme val="minor"/>
      </rPr>
      <t>ost Hct</t>
    </r>
    <phoneticPr fontId="1" type="noConversion"/>
  </si>
  <si>
    <t>PBV</t>
    <phoneticPr fontId="1" type="noConversion"/>
  </si>
  <si>
    <r>
      <t>i</t>
    </r>
    <r>
      <rPr>
        <sz val="11"/>
        <color theme="1"/>
        <rFont val="宋体"/>
        <family val="3"/>
        <charset val="134"/>
        <scheme val="minor"/>
      </rPr>
      <t>ntraoperative blood loss</t>
    </r>
    <phoneticPr fontId="1" type="noConversion"/>
  </si>
  <si>
    <t>hidden blood loss</t>
    <phoneticPr fontId="1" type="noConversion"/>
  </si>
  <si>
    <r>
      <t>p</t>
    </r>
    <r>
      <rPr>
        <sz val="11"/>
        <color theme="1"/>
        <rFont val="宋体"/>
        <family val="3"/>
        <charset val="134"/>
        <scheme val="minor"/>
      </rPr>
      <t>hone</t>
    </r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</si>
  <si>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racture site</t>
    </r>
    <phoneticPr fontId="1" type="noConversion"/>
  </si>
  <si>
    <r>
      <t>o</t>
    </r>
    <r>
      <rPr>
        <sz val="11"/>
        <color theme="1"/>
        <rFont val="宋体"/>
        <family val="3"/>
        <charset val="134"/>
        <scheme val="minor"/>
      </rPr>
      <t>perationtime</t>
    </r>
    <phoneticPr fontId="1" type="noConversion"/>
  </si>
  <si>
    <t>male</t>
    <phoneticPr fontId="1" type="noConversion"/>
  </si>
  <si>
    <t>female</t>
    <phoneticPr fontId="1" type="noConversion"/>
  </si>
  <si>
    <t>male</t>
    <phoneticPr fontId="1" type="noConversion"/>
  </si>
  <si>
    <t>female</t>
    <phoneticPr fontId="1" type="noConversion"/>
  </si>
  <si>
    <t>femal</t>
    <phoneticPr fontId="1" type="noConversion"/>
  </si>
  <si>
    <t>admission number</t>
    <phoneticPr fontId="1" type="noConversion"/>
  </si>
  <si>
    <t>曹中尉</t>
    <phoneticPr fontId="1" type="noConversion"/>
  </si>
  <si>
    <t>李  汶</t>
    <phoneticPr fontId="1" type="noConversion"/>
  </si>
  <si>
    <t>杨建阳</t>
    <phoneticPr fontId="1" type="noConversion"/>
  </si>
  <si>
    <t>闫圣言</t>
    <phoneticPr fontId="1" type="noConversion"/>
  </si>
  <si>
    <t>李华越</t>
    <phoneticPr fontId="1" type="noConversion"/>
  </si>
  <si>
    <t>陈汉钟</t>
    <phoneticPr fontId="1" type="noConversion"/>
  </si>
  <si>
    <t>王  刚</t>
    <phoneticPr fontId="1" type="noConversion"/>
  </si>
  <si>
    <t>张  青</t>
    <phoneticPr fontId="1" type="noConversion"/>
  </si>
  <si>
    <t>秦阳朔</t>
    <phoneticPr fontId="1" type="noConversion"/>
  </si>
  <si>
    <t>陈  策</t>
    <phoneticPr fontId="1" type="noConversion"/>
  </si>
  <si>
    <t>童汉生</t>
    <phoneticPr fontId="1" type="noConversion"/>
  </si>
  <si>
    <t>郜荣芳</t>
    <phoneticPr fontId="1" type="noConversion"/>
  </si>
  <si>
    <t>张保利</t>
    <phoneticPr fontId="1" type="noConversion"/>
  </si>
  <si>
    <t>杨胜平</t>
    <phoneticPr fontId="1" type="noConversion"/>
  </si>
  <si>
    <t>姜连声</t>
    <phoneticPr fontId="1" type="noConversion"/>
  </si>
  <si>
    <t>王荣耀</t>
    <phoneticPr fontId="1" type="noConversion"/>
  </si>
  <si>
    <t>屈智昌</t>
    <phoneticPr fontId="1" type="noConversion"/>
  </si>
  <si>
    <t>史富贵</t>
    <phoneticPr fontId="1" type="noConversion"/>
  </si>
  <si>
    <t>刘永胜</t>
    <phoneticPr fontId="1" type="noConversion"/>
  </si>
  <si>
    <t>罗建飞</t>
    <phoneticPr fontId="1" type="noConversion"/>
  </si>
  <si>
    <t>严  旭</t>
    <phoneticPr fontId="1" type="noConversion"/>
  </si>
  <si>
    <t>雷  岗</t>
    <phoneticPr fontId="1" type="noConversion"/>
  </si>
  <si>
    <t>郭心胜</t>
    <phoneticPr fontId="1" type="noConversion"/>
  </si>
  <si>
    <t>陈  平</t>
    <phoneticPr fontId="1" type="noConversion"/>
  </si>
  <si>
    <t>李贵龙</t>
    <phoneticPr fontId="1" type="noConversion"/>
  </si>
  <si>
    <t>张贵荣</t>
    <phoneticPr fontId="1" type="noConversion"/>
  </si>
  <si>
    <t>王  研</t>
    <phoneticPr fontId="1" type="noConversion"/>
  </si>
  <si>
    <t>冯名胜</t>
    <phoneticPr fontId="1" type="noConversion"/>
  </si>
  <si>
    <t>习小磊</t>
    <phoneticPr fontId="1" type="noConversion"/>
  </si>
  <si>
    <t>刘  强</t>
    <phoneticPr fontId="1" type="noConversion"/>
  </si>
  <si>
    <t>惠  军</t>
    <phoneticPr fontId="1" type="noConversion"/>
  </si>
  <si>
    <t>代  浩</t>
    <phoneticPr fontId="1" type="noConversion"/>
  </si>
  <si>
    <t>杨  勇</t>
    <phoneticPr fontId="1" type="noConversion"/>
  </si>
  <si>
    <t>吉  连</t>
    <phoneticPr fontId="1" type="noConversion"/>
  </si>
  <si>
    <t>蔺小丽</t>
    <phoneticPr fontId="1" type="noConversion"/>
  </si>
  <si>
    <t>王  江</t>
    <phoneticPr fontId="1" type="noConversion"/>
  </si>
  <si>
    <t>韩纯梅</t>
    <phoneticPr fontId="1" type="noConversion"/>
  </si>
  <si>
    <t>雷桂霞</t>
    <phoneticPr fontId="1" type="noConversion"/>
  </si>
  <si>
    <t>杨  艾</t>
    <phoneticPr fontId="1" type="noConversion"/>
  </si>
  <si>
    <t>董  芳</t>
    <phoneticPr fontId="1" type="noConversion"/>
  </si>
  <si>
    <t>党  丽</t>
    <phoneticPr fontId="1" type="noConversion"/>
  </si>
  <si>
    <t>耿小红</t>
    <phoneticPr fontId="1" type="noConversion"/>
  </si>
  <si>
    <t>商  萍</t>
    <phoneticPr fontId="1" type="noConversion"/>
  </si>
  <si>
    <t>王凌凌</t>
    <phoneticPr fontId="1" type="noConversion"/>
  </si>
  <si>
    <t>杨春兰</t>
    <phoneticPr fontId="1" type="noConversion"/>
  </si>
  <si>
    <t>黎宏睿</t>
    <phoneticPr fontId="1" type="noConversion"/>
  </si>
  <si>
    <t>张  霞</t>
    <phoneticPr fontId="1" type="noConversion"/>
  </si>
  <si>
    <t>王方玉</t>
    <phoneticPr fontId="1" type="noConversion"/>
  </si>
  <si>
    <t>李淑屏</t>
    <phoneticPr fontId="1" type="noConversion"/>
  </si>
  <si>
    <t>侯宏瑞</t>
    <phoneticPr fontId="1" type="noConversion"/>
  </si>
  <si>
    <t>曹  婷</t>
    <phoneticPr fontId="1" type="noConversion"/>
  </si>
  <si>
    <t>李闫瑞</t>
    <phoneticPr fontId="1" type="noConversion"/>
  </si>
  <si>
    <t>杜窦研</t>
    <phoneticPr fontId="1" type="noConversion"/>
  </si>
  <si>
    <t>薛仁琴</t>
    <phoneticPr fontId="1" type="noConversion"/>
  </si>
  <si>
    <t>贾霞妍</t>
    <phoneticPr fontId="1" type="noConversion"/>
  </si>
  <si>
    <t>罗爱荣</t>
    <phoneticPr fontId="1" type="noConversion"/>
  </si>
  <si>
    <t>王隗莲</t>
    <phoneticPr fontId="1" type="noConversion"/>
  </si>
  <si>
    <t>段紫红</t>
    <phoneticPr fontId="1" type="noConversion"/>
  </si>
  <si>
    <t>程帧艳</t>
    <phoneticPr fontId="1" type="noConversion"/>
  </si>
  <si>
    <t>章小焕</t>
    <phoneticPr fontId="1" type="noConversion"/>
  </si>
  <si>
    <t>周荣欢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</si>
</sst>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0_ "/>
    <numFmt numFmtId="177" formatCode="0.00_ "/>
  </numFmts>
  <fonts count="5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0.5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0" xfId="0" applyFont="1">
      <alignment vertical="center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2" fillId="0" borderId="0" xfId="0" applyFont="1" applyAlignment="1">
      <alignment horizontal="left" vertical="center"/>
    </xf>
    <xf numFmtId="177" fontId="2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0" fillId="0" borderId="0" xfId="0" quotePrefix="1" applyNumberFormat="1" applyAlignment="1">
      <alignment horizontal="left"/>
    </xf>
    <xf numFmtId="0" fontId="4" fillId="0" borderId="0" xfId="0" applyFont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77" fontId="0" fillId="0" borderId="0" xfId="0" applyNumberFormat="1" applyAlignment="1">
      <alignment horizontal="left" vertical="center"/>
    </xf>
    <xf numFmtId="58" fontId="0" fillId="0" borderId="0" xfId="0" applyNumberForma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62"/>
  <sheetViews>
    <sheetView tabSelected="1" topLeftCell="J1" workbookViewId="0">
      <selection activeCell="D42" sqref="D42"/>
    </sheetView>
  </sheetViews>
  <sheetFormatPr defaultRowHeight="14.4"/>
  <cols>
    <col min="1" max="1" width="10.109375" customWidth="1"/>
    <col min="4" max="4" width="8.88671875" style="4"/>
    <col min="5" max="5" width="8.88671875" style="2"/>
    <col min="7" max="7" width="6.77734375" customWidth="1"/>
    <col min="25" max="25" width="13.77734375" customWidth="1"/>
  </cols>
  <sheetData>
    <row r="1" spans="1:27">
      <c r="A1" s="6" t="s">
        <v>176</v>
      </c>
      <c r="B1" s="5" t="s">
        <v>154</v>
      </c>
      <c r="C1" s="5" t="s">
        <v>155</v>
      </c>
      <c r="D1" s="6" t="s">
        <v>156</v>
      </c>
      <c r="E1" s="7" t="s">
        <v>157</v>
      </c>
      <c r="F1" s="5" t="s">
        <v>158</v>
      </c>
      <c r="G1" s="5" t="s">
        <v>159</v>
      </c>
      <c r="H1" s="5" t="s">
        <v>160</v>
      </c>
      <c r="I1" s="5" t="s">
        <v>160</v>
      </c>
      <c r="J1" s="5" t="s">
        <v>161</v>
      </c>
      <c r="K1" s="8" t="s">
        <v>0</v>
      </c>
      <c r="L1" s="8" t="s">
        <v>72</v>
      </c>
      <c r="M1" s="8" t="s">
        <v>73</v>
      </c>
      <c r="N1" s="8" t="s">
        <v>74</v>
      </c>
      <c r="O1" s="5" t="s">
        <v>165</v>
      </c>
      <c r="P1" s="8" t="s">
        <v>75</v>
      </c>
      <c r="Q1" s="8" t="s">
        <v>76</v>
      </c>
      <c r="R1" s="8" t="s">
        <v>77</v>
      </c>
      <c r="S1" s="5" t="s">
        <v>162</v>
      </c>
      <c r="T1" s="5" t="s">
        <v>163</v>
      </c>
      <c r="U1" s="5" t="s">
        <v>164</v>
      </c>
      <c r="V1" s="5" t="s">
        <v>162</v>
      </c>
      <c r="W1" s="5" t="s">
        <v>166</v>
      </c>
      <c r="X1" s="5" t="s">
        <v>167</v>
      </c>
      <c r="Y1" s="5" t="s">
        <v>168</v>
      </c>
      <c r="Z1" s="5" t="s">
        <v>169</v>
      </c>
      <c r="AA1" s="5" t="s">
        <v>170</v>
      </c>
    </row>
    <row r="2" spans="1:27" ht="15.6" customHeight="1">
      <c r="A2" s="8">
        <v>1630911</v>
      </c>
      <c r="B2" s="8" t="s">
        <v>15</v>
      </c>
      <c r="C2" s="5">
        <v>1.69</v>
      </c>
      <c r="D2" s="6">
        <v>2.58</v>
      </c>
      <c r="E2" s="7">
        <v>2.58</v>
      </c>
      <c r="F2" s="5" t="s">
        <v>171</v>
      </c>
      <c r="G2" s="8">
        <v>20</v>
      </c>
      <c r="H2" s="10">
        <v>182.1</v>
      </c>
      <c r="I2" s="10">
        <f t="shared" ref="I2:I33" si="0">H2/100</f>
        <v>1.821</v>
      </c>
      <c r="J2" s="10">
        <v>76</v>
      </c>
      <c r="K2" s="8">
        <f t="shared" ref="K2:K33" si="1">J2/I2/I2</f>
        <v>22.918896358639717</v>
      </c>
      <c r="L2" s="11">
        <v>0.3669</v>
      </c>
      <c r="M2" s="11">
        <v>3.2199999999999999E-2</v>
      </c>
      <c r="N2" s="11">
        <v>0.60409999999999997</v>
      </c>
      <c r="O2" s="8">
        <f t="shared" ref="O2:O35" si="2">(L2*I2*I2*I2+M2*J2+N2)*1000</f>
        <v>5266.8295615208999</v>
      </c>
      <c r="P2" s="8"/>
      <c r="Q2" s="8"/>
      <c r="R2" s="8"/>
      <c r="S2" s="8"/>
      <c r="T2" s="8">
        <v>47.8</v>
      </c>
      <c r="U2" s="11">
        <v>43.6</v>
      </c>
      <c r="V2" s="11">
        <f t="shared" ref="V2:V35" si="3">2*O2*(T2-U2)/(T2+U2)</f>
        <v>484.04122884874738</v>
      </c>
      <c r="W2" s="8">
        <v>50</v>
      </c>
      <c r="X2" s="11">
        <f t="shared" ref="X2:X33" si="4">V2-W2</f>
        <v>434.04122884874738</v>
      </c>
      <c r="Y2" s="8">
        <v>13873704506</v>
      </c>
      <c r="Z2" s="5" t="s">
        <v>42</v>
      </c>
      <c r="AA2" s="8">
        <v>110</v>
      </c>
    </row>
    <row r="3" spans="1:27" ht="15.6" customHeight="1">
      <c r="A3" s="8">
        <v>1625696</v>
      </c>
      <c r="B3" s="8" t="s">
        <v>25</v>
      </c>
      <c r="C3" s="5">
        <v>5.43</v>
      </c>
      <c r="D3" s="6">
        <v>6.79</v>
      </c>
      <c r="E3" s="7">
        <v>6.79</v>
      </c>
      <c r="F3" s="5" t="s">
        <v>171</v>
      </c>
      <c r="G3" s="8">
        <v>25</v>
      </c>
      <c r="H3" s="10">
        <v>165.8</v>
      </c>
      <c r="I3" s="10">
        <f t="shared" si="0"/>
        <v>1.6580000000000001</v>
      </c>
      <c r="J3" s="10">
        <v>64.7</v>
      </c>
      <c r="K3" s="8">
        <f t="shared" si="1"/>
        <v>23.536139432891808</v>
      </c>
      <c r="L3" s="11">
        <v>0.3669</v>
      </c>
      <c r="M3" s="11">
        <v>3.2199999999999999E-2</v>
      </c>
      <c r="N3" s="11">
        <v>0.60409999999999997</v>
      </c>
      <c r="O3" s="8">
        <f t="shared" si="2"/>
        <v>4359.6903302728006</v>
      </c>
      <c r="P3" s="8"/>
      <c r="Q3" s="8"/>
      <c r="R3" s="8"/>
      <c r="S3" s="8"/>
      <c r="T3" s="8">
        <v>45.1</v>
      </c>
      <c r="U3" s="8">
        <v>39.5</v>
      </c>
      <c r="V3" s="11">
        <f t="shared" si="3"/>
        <v>577.16940542618647</v>
      </c>
      <c r="W3" s="8">
        <v>50</v>
      </c>
      <c r="X3" s="11">
        <f t="shared" si="4"/>
        <v>527.16940542618647</v>
      </c>
      <c r="Y3" s="8">
        <v>13649117676</v>
      </c>
      <c r="Z3" s="5" t="s">
        <v>42</v>
      </c>
      <c r="AA3" s="8">
        <v>85</v>
      </c>
    </row>
    <row r="4" spans="1:27" ht="15.6" customHeight="1">
      <c r="A4" s="8">
        <v>1629918</v>
      </c>
      <c r="B4" s="8" t="s">
        <v>17</v>
      </c>
      <c r="C4" s="5">
        <v>2.42</v>
      </c>
      <c r="D4" s="6">
        <v>3.2</v>
      </c>
      <c r="E4" s="7">
        <v>3.2</v>
      </c>
      <c r="F4" s="5" t="s">
        <v>171</v>
      </c>
      <c r="G4" s="8">
        <v>38</v>
      </c>
      <c r="H4" s="10">
        <v>172.2</v>
      </c>
      <c r="I4" s="10">
        <f t="shared" si="0"/>
        <v>1.722</v>
      </c>
      <c r="J4" s="10">
        <v>53.5</v>
      </c>
      <c r="K4" s="8">
        <f t="shared" si="1"/>
        <v>18.042116707876886</v>
      </c>
      <c r="L4" s="11">
        <v>0.3669</v>
      </c>
      <c r="M4" s="11">
        <v>3.2199999999999999E-2</v>
      </c>
      <c r="N4" s="11">
        <v>0.60409999999999997</v>
      </c>
      <c r="O4" s="8">
        <f t="shared" si="2"/>
        <v>4200.271768711199</v>
      </c>
      <c r="P4" s="8"/>
      <c r="Q4" s="8"/>
      <c r="R4" s="8"/>
      <c r="S4" s="8"/>
      <c r="T4" s="8">
        <v>46.7</v>
      </c>
      <c r="U4" s="8">
        <v>41.6</v>
      </c>
      <c r="V4" s="11">
        <f t="shared" si="3"/>
        <v>485.19560635169012</v>
      </c>
      <c r="W4" s="8">
        <v>100</v>
      </c>
      <c r="X4" s="11">
        <f t="shared" si="4"/>
        <v>385.19560635169012</v>
      </c>
      <c r="Y4" s="8">
        <v>15339299886</v>
      </c>
      <c r="Z4" s="5" t="s">
        <v>42</v>
      </c>
      <c r="AA4" s="8">
        <v>90</v>
      </c>
    </row>
    <row r="5" spans="1:27" ht="15.6" customHeight="1">
      <c r="A5" s="8">
        <v>1615061</v>
      </c>
      <c r="B5" s="8" t="s">
        <v>36</v>
      </c>
      <c r="C5" s="5">
        <v>0.47</v>
      </c>
      <c r="D5" s="6">
        <v>3</v>
      </c>
      <c r="E5" s="7">
        <v>3</v>
      </c>
      <c r="F5" s="5" t="s">
        <v>171</v>
      </c>
      <c r="G5" s="8">
        <v>41</v>
      </c>
      <c r="H5" s="10">
        <v>171.1</v>
      </c>
      <c r="I5" s="10">
        <f t="shared" si="0"/>
        <v>1.7109999999999999</v>
      </c>
      <c r="J5" s="10">
        <v>58.6</v>
      </c>
      <c r="K5" s="8">
        <f t="shared" si="1"/>
        <v>20.016935830690887</v>
      </c>
      <c r="L5" s="11">
        <v>0.3669</v>
      </c>
      <c r="M5" s="11">
        <v>3.2199999999999999E-2</v>
      </c>
      <c r="N5" s="11">
        <v>0.60409999999999997</v>
      </c>
      <c r="O5" s="8">
        <f t="shared" si="2"/>
        <v>4328.8178553338994</v>
      </c>
      <c r="P5" s="8"/>
      <c r="Q5" s="8"/>
      <c r="R5" s="8"/>
      <c r="S5" s="8"/>
      <c r="T5" s="8">
        <v>46.7</v>
      </c>
      <c r="U5" s="8">
        <v>41.6</v>
      </c>
      <c r="V5" s="11">
        <f t="shared" si="3"/>
        <v>500.04464467050718</v>
      </c>
      <c r="W5" s="8">
        <v>50</v>
      </c>
      <c r="X5" s="11">
        <f t="shared" si="4"/>
        <v>450.04464467050718</v>
      </c>
      <c r="Y5" s="8">
        <v>15929978037</v>
      </c>
      <c r="Z5" s="5" t="s">
        <v>42</v>
      </c>
      <c r="AA5" s="8">
        <v>125</v>
      </c>
    </row>
    <row r="6" spans="1:27" ht="15.6" customHeight="1">
      <c r="A6" s="8">
        <v>1601038</v>
      </c>
      <c r="B6" s="8" t="s">
        <v>60</v>
      </c>
      <c r="C6" s="5">
        <v>1.36</v>
      </c>
      <c r="D6" s="14">
        <v>5.44</v>
      </c>
      <c r="E6" s="12">
        <v>6</v>
      </c>
      <c r="F6" s="5" t="s">
        <v>171</v>
      </c>
      <c r="G6" s="8">
        <v>45</v>
      </c>
      <c r="H6" s="10">
        <v>167.1</v>
      </c>
      <c r="I6" s="10">
        <f t="shared" si="0"/>
        <v>1.671</v>
      </c>
      <c r="J6" s="10">
        <v>56</v>
      </c>
      <c r="K6" s="8">
        <f t="shared" si="1"/>
        <v>20.055575432063346</v>
      </c>
      <c r="L6" s="11">
        <v>0.3669</v>
      </c>
      <c r="M6" s="11">
        <v>3.2199999999999999E-2</v>
      </c>
      <c r="N6" s="11">
        <v>0.60409999999999997</v>
      </c>
      <c r="O6" s="8">
        <f t="shared" si="2"/>
        <v>4119.1947554659</v>
      </c>
      <c r="P6" s="8"/>
      <c r="Q6" s="8"/>
      <c r="R6" s="8"/>
      <c r="S6" s="8"/>
      <c r="T6" s="8">
        <v>43.4</v>
      </c>
      <c r="U6" s="8">
        <v>38.9</v>
      </c>
      <c r="V6" s="8">
        <f t="shared" si="3"/>
        <v>450.45872173989187</v>
      </c>
      <c r="W6" s="8">
        <v>200</v>
      </c>
      <c r="X6" s="8">
        <f t="shared" si="4"/>
        <v>250.45872173989187</v>
      </c>
      <c r="Y6" s="8">
        <v>17791051256</v>
      </c>
      <c r="Z6" s="5" t="s">
        <v>42</v>
      </c>
      <c r="AA6" s="8">
        <v>90</v>
      </c>
    </row>
    <row r="7" spans="1:27" ht="15.6" customHeight="1">
      <c r="A7" s="8">
        <v>1621552</v>
      </c>
      <c r="B7" s="8" t="s">
        <v>34</v>
      </c>
      <c r="C7" s="5">
        <v>1.68</v>
      </c>
      <c r="D7" s="6">
        <v>2.2000000000000002</v>
      </c>
      <c r="E7" s="7">
        <v>2.2000000000000002</v>
      </c>
      <c r="F7" s="5" t="s">
        <v>171</v>
      </c>
      <c r="G7" s="8">
        <v>46</v>
      </c>
      <c r="H7" s="10">
        <v>166.5</v>
      </c>
      <c r="I7" s="10">
        <f t="shared" si="0"/>
        <v>1.665</v>
      </c>
      <c r="J7" s="10">
        <v>65.5</v>
      </c>
      <c r="K7" s="8">
        <f t="shared" si="1"/>
        <v>23.627230834438041</v>
      </c>
      <c r="L7" s="11">
        <v>0.3669</v>
      </c>
      <c r="M7" s="11">
        <v>3.2199999999999999E-2</v>
      </c>
      <c r="N7" s="11">
        <v>0.60409999999999997</v>
      </c>
      <c r="O7" s="8">
        <f t="shared" si="2"/>
        <v>4406.7203719125</v>
      </c>
      <c r="P7" s="8"/>
      <c r="Q7" s="8"/>
      <c r="R7" s="8"/>
      <c r="S7" s="8"/>
      <c r="T7" s="8">
        <v>41</v>
      </c>
      <c r="U7" s="8">
        <v>38.700000000000003</v>
      </c>
      <c r="V7" s="11">
        <f t="shared" si="3"/>
        <v>254.34019712418413</v>
      </c>
      <c r="W7" s="8">
        <v>50</v>
      </c>
      <c r="X7" s="11">
        <f t="shared" si="4"/>
        <v>204.34019712418413</v>
      </c>
      <c r="Y7" s="8">
        <v>15890913500</v>
      </c>
      <c r="Z7" s="5" t="s">
        <v>42</v>
      </c>
      <c r="AA7" s="8">
        <v>120</v>
      </c>
    </row>
    <row r="8" spans="1:27" ht="15.6" customHeight="1">
      <c r="A8" s="8">
        <v>1634556</v>
      </c>
      <c r="B8" s="8" t="s">
        <v>24</v>
      </c>
      <c r="C8" s="5">
        <v>1.95</v>
      </c>
      <c r="D8" s="14">
        <v>4.2</v>
      </c>
      <c r="E8" s="12">
        <v>4.2</v>
      </c>
      <c r="F8" s="5" t="s">
        <v>171</v>
      </c>
      <c r="G8" s="8">
        <v>49</v>
      </c>
      <c r="H8" s="10">
        <v>155.69999999999999</v>
      </c>
      <c r="I8" s="10">
        <f t="shared" si="0"/>
        <v>1.5569999999999999</v>
      </c>
      <c r="J8" s="10">
        <v>55.4</v>
      </c>
      <c r="K8" s="8">
        <f t="shared" si="1"/>
        <v>22.85243801276189</v>
      </c>
      <c r="L8" s="11">
        <v>0.3669</v>
      </c>
      <c r="M8" s="11">
        <v>3.2199999999999999E-2</v>
      </c>
      <c r="N8" s="11">
        <v>0.60409999999999997</v>
      </c>
      <c r="O8" s="8">
        <f t="shared" si="2"/>
        <v>3772.8644837616998</v>
      </c>
      <c r="P8" s="8"/>
      <c r="Q8" s="8"/>
      <c r="R8" s="8"/>
      <c r="S8" s="8"/>
      <c r="T8" s="8">
        <v>40.1</v>
      </c>
      <c r="U8" s="8">
        <v>37.200000000000003</v>
      </c>
      <c r="V8" s="11">
        <f t="shared" si="3"/>
        <v>283.08685647888547</v>
      </c>
      <c r="W8" s="8">
        <v>30</v>
      </c>
      <c r="X8" s="11">
        <f t="shared" si="4"/>
        <v>253.08685647888547</v>
      </c>
      <c r="Y8" s="8">
        <v>18110353239</v>
      </c>
      <c r="Z8" s="5" t="s">
        <v>42</v>
      </c>
      <c r="AA8" s="8">
        <v>120</v>
      </c>
    </row>
    <row r="9" spans="1:27" ht="15.6" customHeight="1">
      <c r="A9" s="8">
        <v>1646350</v>
      </c>
      <c r="B9" s="8" t="s">
        <v>66</v>
      </c>
      <c r="C9" s="5">
        <v>1.87</v>
      </c>
      <c r="D9" s="14">
        <v>4.6399999999999997</v>
      </c>
      <c r="E9" s="12">
        <v>5</v>
      </c>
      <c r="F9" s="5" t="s">
        <v>171</v>
      </c>
      <c r="G9" s="8">
        <v>49</v>
      </c>
      <c r="H9" s="10">
        <v>167.1</v>
      </c>
      <c r="I9" s="10">
        <f t="shared" si="0"/>
        <v>1.671</v>
      </c>
      <c r="J9" s="10">
        <v>53.2</v>
      </c>
      <c r="K9" s="8">
        <f t="shared" si="1"/>
        <v>19.052796660460185</v>
      </c>
      <c r="L9" s="11">
        <v>0.3669</v>
      </c>
      <c r="M9" s="11">
        <v>3.2199999999999999E-2</v>
      </c>
      <c r="N9" s="11">
        <v>0.60409999999999997</v>
      </c>
      <c r="O9" s="8">
        <f t="shared" si="2"/>
        <v>4029.0347554659006</v>
      </c>
      <c r="P9" s="8"/>
      <c r="Q9" s="8"/>
      <c r="R9" s="8"/>
      <c r="S9" s="8"/>
      <c r="T9" s="8">
        <v>45.9</v>
      </c>
      <c r="U9" s="8">
        <v>39.799999999999997</v>
      </c>
      <c r="V9" s="8">
        <f t="shared" si="3"/>
        <v>573.56154045138862</v>
      </c>
      <c r="W9" s="8">
        <v>200</v>
      </c>
      <c r="X9" s="8">
        <f t="shared" si="4"/>
        <v>373.56154045138862</v>
      </c>
      <c r="Y9" s="8">
        <v>15202915799</v>
      </c>
      <c r="Z9" s="5" t="s">
        <v>42</v>
      </c>
      <c r="AA9" s="8">
        <v>80</v>
      </c>
    </row>
    <row r="10" spans="1:27" ht="15.6" customHeight="1">
      <c r="A10" s="8">
        <v>1621754</v>
      </c>
      <c r="B10" s="8" t="s">
        <v>9</v>
      </c>
      <c r="C10" s="5">
        <v>2.4900000000000002</v>
      </c>
      <c r="D10" s="6">
        <v>4.3099999999999996</v>
      </c>
      <c r="E10" s="7">
        <v>4.3099999999999996</v>
      </c>
      <c r="F10" s="5" t="s">
        <v>171</v>
      </c>
      <c r="G10" s="8">
        <v>50</v>
      </c>
      <c r="H10" s="10">
        <v>170.6</v>
      </c>
      <c r="I10" s="10">
        <f t="shared" si="0"/>
        <v>1.706</v>
      </c>
      <c r="J10" s="10">
        <v>76.2</v>
      </c>
      <c r="K10" s="8">
        <f t="shared" si="1"/>
        <v>26.181644262234251</v>
      </c>
      <c r="L10" s="11">
        <v>0.3669</v>
      </c>
      <c r="M10" s="11">
        <v>3.2199999999999999E-2</v>
      </c>
      <c r="N10" s="11">
        <v>0.60409999999999997</v>
      </c>
      <c r="O10" s="8">
        <f t="shared" si="2"/>
        <v>4879.4732800903994</v>
      </c>
      <c r="P10" s="8"/>
      <c r="Q10" s="8"/>
      <c r="R10" s="8"/>
      <c r="S10" s="8"/>
      <c r="T10" s="8">
        <v>42.1</v>
      </c>
      <c r="U10" s="8">
        <v>38.200000000000003</v>
      </c>
      <c r="V10" s="11">
        <f t="shared" si="3"/>
        <v>473.97125261152053</v>
      </c>
      <c r="W10" s="8">
        <v>50</v>
      </c>
      <c r="X10" s="11">
        <f t="shared" si="4"/>
        <v>423.97125261152053</v>
      </c>
      <c r="Y10" s="8">
        <v>18891899224</v>
      </c>
      <c r="Z10" s="5" t="s">
        <v>42</v>
      </c>
      <c r="AA10" s="8">
        <v>140</v>
      </c>
    </row>
    <row r="11" spans="1:27" ht="15.6" customHeight="1">
      <c r="A11" s="8">
        <v>1622944</v>
      </c>
      <c r="B11" s="8" t="s">
        <v>14</v>
      </c>
      <c r="C11" s="5">
        <v>7.64</v>
      </c>
      <c r="D11" s="6">
        <v>8.73</v>
      </c>
      <c r="E11" s="7">
        <v>8.73</v>
      </c>
      <c r="F11" s="5" t="s">
        <v>171</v>
      </c>
      <c r="G11" s="8">
        <v>53</v>
      </c>
      <c r="H11" s="10">
        <v>178.5</v>
      </c>
      <c r="I11" s="10">
        <f t="shared" si="0"/>
        <v>1.7849999999999999</v>
      </c>
      <c r="J11" s="10">
        <v>61.3</v>
      </c>
      <c r="K11" s="8">
        <f t="shared" si="1"/>
        <v>19.239068176290125</v>
      </c>
      <c r="L11" s="11">
        <v>0.3669</v>
      </c>
      <c r="M11" s="11">
        <v>3.2199999999999999E-2</v>
      </c>
      <c r="N11" s="11">
        <v>0.60409999999999997</v>
      </c>
      <c r="O11" s="8">
        <f t="shared" si="2"/>
        <v>4664.6713252125001</v>
      </c>
      <c r="P11" s="8"/>
      <c r="Q11" s="8"/>
      <c r="R11" s="8"/>
      <c r="S11" s="8"/>
      <c r="T11" s="8">
        <v>41.3</v>
      </c>
      <c r="U11" s="8">
        <v>39.6</v>
      </c>
      <c r="V11" s="11">
        <f t="shared" si="3"/>
        <v>196.04304704230481</v>
      </c>
      <c r="W11" s="8">
        <v>50</v>
      </c>
      <c r="X11" s="11">
        <f t="shared" si="4"/>
        <v>146.04304704230481</v>
      </c>
      <c r="Y11" s="8">
        <v>18591880880</v>
      </c>
      <c r="Z11" s="5" t="s">
        <v>42</v>
      </c>
      <c r="AA11" s="8">
        <v>135</v>
      </c>
    </row>
    <row r="12" spans="1:27" ht="15.6" customHeight="1">
      <c r="A12" s="8">
        <v>1618640</v>
      </c>
      <c r="B12" s="8" t="s">
        <v>7</v>
      </c>
      <c r="C12" s="5">
        <v>0.81</v>
      </c>
      <c r="D12" s="6">
        <v>2.12</v>
      </c>
      <c r="E12" s="7">
        <v>2.12</v>
      </c>
      <c r="F12" s="5" t="s">
        <v>171</v>
      </c>
      <c r="G12" s="8">
        <v>53</v>
      </c>
      <c r="H12" s="10">
        <v>162.6</v>
      </c>
      <c r="I12" s="10">
        <f t="shared" si="0"/>
        <v>1.6259999999999999</v>
      </c>
      <c r="J12" s="10">
        <v>57.7</v>
      </c>
      <c r="K12" s="8">
        <f t="shared" si="1"/>
        <v>21.824018978197167</v>
      </c>
      <c r="L12" s="11">
        <v>0.3669</v>
      </c>
      <c r="M12" s="11">
        <v>3.2199999999999999E-2</v>
      </c>
      <c r="N12" s="11">
        <v>0.60409999999999997</v>
      </c>
      <c r="O12" s="8">
        <f t="shared" si="2"/>
        <v>4039.3219577543996</v>
      </c>
      <c r="P12" s="8"/>
      <c r="Q12" s="8"/>
      <c r="R12" s="8"/>
      <c r="S12" s="8"/>
      <c r="T12" s="8">
        <v>40.9</v>
      </c>
      <c r="U12" s="8">
        <v>35.799999999999997</v>
      </c>
      <c r="V12" s="11">
        <f t="shared" si="3"/>
        <v>537.17189007946399</v>
      </c>
      <c r="W12" s="8">
        <v>50</v>
      </c>
      <c r="X12" s="11">
        <f t="shared" si="4"/>
        <v>487.17189007946399</v>
      </c>
      <c r="Y12" s="8">
        <v>15094032997</v>
      </c>
      <c r="Z12" s="5" t="s">
        <v>42</v>
      </c>
      <c r="AA12" s="8">
        <v>70</v>
      </c>
    </row>
    <row r="13" spans="1:27" ht="15.6" customHeight="1">
      <c r="A13" s="8">
        <v>1631332</v>
      </c>
      <c r="B13" s="8" t="s">
        <v>57</v>
      </c>
      <c r="C13" s="5">
        <v>1.51</v>
      </c>
      <c r="D13" s="14">
        <v>3.63</v>
      </c>
      <c r="E13" s="12">
        <v>3</v>
      </c>
      <c r="F13" s="5" t="s">
        <v>171</v>
      </c>
      <c r="G13" s="8">
        <v>54</v>
      </c>
      <c r="H13" s="10">
        <v>173.2</v>
      </c>
      <c r="I13" s="10">
        <f t="shared" si="0"/>
        <v>1.732</v>
      </c>
      <c r="J13" s="10">
        <v>61.9</v>
      </c>
      <c r="K13" s="8">
        <f t="shared" si="1"/>
        <v>20.634543893241734</v>
      </c>
      <c r="L13" s="11">
        <v>0.3669</v>
      </c>
      <c r="M13" s="11">
        <v>3.2199999999999999E-2</v>
      </c>
      <c r="N13" s="11">
        <v>0.60409999999999997</v>
      </c>
      <c r="O13" s="8">
        <f t="shared" si="2"/>
        <v>4503.5805571392002</v>
      </c>
      <c r="P13" s="8"/>
      <c r="Q13" s="8"/>
      <c r="R13" s="8"/>
      <c r="S13" s="8"/>
      <c r="T13" s="8">
        <v>30.2</v>
      </c>
      <c r="U13" s="8">
        <v>27.5</v>
      </c>
      <c r="V13" s="8">
        <f t="shared" si="3"/>
        <v>421.4789429558349</v>
      </c>
      <c r="W13" s="8">
        <v>150</v>
      </c>
      <c r="X13" s="8">
        <f t="shared" si="4"/>
        <v>271.4789429558349</v>
      </c>
      <c r="Y13" s="8">
        <v>13992546001</v>
      </c>
      <c r="Z13" s="5" t="s">
        <v>42</v>
      </c>
      <c r="AA13" s="8">
        <v>120</v>
      </c>
    </row>
    <row r="14" spans="1:27" ht="15.6" customHeight="1">
      <c r="A14" s="8">
        <v>1618124</v>
      </c>
      <c r="B14" s="8" t="s">
        <v>6</v>
      </c>
      <c r="C14" s="5">
        <v>4.1399999999999997</v>
      </c>
      <c r="D14" s="6">
        <v>5.78</v>
      </c>
      <c r="E14" s="7">
        <v>5.78</v>
      </c>
      <c r="F14" s="5" t="s">
        <v>171</v>
      </c>
      <c r="G14" s="8">
        <v>55</v>
      </c>
      <c r="H14" s="10">
        <v>183</v>
      </c>
      <c r="I14" s="10">
        <f t="shared" si="0"/>
        <v>1.83</v>
      </c>
      <c r="J14" s="10">
        <v>64.2</v>
      </c>
      <c r="K14" s="8">
        <f t="shared" si="1"/>
        <v>19.170473886947949</v>
      </c>
      <c r="L14" s="11">
        <v>0.3669</v>
      </c>
      <c r="M14" s="11">
        <v>3.2199999999999999E-2</v>
      </c>
      <c r="N14" s="11">
        <v>0.60409999999999997</v>
      </c>
      <c r="O14" s="8">
        <f t="shared" si="2"/>
        <v>4919.8818803000004</v>
      </c>
      <c r="P14" s="11"/>
      <c r="Q14" s="11"/>
      <c r="R14" s="11"/>
      <c r="S14" s="8"/>
      <c r="T14" s="8">
        <v>44.9</v>
      </c>
      <c r="U14" s="8">
        <v>40.799999999999997</v>
      </c>
      <c r="V14" s="11">
        <f t="shared" si="3"/>
        <v>470.74715774165719</v>
      </c>
      <c r="W14" s="8">
        <v>80</v>
      </c>
      <c r="X14" s="11">
        <f t="shared" si="4"/>
        <v>390.74715774165719</v>
      </c>
      <c r="Y14" s="8">
        <v>13572577355</v>
      </c>
      <c r="Z14" s="5" t="s">
        <v>42</v>
      </c>
      <c r="AA14" s="8">
        <v>90</v>
      </c>
    </row>
    <row r="15" spans="1:27" ht="15.6" customHeight="1">
      <c r="A15" s="8">
        <v>1629724</v>
      </c>
      <c r="B15" s="8" t="s">
        <v>11</v>
      </c>
      <c r="C15" s="5">
        <v>0.81</v>
      </c>
      <c r="D15" s="6">
        <v>1.57</v>
      </c>
      <c r="E15" s="7">
        <v>1.57</v>
      </c>
      <c r="F15" s="5" t="s">
        <v>171</v>
      </c>
      <c r="G15" s="8">
        <v>57</v>
      </c>
      <c r="H15" s="10">
        <v>163.6</v>
      </c>
      <c r="I15" s="10">
        <f t="shared" si="0"/>
        <v>1.6359999999999999</v>
      </c>
      <c r="J15" s="10">
        <v>62.5</v>
      </c>
      <c r="K15" s="8">
        <f t="shared" si="1"/>
        <v>23.351426641399804</v>
      </c>
      <c r="L15" s="11">
        <v>0.3669</v>
      </c>
      <c r="M15" s="11">
        <v>3.2199999999999999E-2</v>
      </c>
      <c r="N15" s="11">
        <v>0.60409999999999997</v>
      </c>
      <c r="O15" s="8">
        <f t="shared" si="2"/>
        <v>4223.1624416063996</v>
      </c>
      <c r="P15" s="11"/>
      <c r="Q15" s="11"/>
      <c r="R15" s="11"/>
      <c r="S15" s="8"/>
      <c r="T15" s="8">
        <v>40.299999999999997</v>
      </c>
      <c r="U15" s="8">
        <v>35.299999999999997</v>
      </c>
      <c r="V15" s="11">
        <f t="shared" si="3"/>
        <v>558.61937058285719</v>
      </c>
      <c r="W15" s="8">
        <v>200</v>
      </c>
      <c r="X15" s="11">
        <f t="shared" si="4"/>
        <v>358.61937058285719</v>
      </c>
      <c r="Y15" s="8">
        <v>18092586008</v>
      </c>
      <c r="Z15" s="5" t="s">
        <v>42</v>
      </c>
      <c r="AA15" s="8">
        <v>170</v>
      </c>
    </row>
    <row r="16" spans="1:27" ht="15.6" customHeight="1">
      <c r="A16" s="8">
        <v>1541109</v>
      </c>
      <c r="B16" s="8" t="s">
        <v>67</v>
      </c>
      <c r="C16" s="5">
        <v>1.31</v>
      </c>
      <c r="D16" s="14">
        <v>4.67</v>
      </c>
      <c r="E16" s="12">
        <v>3</v>
      </c>
      <c r="F16" s="5" t="s">
        <v>171</v>
      </c>
      <c r="G16" s="8">
        <v>35</v>
      </c>
      <c r="H16" s="10">
        <v>169</v>
      </c>
      <c r="I16" s="10">
        <f t="shared" si="0"/>
        <v>1.69</v>
      </c>
      <c r="J16" s="10">
        <v>58.9</v>
      </c>
      <c r="K16" s="8">
        <f t="shared" si="1"/>
        <v>20.62252722243619</v>
      </c>
      <c r="L16" s="11">
        <v>0.3669</v>
      </c>
      <c r="M16" s="11">
        <v>3.2199999999999999E-2</v>
      </c>
      <c r="N16" s="11">
        <v>0.60409999999999997</v>
      </c>
      <c r="O16" s="8">
        <f t="shared" si="2"/>
        <v>4271.6362220999999</v>
      </c>
      <c r="P16" s="8"/>
      <c r="Q16" s="8"/>
      <c r="R16" s="8"/>
      <c r="S16" s="8"/>
      <c r="T16" s="8">
        <v>43.1</v>
      </c>
      <c r="U16" s="8">
        <v>38.700000000000003</v>
      </c>
      <c r="V16" s="8">
        <f t="shared" si="3"/>
        <v>459.54032707188247</v>
      </c>
      <c r="W16" s="8">
        <v>200</v>
      </c>
      <c r="X16" s="8">
        <f t="shared" si="4"/>
        <v>259.54032707188247</v>
      </c>
      <c r="Y16" s="8">
        <v>15591839997</v>
      </c>
      <c r="Z16" s="5" t="s">
        <v>40</v>
      </c>
      <c r="AA16" s="8">
        <v>145</v>
      </c>
    </row>
    <row r="17" spans="1:27" ht="15.6" customHeight="1">
      <c r="A17" s="8">
        <v>1630807</v>
      </c>
      <c r="B17" s="8" t="s">
        <v>13</v>
      </c>
      <c r="C17" s="5">
        <v>1.43</v>
      </c>
      <c r="D17" s="6">
        <v>2.12</v>
      </c>
      <c r="E17" s="7">
        <v>2.12</v>
      </c>
      <c r="F17" s="5" t="s">
        <v>171</v>
      </c>
      <c r="G17" s="8">
        <v>41</v>
      </c>
      <c r="H17" s="10">
        <v>165.2</v>
      </c>
      <c r="I17" s="10">
        <f t="shared" si="0"/>
        <v>1.6519999999999999</v>
      </c>
      <c r="J17" s="10">
        <v>65.900000000000006</v>
      </c>
      <c r="K17" s="8">
        <f t="shared" si="1"/>
        <v>24.147119347595407</v>
      </c>
      <c r="L17" s="11">
        <v>0.3669</v>
      </c>
      <c r="M17" s="11">
        <v>3.2199999999999999E-2</v>
      </c>
      <c r="N17" s="11">
        <v>0.60409999999999997</v>
      </c>
      <c r="O17" s="8">
        <f t="shared" si="2"/>
        <v>4380.2412415551998</v>
      </c>
      <c r="P17" s="8"/>
      <c r="Q17" s="8"/>
      <c r="R17" s="8"/>
      <c r="S17" s="8"/>
      <c r="T17" s="8">
        <v>44.5</v>
      </c>
      <c r="U17" s="8">
        <v>41.3</v>
      </c>
      <c r="V17" s="11">
        <f t="shared" si="3"/>
        <v>326.73128142136721</v>
      </c>
      <c r="W17" s="8">
        <v>50</v>
      </c>
      <c r="X17" s="11">
        <f t="shared" si="4"/>
        <v>276.73128142136721</v>
      </c>
      <c r="Y17" s="8">
        <v>13830491008</v>
      </c>
      <c r="Z17" s="5" t="s">
        <v>40</v>
      </c>
      <c r="AA17" s="8">
        <v>140</v>
      </c>
    </row>
    <row r="18" spans="1:27" ht="15.6" customHeight="1">
      <c r="A18" s="8">
        <v>1644083</v>
      </c>
      <c r="B18" s="8" t="s">
        <v>28</v>
      </c>
      <c r="C18" s="5">
        <v>1.35</v>
      </c>
      <c r="D18" s="14">
        <v>2.4300000000000002</v>
      </c>
      <c r="E18" s="12">
        <v>2.4300000000000002</v>
      </c>
      <c r="F18" s="5" t="s">
        <v>171</v>
      </c>
      <c r="G18" s="8">
        <v>44</v>
      </c>
      <c r="H18" s="10">
        <v>169.2</v>
      </c>
      <c r="I18" s="10">
        <f t="shared" si="0"/>
        <v>1.6919999999999999</v>
      </c>
      <c r="J18" s="10">
        <v>55.9</v>
      </c>
      <c r="K18" s="8">
        <f t="shared" si="1"/>
        <v>19.525901335166463</v>
      </c>
      <c r="L18" s="11">
        <v>0.3669</v>
      </c>
      <c r="M18" s="11">
        <v>3.2199999999999999E-2</v>
      </c>
      <c r="N18" s="11">
        <v>0.60409999999999997</v>
      </c>
      <c r="O18" s="8">
        <f t="shared" si="2"/>
        <v>4181.3310843071995</v>
      </c>
      <c r="P18" s="8"/>
      <c r="Q18" s="8"/>
      <c r="R18" s="8"/>
      <c r="S18" s="8"/>
      <c r="T18" s="8">
        <v>46.5</v>
      </c>
      <c r="U18" s="8">
        <v>41.6</v>
      </c>
      <c r="V18" s="11">
        <f t="shared" si="3"/>
        <v>465.11968928729334</v>
      </c>
      <c r="W18" s="8">
        <v>50</v>
      </c>
      <c r="X18" s="11">
        <f t="shared" si="4"/>
        <v>415.11968928729334</v>
      </c>
      <c r="Y18" s="8">
        <v>13895047317</v>
      </c>
      <c r="Z18" s="5" t="s">
        <v>40</v>
      </c>
      <c r="AA18" s="8">
        <v>80</v>
      </c>
    </row>
    <row r="19" spans="1:27" ht="15.6" customHeight="1">
      <c r="A19" s="8">
        <v>1616000</v>
      </c>
      <c r="B19" s="8" t="s">
        <v>5</v>
      </c>
      <c r="C19" s="5">
        <v>0.89</v>
      </c>
      <c r="D19" s="6">
        <v>5.65</v>
      </c>
      <c r="E19" s="7">
        <v>4</v>
      </c>
      <c r="F19" s="5" t="s">
        <v>171</v>
      </c>
      <c r="G19" s="8">
        <v>45</v>
      </c>
      <c r="H19" s="10">
        <v>168.4</v>
      </c>
      <c r="I19" s="10">
        <f t="shared" si="0"/>
        <v>1.6840000000000002</v>
      </c>
      <c r="J19" s="10">
        <v>76.7</v>
      </c>
      <c r="K19" s="8">
        <f t="shared" si="1"/>
        <v>27.046507297972813</v>
      </c>
      <c r="L19" s="11">
        <v>0.3669</v>
      </c>
      <c r="M19" s="11">
        <v>3.2199999999999999E-2</v>
      </c>
      <c r="N19" s="11">
        <v>0.60409999999999997</v>
      </c>
      <c r="O19" s="8">
        <f t="shared" si="2"/>
        <v>4826.0008538176007</v>
      </c>
      <c r="P19" s="8"/>
      <c r="Q19" s="8"/>
      <c r="R19" s="8"/>
      <c r="S19" s="8"/>
      <c r="T19" s="8">
        <v>48.1</v>
      </c>
      <c r="U19" s="8">
        <v>42.8</v>
      </c>
      <c r="V19" s="11">
        <f t="shared" si="3"/>
        <v>562.76797635276796</v>
      </c>
      <c r="W19" s="8">
        <v>50</v>
      </c>
      <c r="X19" s="11">
        <f t="shared" si="4"/>
        <v>512.76797635276796</v>
      </c>
      <c r="Y19" s="8">
        <v>15249193156</v>
      </c>
      <c r="Z19" s="5" t="s">
        <v>40</v>
      </c>
      <c r="AA19" s="8">
        <v>160</v>
      </c>
    </row>
    <row r="20" spans="1:27" ht="15.6" customHeight="1">
      <c r="A20" s="8">
        <v>1619041</v>
      </c>
      <c r="B20" s="8" t="s">
        <v>8</v>
      </c>
      <c r="C20" s="5">
        <v>1.54</v>
      </c>
      <c r="D20" s="6">
        <v>3.4</v>
      </c>
      <c r="E20" s="7">
        <v>3.4</v>
      </c>
      <c r="F20" s="5" t="s">
        <v>171</v>
      </c>
      <c r="G20" s="8">
        <v>46</v>
      </c>
      <c r="H20" s="10">
        <v>180.2</v>
      </c>
      <c r="I20" s="10">
        <f t="shared" si="0"/>
        <v>1.8019999999999998</v>
      </c>
      <c r="J20" s="10">
        <v>65.3</v>
      </c>
      <c r="K20" s="8">
        <f t="shared" si="1"/>
        <v>20.109608142882312</v>
      </c>
      <c r="L20" s="11">
        <v>0.3669</v>
      </c>
      <c r="M20" s="11">
        <v>3.2199999999999999E-2</v>
      </c>
      <c r="N20" s="11">
        <v>0.60409999999999997</v>
      </c>
      <c r="O20" s="8">
        <f t="shared" si="2"/>
        <v>4853.6612639751984</v>
      </c>
      <c r="P20" s="8"/>
      <c r="Q20" s="8"/>
      <c r="R20" s="8"/>
      <c r="S20" s="8"/>
      <c r="T20" s="8">
        <v>40.1</v>
      </c>
      <c r="U20" s="8">
        <v>35.4</v>
      </c>
      <c r="V20" s="11">
        <f t="shared" si="3"/>
        <v>604.29689909095225</v>
      </c>
      <c r="W20" s="8">
        <v>50</v>
      </c>
      <c r="X20" s="11">
        <f t="shared" si="4"/>
        <v>554.29689909095225</v>
      </c>
      <c r="Y20" s="8">
        <v>13087615589</v>
      </c>
      <c r="Z20" s="5" t="s">
        <v>40</v>
      </c>
      <c r="AA20" s="8">
        <v>90</v>
      </c>
    </row>
    <row r="21" spans="1:27" ht="15.6" customHeight="1">
      <c r="A21" s="8">
        <v>1606928</v>
      </c>
      <c r="B21" s="8" t="s">
        <v>3</v>
      </c>
      <c r="C21" s="5">
        <v>3.89</v>
      </c>
      <c r="D21" s="6">
        <v>2.7</v>
      </c>
      <c r="E21" s="7">
        <v>2.7</v>
      </c>
      <c r="F21" s="5" t="s">
        <v>171</v>
      </c>
      <c r="G21" s="8">
        <v>47</v>
      </c>
      <c r="H21" s="10">
        <v>175.6</v>
      </c>
      <c r="I21" s="10">
        <f t="shared" si="0"/>
        <v>1.756</v>
      </c>
      <c r="J21" s="10">
        <v>55.9</v>
      </c>
      <c r="K21" s="8">
        <f t="shared" si="1"/>
        <v>18.128538145817007</v>
      </c>
      <c r="L21" s="11">
        <v>0.3669</v>
      </c>
      <c r="M21" s="11">
        <v>3.2199999999999999E-2</v>
      </c>
      <c r="N21" s="11">
        <v>0.60409999999999997</v>
      </c>
      <c r="O21" s="8">
        <f t="shared" si="2"/>
        <v>4390.7294733504004</v>
      </c>
      <c r="P21" s="8"/>
      <c r="Q21" s="8"/>
      <c r="R21" s="8"/>
      <c r="S21" s="8"/>
      <c r="T21" s="8">
        <v>41.6</v>
      </c>
      <c r="U21" s="8">
        <v>38.6</v>
      </c>
      <c r="V21" s="11">
        <f t="shared" si="3"/>
        <v>328.48350174691274</v>
      </c>
      <c r="W21" s="8">
        <v>150</v>
      </c>
      <c r="X21" s="11">
        <f t="shared" si="4"/>
        <v>178.48350174691274</v>
      </c>
      <c r="Y21" s="8">
        <v>18717636508</v>
      </c>
      <c r="Z21" s="5" t="s">
        <v>40</v>
      </c>
      <c r="AA21" s="8">
        <v>125</v>
      </c>
    </row>
    <row r="22" spans="1:27">
      <c r="A22" s="8">
        <v>1604207</v>
      </c>
      <c r="B22" s="8" t="s">
        <v>52</v>
      </c>
      <c r="C22" s="5">
        <v>2.0099999999999998</v>
      </c>
      <c r="D22" s="14">
        <v>4.32</v>
      </c>
      <c r="E22" s="12">
        <v>4</v>
      </c>
      <c r="F22" s="5" t="s">
        <v>171</v>
      </c>
      <c r="G22" s="8">
        <v>50</v>
      </c>
      <c r="H22" s="10">
        <v>156.30000000000001</v>
      </c>
      <c r="I22" s="10">
        <f t="shared" si="0"/>
        <v>1.5630000000000002</v>
      </c>
      <c r="J22" s="10">
        <v>51.7</v>
      </c>
      <c r="K22" s="8">
        <f t="shared" si="1"/>
        <v>21.162773657790989</v>
      </c>
      <c r="L22" s="11">
        <v>0.3669</v>
      </c>
      <c r="M22" s="11">
        <v>3.2199999999999999E-2</v>
      </c>
      <c r="N22" s="11">
        <v>0.60409999999999997</v>
      </c>
      <c r="O22" s="8">
        <f t="shared" si="2"/>
        <v>3669.7964846943005</v>
      </c>
      <c r="P22" s="8"/>
      <c r="Q22" s="8"/>
      <c r="R22" s="8"/>
      <c r="S22" s="8"/>
      <c r="T22" s="8">
        <v>41.2</v>
      </c>
      <c r="U22" s="8">
        <v>35.6</v>
      </c>
      <c r="V22" s="8">
        <f t="shared" si="3"/>
        <v>535.17865401791892</v>
      </c>
      <c r="W22" s="8">
        <v>200</v>
      </c>
      <c r="X22" s="8">
        <f t="shared" si="4"/>
        <v>335.17865401791892</v>
      </c>
      <c r="Y22" s="8">
        <v>18792613231</v>
      </c>
      <c r="Z22" s="5" t="s">
        <v>40</v>
      </c>
      <c r="AA22" s="8">
        <v>90</v>
      </c>
    </row>
    <row r="23" spans="1:27">
      <c r="A23" s="8">
        <v>1632488</v>
      </c>
      <c r="B23" s="8" t="s">
        <v>37</v>
      </c>
      <c r="C23" s="5">
        <v>3.4</v>
      </c>
      <c r="D23" s="14">
        <v>4.58</v>
      </c>
      <c r="E23" s="12">
        <v>4.58</v>
      </c>
      <c r="F23" s="5" t="s">
        <v>171</v>
      </c>
      <c r="G23" s="8">
        <v>53</v>
      </c>
      <c r="H23" s="10">
        <v>161.30000000000001</v>
      </c>
      <c r="I23" s="10">
        <f t="shared" si="0"/>
        <v>1.6130000000000002</v>
      </c>
      <c r="J23" s="10">
        <v>58.6</v>
      </c>
      <c r="K23" s="8">
        <f t="shared" si="1"/>
        <v>22.523137142459603</v>
      </c>
      <c r="L23" s="11">
        <v>0.3669</v>
      </c>
      <c r="M23" s="11">
        <v>3.2199999999999999E-2</v>
      </c>
      <c r="N23" s="11">
        <v>0.60409999999999997</v>
      </c>
      <c r="O23" s="8">
        <f t="shared" si="2"/>
        <v>4030.7721313593001</v>
      </c>
      <c r="P23" s="8"/>
      <c r="Q23" s="8"/>
      <c r="R23" s="8"/>
      <c r="S23" s="8"/>
      <c r="T23" s="8">
        <v>44.2</v>
      </c>
      <c r="U23" s="8">
        <v>40.1</v>
      </c>
      <c r="V23" s="11">
        <f t="shared" si="3"/>
        <v>392.07985144894747</v>
      </c>
      <c r="W23" s="8">
        <v>30</v>
      </c>
      <c r="X23" s="11">
        <f t="shared" si="4"/>
        <v>362.07985144894747</v>
      </c>
      <c r="Y23" s="8">
        <v>13571306558</v>
      </c>
      <c r="Z23" s="5" t="s">
        <v>40</v>
      </c>
      <c r="AA23" s="8">
        <v>80</v>
      </c>
    </row>
    <row r="24" spans="1:27">
      <c r="A24" s="8">
        <v>1621033</v>
      </c>
      <c r="B24" s="8" t="s">
        <v>56</v>
      </c>
      <c r="C24" s="5">
        <v>0.88</v>
      </c>
      <c r="D24" s="14">
        <v>5.21</v>
      </c>
      <c r="E24" s="12">
        <v>7</v>
      </c>
      <c r="F24" s="5" t="s">
        <v>171</v>
      </c>
      <c r="G24" s="8">
        <v>38</v>
      </c>
      <c r="H24" s="10">
        <v>171.9</v>
      </c>
      <c r="I24" s="10">
        <f t="shared" si="0"/>
        <v>1.7190000000000001</v>
      </c>
      <c r="J24" s="10">
        <v>62.3</v>
      </c>
      <c r="K24" s="8">
        <f t="shared" si="1"/>
        <v>21.083188576769707</v>
      </c>
      <c r="L24" s="11">
        <v>0.3669</v>
      </c>
      <c r="M24" s="11">
        <v>3.2199999999999999E-2</v>
      </c>
      <c r="N24" s="11">
        <v>0.60409999999999997</v>
      </c>
      <c r="O24" s="8">
        <f t="shared" si="2"/>
        <v>4473.8571531570997</v>
      </c>
      <c r="P24" s="8"/>
      <c r="Q24" s="8"/>
      <c r="R24" s="8"/>
      <c r="S24" s="8"/>
      <c r="T24" s="8">
        <v>39.799999999999997</v>
      </c>
      <c r="U24" s="8">
        <v>36.5</v>
      </c>
      <c r="V24" s="8">
        <f t="shared" si="3"/>
        <v>386.99157550244871</v>
      </c>
      <c r="W24" s="8">
        <v>100</v>
      </c>
      <c r="X24" s="8">
        <f t="shared" si="4"/>
        <v>286.99157550244871</v>
      </c>
      <c r="Y24" s="8">
        <v>18191544106</v>
      </c>
      <c r="Z24" s="5" t="s">
        <v>43</v>
      </c>
      <c r="AA24" s="8">
        <v>75</v>
      </c>
    </row>
    <row r="25" spans="1:27">
      <c r="A25" s="8">
        <v>1604117</v>
      </c>
      <c r="B25" s="8" t="s">
        <v>1</v>
      </c>
      <c r="C25" s="8">
        <v>2.12</v>
      </c>
      <c r="D25" s="14">
        <v>3.46</v>
      </c>
      <c r="E25" s="12">
        <v>3.46</v>
      </c>
      <c r="F25" s="5" t="s">
        <v>171</v>
      </c>
      <c r="G25" s="8">
        <v>40</v>
      </c>
      <c r="H25" s="10">
        <v>161.80000000000001</v>
      </c>
      <c r="I25" s="10">
        <f t="shared" si="0"/>
        <v>1.6180000000000001</v>
      </c>
      <c r="J25" s="10">
        <v>51.5</v>
      </c>
      <c r="K25" s="8">
        <f t="shared" si="1"/>
        <v>19.67207604193246</v>
      </c>
      <c r="L25" s="11">
        <v>0.3669</v>
      </c>
      <c r="M25" s="11">
        <v>3.2199999999999999E-2</v>
      </c>
      <c r="N25" s="11">
        <v>0.60409999999999997</v>
      </c>
      <c r="O25" s="8">
        <f t="shared" si="2"/>
        <v>3816.5153986408004</v>
      </c>
      <c r="P25" s="8"/>
      <c r="Q25" s="8"/>
      <c r="R25" s="8"/>
      <c r="S25" s="8"/>
      <c r="T25" s="8">
        <v>37.1</v>
      </c>
      <c r="U25" s="8">
        <v>34.4</v>
      </c>
      <c r="V25" s="11">
        <f t="shared" si="3"/>
        <v>288.24032381343142</v>
      </c>
      <c r="W25" s="8">
        <v>50</v>
      </c>
      <c r="X25" s="11">
        <f t="shared" si="4"/>
        <v>238.24032381343142</v>
      </c>
      <c r="Y25" s="8">
        <v>15877555197</v>
      </c>
      <c r="Z25" s="8" t="s">
        <v>43</v>
      </c>
      <c r="AA25" s="8">
        <v>120</v>
      </c>
    </row>
    <row r="26" spans="1:27" ht="15.6" customHeight="1">
      <c r="A26" s="8">
        <v>1601172</v>
      </c>
      <c r="B26" s="8" t="s">
        <v>51</v>
      </c>
      <c r="C26" s="8">
        <v>1.67</v>
      </c>
      <c r="D26" s="14">
        <v>3.34</v>
      </c>
      <c r="E26" s="12">
        <v>2</v>
      </c>
      <c r="F26" s="5" t="s">
        <v>171</v>
      </c>
      <c r="G26" s="8">
        <v>27</v>
      </c>
      <c r="H26" s="10">
        <v>163.69999999999999</v>
      </c>
      <c r="I26" s="10">
        <f t="shared" si="0"/>
        <v>1.6369999999999998</v>
      </c>
      <c r="J26" s="10">
        <v>50.2</v>
      </c>
      <c r="K26" s="8">
        <f t="shared" si="1"/>
        <v>18.732957952719065</v>
      </c>
      <c r="L26" s="11">
        <v>0.3669</v>
      </c>
      <c r="M26" s="11">
        <v>3.2199999999999999E-2</v>
      </c>
      <c r="N26" s="11">
        <v>0.60409999999999997</v>
      </c>
      <c r="O26" s="8">
        <f t="shared" si="2"/>
        <v>3830.0502618656992</v>
      </c>
      <c r="P26" s="8"/>
      <c r="Q26" s="8"/>
      <c r="R26" s="8"/>
      <c r="S26" s="8"/>
      <c r="T26" s="8">
        <v>40.200000000000003</v>
      </c>
      <c r="U26" s="8">
        <v>36.299999999999997</v>
      </c>
      <c r="V26" s="8">
        <f t="shared" si="3"/>
        <v>390.51492866081696</v>
      </c>
      <c r="W26" s="8">
        <v>150</v>
      </c>
      <c r="X26" s="8">
        <f t="shared" si="4"/>
        <v>240.51492866081696</v>
      </c>
      <c r="Y26" s="8">
        <v>13992407791</v>
      </c>
      <c r="Z26" s="8" t="s">
        <v>41</v>
      </c>
      <c r="AA26" s="8">
        <v>75</v>
      </c>
    </row>
    <row r="27" spans="1:27" ht="15.6" customHeight="1">
      <c r="A27" s="8">
        <v>1621857</v>
      </c>
      <c r="B27" s="5" t="s">
        <v>71</v>
      </c>
      <c r="C27" s="5">
        <v>1.26</v>
      </c>
      <c r="D27" s="6">
        <v>3.34</v>
      </c>
      <c r="E27" s="7">
        <v>4</v>
      </c>
      <c r="F27" s="5" t="s">
        <v>171</v>
      </c>
      <c r="G27" s="8">
        <v>32</v>
      </c>
      <c r="H27" s="10">
        <v>181.4</v>
      </c>
      <c r="I27" s="10">
        <f t="shared" si="0"/>
        <v>1.8140000000000001</v>
      </c>
      <c r="J27" s="10">
        <v>59.6</v>
      </c>
      <c r="K27" s="8">
        <f t="shared" si="1"/>
        <v>18.112220400194978</v>
      </c>
      <c r="L27" s="11">
        <v>0.3669</v>
      </c>
      <c r="M27" s="11">
        <v>3.2199999999999999E-2</v>
      </c>
      <c r="N27" s="11">
        <v>0.60409999999999997</v>
      </c>
      <c r="O27" s="8">
        <f t="shared" si="2"/>
        <v>4713.2978857336002</v>
      </c>
      <c r="P27" s="8"/>
      <c r="Q27" s="8"/>
      <c r="R27" s="8"/>
      <c r="S27" s="8"/>
      <c r="T27" s="8">
        <v>41.9</v>
      </c>
      <c r="U27" s="8">
        <v>36.6</v>
      </c>
      <c r="V27" s="8">
        <f t="shared" si="3"/>
        <v>636.44531960224379</v>
      </c>
      <c r="W27" s="8">
        <v>100</v>
      </c>
      <c r="X27" s="8">
        <f t="shared" si="4"/>
        <v>536.44531960224379</v>
      </c>
      <c r="Y27" s="8">
        <v>13669228819</v>
      </c>
      <c r="Z27" s="5" t="s">
        <v>41</v>
      </c>
      <c r="AA27" s="8">
        <v>60</v>
      </c>
    </row>
    <row r="28" spans="1:27" ht="15.6" customHeight="1">
      <c r="A28" s="8">
        <v>1604951</v>
      </c>
      <c r="B28" s="8" t="s">
        <v>53</v>
      </c>
      <c r="C28" s="5">
        <v>1.22</v>
      </c>
      <c r="D28" s="14">
        <v>4.78</v>
      </c>
      <c r="E28" s="12">
        <v>5</v>
      </c>
      <c r="F28" s="5" t="s">
        <v>171</v>
      </c>
      <c r="G28" s="8">
        <v>38</v>
      </c>
      <c r="H28" s="10">
        <v>173.1</v>
      </c>
      <c r="I28" s="10">
        <f t="shared" si="0"/>
        <v>1.7309999999999999</v>
      </c>
      <c r="J28" s="10">
        <v>51.9</v>
      </c>
      <c r="K28" s="8">
        <f t="shared" si="1"/>
        <v>17.321010385597731</v>
      </c>
      <c r="L28" s="11">
        <v>0.3669</v>
      </c>
      <c r="M28" s="11">
        <v>3.2199999999999999E-2</v>
      </c>
      <c r="N28" s="11">
        <v>0.60409999999999997</v>
      </c>
      <c r="O28" s="8">
        <f t="shared" si="2"/>
        <v>4178.2805569078992</v>
      </c>
      <c r="P28" s="8"/>
      <c r="Q28" s="8"/>
      <c r="R28" s="8"/>
      <c r="S28" s="8"/>
      <c r="T28" s="8">
        <v>48.8</v>
      </c>
      <c r="U28" s="8">
        <v>44.1</v>
      </c>
      <c r="V28" s="8">
        <f t="shared" si="3"/>
        <v>422.7754277172682</v>
      </c>
      <c r="W28" s="8">
        <v>200</v>
      </c>
      <c r="X28" s="8">
        <f t="shared" si="4"/>
        <v>222.7754277172682</v>
      </c>
      <c r="Y28" s="8">
        <v>15289280065</v>
      </c>
      <c r="Z28" s="5" t="s">
        <v>41</v>
      </c>
      <c r="AA28" s="8">
        <v>115</v>
      </c>
    </row>
    <row r="29" spans="1:27" ht="15.6" customHeight="1">
      <c r="A29" s="8">
        <v>1610155</v>
      </c>
      <c r="B29" s="8" t="s">
        <v>54</v>
      </c>
      <c r="C29" s="5">
        <v>1.34</v>
      </c>
      <c r="D29" s="14">
        <v>4.4400000000000004</v>
      </c>
      <c r="E29" s="12">
        <v>6</v>
      </c>
      <c r="F29" s="5" t="s">
        <v>171</v>
      </c>
      <c r="G29" s="8">
        <v>41</v>
      </c>
      <c r="H29" s="10">
        <v>173.7</v>
      </c>
      <c r="I29" s="10">
        <f t="shared" si="0"/>
        <v>1.7369999999999999</v>
      </c>
      <c r="J29" s="10">
        <v>54</v>
      </c>
      <c r="K29" s="8">
        <f t="shared" si="1"/>
        <v>17.897572194331843</v>
      </c>
      <c r="L29" s="11">
        <v>0.3669</v>
      </c>
      <c r="M29" s="11">
        <v>3.2199999999999999E-2</v>
      </c>
      <c r="N29" s="11">
        <v>0.60409999999999997</v>
      </c>
      <c r="O29" s="8">
        <f t="shared" si="2"/>
        <v>4265.757794695699</v>
      </c>
      <c r="P29" s="8"/>
      <c r="Q29" s="8"/>
      <c r="R29" s="8"/>
      <c r="S29" s="8"/>
      <c r="T29" s="8">
        <v>45.3</v>
      </c>
      <c r="U29" s="8">
        <v>39</v>
      </c>
      <c r="V29" s="8">
        <f t="shared" si="3"/>
        <v>637.58657429615403</v>
      </c>
      <c r="W29" s="8">
        <v>150</v>
      </c>
      <c r="X29" s="8">
        <f t="shared" si="4"/>
        <v>487.58657429615403</v>
      </c>
      <c r="Y29" s="8">
        <v>18682939136</v>
      </c>
      <c r="Z29" s="5" t="s">
        <v>41</v>
      </c>
      <c r="AA29" s="8">
        <v>100</v>
      </c>
    </row>
    <row r="30" spans="1:27" ht="15.6" customHeight="1">
      <c r="A30" s="8">
        <v>1610277</v>
      </c>
      <c r="B30" s="8" t="s">
        <v>55</v>
      </c>
      <c r="C30" s="5">
        <v>1.27</v>
      </c>
      <c r="D30" s="14">
        <v>6.49</v>
      </c>
      <c r="E30" s="12">
        <v>7</v>
      </c>
      <c r="F30" s="5" t="s">
        <v>171</v>
      </c>
      <c r="G30" s="8">
        <v>45</v>
      </c>
      <c r="H30" s="10">
        <v>160.4</v>
      </c>
      <c r="I30" s="10">
        <f t="shared" si="0"/>
        <v>1.6040000000000001</v>
      </c>
      <c r="J30" s="10">
        <v>50</v>
      </c>
      <c r="K30" s="8">
        <f t="shared" si="1"/>
        <v>19.433958744037657</v>
      </c>
      <c r="L30" s="11">
        <v>0.3669</v>
      </c>
      <c r="M30" s="11">
        <v>3.2199999999999999E-2</v>
      </c>
      <c r="N30" s="11">
        <v>0.60409999999999997</v>
      </c>
      <c r="O30" s="8">
        <f t="shared" si="2"/>
        <v>3728.2217694015999</v>
      </c>
      <c r="P30" s="8"/>
      <c r="Q30" s="8"/>
      <c r="R30" s="8"/>
      <c r="S30" s="8"/>
      <c r="T30" s="8">
        <v>43.6</v>
      </c>
      <c r="U30" s="8">
        <v>39</v>
      </c>
      <c r="V30" s="8">
        <f t="shared" si="3"/>
        <v>415.2498823062316</v>
      </c>
      <c r="W30" s="8">
        <v>200</v>
      </c>
      <c r="X30" s="8">
        <f t="shared" si="4"/>
        <v>215.2498823062316</v>
      </c>
      <c r="Y30" s="8">
        <v>13992897569</v>
      </c>
      <c r="Z30" s="5" t="s">
        <v>41</v>
      </c>
      <c r="AA30" s="8">
        <v>120</v>
      </c>
    </row>
    <row r="31" spans="1:27" ht="15.6" customHeight="1">
      <c r="A31" s="8">
        <v>1631771</v>
      </c>
      <c r="B31" s="8" t="s">
        <v>27</v>
      </c>
      <c r="C31" s="5">
        <v>1.26</v>
      </c>
      <c r="D31" s="6">
        <v>2.86</v>
      </c>
      <c r="E31" s="7">
        <v>2.86</v>
      </c>
      <c r="F31" s="5" t="s">
        <v>171</v>
      </c>
      <c r="G31" s="8">
        <v>46</v>
      </c>
      <c r="H31" s="10">
        <v>162.80000000000001</v>
      </c>
      <c r="I31" s="10">
        <f t="shared" si="0"/>
        <v>1.6280000000000001</v>
      </c>
      <c r="J31" s="10">
        <v>50.8</v>
      </c>
      <c r="K31" s="8">
        <f t="shared" si="1"/>
        <v>19.167033909048648</v>
      </c>
      <c r="L31" s="11">
        <v>0.3669</v>
      </c>
      <c r="M31" s="11">
        <v>3.2199999999999999E-2</v>
      </c>
      <c r="N31" s="11">
        <v>0.60409999999999997</v>
      </c>
      <c r="O31" s="8">
        <f t="shared" si="2"/>
        <v>3822.9693482687999</v>
      </c>
      <c r="P31" s="8"/>
      <c r="Q31" s="8"/>
      <c r="R31" s="8"/>
      <c r="S31" s="8"/>
      <c r="T31" s="8">
        <v>44.3</v>
      </c>
      <c r="U31" s="8">
        <v>40.700000000000003</v>
      </c>
      <c r="V31" s="11">
        <f t="shared" si="3"/>
        <v>323.82799185335665</v>
      </c>
      <c r="W31" s="8">
        <v>50</v>
      </c>
      <c r="X31" s="11">
        <f t="shared" si="4"/>
        <v>273.82799185335665</v>
      </c>
      <c r="Y31" s="8">
        <v>18729066307</v>
      </c>
      <c r="Z31" s="5" t="s">
        <v>41</v>
      </c>
      <c r="AA31" s="8">
        <v>90</v>
      </c>
    </row>
    <row r="32" spans="1:27" ht="15.6" customHeight="1">
      <c r="A32" s="8">
        <v>1541042</v>
      </c>
      <c r="B32" s="8" t="s">
        <v>29</v>
      </c>
      <c r="C32" s="8">
        <v>4.25</v>
      </c>
      <c r="D32" s="14">
        <v>7.9</v>
      </c>
      <c r="E32" s="12">
        <v>7.9</v>
      </c>
      <c r="F32" s="5" t="s">
        <v>171</v>
      </c>
      <c r="G32" s="8">
        <v>50</v>
      </c>
      <c r="H32" s="10">
        <v>167.3</v>
      </c>
      <c r="I32" s="10">
        <f t="shared" si="0"/>
        <v>1.673</v>
      </c>
      <c r="J32" s="10">
        <v>54.900000000000006</v>
      </c>
      <c r="K32" s="8">
        <f t="shared" si="1"/>
        <v>19.614645459030939</v>
      </c>
      <c r="L32" s="11">
        <v>0.3669</v>
      </c>
      <c r="M32" s="11">
        <v>3.2199999999999999E-2</v>
      </c>
      <c r="N32" s="11">
        <v>0.60409999999999997</v>
      </c>
      <c r="O32" s="8">
        <f t="shared" si="2"/>
        <v>4089.9289548173006</v>
      </c>
      <c r="P32" s="8"/>
      <c r="Q32" s="8"/>
      <c r="R32" s="8"/>
      <c r="S32" s="8"/>
      <c r="T32" s="8">
        <v>29.9</v>
      </c>
      <c r="U32" s="8">
        <v>28.1</v>
      </c>
      <c r="V32" s="11">
        <f t="shared" si="3"/>
        <v>253.85765926452169</v>
      </c>
      <c r="W32" s="8">
        <v>50</v>
      </c>
      <c r="X32" s="11">
        <f t="shared" si="4"/>
        <v>203.85765926452169</v>
      </c>
      <c r="Y32" s="8">
        <v>13892099505</v>
      </c>
      <c r="Z32" s="5" t="s">
        <v>41</v>
      </c>
      <c r="AA32" s="8">
        <v>120</v>
      </c>
    </row>
    <row r="33" spans="1:31" ht="15.6" customHeight="1">
      <c r="A33" s="8">
        <v>1638742</v>
      </c>
      <c r="B33" s="8" t="s">
        <v>22</v>
      </c>
      <c r="C33" s="5">
        <v>1.35</v>
      </c>
      <c r="D33" s="14">
        <v>3.2</v>
      </c>
      <c r="E33" s="12">
        <v>3.2</v>
      </c>
      <c r="F33" s="5" t="s">
        <v>171</v>
      </c>
      <c r="G33" s="8">
        <v>50</v>
      </c>
      <c r="H33" s="10">
        <v>183.1</v>
      </c>
      <c r="I33" s="10">
        <f t="shared" si="0"/>
        <v>1.831</v>
      </c>
      <c r="J33" s="10">
        <v>76.7</v>
      </c>
      <c r="K33" s="8">
        <f t="shared" si="1"/>
        <v>22.8780326442979</v>
      </c>
      <c r="L33" s="11">
        <v>0.3669</v>
      </c>
      <c r="M33" s="11">
        <v>3.2199999999999999E-2</v>
      </c>
      <c r="N33" s="11">
        <v>0.60409999999999997</v>
      </c>
      <c r="O33" s="8">
        <f t="shared" si="2"/>
        <v>5326.0700291778994</v>
      </c>
      <c r="P33" s="8"/>
      <c r="Q33" s="8"/>
      <c r="R33" s="8"/>
      <c r="S33" s="8"/>
      <c r="T33" s="8">
        <v>42.4</v>
      </c>
      <c r="U33" s="8">
        <v>39.799999999999997</v>
      </c>
      <c r="V33" s="11">
        <f t="shared" si="3"/>
        <v>336.92900427889413</v>
      </c>
      <c r="W33" s="8">
        <v>50</v>
      </c>
      <c r="X33" s="11">
        <f t="shared" si="4"/>
        <v>286.92900427889413</v>
      </c>
      <c r="Y33" s="8">
        <v>18092310016</v>
      </c>
      <c r="Z33" s="5" t="s">
        <v>41</v>
      </c>
      <c r="AA33" s="8">
        <v>125</v>
      </c>
    </row>
    <row r="34" spans="1:31" ht="15.6" customHeight="1">
      <c r="A34" s="8">
        <v>1624573</v>
      </c>
      <c r="B34" s="8" t="s">
        <v>62</v>
      </c>
      <c r="C34" s="5">
        <v>1.87</v>
      </c>
      <c r="D34" s="14">
        <v>4.83</v>
      </c>
      <c r="E34" s="12">
        <v>11</v>
      </c>
      <c r="F34" s="5" t="s">
        <v>171</v>
      </c>
      <c r="G34" s="8">
        <v>52</v>
      </c>
      <c r="H34" s="10">
        <v>161.69999999999999</v>
      </c>
      <c r="I34" s="10">
        <f t="shared" ref="I34:I62" si="5">H34/100</f>
        <v>1.617</v>
      </c>
      <c r="J34" s="10">
        <v>50.2</v>
      </c>
      <c r="K34" s="8">
        <f t="shared" ref="K34:K62" si="6">J34/I34/I34</f>
        <v>19.199224075979973</v>
      </c>
      <c r="L34" s="11">
        <v>0.3669</v>
      </c>
      <c r="M34" s="11">
        <v>3.2199999999999999E-2</v>
      </c>
      <c r="N34" s="11">
        <v>0.60409999999999997</v>
      </c>
      <c r="O34" s="8">
        <f t="shared" si="2"/>
        <v>3771.7756302596999</v>
      </c>
      <c r="P34" s="8"/>
      <c r="Q34" s="8"/>
      <c r="R34" s="8"/>
      <c r="S34" s="8"/>
      <c r="T34" s="8">
        <v>48.7</v>
      </c>
      <c r="U34" s="8">
        <v>43.6</v>
      </c>
      <c r="V34" s="8">
        <f t="shared" si="3"/>
        <v>416.815941805514</v>
      </c>
      <c r="W34" s="8">
        <v>200</v>
      </c>
      <c r="X34" s="8">
        <f t="shared" ref="X34:X62" si="7">V34-W34</f>
        <v>216.815941805514</v>
      </c>
      <c r="Y34" s="8">
        <v>15289318913</v>
      </c>
      <c r="Z34" s="5" t="s">
        <v>41</v>
      </c>
      <c r="AA34" s="8">
        <v>100</v>
      </c>
    </row>
    <row r="35" spans="1:31" ht="15.6" customHeight="1">
      <c r="A35" s="8">
        <v>1620187</v>
      </c>
      <c r="B35" s="8" t="s">
        <v>30</v>
      </c>
      <c r="C35" s="5">
        <v>6.29</v>
      </c>
      <c r="D35" s="6">
        <v>7.2</v>
      </c>
      <c r="E35" s="7">
        <v>7.2</v>
      </c>
      <c r="F35" s="5" t="s">
        <v>171</v>
      </c>
      <c r="G35" s="8">
        <v>57</v>
      </c>
      <c r="H35" s="10">
        <v>180</v>
      </c>
      <c r="I35" s="10">
        <f t="shared" si="5"/>
        <v>1.8</v>
      </c>
      <c r="J35" s="10">
        <v>73.8</v>
      </c>
      <c r="K35" s="8">
        <f t="shared" si="6"/>
        <v>22.777777777777779</v>
      </c>
      <c r="L35" s="11">
        <v>0.3669</v>
      </c>
      <c r="M35" s="11">
        <v>3.2199999999999999E-2</v>
      </c>
      <c r="N35" s="11">
        <v>0.60409999999999997</v>
      </c>
      <c r="O35" s="8">
        <f t="shared" si="2"/>
        <v>5120.2208000000001</v>
      </c>
      <c r="P35" s="11"/>
      <c r="Q35" s="11"/>
      <c r="R35" s="11"/>
      <c r="S35" s="8"/>
      <c r="T35" s="8">
        <v>41.9</v>
      </c>
      <c r="U35" s="8">
        <v>39.5</v>
      </c>
      <c r="V35" s="11">
        <f t="shared" si="3"/>
        <v>301.92948206388189</v>
      </c>
      <c r="W35" s="8">
        <v>30</v>
      </c>
      <c r="X35" s="11">
        <f t="shared" si="7"/>
        <v>271.92948206388189</v>
      </c>
      <c r="Y35" s="8">
        <v>13571895690</v>
      </c>
      <c r="Z35" s="5" t="s">
        <v>41</v>
      </c>
      <c r="AA35" s="8">
        <v>60</v>
      </c>
    </row>
    <row r="36" spans="1:31" ht="15.6" customHeight="1">
      <c r="A36" s="8">
        <v>1644663</v>
      </c>
      <c r="B36" s="8" t="s">
        <v>12</v>
      </c>
      <c r="C36" s="5">
        <v>0.59</v>
      </c>
      <c r="D36" s="14">
        <v>1.59</v>
      </c>
      <c r="E36" s="12">
        <v>1.59</v>
      </c>
      <c r="F36" s="5" t="s">
        <v>172</v>
      </c>
      <c r="G36" s="8">
        <v>29</v>
      </c>
      <c r="H36" s="10">
        <v>161.19999999999999</v>
      </c>
      <c r="I36" s="10">
        <f t="shared" si="5"/>
        <v>1.6119999999999999</v>
      </c>
      <c r="J36" s="10">
        <v>64</v>
      </c>
      <c r="K36" s="8">
        <f t="shared" si="6"/>
        <v>24.629176954479128</v>
      </c>
      <c r="L36" s="8"/>
      <c r="M36" s="8"/>
      <c r="N36" s="8"/>
      <c r="O36" s="8"/>
      <c r="P36" s="11">
        <v>0.35610000000000003</v>
      </c>
      <c r="Q36" s="11">
        <v>3.3099999999999997E-2</v>
      </c>
      <c r="R36" s="11">
        <v>0.18329999999999999</v>
      </c>
      <c r="S36" s="8">
        <f t="shared" ref="S36:S62" si="8">(P36*I36*I36*I36+Q36*J36+R36)*1000</f>
        <v>3793.3505276607998</v>
      </c>
      <c r="T36" s="8">
        <v>36.6</v>
      </c>
      <c r="U36" s="8">
        <v>31.3</v>
      </c>
      <c r="V36" s="11">
        <f t="shared" ref="V36:V62" si="9">2*S36*(T36-U36)/(T36+U36)</f>
        <v>592.1872694139098</v>
      </c>
      <c r="W36" s="8">
        <v>50</v>
      </c>
      <c r="X36" s="11">
        <f t="shared" si="7"/>
        <v>542.1872694139098</v>
      </c>
      <c r="Y36" s="8">
        <v>13991296414</v>
      </c>
      <c r="Z36" s="5" t="s">
        <v>42</v>
      </c>
      <c r="AA36" s="8">
        <v>120</v>
      </c>
    </row>
    <row r="37" spans="1:31" ht="15.6" customHeight="1">
      <c r="A37" s="8">
        <v>1616498</v>
      </c>
      <c r="B37" s="8" t="s">
        <v>64</v>
      </c>
      <c r="C37" s="5">
        <v>1.76</v>
      </c>
      <c r="D37" s="14">
        <v>4.0199999999999996</v>
      </c>
      <c r="E37" s="12">
        <v>5</v>
      </c>
      <c r="F37" s="5" t="s">
        <v>172</v>
      </c>
      <c r="G37" s="8">
        <v>41</v>
      </c>
      <c r="H37" s="10">
        <v>161.9</v>
      </c>
      <c r="I37" s="10">
        <f t="shared" si="5"/>
        <v>1.619</v>
      </c>
      <c r="J37" s="10">
        <v>55.7</v>
      </c>
      <c r="K37" s="8">
        <f t="shared" si="6"/>
        <v>21.250125421521229</v>
      </c>
      <c r="L37" s="8"/>
      <c r="M37" s="8"/>
      <c r="N37" s="8"/>
      <c r="O37" s="8"/>
      <c r="P37" s="11">
        <v>0.35610000000000003</v>
      </c>
      <c r="Q37" s="11">
        <v>3.3099999999999997E-2</v>
      </c>
      <c r="R37" s="11">
        <v>0.18329999999999999</v>
      </c>
      <c r="S37" s="8">
        <f t="shared" si="8"/>
        <v>3538.1372045699</v>
      </c>
      <c r="T37" s="8">
        <v>41.1</v>
      </c>
      <c r="U37" s="8">
        <v>35.700000000000003</v>
      </c>
      <c r="V37" s="8">
        <f t="shared" si="9"/>
        <v>497.550544392642</v>
      </c>
      <c r="W37" s="8">
        <v>200</v>
      </c>
      <c r="X37" s="8">
        <f t="shared" si="7"/>
        <v>297.550544392642</v>
      </c>
      <c r="Y37" s="8">
        <v>15991529099</v>
      </c>
      <c r="Z37" s="5" t="s">
        <v>42</v>
      </c>
      <c r="AA37" s="8">
        <v>130</v>
      </c>
    </row>
    <row r="38" spans="1:31" ht="15.6" customHeight="1">
      <c r="A38" s="8">
        <v>1626376</v>
      </c>
      <c r="B38" s="8" t="s">
        <v>69</v>
      </c>
      <c r="C38" s="5">
        <v>2.0099999999999998</v>
      </c>
      <c r="D38" s="14">
        <v>4.43</v>
      </c>
      <c r="E38" s="12">
        <v>6</v>
      </c>
      <c r="F38" s="5" t="s">
        <v>172</v>
      </c>
      <c r="G38" s="8">
        <v>44</v>
      </c>
      <c r="H38" s="10">
        <v>163.30000000000001</v>
      </c>
      <c r="I38" s="10">
        <f t="shared" si="5"/>
        <v>1.633</v>
      </c>
      <c r="J38" s="10">
        <v>52.1</v>
      </c>
      <c r="K38" s="8">
        <f t="shared" si="6"/>
        <v>19.537336374807861</v>
      </c>
      <c r="L38" s="8"/>
      <c r="M38" s="8"/>
      <c r="N38" s="8"/>
      <c r="O38" s="8"/>
      <c r="P38" s="11">
        <v>0.35610000000000003</v>
      </c>
      <c r="Q38" s="11">
        <v>3.3099999999999997E-2</v>
      </c>
      <c r="R38" s="11">
        <v>0.18329999999999999</v>
      </c>
      <c r="S38" s="8">
        <f t="shared" si="8"/>
        <v>3458.5197870857005</v>
      </c>
      <c r="T38" s="8">
        <v>39.299999999999997</v>
      </c>
      <c r="U38" s="8">
        <v>31.8</v>
      </c>
      <c r="V38" s="8">
        <f t="shared" si="9"/>
        <v>729.64552470162437</v>
      </c>
      <c r="W38" s="8">
        <v>200</v>
      </c>
      <c r="X38" s="8">
        <f t="shared" si="7"/>
        <v>529.64552470162437</v>
      </c>
      <c r="Y38" s="8">
        <v>18092022665</v>
      </c>
      <c r="Z38" s="5" t="s">
        <v>42</v>
      </c>
      <c r="AA38" s="8">
        <v>150</v>
      </c>
    </row>
    <row r="39" spans="1:31" ht="15.6" customHeight="1">
      <c r="A39" s="8">
        <v>1604555</v>
      </c>
      <c r="B39" s="5" t="s">
        <v>178</v>
      </c>
      <c r="C39" s="5">
        <v>1.02</v>
      </c>
      <c r="D39" s="6">
        <v>2.02</v>
      </c>
      <c r="E39" s="7">
        <v>2.02</v>
      </c>
      <c r="F39" s="5" t="s">
        <v>172</v>
      </c>
      <c r="G39" s="8">
        <v>47</v>
      </c>
      <c r="H39" s="10">
        <v>167.3</v>
      </c>
      <c r="I39" s="10">
        <f t="shared" si="5"/>
        <v>1.673</v>
      </c>
      <c r="J39" s="10">
        <v>59.599999999999994</v>
      </c>
      <c r="K39" s="8">
        <f t="shared" si="6"/>
        <v>21.293859186853258</v>
      </c>
      <c r="L39" s="8"/>
      <c r="M39" s="8"/>
      <c r="N39" s="8"/>
      <c r="O39" s="8"/>
      <c r="P39" s="11">
        <v>0.35610000000000003</v>
      </c>
      <c r="Q39" s="11">
        <v>3.3099999999999997E-2</v>
      </c>
      <c r="R39" s="11">
        <v>0.18329999999999999</v>
      </c>
      <c r="S39" s="8">
        <f t="shared" si="8"/>
        <v>3823.5367860737001</v>
      </c>
      <c r="T39" s="8">
        <v>43.6</v>
      </c>
      <c r="U39" s="11">
        <v>40.1</v>
      </c>
      <c r="V39" s="11">
        <f t="shared" si="9"/>
        <v>319.77010158322463</v>
      </c>
      <c r="W39" s="8">
        <v>100</v>
      </c>
      <c r="X39" s="11">
        <f t="shared" si="7"/>
        <v>219.77010158322463</v>
      </c>
      <c r="Y39" s="8">
        <v>13720625777</v>
      </c>
      <c r="Z39" s="5" t="s">
        <v>42</v>
      </c>
      <c r="AA39" s="8">
        <v>40</v>
      </c>
    </row>
    <row r="40" spans="1:31" ht="15.6" customHeight="1">
      <c r="A40" s="8">
        <v>1620994</v>
      </c>
      <c r="B40" s="8" t="s">
        <v>68</v>
      </c>
      <c r="C40" s="5">
        <v>1.37</v>
      </c>
      <c r="D40" s="14">
        <v>4.3899999999999997</v>
      </c>
      <c r="E40" s="12">
        <v>5</v>
      </c>
      <c r="F40" s="5" t="s">
        <v>172</v>
      </c>
      <c r="G40" s="8">
        <v>47</v>
      </c>
      <c r="H40" s="10">
        <v>166.5</v>
      </c>
      <c r="I40" s="10">
        <f t="shared" si="5"/>
        <v>1.665</v>
      </c>
      <c r="J40" s="10">
        <v>51.1</v>
      </c>
      <c r="K40" s="8">
        <f t="shared" si="6"/>
        <v>18.432847261676091</v>
      </c>
      <c r="L40" s="8"/>
      <c r="M40" s="8"/>
      <c r="N40" s="8"/>
      <c r="O40" s="8"/>
      <c r="P40" s="11">
        <v>0.35610000000000003</v>
      </c>
      <c r="Q40" s="11">
        <v>3.3099999999999997E-2</v>
      </c>
      <c r="R40" s="11">
        <v>0.18329999999999999</v>
      </c>
      <c r="S40" s="8">
        <f t="shared" si="8"/>
        <v>3518.3802219625004</v>
      </c>
      <c r="T40" s="8">
        <v>40</v>
      </c>
      <c r="U40" s="8">
        <v>34.4</v>
      </c>
      <c r="V40" s="8">
        <f t="shared" si="9"/>
        <v>529.64863556424746</v>
      </c>
      <c r="W40" s="8">
        <v>300</v>
      </c>
      <c r="X40" s="8">
        <f t="shared" si="7"/>
        <v>229.64863556424746</v>
      </c>
      <c r="Y40" s="8">
        <v>13609239032</v>
      </c>
      <c r="Z40" s="5" t="s">
        <v>42</v>
      </c>
      <c r="AA40" s="8">
        <v>110</v>
      </c>
    </row>
    <row r="41" spans="1:31" ht="15.6" customHeight="1">
      <c r="A41" s="8">
        <v>1618967</v>
      </c>
      <c r="B41" s="8" t="s">
        <v>31</v>
      </c>
      <c r="C41" s="5">
        <v>2.2400000000000002</v>
      </c>
      <c r="D41" s="6">
        <v>3</v>
      </c>
      <c r="E41" s="7">
        <v>3</v>
      </c>
      <c r="F41" s="5" t="s">
        <v>172</v>
      </c>
      <c r="G41" s="8">
        <v>48</v>
      </c>
      <c r="H41" s="10">
        <v>165.6</v>
      </c>
      <c r="I41" s="10">
        <f t="shared" si="5"/>
        <v>1.6559999999999999</v>
      </c>
      <c r="J41" s="10">
        <v>57.9</v>
      </c>
      <c r="K41" s="8">
        <f t="shared" si="6"/>
        <v>21.113386543443255</v>
      </c>
      <c r="L41" s="8"/>
      <c r="M41" s="8"/>
      <c r="N41" s="8"/>
      <c r="O41" s="8"/>
      <c r="P41" s="11">
        <v>0.35610000000000003</v>
      </c>
      <c r="Q41" s="11">
        <v>3.3099999999999997E-2</v>
      </c>
      <c r="R41" s="11">
        <v>0.18329999999999999</v>
      </c>
      <c r="S41" s="8">
        <f t="shared" si="8"/>
        <v>3716.9499269376001</v>
      </c>
      <c r="T41" s="8">
        <v>48.5</v>
      </c>
      <c r="U41" s="11">
        <v>42.5</v>
      </c>
      <c r="V41" s="11">
        <f t="shared" si="9"/>
        <v>490.14724311265059</v>
      </c>
      <c r="W41" s="8">
        <v>30</v>
      </c>
      <c r="X41" s="11">
        <f t="shared" si="7"/>
        <v>460.14724311265059</v>
      </c>
      <c r="Y41" s="8">
        <v>15389039187</v>
      </c>
      <c r="Z41" s="5" t="s">
        <v>42</v>
      </c>
      <c r="AA41" s="8">
        <v>60</v>
      </c>
    </row>
    <row r="42" spans="1:31">
      <c r="A42" s="8">
        <v>1641437</v>
      </c>
      <c r="B42" s="8" t="s">
        <v>32</v>
      </c>
      <c r="C42" s="5">
        <v>2.12</v>
      </c>
      <c r="D42" s="14">
        <v>3.13</v>
      </c>
      <c r="E42" s="12">
        <v>3.13</v>
      </c>
      <c r="F42" s="5" t="s">
        <v>172</v>
      </c>
      <c r="G42" s="8">
        <v>48</v>
      </c>
      <c r="H42" s="10">
        <v>156.6</v>
      </c>
      <c r="I42" s="10">
        <f t="shared" si="5"/>
        <v>1.5659999999999998</v>
      </c>
      <c r="J42" s="10">
        <v>59.6</v>
      </c>
      <c r="K42" s="8">
        <f t="shared" si="6"/>
        <v>24.303159900112387</v>
      </c>
      <c r="L42" s="8"/>
      <c r="M42" s="8"/>
      <c r="N42" s="8"/>
      <c r="O42" s="8"/>
      <c r="P42" s="11">
        <v>0.35610000000000003</v>
      </c>
      <c r="Q42" s="11">
        <v>3.3099999999999997E-2</v>
      </c>
      <c r="R42" s="11">
        <v>0.18329999999999999</v>
      </c>
      <c r="S42" s="8">
        <f t="shared" si="8"/>
        <v>3523.6226995255997</v>
      </c>
      <c r="T42" s="8">
        <v>40</v>
      </c>
      <c r="U42" s="8">
        <v>34.4</v>
      </c>
      <c r="V42" s="11">
        <f t="shared" si="9"/>
        <v>530.43782573503665</v>
      </c>
      <c r="W42" s="8">
        <v>50</v>
      </c>
      <c r="X42" s="11">
        <f t="shared" si="7"/>
        <v>480.43782573503665</v>
      </c>
      <c r="Y42" s="8">
        <v>13279241860</v>
      </c>
      <c r="Z42" s="5" t="s">
        <v>42</v>
      </c>
      <c r="AA42" s="8">
        <v>120</v>
      </c>
    </row>
    <row r="43" spans="1:31" ht="15.6" customHeight="1">
      <c r="A43" s="8">
        <v>1633990</v>
      </c>
      <c r="B43" s="8" t="s">
        <v>20</v>
      </c>
      <c r="C43" s="5">
        <v>1.1299999999999999</v>
      </c>
      <c r="D43" s="14">
        <v>2.74</v>
      </c>
      <c r="E43" s="12">
        <v>2.74</v>
      </c>
      <c r="F43" s="5" t="s">
        <v>172</v>
      </c>
      <c r="G43" s="8">
        <v>49</v>
      </c>
      <c r="H43" s="10">
        <v>159.6</v>
      </c>
      <c r="I43" s="10">
        <f t="shared" si="5"/>
        <v>1.5959999999999999</v>
      </c>
      <c r="J43" s="10">
        <v>59.6</v>
      </c>
      <c r="K43" s="8">
        <f t="shared" si="6"/>
        <v>23.398094233076431</v>
      </c>
      <c r="L43" s="8"/>
      <c r="M43" s="8"/>
      <c r="N43" s="8"/>
      <c r="O43" s="8"/>
      <c r="P43" s="11">
        <v>0.35610000000000003</v>
      </c>
      <c r="Q43" s="11">
        <v>3.3099999999999997E-2</v>
      </c>
      <c r="R43" s="11">
        <v>0.18329999999999999</v>
      </c>
      <c r="S43" s="8">
        <f t="shared" si="8"/>
        <v>3603.7335336895994</v>
      </c>
      <c r="T43" s="8">
        <v>40.200000000000003</v>
      </c>
      <c r="U43" s="8">
        <v>34.1</v>
      </c>
      <c r="V43" s="11">
        <f t="shared" si="9"/>
        <v>591.73013608362203</v>
      </c>
      <c r="W43" s="8">
        <v>50</v>
      </c>
      <c r="X43" s="11">
        <f t="shared" si="7"/>
        <v>541.73013608362203</v>
      </c>
      <c r="Y43" s="8">
        <v>15249210239</v>
      </c>
      <c r="Z43" s="5" t="s">
        <v>42</v>
      </c>
      <c r="AA43" s="8">
        <v>60</v>
      </c>
    </row>
    <row r="44" spans="1:31" ht="15.6" customHeight="1">
      <c r="A44" s="8">
        <v>1607425</v>
      </c>
      <c r="B44" s="5" t="s">
        <v>70</v>
      </c>
      <c r="C44" s="5">
        <v>1.1200000000000001</v>
      </c>
      <c r="D44" s="6">
        <v>3.78</v>
      </c>
      <c r="E44" s="7">
        <v>4</v>
      </c>
      <c r="F44" s="5" t="s">
        <v>172</v>
      </c>
      <c r="G44" s="8">
        <v>49</v>
      </c>
      <c r="H44" s="10">
        <v>163.1</v>
      </c>
      <c r="I44" s="10">
        <f t="shared" si="5"/>
        <v>1.631</v>
      </c>
      <c r="J44" s="10">
        <v>53.2</v>
      </c>
      <c r="K44" s="8">
        <f t="shared" si="6"/>
        <v>19.998789546948476</v>
      </c>
      <c r="L44" s="8"/>
      <c r="M44" s="8"/>
      <c r="N44" s="8"/>
      <c r="O44" s="8"/>
      <c r="P44" s="11">
        <v>0.35610000000000003</v>
      </c>
      <c r="Q44" s="11">
        <v>3.3099999999999997E-2</v>
      </c>
      <c r="R44" s="11">
        <v>0.18329999999999999</v>
      </c>
      <c r="S44" s="8">
        <f t="shared" si="8"/>
        <v>3489.2391146550999</v>
      </c>
      <c r="T44" s="8">
        <v>39.4</v>
      </c>
      <c r="U44" s="8">
        <v>35.200000000000003</v>
      </c>
      <c r="V44" s="8">
        <f t="shared" si="9"/>
        <v>392.89019521585539</v>
      </c>
      <c r="W44" s="8">
        <v>100</v>
      </c>
      <c r="X44" s="8">
        <f t="shared" si="7"/>
        <v>292.89019521585539</v>
      </c>
      <c r="Y44" s="8">
        <v>13891999085</v>
      </c>
      <c r="Z44" s="5" t="s">
        <v>42</v>
      </c>
      <c r="AA44" s="8">
        <v>60</v>
      </c>
    </row>
    <row r="45" spans="1:31" ht="15.6" customHeight="1">
      <c r="A45" s="8">
        <v>1607734</v>
      </c>
      <c r="B45" s="8" t="s">
        <v>58</v>
      </c>
      <c r="C45" s="5">
        <v>1.42</v>
      </c>
      <c r="D45" s="14">
        <v>3.63</v>
      </c>
      <c r="E45" s="12">
        <v>3</v>
      </c>
      <c r="F45" s="5" t="s">
        <v>172</v>
      </c>
      <c r="G45" s="8">
        <v>51</v>
      </c>
      <c r="H45" s="10">
        <v>166.1</v>
      </c>
      <c r="I45" s="10">
        <f t="shared" si="5"/>
        <v>1.661</v>
      </c>
      <c r="J45" s="10">
        <v>54.400000000000006</v>
      </c>
      <c r="K45" s="8">
        <f t="shared" si="6"/>
        <v>19.71785346517715</v>
      </c>
      <c r="L45" s="8"/>
      <c r="M45" s="8"/>
      <c r="N45" s="8"/>
      <c r="O45" s="8"/>
      <c r="P45" s="11">
        <v>0.35610000000000003</v>
      </c>
      <c r="Q45" s="11">
        <v>3.3099999999999997E-2</v>
      </c>
      <c r="R45" s="11">
        <v>0.18329999999999999</v>
      </c>
      <c r="S45" s="8">
        <f t="shared" si="8"/>
        <v>3615.7923868140997</v>
      </c>
      <c r="T45" s="8">
        <v>37.5</v>
      </c>
      <c r="U45" s="8">
        <v>33.1</v>
      </c>
      <c r="V45" s="8">
        <f t="shared" si="9"/>
        <v>450.69366861138911</v>
      </c>
      <c r="W45" s="8">
        <v>200</v>
      </c>
      <c r="X45" s="8">
        <f t="shared" si="7"/>
        <v>250.69366861138911</v>
      </c>
      <c r="Y45" s="8">
        <v>13488123938</v>
      </c>
      <c r="Z45" s="5" t="s">
        <v>42</v>
      </c>
      <c r="AA45" s="8">
        <v>90</v>
      </c>
    </row>
    <row r="46" spans="1:31" ht="15.6" customHeight="1">
      <c r="A46" s="8">
        <v>1605431</v>
      </c>
      <c r="B46" s="8" t="s">
        <v>63</v>
      </c>
      <c r="C46" s="5">
        <v>1.73</v>
      </c>
      <c r="D46" s="14">
        <v>4.62</v>
      </c>
      <c r="E46" s="12">
        <v>6</v>
      </c>
      <c r="F46" s="5" t="s">
        <v>172</v>
      </c>
      <c r="G46" s="8">
        <v>51</v>
      </c>
      <c r="H46" s="10">
        <v>156.6</v>
      </c>
      <c r="I46" s="10">
        <f t="shared" si="5"/>
        <v>1.5659999999999998</v>
      </c>
      <c r="J46" s="10">
        <v>52</v>
      </c>
      <c r="K46" s="8">
        <f t="shared" si="6"/>
        <v>21.204099241708793</v>
      </c>
      <c r="L46" s="8"/>
      <c r="M46" s="8"/>
      <c r="N46" s="8"/>
      <c r="O46" s="8"/>
      <c r="P46" s="11">
        <v>0.35610000000000003</v>
      </c>
      <c r="Q46" s="11">
        <v>3.3099999999999997E-2</v>
      </c>
      <c r="R46" s="11">
        <v>0.18329999999999999</v>
      </c>
      <c r="S46" s="8">
        <f t="shared" si="8"/>
        <v>3272.0626995255993</v>
      </c>
      <c r="T46" s="8">
        <v>38.799999999999997</v>
      </c>
      <c r="U46" s="8">
        <v>33.5</v>
      </c>
      <c r="V46" s="8">
        <f t="shared" si="9"/>
        <v>479.72150228176116</v>
      </c>
      <c r="W46" s="8">
        <v>200</v>
      </c>
      <c r="X46" s="8">
        <f t="shared" si="7"/>
        <v>279.72150228176116</v>
      </c>
      <c r="Y46" s="8">
        <v>13892817018</v>
      </c>
      <c r="Z46" s="5" t="s">
        <v>42</v>
      </c>
      <c r="AA46" s="8">
        <v>85</v>
      </c>
    </row>
    <row r="47" spans="1:31">
      <c r="A47" s="8">
        <v>1633100</v>
      </c>
      <c r="B47" s="8" t="s">
        <v>39</v>
      </c>
      <c r="C47" s="5">
        <v>2.31</v>
      </c>
      <c r="D47" s="14">
        <v>3.65</v>
      </c>
      <c r="E47" s="12">
        <v>3.65</v>
      </c>
      <c r="F47" s="5" t="s">
        <v>172</v>
      </c>
      <c r="G47" s="8">
        <v>52</v>
      </c>
      <c r="H47" s="10">
        <v>162.69999999999999</v>
      </c>
      <c r="I47" s="10">
        <f t="shared" si="5"/>
        <v>1.6269999999999998</v>
      </c>
      <c r="J47" s="10">
        <v>52.8</v>
      </c>
      <c r="K47" s="8">
        <f t="shared" si="6"/>
        <v>19.946137872389301</v>
      </c>
      <c r="L47" s="8"/>
      <c r="M47" s="8"/>
      <c r="N47" s="8"/>
      <c r="O47" s="8"/>
      <c r="P47" s="11">
        <v>0.35610000000000003</v>
      </c>
      <c r="Q47" s="11">
        <v>3.3099999999999997E-2</v>
      </c>
      <c r="R47" s="11">
        <v>0.18329999999999999</v>
      </c>
      <c r="S47" s="8">
        <f t="shared" si="8"/>
        <v>3464.6595702362993</v>
      </c>
      <c r="T47" s="8">
        <v>39.6</v>
      </c>
      <c r="U47" s="11">
        <v>34.1</v>
      </c>
      <c r="V47" s="11">
        <f t="shared" si="9"/>
        <v>517.11336869198499</v>
      </c>
      <c r="W47" s="8">
        <v>20</v>
      </c>
      <c r="X47" s="11">
        <f t="shared" si="7"/>
        <v>497.11336869198499</v>
      </c>
      <c r="Y47" s="8">
        <v>13891869063</v>
      </c>
      <c r="Z47" s="5" t="s">
        <v>42</v>
      </c>
      <c r="AA47" s="8">
        <v>60</v>
      </c>
      <c r="AB47" s="1"/>
      <c r="AC47" s="1"/>
      <c r="AD47" s="1"/>
      <c r="AE47" s="1"/>
    </row>
    <row r="48" spans="1:31">
      <c r="A48" s="8">
        <v>1619090</v>
      </c>
      <c r="B48" s="8" t="s">
        <v>35</v>
      </c>
      <c r="C48" s="5">
        <v>2.9</v>
      </c>
      <c r="D48" s="6">
        <v>4.57</v>
      </c>
      <c r="E48" s="7">
        <v>4.57</v>
      </c>
      <c r="F48" s="5" t="s">
        <v>172</v>
      </c>
      <c r="G48" s="8">
        <v>52</v>
      </c>
      <c r="H48" s="10">
        <v>158.19999999999999</v>
      </c>
      <c r="I48" s="10">
        <f t="shared" si="5"/>
        <v>1.5819999999999999</v>
      </c>
      <c r="J48" s="10">
        <v>66.5</v>
      </c>
      <c r="K48" s="8">
        <f t="shared" si="6"/>
        <v>26.57104818589665</v>
      </c>
      <c r="L48" s="8"/>
      <c r="M48" s="8"/>
      <c r="N48" s="8"/>
      <c r="O48" s="8"/>
      <c r="P48" s="11">
        <v>0.35610000000000003</v>
      </c>
      <c r="Q48" s="11">
        <v>3.3099999999999997E-2</v>
      </c>
      <c r="R48" s="11">
        <v>0.18329999999999999</v>
      </c>
      <c r="S48" s="8">
        <f t="shared" si="8"/>
        <v>3794.3600659447998</v>
      </c>
      <c r="T48" s="8">
        <v>42.9</v>
      </c>
      <c r="U48" s="11">
        <v>35.4</v>
      </c>
      <c r="V48" s="11">
        <f t="shared" si="9"/>
        <v>726.88890152199235</v>
      </c>
      <c r="W48" s="8">
        <v>200</v>
      </c>
      <c r="X48" s="11">
        <f t="shared" si="7"/>
        <v>526.88890152199235</v>
      </c>
      <c r="Y48" s="8">
        <v>15229009883</v>
      </c>
      <c r="Z48" s="5" t="s">
        <v>42</v>
      </c>
      <c r="AA48" s="8">
        <v>90</v>
      </c>
    </row>
    <row r="49" spans="1:27">
      <c r="A49" s="8">
        <v>1601206</v>
      </c>
      <c r="B49" s="8" t="s">
        <v>59</v>
      </c>
      <c r="C49" s="5">
        <v>0.74</v>
      </c>
      <c r="D49" s="14">
        <v>2.35</v>
      </c>
      <c r="E49" s="12">
        <v>4</v>
      </c>
      <c r="F49" s="5" t="s">
        <v>172</v>
      </c>
      <c r="G49" s="8">
        <v>53</v>
      </c>
      <c r="H49" s="10">
        <v>168.7</v>
      </c>
      <c r="I49" s="10">
        <f t="shared" si="5"/>
        <v>1.6869999999999998</v>
      </c>
      <c r="J49" s="10">
        <v>58</v>
      </c>
      <c r="K49" s="8">
        <f t="shared" si="6"/>
        <v>20.379701957400105</v>
      </c>
      <c r="L49" s="8"/>
      <c r="M49" s="8"/>
      <c r="N49" s="8"/>
      <c r="O49" s="8"/>
      <c r="P49" s="11">
        <v>0.35610000000000003</v>
      </c>
      <c r="Q49" s="11">
        <v>3.3099999999999997E-2</v>
      </c>
      <c r="R49" s="11">
        <v>0.18329999999999999</v>
      </c>
      <c r="S49" s="8">
        <f t="shared" si="8"/>
        <v>3812.7894092382999</v>
      </c>
      <c r="T49" s="8">
        <v>39.5</v>
      </c>
      <c r="U49" s="8">
        <v>32.4</v>
      </c>
      <c r="V49" s="8">
        <f t="shared" si="9"/>
        <v>753.01265105958089</v>
      </c>
      <c r="W49" s="8">
        <v>200</v>
      </c>
      <c r="X49" s="8">
        <f t="shared" si="7"/>
        <v>553.01265105958089</v>
      </c>
      <c r="Y49" s="8">
        <v>13995442933</v>
      </c>
      <c r="Z49" s="5" t="s">
        <v>42</v>
      </c>
      <c r="AA49" s="8">
        <v>135</v>
      </c>
    </row>
    <row r="50" spans="1:27">
      <c r="A50" s="8">
        <v>1603476</v>
      </c>
      <c r="B50" s="8" t="s">
        <v>61</v>
      </c>
      <c r="C50" s="5">
        <v>2.52</v>
      </c>
      <c r="D50" s="14">
        <v>5.24</v>
      </c>
      <c r="E50" s="12">
        <v>4</v>
      </c>
      <c r="F50" s="5" t="s">
        <v>172</v>
      </c>
      <c r="G50" s="8">
        <v>54</v>
      </c>
      <c r="H50" s="10">
        <v>165.7</v>
      </c>
      <c r="I50" s="10">
        <f t="shared" si="5"/>
        <v>1.6569999999999998</v>
      </c>
      <c r="J50" s="10">
        <v>58.3</v>
      </c>
      <c r="K50" s="8">
        <f t="shared" si="6"/>
        <v>21.233595408590105</v>
      </c>
      <c r="L50" s="8"/>
      <c r="M50" s="8"/>
      <c r="N50" s="8"/>
      <c r="O50" s="8"/>
      <c r="P50" s="11">
        <v>0.35610000000000003</v>
      </c>
      <c r="Q50" s="11">
        <v>3.3099999999999997E-2</v>
      </c>
      <c r="R50" s="11">
        <v>0.18329999999999999</v>
      </c>
      <c r="S50" s="8">
        <f t="shared" si="8"/>
        <v>3733.1213339472997</v>
      </c>
      <c r="T50" s="8">
        <v>38.6</v>
      </c>
      <c r="U50" s="8">
        <v>33.200000000000003</v>
      </c>
      <c r="V50" s="8">
        <f t="shared" si="9"/>
        <v>561.52800009235125</v>
      </c>
      <c r="W50" s="8">
        <v>100</v>
      </c>
      <c r="X50" s="8">
        <f t="shared" si="7"/>
        <v>461.52800009235125</v>
      </c>
      <c r="Y50" s="8">
        <v>13609129703</v>
      </c>
      <c r="Z50" s="5" t="s">
        <v>42</v>
      </c>
      <c r="AA50" s="8">
        <v>140</v>
      </c>
    </row>
    <row r="51" spans="1:27">
      <c r="A51" s="8">
        <v>1617249</v>
      </c>
      <c r="B51" s="8" t="s">
        <v>38</v>
      </c>
      <c r="C51" s="5">
        <v>0.81</v>
      </c>
      <c r="D51" s="6">
        <v>8.1999999999999993</v>
      </c>
      <c r="E51" s="7">
        <v>8.1999999999999993</v>
      </c>
      <c r="F51" s="5" t="s">
        <v>172</v>
      </c>
      <c r="G51" s="8">
        <v>55</v>
      </c>
      <c r="H51" s="10">
        <v>164.7</v>
      </c>
      <c r="I51" s="10">
        <f t="shared" si="5"/>
        <v>1.6469999999999998</v>
      </c>
      <c r="J51" s="10">
        <v>63.7</v>
      </c>
      <c r="K51" s="8">
        <f t="shared" si="6"/>
        <v>23.482927321998865</v>
      </c>
      <c r="L51" s="8"/>
      <c r="M51" s="8"/>
      <c r="N51" s="8"/>
      <c r="O51" s="8"/>
      <c r="P51" s="11">
        <v>0.35610000000000003</v>
      </c>
      <c r="Q51" s="11">
        <v>3.3099999999999997E-2</v>
      </c>
      <c r="R51" s="11">
        <v>0.18329999999999999</v>
      </c>
      <c r="S51" s="8">
        <f t="shared" si="8"/>
        <v>3882.7062268902996</v>
      </c>
      <c r="T51" s="8">
        <v>41.5</v>
      </c>
      <c r="U51" s="11">
        <v>37.799999999999997</v>
      </c>
      <c r="V51" s="11">
        <f t="shared" si="9"/>
        <v>362.32063151309256</v>
      </c>
      <c r="W51" s="8">
        <v>30</v>
      </c>
      <c r="X51" s="11">
        <f t="shared" si="7"/>
        <v>332.32063151309256</v>
      </c>
      <c r="Y51" s="8">
        <v>13720565986</v>
      </c>
      <c r="Z51" s="5" t="s">
        <v>42</v>
      </c>
      <c r="AA51" s="8">
        <v>65</v>
      </c>
    </row>
    <row r="52" spans="1:27">
      <c r="A52" s="8">
        <v>1628146</v>
      </c>
      <c r="B52" s="8" t="s">
        <v>26</v>
      </c>
      <c r="C52" s="5">
        <v>2.34</v>
      </c>
      <c r="D52" s="6">
        <v>3.2</v>
      </c>
      <c r="E52" s="7">
        <v>3.2</v>
      </c>
      <c r="F52" s="5" t="s">
        <v>172</v>
      </c>
      <c r="G52" s="8">
        <v>31</v>
      </c>
      <c r="H52" s="10">
        <v>164.5</v>
      </c>
      <c r="I52" s="10">
        <f t="shared" si="5"/>
        <v>1.645</v>
      </c>
      <c r="J52" s="10">
        <v>61.8</v>
      </c>
      <c r="K52" s="8">
        <f t="shared" si="6"/>
        <v>22.83792647887584</v>
      </c>
      <c r="L52" s="8"/>
      <c r="M52" s="8"/>
      <c r="N52" s="8"/>
      <c r="O52" s="8"/>
      <c r="P52" s="11">
        <v>0.35610000000000003</v>
      </c>
      <c r="Q52" s="11">
        <v>3.3099999999999997E-2</v>
      </c>
      <c r="R52" s="11">
        <v>0.18329999999999999</v>
      </c>
      <c r="S52" s="8">
        <f t="shared" si="8"/>
        <v>3814.0275016124997</v>
      </c>
      <c r="T52" s="8">
        <v>39.1</v>
      </c>
      <c r="U52" s="8">
        <v>36.200000000000003</v>
      </c>
      <c r="V52" s="11">
        <f t="shared" si="9"/>
        <v>293.77635470587632</v>
      </c>
      <c r="W52" s="8">
        <v>30</v>
      </c>
      <c r="X52" s="11">
        <f t="shared" si="7"/>
        <v>263.77635470587632</v>
      </c>
      <c r="Y52" s="8">
        <v>18829057001</v>
      </c>
      <c r="Z52" s="5" t="s">
        <v>40</v>
      </c>
      <c r="AA52" s="8">
        <v>50</v>
      </c>
    </row>
    <row r="53" spans="1:27">
      <c r="A53" s="8">
        <v>1634987</v>
      </c>
      <c r="B53" s="8" t="s">
        <v>16</v>
      </c>
      <c r="C53" s="5">
        <v>5.58</v>
      </c>
      <c r="D53" s="14">
        <v>7.91</v>
      </c>
      <c r="E53" s="12">
        <v>7.91</v>
      </c>
      <c r="F53" s="5" t="s">
        <v>172</v>
      </c>
      <c r="G53" s="8">
        <v>40</v>
      </c>
      <c r="H53" s="10">
        <v>165.9</v>
      </c>
      <c r="I53" s="10">
        <f t="shared" si="5"/>
        <v>1.659</v>
      </c>
      <c r="J53" s="10">
        <v>53.7</v>
      </c>
      <c r="K53" s="8">
        <f t="shared" si="6"/>
        <v>19.51108916567749</v>
      </c>
      <c r="L53" s="8"/>
      <c r="M53" s="8"/>
      <c r="N53" s="8"/>
      <c r="O53" s="8"/>
      <c r="P53" s="11">
        <v>0.35610000000000003</v>
      </c>
      <c r="Q53" s="11">
        <v>3.3099999999999997E-2</v>
      </c>
      <c r="R53" s="11">
        <v>0.18329999999999999</v>
      </c>
      <c r="S53" s="8">
        <f t="shared" si="8"/>
        <v>3586.7347711419006</v>
      </c>
      <c r="T53" s="8">
        <v>39</v>
      </c>
      <c r="U53" s="11">
        <v>35.6</v>
      </c>
      <c r="V53" s="11">
        <f t="shared" si="9"/>
        <v>326.94097109604445</v>
      </c>
      <c r="W53" s="8">
        <v>30</v>
      </c>
      <c r="X53" s="11">
        <f t="shared" si="7"/>
        <v>296.94097109604445</v>
      </c>
      <c r="Y53" s="8">
        <v>18991156412</v>
      </c>
      <c r="Z53" s="5" t="s">
        <v>40</v>
      </c>
      <c r="AA53" s="8">
        <v>70</v>
      </c>
    </row>
    <row r="54" spans="1:27">
      <c r="A54" s="8">
        <v>1616774</v>
      </c>
      <c r="B54" s="8" t="s">
        <v>18</v>
      </c>
      <c r="C54" s="5">
        <v>1.61</v>
      </c>
      <c r="D54" s="6">
        <v>4.9800000000000004</v>
      </c>
      <c r="E54" s="7">
        <v>4.9800000000000004</v>
      </c>
      <c r="F54" s="5" t="s">
        <v>172</v>
      </c>
      <c r="G54" s="8">
        <v>51</v>
      </c>
      <c r="H54" s="10">
        <v>156.9</v>
      </c>
      <c r="I54" s="10">
        <f t="shared" si="5"/>
        <v>1.569</v>
      </c>
      <c r="J54" s="10">
        <v>53.8</v>
      </c>
      <c r="K54" s="8">
        <f t="shared" si="6"/>
        <v>21.854274237019762</v>
      </c>
      <c r="L54" s="8"/>
      <c r="M54" s="8"/>
      <c r="N54" s="8"/>
      <c r="O54" s="8"/>
      <c r="P54" s="11">
        <v>0.35610000000000003</v>
      </c>
      <c r="Q54" s="11">
        <v>3.3099999999999997E-2</v>
      </c>
      <c r="R54" s="11">
        <v>0.18329999999999999</v>
      </c>
      <c r="S54" s="8">
        <f t="shared" si="8"/>
        <v>3339.5173215048999</v>
      </c>
      <c r="T54" s="8">
        <v>38.6</v>
      </c>
      <c r="U54" s="11">
        <v>33.700000000000003</v>
      </c>
      <c r="V54" s="11">
        <f t="shared" si="9"/>
        <v>452.65933265211623</v>
      </c>
      <c r="W54" s="8">
        <v>50</v>
      </c>
      <c r="X54" s="11">
        <f t="shared" si="7"/>
        <v>402.65933265211623</v>
      </c>
      <c r="Y54" s="8">
        <v>17791234204</v>
      </c>
      <c r="Z54" s="5" t="s">
        <v>40</v>
      </c>
      <c r="AA54" s="8">
        <v>145</v>
      </c>
    </row>
    <row r="55" spans="1:27">
      <c r="A55" s="8">
        <v>1623526</v>
      </c>
      <c r="B55" s="8" t="s">
        <v>23</v>
      </c>
      <c r="C55" s="5">
        <v>0.89</v>
      </c>
      <c r="D55" s="6">
        <v>3</v>
      </c>
      <c r="E55" s="7">
        <v>3</v>
      </c>
      <c r="F55" s="5" t="s">
        <v>172</v>
      </c>
      <c r="G55" s="8">
        <v>35</v>
      </c>
      <c r="H55" s="10">
        <v>169.3</v>
      </c>
      <c r="I55" s="10">
        <f t="shared" si="5"/>
        <v>1.6930000000000001</v>
      </c>
      <c r="J55" s="10">
        <v>52.5</v>
      </c>
      <c r="K55" s="8">
        <f t="shared" si="6"/>
        <v>18.316622177626577</v>
      </c>
      <c r="L55" s="8"/>
      <c r="M55" s="8"/>
      <c r="N55" s="8"/>
      <c r="O55" s="8"/>
      <c r="P55" s="11">
        <v>0.35610000000000003</v>
      </c>
      <c r="Q55" s="11">
        <v>3.3099999999999997E-2</v>
      </c>
      <c r="R55" s="11">
        <v>0.18329999999999999</v>
      </c>
      <c r="S55" s="8">
        <f t="shared" si="8"/>
        <v>3649.0464582477007</v>
      </c>
      <c r="T55" s="8">
        <v>36.799999999999997</v>
      </c>
      <c r="U55" s="11">
        <v>33.4</v>
      </c>
      <c r="V55" s="11">
        <f t="shared" si="9"/>
        <v>353.46888769350937</v>
      </c>
      <c r="W55" s="8">
        <v>50</v>
      </c>
      <c r="X55" s="11">
        <f t="shared" si="7"/>
        <v>303.46888769350937</v>
      </c>
      <c r="Y55" s="8">
        <v>13649289075</v>
      </c>
      <c r="Z55" s="5" t="s">
        <v>43</v>
      </c>
      <c r="AA55" s="8">
        <v>100</v>
      </c>
    </row>
    <row r="56" spans="1:27">
      <c r="A56" s="8">
        <v>1605180</v>
      </c>
      <c r="B56" s="8" t="s">
        <v>2</v>
      </c>
      <c r="C56" s="5">
        <v>0.41</v>
      </c>
      <c r="D56" s="6">
        <v>3</v>
      </c>
      <c r="E56" s="7">
        <v>3</v>
      </c>
      <c r="F56" s="5" t="s">
        <v>172</v>
      </c>
      <c r="G56" s="8">
        <v>51</v>
      </c>
      <c r="H56" s="10">
        <v>165.5</v>
      </c>
      <c r="I56" s="10">
        <f t="shared" si="5"/>
        <v>1.655</v>
      </c>
      <c r="J56" s="10">
        <v>58.6</v>
      </c>
      <c r="K56" s="8">
        <f t="shared" si="6"/>
        <v>21.394474311114354</v>
      </c>
      <c r="L56" s="8"/>
      <c r="M56" s="8"/>
      <c r="N56" s="8"/>
      <c r="O56" s="8"/>
      <c r="P56" s="11">
        <v>0.35610000000000003</v>
      </c>
      <c r="Q56" s="11">
        <v>3.3099999999999997E-2</v>
      </c>
      <c r="R56" s="11">
        <v>0.18329999999999999</v>
      </c>
      <c r="S56" s="8">
        <f t="shared" si="8"/>
        <v>3737.1920581375002</v>
      </c>
      <c r="T56" s="8">
        <v>42.9</v>
      </c>
      <c r="U56" s="8">
        <v>37.4</v>
      </c>
      <c r="V56" s="11">
        <f t="shared" si="9"/>
        <v>511.94411755308226</v>
      </c>
      <c r="W56" s="8">
        <v>50</v>
      </c>
      <c r="X56" s="11">
        <f t="shared" si="7"/>
        <v>461.94411755308226</v>
      </c>
      <c r="Y56" s="8">
        <v>13891987253</v>
      </c>
      <c r="Z56" s="5" t="s">
        <v>43</v>
      </c>
      <c r="AA56" s="8">
        <v>100</v>
      </c>
    </row>
    <row r="57" spans="1:27">
      <c r="A57" s="8">
        <v>1606930</v>
      </c>
      <c r="B57" s="8" t="s">
        <v>21</v>
      </c>
      <c r="C57" s="5">
        <v>1.41</v>
      </c>
      <c r="D57" s="6">
        <v>1.98</v>
      </c>
      <c r="E57" s="7">
        <v>1.98</v>
      </c>
      <c r="F57" s="5" t="s">
        <v>172</v>
      </c>
      <c r="G57" s="8">
        <v>38</v>
      </c>
      <c r="H57" s="10">
        <v>157.1</v>
      </c>
      <c r="I57" s="10">
        <f t="shared" si="5"/>
        <v>1.571</v>
      </c>
      <c r="J57" s="10">
        <v>59.7</v>
      </c>
      <c r="K57" s="8">
        <f t="shared" si="6"/>
        <v>24.18922538158807</v>
      </c>
      <c r="L57" s="8"/>
      <c r="M57" s="8"/>
      <c r="N57" s="8"/>
      <c r="O57" s="8"/>
      <c r="P57" s="11">
        <v>0.35610000000000003</v>
      </c>
      <c r="Q57" s="11">
        <v>3.3099999999999997E-2</v>
      </c>
      <c r="R57" s="11">
        <v>0.18329999999999999</v>
      </c>
      <c r="S57" s="8">
        <f t="shared" si="8"/>
        <v>3540.0738275570998</v>
      </c>
      <c r="T57" s="8">
        <v>35.5</v>
      </c>
      <c r="U57" s="11">
        <v>32.1</v>
      </c>
      <c r="V57" s="11">
        <f t="shared" si="9"/>
        <v>356.10210099686793</v>
      </c>
      <c r="W57" s="8">
        <v>50</v>
      </c>
      <c r="X57" s="11">
        <f t="shared" si="7"/>
        <v>306.10210099686793</v>
      </c>
      <c r="Y57" s="8">
        <v>13572880158</v>
      </c>
      <c r="Z57" s="5" t="s">
        <v>41</v>
      </c>
      <c r="AA57" s="8">
        <v>135</v>
      </c>
    </row>
    <row r="58" spans="1:27">
      <c r="A58" s="8">
        <v>1632333</v>
      </c>
      <c r="B58" s="8" t="s">
        <v>19</v>
      </c>
      <c r="C58" s="5">
        <v>1.52</v>
      </c>
      <c r="D58" s="6">
        <v>3.43</v>
      </c>
      <c r="E58" s="7">
        <v>3.43</v>
      </c>
      <c r="F58" s="5" t="s">
        <v>172</v>
      </c>
      <c r="G58" s="8">
        <v>42</v>
      </c>
      <c r="H58" s="10">
        <v>160.9</v>
      </c>
      <c r="I58" s="10">
        <f t="shared" si="5"/>
        <v>1.609</v>
      </c>
      <c r="J58" s="10">
        <v>56.5</v>
      </c>
      <c r="K58" s="8">
        <f t="shared" si="6"/>
        <v>21.824100837388819</v>
      </c>
      <c r="L58" s="8"/>
      <c r="M58" s="8"/>
      <c r="N58" s="8"/>
      <c r="O58" s="8"/>
      <c r="P58" s="11">
        <v>0.35610000000000003</v>
      </c>
      <c r="Q58" s="11">
        <v>3.3099999999999997E-2</v>
      </c>
      <c r="R58" s="11">
        <v>0.18329999999999999</v>
      </c>
      <c r="S58" s="8">
        <f t="shared" si="8"/>
        <v>3536.7879432768996</v>
      </c>
      <c r="T58" s="8">
        <v>37.799999999999997</v>
      </c>
      <c r="U58" s="11">
        <v>33.200000000000003</v>
      </c>
      <c r="V58" s="11">
        <f t="shared" si="9"/>
        <v>458.28801518517514</v>
      </c>
      <c r="W58" s="8">
        <v>50</v>
      </c>
      <c r="X58" s="11">
        <f t="shared" si="7"/>
        <v>408.28801518517514</v>
      </c>
      <c r="Y58" s="8">
        <v>13072917638</v>
      </c>
      <c r="Z58" s="5" t="s">
        <v>41</v>
      </c>
      <c r="AA58" s="8">
        <v>55</v>
      </c>
    </row>
    <row r="59" spans="1:27">
      <c r="A59" s="8">
        <v>1611280</v>
      </c>
      <c r="B59" s="8" t="s">
        <v>65</v>
      </c>
      <c r="C59" s="5">
        <v>0.87</v>
      </c>
      <c r="D59" s="14">
        <v>3.23</v>
      </c>
      <c r="E59" s="12">
        <v>4</v>
      </c>
      <c r="F59" s="5" t="s">
        <v>172</v>
      </c>
      <c r="G59" s="8">
        <v>46</v>
      </c>
      <c r="H59" s="10">
        <v>158.80000000000001</v>
      </c>
      <c r="I59" s="10">
        <f t="shared" si="5"/>
        <v>1.5880000000000001</v>
      </c>
      <c r="J59" s="10">
        <v>53.3</v>
      </c>
      <c r="K59" s="8">
        <f t="shared" si="6"/>
        <v>21.136166081886184</v>
      </c>
      <c r="L59" s="8"/>
      <c r="M59" s="8"/>
      <c r="N59" s="8"/>
      <c r="O59" s="8"/>
      <c r="P59" s="11">
        <v>0.35610000000000003</v>
      </c>
      <c r="Q59" s="11">
        <v>3.3099999999999997E-2</v>
      </c>
      <c r="R59" s="11">
        <v>0.18329999999999999</v>
      </c>
      <c r="S59" s="8">
        <f t="shared" si="8"/>
        <v>3373.5429449792005</v>
      </c>
      <c r="T59" s="8">
        <v>38.299999999999997</v>
      </c>
      <c r="U59" s="8">
        <v>33.5</v>
      </c>
      <c r="V59" s="8">
        <f t="shared" si="9"/>
        <v>451.05866673816581</v>
      </c>
      <c r="W59" s="8">
        <v>200</v>
      </c>
      <c r="X59" s="8">
        <f t="shared" si="7"/>
        <v>251.05866673816581</v>
      </c>
      <c r="Y59" s="8">
        <v>18717328285</v>
      </c>
      <c r="Z59" s="5" t="s">
        <v>41</v>
      </c>
      <c r="AA59" s="8">
        <v>120</v>
      </c>
    </row>
    <row r="60" spans="1:27">
      <c r="A60" s="8">
        <v>1631469</v>
      </c>
      <c r="B60" s="8" t="s">
        <v>33</v>
      </c>
      <c r="C60" s="5">
        <v>1.43</v>
      </c>
      <c r="D60" s="6">
        <v>2.74</v>
      </c>
      <c r="E60" s="7">
        <v>2.74</v>
      </c>
      <c r="F60" s="5" t="s">
        <v>172</v>
      </c>
      <c r="G60" s="8">
        <v>51</v>
      </c>
      <c r="H60" s="10">
        <v>163</v>
      </c>
      <c r="I60" s="10">
        <f t="shared" si="5"/>
        <v>1.63</v>
      </c>
      <c r="J60" s="10">
        <v>60.599999999999994</v>
      </c>
      <c r="K60" s="8">
        <f t="shared" si="6"/>
        <v>22.808536264067147</v>
      </c>
      <c r="L60" s="8"/>
      <c r="M60" s="8"/>
      <c r="N60" s="8"/>
      <c r="O60" s="8"/>
      <c r="P60" s="11">
        <v>0.35610000000000003</v>
      </c>
      <c r="Q60" s="11">
        <v>3.3099999999999997E-2</v>
      </c>
      <c r="R60" s="11">
        <v>0.18329999999999999</v>
      </c>
      <c r="S60" s="8">
        <f t="shared" si="8"/>
        <v>3731.3390067</v>
      </c>
      <c r="T60" s="8">
        <v>40.799999999999997</v>
      </c>
      <c r="U60" s="11">
        <v>34.6</v>
      </c>
      <c r="V60" s="11">
        <f t="shared" si="9"/>
        <v>613.64195866153807</v>
      </c>
      <c r="W60" s="8">
        <v>100</v>
      </c>
      <c r="X60" s="11">
        <f t="shared" si="7"/>
        <v>513.64195866153807</v>
      </c>
      <c r="Y60" s="8">
        <v>15929441995</v>
      </c>
      <c r="Z60" s="5" t="s">
        <v>41</v>
      </c>
      <c r="AA60" s="8">
        <v>90</v>
      </c>
    </row>
    <row r="61" spans="1:27">
      <c r="A61" s="8">
        <v>1608845</v>
      </c>
      <c r="B61" s="8" t="s">
        <v>4</v>
      </c>
      <c r="C61" s="5">
        <v>3.75</v>
      </c>
      <c r="D61" s="6">
        <v>2.78</v>
      </c>
      <c r="E61" s="7">
        <v>2.78</v>
      </c>
      <c r="F61" s="5" t="s">
        <v>172</v>
      </c>
      <c r="G61" s="8">
        <v>51</v>
      </c>
      <c r="H61" s="10">
        <v>159</v>
      </c>
      <c r="I61" s="10">
        <f t="shared" si="5"/>
        <v>1.59</v>
      </c>
      <c r="J61" s="10">
        <v>59.599999999999994</v>
      </c>
      <c r="K61" s="8">
        <f t="shared" si="6"/>
        <v>23.575016811043863</v>
      </c>
      <c r="L61" s="8"/>
      <c r="M61" s="8"/>
      <c r="N61" s="8"/>
      <c r="O61" s="8"/>
      <c r="P61" s="11">
        <v>0.35610000000000003</v>
      </c>
      <c r="Q61" s="11">
        <v>3.3099999999999997E-2</v>
      </c>
      <c r="R61" s="11">
        <v>0.18329999999999999</v>
      </c>
      <c r="S61" s="8">
        <f t="shared" si="8"/>
        <v>3587.4676919000003</v>
      </c>
      <c r="T61" s="8">
        <v>38.700000000000003</v>
      </c>
      <c r="U61" s="8">
        <v>34.799999999999997</v>
      </c>
      <c r="V61" s="11">
        <f t="shared" si="9"/>
        <v>380.71085709959243</v>
      </c>
      <c r="W61" s="8">
        <v>50</v>
      </c>
      <c r="X61" s="11">
        <f t="shared" si="7"/>
        <v>330.71085709959243</v>
      </c>
      <c r="Y61" s="8" t="s">
        <v>47</v>
      </c>
      <c r="Z61" s="5" t="s">
        <v>41</v>
      </c>
      <c r="AA61" s="8">
        <v>105</v>
      </c>
    </row>
    <row r="62" spans="1:27">
      <c r="A62" s="8">
        <v>1621817</v>
      </c>
      <c r="B62" s="8" t="s">
        <v>10</v>
      </c>
      <c r="C62" s="5">
        <v>0.62</v>
      </c>
      <c r="D62" s="6">
        <v>6</v>
      </c>
      <c r="E62" s="7">
        <v>6</v>
      </c>
      <c r="F62" s="5" t="s">
        <v>172</v>
      </c>
      <c r="G62" s="8">
        <v>53</v>
      </c>
      <c r="H62" s="10">
        <v>160.80000000000001</v>
      </c>
      <c r="I62" s="10">
        <f t="shared" si="5"/>
        <v>1.6080000000000001</v>
      </c>
      <c r="J62" s="10">
        <v>59.8</v>
      </c>
      <c r="K62" s="8">
        <f t="shared" si="6"/>
        <v>23.127521596000097</v>
      </c>
      <c r="L62" s="8"/>
      <c r="M62" s="8"/>
      <c r="N62" s="8"/>
      <c r="O62" s="8"/>
      <c r="P62" s="11">
        <v>0.35610000000000003</v>
      </c>
      <c r="Q62" s="11">
        <v>3.3099999999999997E-2</v>
      </c>
      <c r="R62" s="11">
        <v>0.18329999999999999</v>
      </c>
      <c r="S62" s="8">
        <f t="shared" si="8"/>
        <v>3643.2539602432003</v>
      </c>
      <c r="T62" s="8">
        <v>38.9</v>
      </c>
      <c r="U62" s="8">
        <v>34.5</v>
      </c>
      <c r="V62" s="11">
        <f t="shared" si="9"/>
        <v>436.79339032888487</v>
      </c>
      <c r="W62" s="8">
        <v>200</v>
      </c>
      <c r="X62" s="11">
        <f t="shared" si="7"/>
        <v>236.79339032888487</v>
      </c>
      <c r="Y62" s="8">
        <v>13468916999</v>
      </c>
      <c r="Z62" s="5" t="s">
        <v>41</v>
      </c>
      <c r="AA62" s="8">
        <v>180</v>
      </c>
    </row>
  </sheetData>
  <sortState ref="A2:AA62">
    <sortCondition ref="F2:F62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62"/>
  <sheetViews>
    <sheetView topLeftCell="A16" workbookViewId="0">
      <selection activeCell="B45" sqref="B45"/>
    </sheetView>
  </sheetViews>
  <sheetFormatPr defaultRowHeight="14.4"/>
  <cols>
    <col min="1" max="27" width="12.109375" style="8" customWidth="1"/>
  </cols>
  <sheetData>
    <row r="1" spans="1:27">
      <c r="A1" s="5" t="s">
        <v>176</v>
      </c>
      <c r="B1" s="5" t="s">
        <v>154</v>
      </c>
      <c r="C1" s="5" t="s">
        <v>155</v>
      </c>
      <c r="D1" s="6" t="s">
        <v>156</v>
      </c>
      <c r="E1" s="7" t="s">
        <v>157</v>
      </c>
      <c r="F1" s="5" t="s">
        <v>158</v>
      </c>
      <c r="G1" s="5" t="s">
        <v>159</v>
      </c>
      <c r="H1" s="5" t="s">
        <v>160</v>
      </c>
      <c r="I1" s="5" t="s">
        <v>160</v>
      </c>
      <c r="J1" s="5" t="s">
        <v>161</v>
      </c>
      <c r="K1" s="8" t="s">
        <v>0</v>
      </c>
      <c r="L1" s="8" t="s">
        <v>72</v>
      </c>
      <c r="M1" s="8" t="s">
        <v>73</v>
      </c>
      <c r="N1" s="8" t="s">
        <v>74</v>
      </c>
      <c r="O1" s="5" t="s">
        <v>165</v>
      </c>
      <c r="P1" s="8" t="s">
        <v>75</v>
      </c>
      <c r="Q1" s="8" t="s">
        <v>76</v>
      </c>
      <c r="R1" s="8" t="s">
        <v>77</v>
      </c>
      <c r="S1" s="5" t="s">
        <v>162</v>
      </c>
      <c r="T1" s="5" t="s">
        <v>163</v>
      </c>
      <c r="U1" s="5" t="s">
        <v>164</v>
      </c>
      <c r="V1" s="5" t="s">
        <v>162</v>
      </c>
      <c r="W1" s="5" t="s">
        <v>166</v>
      </c>
      <c r="X1" s="5" t="s">
        <v>167</v>
      </c>
      <c r="Y1" s="5" t="s">
        <v>168</v>
      </c>
      <c r="Z1" s="5" t="s">
        <v>169</v>
      </c>
      <c r="AA1" s="5" t="s">
        <v>170</v>
      </c>
    </row>
    <row r="2" spans="1:27">
      <c r="A2" s="8">
        <v>1631332</v>
      </c>
      <c r="B2" s="8" t="s">
        <v>57</v>
      </c>
      <c r="C2" s="5">
        <v>1.35</v>
      </c>
      <c r="D2" s="14">
        <v>2.4300000000000002</v>
      </c>
      <c r="F2" s="5" t="s">
        <v>173</v>
      </c>
      <c r="G2" s="8">
        <v>54</v>
      </c>
      <c r="H2" s="10">
        <v>173.2</v>
      </c>
      <c r="I2" s="10">
        <v>1.732</v>
      </c>
      <c r="J2" s="10">
        <v>61.9</v>
      </c>
      <c r="K2" s="8">
        <f t="shared" ref="K2:K33" si="0">J2/I2/I2</f>
        <v>20.634543893241734</v>
      </c>
      <c r="L2" s="11">
        <v>0.3669</v>
      </c>
      <c r="M2" s="11">
        <v>3.2199999999999999E-2</v>
      </c>
      <c r="N2" s="11">
        <v>0.60409999999999997</v>
      </c>
      <c r="O2" s="8">
        <v>4503.5805571392002</v>
      </c>
      <c r="T2" s="8">
        <v>30.2</v>
      </c>
      <c r="U2" s="8">
        <v>27.5</v>
      </c>
      <c r="V2" s="8">
        <f t="shared" ref="V2:V38" si="1">2*O2*(T2-U2)/(T2+U2)</f>
        <v>421.4789429558349</v>
      </c>
      <c r="W2" s="8">
        <v>150</v>
      </c>
      <c r="X2" s="8">
        <v>271.4789429558349</v>
      </c>
      <c r="Y2" s="8">
        <v>13992546001</v>
      </c>
      <c r="Z2" s="5" t="s">
        <v>145</v>
      </c>
      <c r="AA2" s="8">
        <v>120</v>
      </c>
    </row>
    <row r="3" spans="1:27">
      <c r="A3" s="8">
        <v>1627303</v>
      </c>
      <c r="B3" s="8" t="s">
        <v>105</v>
      </c>
      <c r="C3" s="5">
        <v>0.89</v>
      </c>
      <c r="D3" s="6">
        <v>5.65</v>
      </c>
      <c r="F3" s="5" t="s">
        <v>173</v>
      </c>
      <c r="G3" s="8">
        <v>55</v>
      </c>
      <c r="H3" s="10">
        <v>183.2</v>
      </c>
      <c r="I3" s="10">
        <v>1.8319999999999999</v>
      </c>
      <c r="J3" s="10">
        <v>64.3</v>
      </c>
      <c r="K3" s="8">
        <f t="shared" si="0"/>
        <v>19.158435193836887</v>
      </c>
      <c r="L3" s="11">
        <v>0.3669</v>
      </c>
      <c r="M3" s="11">
        <v>3.2199999999999999E-2</v>
      </c>
      <c r="N3" s="11">
        <v>0.60409999999999997</v>
      </c>
      <c r="O3" s="8">
        <v>5252.4822088191995</v>
      </c>
      <c r="T3" s="8">
        <v>38.6</v>
      </c>
      <c r="U3" s="8">
        <v>34.6</v>
      </c>
      <c r="V3" s="8">
        <f t="shared" si="1"/>
        <v>574.04177145565018</v>
      </c>
      <c r="W3" s="8">
        <v>100</v>
      </c>
      <c r="X3" s="8">
        <v>474.04177145565018</v>
      </c>
      <c r="Y3" s="8">
        <v>13772456432</v>
      </c>
      <c r="Z3" s="5" t="s">
        <v>145</v>
      </c>
      <c r="AA3" s="8">
        <v>90</v>
      </c>
    </row>
    <row r="4" spans="1:27">
      <c r="A4" s="8">
        <v>1633905</v>
      </c>
      <c r="B4" s="5" t="s">
        <v>149</v>
      </c>
      <c r="C4" s="5">
        <v>1.54</v>
      </c>
      <c r="D4" s="6">
        <v>3.4</v>
      </c>
      <c r="E4" s="5"/>
      <c r="F4" s="5" t="s">
        <v>173</v>
      </c>
      <c r="G4" s="8">
        <v>36</v>
      </c>
      <c r="H4" s="10">
        <v>163</v>
      </c>
      <c r="I4" s="10">
        <v>1.63</v>
      </c>
      <c r="J4" s="10">
        <v>59.1</v>
      </c>
      <c r="K4" s="8">
        <f t="shared" si="0"/>
        <v>22.243968534758555</v>
      </c>
      <c r="L4" s="11">
        <v>0.3669</v>
      </c>
      <c r="M4" s="11">
        <v>3.2199999999999999E-2</v>
      </c>
      <c r="N4" s="11">
        <v>0.60409999999999997</v>
      </c>
      <c r="O4" s="8">
        <v>4096.0710743</v>
      </c>
      <c r="T4" s="8">
        <v>49.7</v>
      </c>
      <c r="U4" s="8">
        <v>39.9</v>
      </c>
      <c r="V4" s="8">
        <f t="shared" si="1"/>
        <v>896.01554750312539</v>
      </c>
      <c r="W4" s="8">
        <v>200</v>
      </c>
      <c r="X4" s="8">
        <v>696.01554750312539</v>
      </c>
      <c r="Y4" s="8">
        <v>13720645940</v>
      </c>
      <c r="Z4" s="5" t="s">
        <v>145</v>
      </c>
      <c r="AA4" s="8">
        <v>120</v>
      </c>
    </row>
    <row r="5" spans="1:27">
      <c r="A5" s="8">
        <v>1641119</v>
      </c>
      <c r="B5" s="8" t="s">
        <v>111</v>
      </c>
      <c r="C5" s="5">
        <v>3.89</v>
      </c>
      <c r="D5" s="6">
        <v>2.7</v>
      </c>
      <c r="F5" s="5" t="s">
        <v>173</v>
      </c>
      <c r="G5" s="8">
        <v>25</v>
      </c>
      <c r="H5" s="10">
        <v>183.5</v>
      </c>
      <c r="I5" s="10">
        <v>1.835</v>
      </c>
      <c r="J5" s="10">
        <v>66.099999999999994</v>
      </c>
      <c r="K5" s="8">
        <f t="shared" si="0"/>
        <v>19.630407828404696</v>
      </c>
      <c r="L5" s="11">
        <v>0.3669</v>
      </c>
      <c r="M5" s="11">
        <v>3.2199999999999999E-2</v>
      </c>
      <c r="N5" s="11">
        <v>0.60409999999999997</v>
      </c>
      <c r="O5" s="8">
        <v>5321.5429543374994</v>
      </c>
      <c r="T5" s="8">
        <v>46.9</v>
      </c>
      <c r="U5" s="8">
        <v>42.1</v>
      </c>
      <c r="V5" s="8">
        <f t="shared" si="1"/>
        <v>574.00912765887597</v>
      </c>
      <c r="W5" s="8">
        <v>100</v>
      </c>
      <c r="X5" s="8">
        <v>865.30314055424378</v>
      </c>
      <c r="Y5" s="8">
        <v>13474055317</v>
      </c>
      <c r="Z5" s="5" t="s">
        <v>145</v>
      </c>
      <c r="AA5" s="8">
        <v>110</v>
      </c>
    </row>
    <row r="6" spans="1:27">
      <c r="A6" s="8">
        <v>1643123</v>
      </c>
      <c r="B6" s="8" t="s">
        <v>115</v>
      </c>
      <c r="C6" s="5">
        <v>2.0099999999999998</v>
      </c>
      <c r="D6" s="14">
        <v>4.32</v>
      </c>
      <c r="F6" s="5" t="s">
        <v>173</v>
      </c>
      <c r="G6" s="8">
        <v>35</v>
      </c>
      <c r="H6" s="10">
        <v>183.6</v>
      </c>
      <c r="I6" s="10">
        <v>1.8359999999999999</v>
      </c>
      <c r="J6" s="10">
        <v>68.3</v>
      </c>
      <c r="K6" s="8">
        <f t="shared" si="0"/>
        <v>20.261675234121732</v>
      </c>
      <c r="L6" s="11">
        <v>0.3669</v>
      </c>
      <c r="M6" s="11">
        <v>3.2199999999999999E-2</v>
      </c>
      <c r="N6" s="11">
        <v>0.60409999999999997</v>
      </c>
      <c r="O6" s="8">
        <v>5396.0912790463999</v>
      </c>
      <c r="T6" s="8">
        <v>39.9</v>
      </c>
      <c r="U6" s="8">
        <v>34.5</v>
      </c>
      <c r="V6" s="8">
        <f t="shared" si="1"/>
        <v>783.30357276479981</v>
      </c>
      <c r="W6" s="8">
        <v>50</v>
      </c>
      <c r="X6" s="8">
        <v>703.06838300948471</v>
      </c>
      <c r="Y6" s="8">
        <v>18093410111</v>
      </c>
      <c r="Z6" s="5" t="s">
        <v>145</v>
      </c>
      <c r="AA6" s="8">
        <v>130</v>
      </c>
    </row>
    <row r="7" spans="1:27">
      <c r="A7" s="8">
        <v>1607920</v>
      </c>
      <c r="B7" s="8" t="s">
        <v>120</v>
      </c>
      <c r="C7" s="5">
        <v>1.61</v>
      </c>
      <c r="D7" s="6">
        <v>4.9800000000000004</v>
      </c>
      <c r="F7" s="5" t="s">
        <v>173</v>
      </c>
      <c r="G7" s="8">
        <v>27</v>
      </c>
      <c r="H7" s="10">
        <v>164</v>
      </c>
      <c r="I7" s="10">
        <v>1.64</v>
      </c>
      <c r="J7" s="10">
        <v>63</v>
      </c>
      <c r="K7" s="8">
        <f t="shared" si="0"/>
        <v>23.423557406305772</v>
      </c>
      <c r="L7" s="11">
        <v>0.3669</v>
      </c>
      <c r="M7" s="11">
        <v>3.2199999999999999E-2</v>
      </c>
      <c r="N7" s="11">
        <v>0.60409999999999997</v>
      </c>
      <c r="O7" s="8">
        <v>4251.0753535999993</v>
      </c>
      <c r="T7" s="8">
        <v>46.5</v>
      </c>
      <c r="U7" s="8">
        <v>38.1</v>
      </c>
      <c r="V7" s="8">
        <f t="shared" si="1"/>
        <v>844.18517660141822</v>
      </c>
      <c r="W7" s="8">
        <v>50</v>
      </c>
      <c r="X7" s="8">
        <v>544.18517660141822</v>
      </c>
      <c r="Y7" s="8">
        <v>18700874706</v>
      </c>
      <c r="Z7" s="5" t="s">
        <v>145</v>
      </c>
      <c r="AA7" s="8">
        <v>120</v>
      </c>
    </row>
    <row r="8" spans="1:27">
      <c r="A8" s="8">
        <v>1638029</v>
      </c>
      <c r="B8" s="8" t="s">
        <v>124</v>
      </c>
      <c r="C8" s="5">
        <v>3.4</v>
      </c>
      <c r="D8" s="14">
        <v>4.58</v>
      </c>
      <c r="F8" s="5" t="s">
        <v>173</v>
      </c>
      <c r="G8" s="8">
        <v>40</v>
      </c>
      <c r="H8" s="10">
        <v>156.5</v>
      </c>
      <c r="I8" s="10">
        <v>1.5649999999999999</v>
      </c>
      <c r="J8" s="10">
        <v>58.7</v>
      </c>
      <c r="K8" s="8">
        <f t="shared" si="0"/>
        <v>23.96676499709092</v>
      </c>
      <c r="L8" s="11">
        <v>0.3669</v>
      </c>
      <c r="M8" s="11">
        <v>3.2199999999999999E-2</v>
      </c>
      <c r="N8" s="11">
        <v>0.60409999999999997</v>
      </c>
      <c r="O8" s="8">
        <v>3900.5813211625</v>
      </c>
      <c r="T8" s="8">
        <v>42.7</v>
      </c>
      <c r="U8" s="8">
        <v>37.799999999999997</v>
      </c>
      <c r="V8" s="8">
        <f t="shared" si="1"/>
        <v>474.85337822847879</v>
      </c>
      <c r="W8" s="8">
        <v>100</v>
      </c>
      <c r="X8" s="8">
        <v>374.85337822847879</v>
      </c>
      <c r="Y8" s="8">
        <v>13772135895</v>
      </c>
      <c r="Z8" s="5" t="s">
        <v>145</v>
      </c>
      <c r="AA8" s="8">
        <v>95</v>
      </c>
    </row>
    <row r="9" spans="1:27">
      <c r="A9" s="8">
        <v>1622160</v>
      </c>
      <c r="B9" s="8" t="s">
        <v>126</v>
      </c>
      <c r="C9" s="5">
        <v>0.89</v>
      </c>
      <c r="D9" s="6">
        <v>3</v>
      </c>
      <c r="F9" s="5" t="s">
        <v>173</v>
      </c>
      <c r="G9" s="8">
        <v>47</v>
      </c>
      <c r="H9" s="10">
        <v>161.19999999999999</v>
      </c>
      <c r="I9" s="10">
        <v>1.6119999999999999</v>
      </c>
      <c r="J9" s="10">
        <v>63.1</v>
      </c>
      <c r="K9" s="8">
        <f t="shared" si="0"/>
        <v>24.282829153556765</v>
      </c>
      <c r="L9" s="11">
        <v>0.3669</v>
      </c>
      <c r="M9" s="11">
        <v>3.2199999999999999E-2</v>
      </c>
      <c r="N9" s="11">
        <v>0.60409999999999997</v>
      </c>
      <c r="O9" s="8">
        <v>4172.8101392831995</v>
      </c>
      <c r="T9" s="8">
        <v>45.3</v>
      </c>
      <c r="U9" s="8">
        <v>40.299999999999997</v>
      </c>
      <c r="V9" s="8">
        <f t="shared" si="1"/>
        <v>487.47782000971961</v>
      </c>
      <c r="W9" s="8">
        <v>100</v>
      </c>
      <c r="X9" s="8">
        <v>387.47782000971961</v>
      </c>
      <c r="Y9" s="8">
        <v>18681903521</v>
      </c>
      <c r="Z9" s="5" t="s">
        <v>145</v>
      </c>
      <c r="AA9" s="8">
        <v>80</v>
      </c>
    </row>
    <row r="10" spans="1:27">
      <c r="A10" s="8">
        <v>1640808</v>
      </c>
      <c r="B10" s="8" t="s">
        <v>131</v>
      </c>
      <c r="C10" s="5">
        <v>0.88</v>
      </c>
      <c r="D10" s="14">
        <v>5.21</v>
      </c>
      <c r="F10" s="5" t="s">
        <v>173</v>
      </c>
      <c r="G10" s="8">
        <v>54</v>
      </c>
      <c r="H10" s="10">
        <v>161.6</v>
      </c>
      <c r="I10" s="10">
        <v>1.6159999999999999</v>
      </c>
      <c r="J10" s="10">
        <v>65.400000000000006</v>
      </c>
      <c r="K10" s="8">
        <f t="shared" si="0"/>
        <v>25.043500637192437</v>
      </c>
      <c r="L10" s="11">
        <v>0.3669</v>
      </c>
      <c r="M10" s="11">
        <v>3.2199999999999999E-2</v>
      </c>
      <c r="N10" s="11">
        <v>0.60409999999999997</v>
      </c>
      <c r="O10" s="8">
        <v>4258.3394215423996</v>
      </c>
      <c r="T10" s="8">
        <v>47.9</v>
      </c>
      <c r="U10" s="8">
        <v>42.2</v>
      </c>
      <c r="V10" s="8">
        <f t="shared" si="1"/>
        <v>538.79100339160175</v>
      </c>
      <c r="W10" s="8">
        <v>200</v>
      </c>
      <c r="X10" s="8">
        <v>693.90746795930443</v>
      </c>
      <c r="Y10" s="8">
        <v>13720534001</v>
      </c>
      <c r="Z10" s="5" t="s">
        <v>145</v>
      </c>
      <c r="AA10" s="8">
        <v>80</v>
      </c>
    </row>
    <row r="11" spans="1:27">
      <c r="A11" s="8">
        <v>1637076</v>
      </c>
      <c r="B11" s="8" t="s">
        <v>132</v>
      </c>
      <c r="C11" s="8">
        <v>2.12</v>
      </c>
      <c r="D11" s="14">
        <v>3.46</v>
      </c>
      <c r="F11" s="5" t="s">
        <v>173</v>
      </c>
      <c r="G11" s="8">
        <v>45</v>
      </c>
      <c r="H11" s="10">
        <v>163</v>
      </c>
      <c r="I11" s="10">
        <v>1.63</v>
      </c>
      <c r="J11" s="10">
        <v>68.2</v>
      </c>
      <c r="K11" s="8">
        <f t="shared" si="0"/>
        <v>25.669012759230686</v>
      </c>
      <c r="L11" s="11">
        <v>0.3669</v>
      </c>
      <c r="M11" s="11">
        <v>3.2199999999999999E-2</v>
      </c>
      <c r="N11" s="11">
        <v>0.60409999999999997</v>
      </c>
      <c r="O11" s="8">
        <v>4389.0910742999995</v>
      </c>
      <c r="T11" s="8">
        <v>33.799999999999997</v>
      </c>
      <c r="U11" s="8">
        <v>29.2</v>
      </c>
      <c r="V11" s="8">
        <f t="shared" si="1"/>
        <v>640.94663307238056</v>
      </c>
      <c r="W11" s="8">
        <v>50</v>
      </c>
      <c r="X11" s="8">
        <v>440.94663307238056</v>
      </c>
      <c r="Y11" s="8">
        <v>15940613337</v>
      </c>
      <c r="Z11" s="5" t="s">
        <v>145</v>
      </c>
      <c r="AA11" s="8">
        <v>80</v>
      </c>
    </row>
    <row r="12" spans="1:27">
      <c r="A12" s="8">
        <v>1627396</v>
      </c>
      <c r="B12" s="8" t="s">
        <v>134</v>
      </c>
      <c r="C12" s="5">
        <v>0.41</v>
      </c>
      <c r="D12" s="6">
        <v>3</v>
      </c>
      <c r="F12" s="5" t="s">
        <v>173</v>
      </c>
      <c r="G12" s="8">
        <v>49</v>
      </c>
      <c r="H12" s="10">
        <v>169.9</v>
      </c>
      <c r="I12" s="10">
        <v>1.6990000000000001</v>
      </c>
      <c r="J12" s="10">
        <v>64.900000000000006</v>
      </c>
      <c r="K12" s="8">
        <f t="shared" si="0"/>
        <v>22.483190437473002</v>
      </c>
      <c r="L12" s="11">
        <v>0.3669</v>
      </c>
      <c r="M12" s="11">
        <v>3.2199999999999999E-2</v>
      </c>
      <c r="N12" s="11">
        <v>0.60409999999999997</v>
      </c>
      <c r="O12" s="8">
        <v>4815.2805478231003</v>
      </c>
      <c r="T12" s="8">
        <v>47.6</v>
      </c>
      <c r="U12" s="8">
        <v>37.9</v>
      </c>
      <c r="V12" s="8">
        <f t="shared" si="1"/>
        <v>1092.5899722545985</v>
      </c>
      <c r="W12" s="8">
        <v>200</v>
      </c>
      <c r="X12" s="8">
        <v>892.58997225459848</v>
      </c>
      <c r="Y12" s="8">
        <v>18501533351</v>
      </c>
      <c r="Z12" s="5" t="s">
        <v>145</v>
      </c>
      <c r="AA12" s="8">
        <v>70</v>
      </c>
    </row>
    <row r="13" spans="1:27">
      <c r="A13" s="8">
        <v>1627265</v>
      </c>
      <c r="B13" s="8" t="s">
        <v>138</v>
      </c>
      <c r="C13" s="8">
        <v>1.67</v>
      </c>
      <c r="D13" s="14">
        <v>3.34</v>
      </c>
      <c r="F13" s="5" t="s">
        <v>173</v>
      </c>
      <c r="G13" s="8">
        <v>45</v>
      </c>
      <c r="H13" s="10">
        <v>167.3</v>
      </c>
      <c r="I13" s="10">
        <v>1.673</v>
      </c>
      <c r="J13" s="10">
        <v>64.3</v>
      </c>
      <c r="K13" s="8">
        <f t="shared" si="0"/>
        <v>22.973072914675576</v>
      </c>
      <c r="L13" s="11">
        <v>0.3669</v>
      </c>
      <c r="M13" s="11">
        <v>3.2199999999999999E-2</v>
      </c>
      <c r="N13" s="11">
        <v>0.60409999999999997</v>
      </c>
      <c r="O13" s="8">
        <v>4714.6089548173004</v>
      </c>
      <c r="T13" s="8">
        <v>52.8</v>
      </c>
      <c r="U13" s="8">
        <v>42.8</v>
      </c>
      <c r="V13" s="8">
        <f t="shared" si="1"/>
        <v>986.31986502453992</v>
      </c>
      <c r="W13" s="8">
        <v>50</v>
      </c>
      <c r="X13" s="8">
        <v>686.31986502453992</v>
      </c>
      <c r="Y13" s="8">
        <v>13630054568</v>
      </c>
      <c r="Z13" s="5" t="s">
        <v>145</v>
      </c>
      <c r="AA13" s="8">
        <v>80</v>
      </c>
    </row>
    <row r="14" spans="1:27">
      <c r="A14" s="8">
        <v>1640257</v>
      </c>
      <c r="B14" s="8" t="s">
        <v>153</v>
      </c>
      <c r="C14" s="5">
        <v>1.26</v>
      </c>
      <c r="D14" s="6">
        <v>3.34</v>
      </c>
      <c r="F14" s="5" t="s">
        <v>173</v>
      </c>
      <c r="G14" s="8">
        <v>56</v>
      </c>
      <c r="H14" s="10">
        <v>158.6</v>
      </c>
      <c r="I14" s="10">
        <v>1.5859999999999999</v>
      </c>
      <c r="J14" s="10">
        <v>69.8</v>
      </c>
      <c r="K14" s="8">
        <f t="shared" si="0"/>
        <v>27.749109881704516</v>
      </c>
      <c r="L14" s="11">
        <v>0.3669</v>
      </c>
      <c r="M14" s="11">
        <v>3.2199999999999999E-2</v>
      </c>
      <c r="N14" s="11">
        <v>0.60409999999999997</v>
      </c>
      <c r="O14" s="8">
        <v>4315.3774847463992</v>
      </c>
      <c r="T14" s="8">
        <v>44.9</v>
      </c>
      <c r="U14" s="8">
        <v>38</v>
      </c>
      <c r="V14" s="8">
        <f t="shared" si="1"/>
        <v>718.36199384198176</v>
      </c>
      <c r="W14" s="8">
        <v>200</v>
      </c>
      <c r="X14" s="8">
        <v>518.36199384198176</v>
      </c>
      <c r="Y14" s="8">
        <v>18691633655</v>
      </c>
      <c r="Z14" s="5" t="s">
        <v>145</v>
      </c>
      <c r="AA14" s="8">
        <v>125</v>
      </c>
    </row>
    <row r="15" spans="1:27">
      <c r="A15" s="8">
        <v>1628126</v>
      </c>
      <c r="B15" s="8" t="s">
        <v>142</v>
      </c>
      <c r="C15" s="5">
        <v>1.46</v>
      </c>
      <c r="D15" s="9">
        <v>3.31</v>
      </c>
      <c r="F15" s="5" t="s">
        <v>173</v>
      </c>
      <c r="G15" s="8">
        <v>59</v>
      </c>
      <c r="H15" s="10">
        <v>155</v>
      </c>
      <c r="I15" s="10">
        <v>1.55</v>
      </c>
      <c r="J15" s="10">
        <v>68.3</v>
      </c>
      <c r="K15" s="8">
        <f t="shared" si="0"/>
        <v>28.428720083246617</v>
      </c>
      <c r="L15" s="11">
        <v>0.3669</v>
      </c>
      <c r="M15" s="11">
        <v>3.2199999999999999E-2</v>
      </c>
      <c r="N15" s="11">
        <v>0.60409999999999997</v>
      </c>
      <c r="O15" s="8">
        <v>4169.6497374999999</v>
      </c>
      <c r="T15" s="8">
        <v>41.8</v>
      </c>
      <c r="U15" s="8">
        <v>38.299999999999997</v>
      </c>
      <c r="V15" s="8">
        <f t="shared" si="1"/>
        <v>364.38886594881399</v>
      </c>
      <c r="W15" s="8">
        <v>200</v>
      </c>
      <c r="X15" s="8">
        <v>164.38886594881399</v>
      </c>
      <c r="Y15" s="8">
        <v>13891813354</v>
      </c>
      <c r="Z15" s="5" t="s">
        <v>145</v>
      </c>
      <c r="AA15" s="8">
        <v>90</v>
      </c>
    </row>
    <row r="16" spans="1:27">
      <c r="A16" s="8">
        <v>1604207</v>
      </c>
      <c r="B16" s="8" t="s">
        <v>52</v>
      </c>
      <c r="C16" s="8">
        <v>0.98</v>
      </c>
      <c r="D16" s="9" t="s">
        <v>81</v>
      </c>
      <c r="F16" s="5" t="s">
        <v>173</v>
      </c>
      <c r="G16" s="8">
        <v>50</v>
      </c>
      <c r="H16" s="10">
        <v>156.30000000000001</v>
      </c>
      <c r="I16" s="10">
        <v>1.5630000000000002</v>
      </c>
      <c r="J16" s="10">
        <v>51.7</v>
      </c>
      <c r="K16" s="8">
        <f t="shared" si="0"/>
        <v>21.162773657790989</v>
      </c>
      <c r="L16" s="11">
        <v>0.3669</v>
      </c>
      <c r="M16" s="11">
        <v>3.2199999999999999E-2</v>
      </c>
      <c r="N16" s="11">
        <v>0.60409999999999997</v>
      </c>
      <c r="O16" s="8">
        <v>3669.7964846943005</v>
      </c>
      <c r="T16" s="8">
        <v>41.2</v>
      </c>
      <c r="U16" s="8">
        <v>35.6</v>
      </c>
      <c r="V16" s="8">
        <f t="shared" si="1"/>
        <v>535.17865401791892</v>
      </c>
      <c r="W16" s="8">
        <v>200</v>
      </c>
      <c r="X16" s="8">
        <v>335.17865401791892</v>
      </c>
      <c r="Y16" s="8">
        <v>18792613231</v>
      </c>
      <c r="Z16" s="5" t="s">
        <v>148</v>
      </c>
      <c r="AA16" s="8">
        <v>90</v>
      </c>
    </row>
    <row r="17" spans="1:27">
      <c r="A17" s="8">
        <v>1624851</v>
      </c>
      <c r="B17" s="8" t="s">
        <v>96</v>
      </c>
      <c r="C17" s="5">
        <v>5.25</v>
      </c>
      <c r="D17" s="9">
        <v>6.43</v>
      </c>
      <c r="F17" s="5" t="s">
        <v>173</v>
      </c>
      <c r="G17" s="8">
        <v>53</v>
      </c>
      <c r="H17" s="10">
        <v>181.6</v>
      </c>
      <c r="I17" s="10">
        <v>1.8159999999999998</v>
      </c>
      <c r="J17" s="10">
        <v>70.400000000000006</v>
      </c>
      <c r="K17" s="8">
        <f t="shared" si="0"/>
        <v>21.347202546139076</v>
      </c>
      <c r="L17" s="11">
        <v>0.3669</v>
      </c>
      <c r="M17" s="11">
        <v>3.2199999999999999E-2</v>
      </c>
      <c r="N17" s="11">
        <v>0.60409999999999997</v>
      </c>
      <c r="O17" s="8">
        <v>5068.3097933823992</v>
      </c>
      <c r="T17" s="8">
        <v>33.700000000000003</v>
      </c>
      <c r="U17" s="8">
        <v>30.8</v>
      </c>
      <c r="V17" s="8">
        <f t="shared" si="1"/>
        <v>455.75498917237115</v>
      </c>
      <c r="W17" s="8">
        <v>200</v>
      </c>
      <c r="X17" s="8">
        <v>255.75498917237115</v>
      </c>
      <c r="Y17" s="8">
        <v>18966544432</v>
      </c>
      <c r="Z17" s="5" t="s">
        <v>148</v>
      </c>
      <c r="AA17" s="8">
        <v>120</v>
      </c>
    </row>
    <row r="18" spans="1:27">
      <c r="A18" s="8">
        <v>1604333</v>
      </c>
      <c r="B18" s="8" t="s">
        <v>97</v>
      </c>
      <c r="C18" s="5">
        <v>1.54</v>
      </c>
      <c r="D18" s="9">
        <v>3.86</v>
      </c>
      <c r="F18" s="5" t="s">
        <v>173</v>
      </c>
      <c r="G18" s="8">
        <v>47</v>
      </c>
      <c r="H18" s="10">
        <v>180.9</v>
      </c>
      <c r="I18" s="10">
        <v>1.8090000000000002</v>
      </c>
      <c r="J18" s="10">
        <v>70.099999999999994</v>
      </c>
      <c r="K18" s="8">
        <f t="shared" si="0"/>
        <v>21.421056378936953</v>
      </c>
      <c r="L18" s="11">
        <v>0.3669</v>
      </c>
      <c r="M18" s="11">
        <v>3.2199999999999999E-2</v>
      </c>
      <c r="N18" s="11">
        <v>0.60409999999999997</v>
      </c>
      <c r="O18" s="8">
        <v>5033.3379615301001</v>
      </c>
      <c r="T18" s="8">
        <v>43.2</v>
      </c>
      <c r="U18" s="8">
        <v>39.4</v>
      </c>
      <c r="V18" s="8">
        <f t="shared" si="1"/>
        <v>463.11584149671677</v>
      </c>
      <c r="W18" s="8">
        <v>50</v>
      </c>
      <c r="X18" s="8">
        <v>163.11584149671677</v>
      </c>
      <c r="Y18" s="8">
        <v>15191448453</v>
      </c>
      <c r="Z18" s="5" t="s">
        <v>148</v>
      </c>
      <c r="AA18" s="8">
        <v>100</v>
      </c>
    </row>
    <row r="19" spans="1:27">
      <c r="A19" s="8">
        <v>1631426</v>
      </c>
      <c r="B19" s="8" t="s">
        <v>100</v>
      </c>
      <c r="C19" s="5">
        <v>1.78</v>
      </c>
      <c r="D19" s="9">
        <v>5.38</v>
      </c>
      <c r="F19" s="5" t="s">
        <v>173</v>
      </c>
      <c r="G19" s="8">
        <v>47</v>
      </c>
      <c r="H19" s="10">
        <v>173.3</v>
      </c>
      <c r="I19" s="10">
        <v>1.7330000000000001</v>
      </c>
      <c r="J19" s="10">
        <v>65</v>
      </c>
      <c r="K19" s="8">
        <f t="shared" si="0"/>
        <v>21.642938791438318</v>
      </c>
      <c r="L19" s="11">
        <v>0.3669</v>
      </c>
      <c r="M19" s="11">
        <v>3.2199999999999999E-2</v>
      </c>
      <c r="N19" s="11">
        <v>0.60409999999999997</v>
      </c>
      <c r="O19" s="8">
        <v>4606.7043701952998</v>
      </c>
      <c r="T19" s="8">
        <v>43</v>
      </c>
      <c r="U19" s="8">
        <v>38.4</v>
      </c>
      <c r="V19" s="8">
        <f t="shared" si="1"/>
        <v>520.65946198767529</v>
      </c>
      <c r="W19" s="8">
        <v>200</v>
      </c>
      <c r="X19" s="8">
        <v>320.65946198767529</v>
      </c>
      <c r="Y19" s="8">
        <v>18202968943</v>
      </c>
      <c r="Z19" s="5" t="s">
        <v>148</v>
      </c>
      <c r="AA19" s="8">
        <v>120</v>
      </c>
    </row>
    <row r="20" spans="1:27">
      <c r="A20" s="8">
        <v>1626974</v>
      </c>
      <c r="B20" s="8" t="s">
        <v>104</v>
      </c>
      <c r="C20" s="5">
        <v>3.78</v>
      </c>
      <c r="D20" s="9">
        <v>6.73</v>
      </c>
      <c r="F20" s="5" t="s">
        <v>173</v>
      </c>
      <c r="G20" s="8">
        <v>53</v>
      </c>
      <c r="H20" s="10">
        <v>156</v>
      </c>
      <c r="I20" s="10">
        <v>1.56</v>
      </c>
      <c r="J20" s="10">
        <v>53.7</v>
      </c>
      <c r="K20" s="8">
        <f t="shared" si="0"/>
        <v>22.066074950690336</v>
      </c>
      <c r="L20" s="11">
        <v>0.3669</v>
      </c>
      <c r="M20" s="11">
        <v>3.2199999999999999E-2</v>
      </c>
      <c r="N20" s="11">
        <v>0.60409999999999997</v>
      </c>
      <c r="O20" s="8">
        <v>3726.1450304</v>
      </c>
      <c r="T20" s="8">
        <v>42.8</v>
      </c>
      <c r="U20" s="8">
        <v>35.799999999999997</v>
      </c>
      <c r="V20" s="8">
        <f t="shared" si="1"/>
        <v>663.68995452417312</v>
      </c>
      <c r="W20" s="8">
        <v>50</v>
      </c>
      <c r="X20" s="8">
        <v>363.68995452417312</v>
      </c>
      <c r="Y20" s="8">
        <v>15339259286</v>
      </c>
      <c r="Z20" s="5" t="s">
        <v>148</v>
      </c>
      <c r="AA20" s="8">
        <v>100</v>
      </c>
    </row>
    <row r="21" spans="1:27">
      <c r="A21" s="8">
        <v>1623784</v>
      </c>
      <c r="B21" s="8" t="s">
        <v>109</v>
      </c>
      <c r="C21" s="5">
        <v>1.21</v>
      </c>
      <c r="D21" s="9" t="s">
        <v>83</v>
      </c>
      <c r="F21" s="5" t="s">
        <v>173</v>
      </c>
      <c r="G21" s="8">
        <v>25</v>
      </c>
      <c r="H21" s="10">
        <v>169.1</v>
      </c>
      <c r="I21" s="10">
        <v>1.6909999999999998</v>
      </c>
      <c r="J21" s="10">
        <v>64.3</v>
      </c>
      <c r="K21" s="8">
        <f t="shared" si="0"/>
        <v>22.486598092451047</v>
      </c>
      <c r="L21" s="11">
        <v>0.3669</v>
      </c>
      <c r="M21" s="11">
        <v>3.2199999999999999E-2</v>
      </c>
      <c r="N21" s="11">
        <v>0.60409999999999997</v>
      </c>
      <c r="O21" s="8">
        <v>4448.6617919198989</v>
      </c>
      <c r="T21" s="8">
        <v>42.2</v>
      </c>
      <c r="U21" s="8">
        <v>35.4</v>
      </c>
      <c r="V21" s="8">
        <f t="shared" si="1"/>
        <v>779.66237590348805</v>
      </c>
      <c r="W21" s="8">
        <v>200</v>
      </c>
      <c r="X21" s="8">
        <v>579.66237590348805</v>
      </c>
      <c r="Y21" s="8">
        <v>13572012943</v>
      </c>
      <c r="Z21" s="5" t="s">
        <v>148</v>
      </c>
      <c r="AA21" s="8">
        <v>110</v>
      </c>
    </row>
    <row r="22" spans="1:27">
      <c r="A22" s="8">
        <v>1619568</v>
      </c>
      <c r="B22" s="8" t="s">
        <v>112</v>
      </c>
      <c r="C22" s="5">
        <v>1.65</v>
      </c>
      <c r="D22" s="9">
        <v>4.21</v>
      </c>
      <c r="F22" s="5" t="s">
        <v>173</v>
      </c>
      <c r="G22" s="8">
        <v>46</v>
      </c>
      <c r="H22" s="10">
        <v>159</v>
      </c>
      <c r="I22" s="10">
        <v>1.59</v>
      </c>
      <c r="J22" s="10">
        <v>57.7</v>
      </c>
      <c r="K22" s="8">
        <f t="shared" si="0"/>
        <v>22.823464261698504</v>
      </c>
      <c r="L22" s="11">
        <v>0.3669</v>
      </c>
      <c r="M22" s="11">
        <v>3.2199999999999999E-2</v>
      </c>
      <c r="N22" s="11">
        <v>0.60409999999999997</v>
      </c>
      <c r="O22" s="8">
        <v>3936.8602251000002</v>
      </c>
      <c r="T22" s="8">
        <v>44.4</v>
      </c>
      <c r="U22" s="8">
        <v>40.799999999999997</v>
      </c>
      <c r="V22" s="8">
        <f t="shared" si="1"/>
        <v>332.69241338873258</v>
      </c>
      <c r="W22" s="8">
        <v>100</v>
      </c>
      <c r="X22" s="8">
        <v>232.69241338873258</v>
      </c>
      <c r="Y22" s="8">
        <v>13771072868</v>
      </c>
      <c r="Z22" s="5" t="s">
        <v>148</v>
      </c>
      <c r="AA22" s="8">
        <v>60</v>
      </c>
    </row>
    <row r="23" spans="1:27">
      <c r="A23" s="8">
        <v>1610143</v>
      </c>
      <c r="B23" s="8" t="s">
        <v>116</v>
      </c>
      <c r="C23" s="5">
        <v>1.43</v>
      </c>
      <c r="D23" s="9">
        <v>2.4300000000000002</v>
      </c>
      <c r="F23" s="5" t="s">
        <v>173</v>
      </c>
      <c r="G23" s="8">
        <v>43</v>
      </c>
      <c r="H23" s="10">
        <v>174</v>
      </c>
      <c r="I23" s="10">
        <v>1.74</v>
      </c>
      <c r="J23" s="10">
        <v>70.400000000000006</v>
      </c>
      <c r="K23" s="8">
        <f t="shared" si="0"/>
        <v>23.252741445369271</v>
      </c>
      <c r="L23" s="11">
        <v>0.3669</v>
      </c>
      <c r="M23" s="11">
        <v>3.2199999999999999E-2</v>
      </c>
      <c r="N23" s="11">
        <v>0.60409999999999997</v>
      </c>
      <c r="O23" s="8">
        <v>4803.8180056000001</v>
      </c>
      <c r="T23" s="8">
        <v>41.2</v>
      </c>
      <c r="U23" s="8">
        <v>37.4</v>
      </c>
      <c r="V23" s="8">
        <f t="shared" si="1"/>
        <v>464.49130842951712</v>
      </c>
      <c r="W23" s="8">
        <v>100</v>
      </c>
      <c r="X23" s="8">
        <v>364.49130842951712</v>
      </c>
      <c r="Y23" s="8">
        <v>18991119556</v>
      </c>
      <c r="Z23" s="5" t="s">
        <v>148</v>
      </c>
      <c r="AA23" s="8">
        <v>90</v>
      </c>
    </row>
    <row r="24" spans="1:27">
      <c r="A24" s="8">
        <v>1635554</v>
      </c>
      <c r="B24" s="8" t="s">
        <v>136</v>
      </c>
      <c r="C24" s="5">
        <v>2.04</v>
      </c>
      <c r="D24" s="9">
        <v>3.05</v>
      </c>
      <c r="F24" s="5" t="s">
        <v>173</v>
      </c>
      <c r="G24" s="8">
        <v>53</v>
      </c>
      <c r="H24" s="10">
        <v>166.4</v>
      </c>
      <c r="I24" s="10">
        <v>1.6640000000000001</v>
      </c>
      <c r="J24" s="10">
        <v>52.7</v>
      </c>
      <c r="K24" s="8">
        <f t="shared" si="0"/>
        <v>19.032856416420117</v>
      </c>
      <c r="L24" s="11">
        <v>0.3669</v>
      </c>
      <c r="M24" s="11">
        <v>3.2199999999999999E-2</v>
      </c>
      <c r="N24" s="11">
        <v>0.60409999999999997</v>
      </c>
      <c r="O24" s="8">
        <v>4635.5108161536009</v>
      </c>
      <c r="T24" s="8">
        <v>55.5</v>
      </c>
      <c r="U24" s="8">
        <v>46</v>
      </c>
      <c r="V24" s="8">
        <f t="shared" si="1"/>
        <v>867.73108873811248</v>
      </c>
      <c r="W24" s="8">
        <v>200</v>
      </c>
      <c r="X24" s="8">
        <v>667.73108873811248</v>
      </c>
      <c r="Y24" s="8">
        <v>18049004246</v>
      </c>
      <c r="Z24" s="5" t="s">
        <v>148</v>
      </c>
      <c r="AA24" s="8">
        <v>120</v>
      </c>
    </row>
    <row r="25" spans="1:27">
      <c r="A25" s="8">
        <v>1616760</v>
      </c>
      <c r="B25" s="8" t="s">
        <v>143</v>
      </c>
      <c r="C25" s="8">
        <v>0.65</v>
      </c>
      <c r="D25" s="13">
        <v>4.93</v>
      </c>
      <c r="F25" s="5" t="s">
        <v>173</v>
      </c>
      <c r="G25" s="8">
        <v>30</v>
      </c>
      <c r="H25" s="10">
        <v>157.69999999999999</v>
      </c>
      <c r="I25" s="10">
        <v>1.577</v>
      </c>
      <c r="J25" s="10">
        <v>72.2</v>
      </c>
      <c r="K25" s="8">
        <f t="shared" si="0"/>
        <v>29.031789809841779</v>
      </c>
      <c r="L25" s="11">
        <v>0.3669</v>
      </c>
      <c r="M25" s="11">
        <v>3.2199999999999999E-2</v>
      </c>
      <c r="N25" s="11">
        <v>0.60409999999999997</v>
      </c>
      <c r="O25" s="8">
        <v>4367.8803524077002</v>
      </c>
      <c r="T25" s="8">
        <v>42.5</v>
      </c>
      <c r="U25" s="8">
        <v>35.1</v>
      </c>
      <c r="V25" s="8">
        <f t="shared" si="1"/>
        <v>833.04934556229318</v>
      </c>
      <c r="W25" s="8">
        <v>100</v>
      </c>
      <c r="X25" s="8">
        <v>733.04934556229318</v>
      </c>
      <c r="Y25" s="8">
        <v>18691830720</v>
      </c>
      <c r="Z25" s="5" t="s">
        <v>148</v>
      </c>
      <c r="AA25" s="8">
        <v>145</v>
      </c>
    </row>
    <row r="26" spans="1:27">
      <c r="A26" s="8">
        <v>1621033</v>
      </c>
      <c r="B26" s="8" t="s">
        <v>56</v>
      </c>
      <c r="C26" s="8">
        <v>2.81</v>
      </c>
      <c r="D26" s="13">
        <v>4.6500000000000004</v>
      </c>
      <c r="F26" s="5" t="s">
        <v>173</v>
      </c>
      <c r="G26" s="8">
        <v>38</v>
      </c>
      <c r="H26" s="10">
        <v>171.9</v>
      </c>
      <c r="I26" s="10">
        <v>1.7190000000000001</v>
      </c>
      <c r="J26" s="10">
        <v>62.3</v>
      </c>
      <c r="K26" s="8">
        <f t="shared" si="0"/>
        <v>21.083188576769707</v>
      </c>
      <c r="L26" s="11">
        <v>0.3669</v>
      </c>
      <c r="M26" s="11">
        <v>3.2199999999999999E-2</v>
      </c>
      <c r="N26" s="11">
        <v>0.60409999999999997</v>
      </c>
      <c r="O26" s="8">
        <v>4473.8571531570997</v>
      </c>
      <c r="T26" s="8">
        <v>39.799999999999997</v>
      </c>
      <c r="U26" s="8">
        <v>36.5</v>
      </c>
      <c r="V26" s="8">
        <f t="shared" si="1"/>
        <v>386.99157550244871</v>
      </c>
      <c r="W26" s="8">
        <v>100</v>
      </c>
      <c r="X26" s="8">
        <v>286.99157550244871</v>
      </c>
      <c r="Y26" s="8">
        <v>18191544106</v>
      </c>
      <c r="Z26" s="5" t="s">
        <v>146</v>
      </c>
      <c r="AA26" s="8">
        <v>75</v>
      </c>
    </row>
    <row r="27" spans="1:27">
      <c r="A27" s="8">
        <v>1630117</v>
      </c>
      <c r="B27" s="8" t="s">
        <v>113</v>
      </c>
      <c r="C27" s="8">
        <v>2.2200000000000002</v>
      </c>
      <c r="D27" s="13">
        <v>7.4</v>
      </c>
      <c r="F27" s="5" t="s">
        <v>173</v>
      </c>
      <c r="G27" s="8">
        <v>43</v>
      </c>
      <c r="H27" s="10">
        <v>172</v>
      </c>
      <c r="I27" s="10">
        <v>1.72</v>
      </c>
      <c r="J27" s="10">
        <v>68.5</v>
      </c>
      <c r="K27" s="8">
        <f t="shared" si="0"/>
        <v>23.154407787993513</v>
      </c>
      <c r="L27" s="11">
        <v>0.3669</v>
      </c>
      <c r="M27" s="11">
        <v>3.2199999999999999E-2</v>
      </c>
      <c r="N27" s="11">
        <v>0.60409999999999997</v>
      </c>
      <c r="O27" s="8">
        <v>4676.7515711999995</v>
      </c>
      <c r="T27" s="8">
        <v>36.6</v>
      </c>
      <c r="U27" s="8">
        <v>33.9</v>
      </c>
      <c r="V27" s="8">
        <f t="shared" si="1"/>
        <v>358.21926928340457</v>
      </c>
      <c r="W27" s="8">
        <v>100</v>
      </c>
      <c r="X27" s="8">
        <v>258.21926928340457</v>
      </c>
      <c r="Y27" s="8">
        <v>18165037442</v>
      </c>
      <c r="Z27" s="5" t="s">
        <v>146</v>
      </c>
      <c r="AA27" s="8">
        <v>90</v>
      </c>
    </row>
    <row r="28" spans="1:27">
      <c r="A28" s="8">
        <v>1610451</v>
      </c>
      <c r="B28" s="8" t="s">
        <v>140</v>
      </c>
      <c r="C28" s="8">
        <v>1.22</v>
      </c>
      <c r="D28" s="9" t="s">
        <v>92</v>
      </c>
      <c r="F28" s="5" t="s">
        <v>173</v>
      </c>
      <c r="G28" s="8">
        <v>59</v>
      </c>
      <c r="H28" s="10">
        <v>163.69999999999999</v>
      </c>
      <c r="I28" s="10">
        <v>1.6369999999999998</v>
      </c>
      <c r="J28" s="10">
        <v>54.2</v>
      </c>
      <c r="K28" s="8">
        <f t="shared" si="0"/>
        <v>20.225623925047277</v>
      </c>
      <c r="L28" s="11">
        <v>0.3669</v>
      </c>
      <c r="M28" s="11">
        <v>3.2199999999999999E-2</v>
      </c>
      <c r="N28" s="11">
        <v>0.60409999999999997</v>
      </c>
      <c r="O28" s="8">
        <v>4602.8502618656994</v>
      </c>
      <c r="T28" s="8">
        <v>43</v>
      </c>
      <c r="U28" s="8">
        <v>39.200000000000003</v>
      </c>
      <c r="V28" s="8">
        <f t="shared" si="1"/>
        <v>425.56766411410325</v>
      </c>
      <c r="W28" s="8">
        <v>200</v>
      </c>
      <c r="X28" s="8">
        <v>902.76620857199077</v>
      </c>
      <c r="Y28" s="8">
        <v>13709119587</v>
      </c>
      <c r="Z28" s="5" t="s">
        <v>146</v>
      </c>
      <c r="AA28" s="8">
        <v>80</v>
      </c>
    </row>
    <row r="29" spans="1:27">
      <c r="A29" s="8">
        <v>1608601</v>
      </c>
      <c r="B29" s="8" t="s">
        <v>98</v>
      </c>
      <c r="C29" s="8">
        <v>0.41</v>
      </c>
      <c r="D29" s="13">
        <v>3.43</v>
      </c>
      <c r="F29" s="5" t="s">
        <v>173</v>
      </c>
      <c r="G29" s="8">
        <v>45</v>
      </c>
      <c r="H29" s="10">
        <v>176.1</v>
      </c>
      <c r="I29" s="10">
        <v>1.7609999999999999</v>
      </c>
      <c r="J29" s="10">
        <v>66.8</v>
      </c>
      <c r="K29" s="8">
        <f t="shared" si="0"/>
        <v>21.540597738688689</v>
      </c>
      <c r="L29" s="11">
        <v>0.3669</v>
      </c>
      <c r="M29" s="11">
        <v>3.2199999999999999E-2</v>
      </c>
      <c r="N29" s="11">
        <v>0.60409999999999997</v>
      </c>
      <c r="O29" s="8">
        <v>4758.7280803188996</v>
      </c>
      <c r="T29" s="8">
        <v>45.8</v>
      </c>
      <c r="U29" s="8">
        <v>36.1</v>
      </c>
      <c r="V29" s="8">
        <f t="shared" si="1"/>
        <v>1127.220082517541</v>
      </c>
      <c r="W29" s="8">
        <v>50</v>
      </c>
      <c r="X29" s="8">
        <v>727.22008251754096</v>
      </c>
      <c r="Y29" s="8">
        <v>13119392527</v>
      </c>
      <c r="Z29" s="5" t="s">
        <v>147</v>
      </c>
      <c r="AA29" s="8">
        <v>155</v>
      </c>
    </row>
    <row r="30" spans="1:27">
      <c r="A30" s="8">
        <v>1615565</v>
      </c>
      <c r="B30" s="8" t="s">
        <v>106</v>
      </c>
      <c r="C30" s="5">
        <v>1.36</v>
      </c>
      <c r="D30" s="14">
        <v>5.44</v>
      </c>
      <c r="F30" s="5" t="s">
        <v>173</v>
      </c>
      <c r="G30" s="8">
        <v>50</v>
      </c>
      <c r="H30" s="10">
        <v>184.6</v>
      </c>
      <c r="I30" s="10">
        <v>1.8459999999999999</v>
      </c>
      <c r="J30" s="10">
        <v>75.7</v>
      </c>
      <c r="K30" s="8">
        <f t="shared" si="0"/>
        <v>22.214292505596127</v>
      </c>
      <c r="L30" s="11">
        <v>0.3669</v>
      </c>
      <c r="M30" s="11">
        <v>3.2199999999999999E-2</v>
      </c>
      <c r="N30" s="11">
        <v>0.60409999999999997</v>
      </c>
      <c r="O30" s="8">
        <v>5349.6771867383995</v>
      </c>
      <c r="T30" s="8">
        <v>46.7</v>
      </c>
      <c r="U30" s="8">
        <v>39.299999999999997</v>
      </c>
      <c r="V30" s="8">
        <f t="shared" si="1"/>
        <v>920.64212050846947</v>
      </c>
      <c r="W30" s="8">
        <v>200</v>
      </c>
      <c r="X30" s="8">
        <v>720.64212050846947</v>
      </c>
      <c r="Y30" s="8">
        <v>13689156022</v>
      </c>
      <c r="Z30" s="5" t="s">
        <v>147</v>
      </c>
      <c r="AA30" s="8">
        <v>90</v>
      </c>
    </row>
    <row r="31" spans="1:27">
      <c r="A31" s="8">
        <v>1617399</v>
      </c>
      <c r="B31" s="8" t="s">
        <v>121</v>
      </c>
      <c r="C31" s="5">
        <v>1.68</v>
      </c>
      <c r="D31" s="6">
        <v>2.2000000000000002</v>
      </c>
      <c r="F31" s="5" t="s">
        <v>173</v>
      </c>
      <c r="G31" s="8">
        <v>60</v>
      </c>
      <c r="H31" s="10">
        <v>165.8</v>
      </c>
      <c r="I31" s="10">
        <v>1.6580000000000001</v>
      </c>
      <c r="J31" s="10">
        <v>64.7</v>
      </c>
      <c r="K31" s="8">
        <f t="shared" si="0"/>
        <v>23.536139432891808</v>
      </c>
      <c r="L31" s="11">
        <v>0.3669</v>
      </c>
      <c r="M31" s="11">
        <v>3.2199999999999999E-2</v>
      </c>
      <c r="N31" s="11">
        <v>0.60409999999999997</v>
      </c>
      <c r="O31" s="8">
        <v>4359.6903302728006</v>
      </c>
      <c r="P31" s="15"/>
      <c r="Q31" s="15"/>
      <c r="R31" s="15"/>
      <c r="S31" s="15"/>
      <c r="T31" s="8">
        <v>42.6</v>
      </c>
      <c r="U31" s="8">
        <v>35.700000000000003</v>
      </c>
      <c r="V31" s="8">
        <f t="shared" si="1"/>
        <v>768.37454096761974</v>
      </c>
      <c r="W31" s="8">
        <v>200</v>
      </c>
      <c r="X31" s="8">
        <v>568.37454096761974</v>
      </c>
      <c r="Y31" s="8">
        <v>13572588844</v>
      </c>
      <c r="Z31" s="5" t="s">
        <v>147</v>
      </c>
      <c r="AA31" s="8">
        <v>100</v>
      </c>
    </row>
    <row r="32" spans="1:27">
      <c r="A32" s="8">
        <v>1621899</v>
      </c>
      <c r="B32" s="8" t="s">
        <v>122</v>
      </c>
      <c r="C32" s="5">
        <v>1.02</v>
      </c>
      <c r="D32" s="6">
        <v>2.02</v>
      </c>
      <c r="F32" s="5" t="s">
        <v>173</v>
      </c>
      <c r="G32" s="8">
        <v>28</v>
      </c>
      <c r="H32" s="10">
        <v>161.9</v>
      </c>
      <c r="I32" s="10">
        <v>1.619</v>
      </c>
      <c r="J32" s="10">
        <v>61.8</v>
      </c>
      <c r="K32" s="8">
        <f t="shared" si="0"/>
        <v>23.577338438958918</v>
      </c>
      <c r="L32" s="11">
        <v>0.3669</v>
      </c>
      <c r="M32" s="11">
        <v>3.2199999999999999E-2</v>
      </c>
      <c r="N32" s="11">
        <v>0.60409999999999997</v>
      </c>
      <c r="O32" s="8">
        <v>4151.0587288871002</v>
      </c>
      <c r="T32" s="8">
        <v>42.4</v>
      </c>
      <c r="U32" s="8">
        <v>40.5</v>
      </c>
      <c r="V32" s="8">
        <f t="shared" si="1"/>
        <v>190.27772219265341</v>
      </c>
      <c r="W32" s="8">
        <v>100</v>
      </c>
      <c r="X32" s="8">
        <v>90.277722192653414</v>
      </c>
      <c r="Y32" s="8">
        <v>15228711044</v>
      </c>
      <c r="Z32" s="5" t="s">
        <v>147</v>
      </c>
      <c r="AA32" s="8">
        <v>50</v>
      </c>
    </row>
    <row r="33" spans="1:27">
      <c r="A33" s="8">
        <v>1632782</v>
      </c>
      <c r="B33" s="8" t="s">
        <v>123</v>
      </c>
      <c r="C33" s="5">
        <v>1.37</v>
      </c>
      <c r="D33" s="14">
        <v>4.3899999999999997</v>
      </c>
      <c r="F33" s="5" t="s">
        <v>173</v>
      </c>
      <c r="G33" s="8">
        <v>30</v>
      </c>
      <c r="H33" s="10">
        <v>181.7</v>
      </c>
      <c r="I33" s="10">
        <v>1.8169999999999999</v>
      </c>
      <c r="J33" s="10">
        <v>67.900000000000006</v>
      </c>
      <c r="K33" s="8">
        <f t="shared" si="0"/>
        <v>20.566477731714389</v>
      </c>
      <c r="L33" s="11">
        <v>0.3669</v>
      </c>
      <c r="M33" s="11">
        <v>3.2199999999999999E-2</v>
      </c>
      <c r="N33" s="11">
        <v>0.60409999999999997</v>
      </c>
      <c r="O33" s="8">
        <v>5313.4417427197004</v>
      </c>
      <c r="T33" s="8">
        <v>47</v>
      </c>
      <c r="U33" s="8">
        <v>42.6</v>
      </c>
      <c r="V33" s="8">
        <f t="shared" si="1"/>
        <v>521.85588544568475</v>
      </c>
      <c r="W33" s="8">
        <v>100</v>
      </c>
      <c r="X33" s="8">
        <v>421.85588544568475</v>
      </c>
      <c r="Y33" s="8">
        <v>18717332343</v>
      </c>
      <c r="Z33" s="5" t="s">
        <v>147</v>
      </c>
      <c r="AA33" s="8">
        <v>130</v>
      </c>
    </row>
    <row r="34" spans="1:27">
      <c r="A34" s="8">
        <v>1627285</v>
      </c>
      <c r="B34" s="5" t="s">
        <v>151</v>
      </c>
      <c r="C34" s="5">
        <v>2.2400000000000002</v>
      </c>
      <c r="D34" s="6">
        <v>3</v>
      </c>
      <c r="E34" s="5"/>
      <c r="F34" s="5" t="s">
        <v>173</v>
      </c>
      <c r="G34" s="8">
        <v>58</v>
      </c>
      <c r="H34" s="10">
        <v>175.5</v>
      </c>
      <c r="I34" s="10">
        <v>1.7549999999999999</v>
      </c>
      <c r="J34" s="10">
        <v>65.5</v>
      </c>
      <c r="K34" s="8">
        <f t="shared" ref="K34:K62" si="2">J34/I34/I34</f>
        <v>21.266061152101042</v>
      </c>
      <c r="L34" s="11">
        <v>0.3669</v>
      </c>
      <c r="M34" s="11">
        <v>3.2199999999999999E-2</v>
      </c>
      <c r="N34" s="11">
        <v>0.60409999999999997</v>
      </c>
      <c r="O34" s="8">
        <v>5018.4573577374986</v>
      </c>
      <c r="T34" s="8">
        <v>45.1</v>
      </c>
      <c r="U34" s="8">
        <v>39.700000000000003</v>
      </c>
      <c r="V34" s="8">
        <f t="shared" si="1"/>
        <v>639.14315405147363</v>
      </c>
      <c r="W34" s="8">
        <v>50</v>
      </c>
      <c r="X34" s="8">
        <v>966.63938027906556</v>
      </c>
      <c r="Y34" s="8">
        <v>15091184212</v>
      </c>
      <c r="Z34" s="5" t="s">
        <v>147</v>
      </c>
      <c r="AA34" s="8">
        <v>160</v>
      </c>
    </row>
    <row r="35" spans="1:27">
      <c r="A35" s="8">
        <v>1609126</v>
      </c>
      <c r="B35" s="8" t="s">
        <v>130</v>
      </c>
      <c r="C35" s="5">
        <v>2.12</v>
      </c>
      <c r="D35" s="14">
        <v>3.13</v>
      </c>
      <c r="F35" s="5" t="s">
        <v>173</v>
      </c>
      <c r="G35" s="8">
        <v>26</v>
      </c>
      <c r="H35" s="10">
        <v>168</v>
      </c>
      <c r="I35" s="10">
        <v>1.68</v>
      </c>
      <c r="J35" s="10">
        <v>59.3</v>
      </c>
      <c r="K35" s="8">
        <f t="shared" si="2"/>
        <v>21.010487528344669</v>
      </c>
      <c r="L35" s="11">
        <v>0.3669</v>
      </c>
      <c r="M35" s="11">
        <v>3.2199999999999999E-2</v>
      </c>
      <c r="N35" s="11">
        <v>0.60409999999999997</v>
      </c>
      <c r="O35" s="8">
        <v>4607.4647807999991</v>
      </c>
      <c r="T35" s="8">
        <v>42</v>
      </c>
      <c r="U35" s="8">
        <v>36.5</v>
      </c>
      <c r="V35" s="8">
        <f t="shared" si="1"/>
        <v>645.63200750063675</v>
      </c>
      <c r="W35" s="8">
        <v>200</v>
      </c>
      <c r="X35" s="8">
        <v>1059.415271612449</v>
      </c>
      <c r="Y35" s="8">
        <v>15909252681</v>
      </c>
      <c r="Z35" s="5" t="s">
        <v>147</v>
      </c>
      <c r="AA35" s="8">
        <v>120</v>
      </c>
    </row>
    <row r="36" spans="1:27">
      <c r="A36" s="8">
        <v>1613500</v>
      </c>
      <c r="B36" s="8" t="s">
        <v>139</v>
      </c>
      <c r="C36" s="5">
        <v>0.92</v>
      </c>
      <c r="D36" s="9">
        <v>3.3</v>
      </c>
      <c r="F36" s="5" t="s">
        <v>173</v>
      </c>
      <c r="G36" s="8">
        <v>53</v>
      </c>
      <c r="H36" s="10">
        <v>171.4</v>
      </c>
      <c r="I36" s="10">
        <v>1.714</v>
      </c>
      <c r="J36" s="10">
        <v>55.2</v>
      </c>
      <c r="K36" s="8">
        <f t="shared" si="2"/>
        <v>18.789596010070134</v>
      </c>
      <c r="L36" s="11">
        <v>0.3669</v>
      </c>
      <c r="M36" s="11">
        <v>3.2199999999999999E-2</v>
      </c>
      <c r="N36" s="11">
        <v>0.60409999999999997</v>
      </c>
      <c r="O36" s="8">
        <v>5001.8217820135997</v>
      </c>
      <c r="T36" s="8">
        <v>41.3</v>
      </c>
      <c r="U36" s="8">
        <v>36.6</v>
      </c>
      <c r="V36" s="8">
        <f t="shared" si="1"/>
        <v>603.55744224554292</v>
      </c>
      <c r="W36" s="8">
        <v>50</v>
      </c>
      <c r="X36" s="8">
        <v>303.55744224554292</v>
      </c>
      <c r="Y36" s="8">
        <v>13679259384</v>
      </c>
      <c r="Z36" s="5" t="s">
        <v>147</v>
      </c>
      <c r="AA36" s="8">
        <v>120</v>
      </c>
    </row>
    <row r="37" spans="1:27">
      <c r="A37" s="8">
        <v>1639532</v>
      </c>
      <c r="B37" s="8" t="s">
        <v>141</v>
      </c>
      <c r="C37" s="5">
        <v>0.62</v>
      </c>
      <c r="D37" s="9" t="s">
        <v>91</v>
      </c>
      <c r="F37" s="5" t="s">
        <v>173</v>
      </c>
      <c r="G37" s="8">
        <v>38</v>
      </c>
      <c r="H37" s="10">
        <v>156.19999999999999</v>
      </c>
      <c r="I37" s="10">
        <v>1.5619999999999998</v>
      </c>
      <c r="J37" s="10">
        <v>49.2</v>
      </c>
      <c r="K37" s="8">
        <f t="shared" si="2"/>
        <v>20.165223678235172</v>
      </c>
      <c r="L37" s="11">
        <v>0.3669</v>
      </c>
      <c r="M37" s="11">
        <v>3.2199999999999999E-2</v>
      </c>
      <c r="N37" s="11">
        <v>0.60409999999999997</v>
      </c>
      <c r="O37" s="8">
        <v>4230.6092287432002</v>
      </c>
      <c r="T37" s="8">
        <v>48.7</v>
      </c>
      <c r="U37" s="8">
        <v>43.5</v>
      </c>
      <c r="V37" s="8">
        <f t="shared" si="1"/>
        <v>477.20537938101205</v>
      </c>
      <c r="W37" s="8">
        <v>100</v>
      </c>
      <c r="X37" s="8">
        <v>377.20537938101205</v>
      </c>
      <c r="Y37" s="8">
        <v>18702911156</v>
      </c>
      <c r="Z37" s="5" t="s">
        <v>147</v>
      </c>
      <c r="AA37" s="8">
        <v>140</v>
      </c>
    </row>
    <row r="38" spans="1:27">
      <c r="A38" s="8">
        <v>1620246</v>
      </c>
      <c r="B38" s="8" t="s">
        <v>144</v>
      </c>
      <c r="C38" s="5">
        <v>1.46</v>
      </c>
      <c r="D38" s="9">
        <v>3.31</v>
      </c>
      <c r="F38" s="5" t="s">
        <v>173</v>
      </c>
      <c r="G38" s="8">
        <v>59</v>
      </c>
      <c r="H38" s="10">
        <v>155.1</v>
      </c>
      <c r="I38" s="10">
        <v>1.5509999999999999</v>
      </c>
      <c r="J38" s="10">
        <v>52.2</v>
      </c>
      <c r="K38" s="8">
        <f t="shared" si="2"/>
        <v>21.699359120652179</v>
      </c>
      <c r="L38" s="11">
        <v>0.3669</v>
      </c>
      <c r="M38" s="11">
        <v>3.2199999999999999E-2</v>
      </c>
      <c r="N38" s="11">
        <v>0.60409999999999997</v>
      </c>
      <c r="O38" s="8">
        <v>4297.8758757018995</v>
      </c>
      <c r="T38" s="8">
        <v>43.9</v>
      </c>
      <c r="U38" s="8">
        <v>39.299999999999997</v>
      </c>
      <c r="V38" s="8">
        <f t="shared" si="1"/>
        <v>475.24589010165255</v>
      </c>
      <c r="W38" s="8">
        <v>200</v>
      </c>
      <c r="X38" s="8">
        <v>275.24589010165255</v>
      </c>
      <c r="Y38" s="8">
        <v>18629156703</v>
      </c>
      <c r="Z38" s="5" t="s">
        <v>147</v>
      </c>
      <c r="AA38" s="8">
        <v>60</v>
      </c>
    </row>
    <row r="39" spans="1:27">
      <c r="A39" s="8">
        <v>1605431</v>
      </c>
      <c r="B39" s="8" t="s">
        <v>63</v>
      </c>
      <c r="C39" s="5">
        <v>1.22</v>
      </c>
      <c r="D39" s="14">
        <v>4.78</v>
      </c>
      <c r="F39" s="5" t="s">
        <v>174</v>
      </c>
      <c r="G39" s="8">
        <v>51</v>
      </c>
      <c r="H39" s="10">
        <v>156.6</v>
      </c>
      <c r="I39" s="10">
        <v>1.5659999999999998</v>
      </c>
      <c r="J39" s="10">
        <v>52</v>
      </c>
      <c r="K39" s="8">
        <f t="shared" si="2"/>
        <v>21.204099241708793</v>
      </c>
      <c r="P39" s="11">
        <v>0.35610000000000003</v>
      </c>
      <c r="Q39" s="11">
        <v>3.3099999999999997E-2</v>
      </c>
      <c r="R39" s="11">
        <v>0.18329999999999999</v>
      </c>
      <c r="S39" s="8">
        <v>3272.0626995255993</v>
      </c>
      <c r="T39" s="8">
        <v>38.799999999999997</v>
      </c>
      <c r="U39" s="8">
        <v>33.5</v>
      </c>
      <c r="V39" s="8">
        <f t="shared" ref="V39:V62" si="3">2*S39*(T39-U39)/(T39+U39)</f>
        <v>479.72150228176116</v>
      </c>
      <c r="W39" s="8">
        <v>200</v>
      </c>
      <c r="X39" s="8">
        <v>279.72150228176116</v>
      </c>
      <c r="Y39" s="8">
        <v>13892817018</v>
      </c>
      <c r="Z39" s="5" t="s">
        <v>145</v>
      </c>
      <c r="AA39" s="8">
        <v>85</v>
      </c>
    </row>
    <row r="40" spans="1:27">
      <c r="A40" s="8">
        <v>1603476</v>
      </c>
      <c r="B40" s="8" t="s">
        <v>61</v>
      </c>
      <c r="C40" s="5">
        <v>1.41</v>
      </c>
      <c r="D40" s="6">
        <v>1.98</v>
      </c>
      <c r="F40" s="5" t="s">
        <v>174</v>
      </c>
      <c r="G40" s="8">
        <v>54</v>
      </c>
      <c r="H40" s="10">
        <v>165.7</v>
      </c>
      <c r="I40" s="10">
        <v>1.6569999999999998</v>
      </c>
      <c r="J40" s="10">
        <v>58.3</v>
      </c>
      <c r="K40" s="8">
        <f t="shared" si="2"/>
        <v>21.233595408590105</v>
      </c>
      <c r="P40" s="11">
        <v>0.35610000000000003</v>
      </c>
      <c r="Q40" s="11">
        <v>3.3099999999999997E-2</v>
      </c>
      <c r="R40" s="11">
        <v>0.18329999999999999</v>
      </c>
      <c r="S40" s="8">
        <v>3733.1213339472997</v>
      </c>
      <c r="T40" s="8">
        <v>38.6</v>
      </c>
      <c r="U40" s="8">
        <v>33.200000000000003</v>
      </c>
      <c r="V40" s="8">
        <f t="shared" si="3"/>
        <v>561.52800009235125</v>
      </c>
      <c r="W40" s="8">
        <v>100</v>
      </c>
      <c r="X40" s="8">
        <v>461.52800009235125</v>
      </c>
      <c r="Y40" s="8">
        <v>13609129703</v>
      </c>
      <c r="Z40" s="5" t="s">
        <v>145</v>
      </c>
      <c r="AA40" s="8">
        <v>140</v>
      </c>
    </row>
    <row r="41" spans="1:27">
      <c r="A41" s="8">
        <v>1616498</v>
      </c>
      <c r="B41" s="8" t="s">
        <v>64</v>
      </c>
      <c r="C41" s="5">
        <v>1.34</v>
      </c>
      <c r="D41" s="14">
        <v>4.4400000000000004</v>
      </c>
      <c r="F41" s="5" t="s">
        <v>174</v>
      </c>
      <c r="G41" s="8">
        <v>41</v>
      </c>
      <c r="H41" s="10">
        <v>161.9</v>
      </c>
      <c r="I41" s="10">
        <v>1.619</v>
      </c>
      <c r="J41" s="10">
        <v>55.7</v>
      </c>
      <c r="K41" s="8">
        <f t="shared" si="2"/>
        <v>21.250125421521229</v>
      </c>
      <c r="P41" s="11">
        <v>0.35610000000000003</v>
      </c>
      <c r="Q41" s="11">
        <v>3.3099999999999997E-2</v>
      </c>
      <c r="R41" s="11">
        <v>0.18329999999999999</v>
      </c>
      <c r="S41" s="8">
        <v>3538.1372045699</v>
      </c>
      <c r="T41" s="8">
        <v>41.1</v>
      </c>
      <c r="U41" s="8">
        <v>32.4</v>
      </c>
      <c r="V41" s="8">
        <f t="shared" si="3"/>
        <v>837.59982802062962</v>
      </c>
      <c r="W41" s="8">
        <v>200</v>
      </c>
      <c r="X41" s="8">
        <v>637.59982802062962</v>
      </c>
      <c r="Y41" s="8">
        <v>15991529099</v>
      </c>
      <c r="Z41" s="5" t="s">
        <v>145</v>
      </c>
      <c r="AA41" s="8">
        <v>130</v>
      </c>
    </row>
    <row r="42" spans="1:27">
      <c r="A42" s="8">
        <v>1617761</v>
      </c>
      <c r="B42" s="8" t="s">
        <v>101</v>
      </c>
      <c r="C42" s="5">
        <v>1.52</v>
      </c>
      <c r="D42" s="6">
        <v>3.43</v>
      </c>
      <c r="F42" s="5" t="s">
        <v>174</v>
      </c>
      <c r="G42" s="8">
        <v>48</v>
      </c>
      <c r="H42" s="10">
        <v>160.4</v>
      </c>
      <c r="I42" s="10">
        <v>1.6040000000000001</v>
      </c>
      <c r="J42" s="10">
        <v>56.2</v>
      </c>
      <c r="K42" s="8">
        <f t="shared" si="2"/>
        <v>21.843769628298332</v>
      </c>
      <c r="P42" s="11">
        <v>0.35610000000000003</v>
      </c>
      <c r="Q42" s="11">
        <v>3.3099999999999997E-2</v>
      </c>
      <c r="R42" s="11">
        <v>0.18329999999999999</v>
      </c>
      <c r="S42" s="8">
        <v>3513.0723632704007</v>
      </c>
      <c r="T42" s="8">
        <v>40.1</v>
      </c>
      <c r="U42" s="8">
        <v>34.299999999999997</v>
      </c>
      <c r="V42" s="8">
        <f t="shared" si="3"/>
        <v>547.73708889699833</v>
      </c>
      <c r="W42" s="8">
        <v>200</v>
      </c>
      <c r="X42" s="8">
        <v>347.73708889699833</v>
      </c>
      <c r="Y42" s="8">
        <v>13571024536</v>
      </c>
      <c r="Z42" s="5" t="s">
        <v>145</v>
      </c>
      <c r="AA42" s="8">
        <v>80</v>
      </c>
    </row>
    <row r="43" spans="1:27">
      <c r="A43" s="8">
        <v>1618338</v>
      </c>
      <c r="B43" s="8" t="s">
        <v>107</v>
      </c>
      <c r="C43" s="5">
        <v>1.27</v>
      </c>
      <c r="D43" s="14">
        <v>6.49</v>
      </c>
      <c r="F43" s="5" t="s">
        <v>174</v>
      </c>
      <c r="G43" s="8">
        <v>47</v>
      </c>
      <c r="H43" s="10">
        <v>163.9</v>
      </c>
      <c r="I43" s="10">
        <v>1.639</v>
      </c>
      <c r="J43" s="10">
        <v>59.8</v>
      </c>
      <c r="K43" s="8">
        <f t="shared" si="2"/>
        <v>22.260928608308536</v>
      </c>
      <c r="P43" s="11">
        <v>0.35610000000000003</v>
      </c>
      <c r="Q43" s="11">
        <v>3.3099999999999997E-2</v>
      </c>
      <c r="R43" s="11">
        <v>0.18329999999999999</v>
      </c>
      <c r="S43" s="8">
        <v>3730.5456103758997</v>
      </c>
      <c r="T43" s="8">
        <v>39.9</v>
      </c>
      <c r="U43" s="8">
        <v>34.700000000000003</v>
      </c>
      <c r="V43" s="8">
        <f t="shared" si="3"/>
        <v>520.0760636448972</v>
      </c>
      <c r="W43" s="8">
        <v>50</v>
      </c>
      <c r="X43" s="8">
        <v>470.0760636448972</v>
      </c>
      <c r="Y43" s="8">
        <v>18628582349</v>
      </c>
      <c r="Z43" s="5" t="s">
        <v>145</v>
      </c>
      <c r="AA43" s="8">
        <v>50</v>
      </c>
    </row>
    <row r="44" spans="1:27">
      <c r="A44" s="8">
        <v>1618338</v>
      </c>
      <c r="B44" s="5" t="s">
        <v>177</v>
      </c>
      <c r="C44" s="5">
        <v>1.26</v>
      </c>
      <c r="D44" s="6">
        <v>2.86</v>
      </c>
      <c r="F44" s="5" t="s">
        <v>174</v>
      </c>
      <c r="G44" s="8">
        <v>47</v>
      </c>
      <c r="H44" s="10">
        <v>161.1</v>
      </c>
      <c r="I44" s="10">
        <v>1.611</v>
      </c>
      <c r="J44" s="10">
        <v>58</v>
      </c>
      <c r="K44" s="8">
        <f t="shared" si="2"/>
        <v>22.347909950252781</v>
      </c>
      <c r="P44" s="11">
        <v>0.35610000000000003</v>
      </c>
      <c r="Q44" s="11">
        <v>3.3099999999999997E-2</v>
      </c>
      <c r="R44" s="11">
        <v>0.18329999999999999</v>
      </c>
      <c r="S44" s="8">
        <v>3591.9762248491002</v>
      </c>
      <c r="T44" s="8">
        <v>39.9</v>
      </c>
      <c r="U44" s="8">
        <v>34.700000000000003</v>
      </c>
      <c r="V44" s="8">
        <f t="shared" si="3"/>
        <v>500.75807960362755</v>
      </c>
      <c r="W44" s="8">
        <v>50</v>
      </c>
      <c r="X44" s="8">
        <v>450.75807960362755</v>
      </c>
      <c r="Y44" s="8">
        <v>18628582349</v>
      </c>
      <c r="Z44" s="5" t="s">
        <v>145</v>
      </c>
      <c r="AA44" s="8">
        <v>50</v>
      </c>
    </row>
    <row r="45" spans="1:27">
      <c r="A45" s="8">
        <v>1635855</v>
      </c>
      <c r="B45" s="8" t="s">
        <v>118</v>
      </c>
      <c r="C45" s="5">
        <v>0.87</v>
      </c>
      <c r="D45" s="14">
        <v>3.23</v>
      </c>
      <c r="F45" s="5" t="s">
        <v>174</v>
      </c>
      <c r="G45" s="8">
        <v>52</v>
      </c>
      <c r="H45" s="10">
        <v>155.5</v>
      </c>
      <c r="I45" s="10">
        <v>1.5549999999999999</v>
      </c>
      <c r="J45" s="10">
        <v>56.400000000000006</v>
      </c>
      <c r="K45" s="8">
        <f t="shared" si="2"/>
        <v>23.324820876541811</v>
      </c>
      <c r="P45" s="11">
        <v>0.35610000000000003</v>
      </c>
      <c r="Q45" s="11">
        <v>3.3099999999999997E-2</v>
      </c>
      <c r="R45" s="11">
        <v>0.18329999999999999</v>
      </c>
      <c r="S45" s="8">
        <v>3389.0862823875</v>
      </c>
      <c r="T45" s="8">
        <v>39.200000000000003</v>
      </c>
      <c r="U45" s="8">
        <v>31.6</v>
      </c>
      <c r="V45" s="8">
        <f t="shared" si="3"/>
        <v>727.60044480635599</v>
      </c>
      <c r="W45" s="8">
        <v>200</v>
      </c>
      <c r="X45" s="8">
        <v>527.60044480635599</v>
      </c>
      <c r="Y45" s="8">
        <v>14760922102</v>
      </c>
      <c r="Z45" s="5" t="s">
        <v>145</v>
      </c>
      <c r="AA45" s="8">
        <v>80</v>
      </c>
    </row>
    <row r="46" spans="1:27">
      <c r="A46" s="8">
        <v>1617738</v>
      </c>
      <c r="B46" s="8" t="s">
        <v>127</v>
      </c>
      <c r="C46" s="8">
        <v>4.25</v>
      </c>
      <c r="D46" s="14">
        <v>7.9</v>
      </c>
      <c r="F46" s="5" t="s">
        <v>174</v>
      </c>
      <c r="G46" s="8">
        <v>59</v>
      </c>
      <c r="H46" s="10">
        <v>161.19999999999999</v>
      </c>
      <c r="I46" s="10">
        <v>1.6119999999999999</v>
      </c>
      <c r="J46" s="10">
        <v>64</v>
      </c>
      <c r="K46" s="8">
        <f t="shared" si="2"/>
        <v>24.629176954479128</v>
      </c>
      <c r="P46" s="11">
        <v>0.35610000000000003</v>
      </c>
      <c r="Q46" s="11">
        <v>3.3099999999999997E-2</v>
      </c>
      <c r="R46" s="11">
        <v>0.18329999999999999</v>
      </c>
      <c r="S46" s="8">
        <v>3793.3505276607998</v>
      </c>
      <c r="T46" s="8">
        <v>40.9</v>
      </c>
      <c r="U46" s="8">
        <v>33</v>
      </c>
      <c r="V46" s="8">
        <f t="shared" si="3"/>
        <v>811.02758236861462</v>
      </c>
      <c r="W46" s="8">
        <v>50</v>
      </c>
      <c r="X46" s="8">
        <v>611.02758236861462</v>
      </c>
      <c r="Y46" s="8">
        <v>13892262047</v>
      </c>
      <c r="Z46" s="5" t="s">
        <v>145</v>
      </c>
      <c r="AA46" s="8">
        <v>120</v>
      </c>
    </row>
    <row r="47" spans="1:27">
      <c r="A47" s="8">
        <v>1626470</v>
      </c>
      <c r="B47" s="8" t="s">
        <v>128</v>
      </c>
      <c r="C47" s="5">
        <v>1.35</v>
      </c>
      <c r="D47" s="14">
        <v>3.2</v>
      </c>
      <c r="F47" s="5" t="s">
        <v>174</v>
      </c>
      <c r="G47" s="8">
        <v>50</v>
      </c>
      <c r="H47" s="10">
        <v>166</v>
      </c>
      <c r="I47" s="10">
        <v>1.66</v>
      </c>
      <c r="J47" s="10">
        <v>67.900000000000006</v>
      </c>
      <c r="K47" s="8">
        <f t="shared" si="2"/>
        <v>24.640731601103212</v>
      </c>
      <c r="P47" s="11">
        <v>0.35610000000000003</v>
      </c>
      <c r="Q47" s="11">
        <v>3.3099999999999997E-2</v>
      </c>
      <c r="R47" s="11">
        <v>0.18329999999999999</v>
      </c>
      <c r="S47" s="8">
        <v>4059.6968055999996</v>
      </c>
      <c r="T47" s="8">
        <v>44.7</v>
      </c>
      <c r="U47" s="8">
        <v>39.799999999999997</v>
      </c>
      <c r="V47" s="8">
        <f t="shared" si="3"/>
        <v>470.8287419512431</v>
      </c>
      <c r="W47" s="8">
        <v>200</v>
      </c>
      <c r="X47" s="8">
        <v>270.8287419512431</v>
      </c>
      <c r="Y47" s="8">
        <v>15091626731</v>
      </c>
      <c r="Z47" s="5" t="s">
        <v>145</v>
      </c>
      <c r="AA47" s="8">
        <v>90</v>
      </c>
    </row>
    <row r="48" spans="1:27">
      <c r="A48" s="8">
        <v>1600694</v>
      </c>
      <c r="B48" s="8" t="s">
        <v>129</v>
      </c>
      <c r="C48" s="5">
        <v>1.43</v>
      </c>
      <c r="D48" s="6">
        <v>2.74</v>
      </c>
      <c r="F48" s="5" t="s">
        <v>174</v>
      </c>
      <c r="G48" s="8">
        <v>48</v>
      </c>
      <c r="H48" s="10">
        <v>158.1</v>
      </c>
      <c r="I48" s="10">
        <v>1.581</v>
      </c>
      <c r="J48" s="10">
        <v>61.599999999999994</v>
      </c>
      <c r="K48" s="8">
        <f t="shared" si="2"/>
        <v>24.644327543916713</v>
      </c>
      <c r="P48" s="11">
        <v>0.35610000000000003</v>
      </c>
      <c r="Q48" s="11">
        <v>3.3099999999999997E-2</v>
      </c>
      <c r="R48" s="11">
        <v>0.18329999999999999</v>
      </c>
      <c r="S48" s="8">
        <v>3629.4980955900992</v>
      </c>
      <c r="T48" s="8">
        <v>33.1</v>
      </c>
      <c r="U48" s="8">
        <v>29.7</v>
      </c>
      <c r="V48" s="8">
        <f t="shared" si="3"/>
        <v>393.00297850338683</v>
      </c>
      <c r="W48" s="8">
        <v>200</v>
      </c>
      <c r="X48" s="8">
        <v>193.00297850338683</v>
      </c>
      <c r="Y48" s="8">
        <v>15082810902</v>
      </c>
      <c r="Z48" s="5" t="s">
        <v>145</v>
      </c>
      <c r="AA48" s="8">
        <v>120</v>
      </c>
    </row>
    <row r="49" spans="1:27">
      <c r="A49" s="8">
        <v>1638996</v>
      </c>
      <c r="B49" s="8" t="s">
        <v>133</v>
      </c>
      <c r="C49" s="5">
        <v>3.75</v>
      </c>
      <c r="D49" s="6">
        <v>2.78</v>
      </c>
      <c r="F49" s="5" t="s">
        <v>174</v>
      </c>
      <c r="G49" s="8">
        <v>50</v>
      </c>
      <c r="H49" s="10">
        <v>162</v>
      </c>
      <c r="I49" s="10">
        <v>1.62</v>
      </c>
      <c r="J49" s="10">
        <v>67.900000000000006</v>
      </c>
      <c r="K49" s="8">
        <f t="shared" si="2"/>
        <v>25.872580399329369</v>
      </c>
      <c r="P49" s="11">
        <v>0.35610000000000003</v>
      </c>
      <c r="Q49" s="11">
        <v>3.3099999999999997E-2</v>
      </c>
      <c r="R49" s="11">
        <v>0.18329999999999999</v>
      </c>
      <c r="S49" s="8">
        <v>3944.7591208000003</v>
      </c>
      <c r="T49" s="8">
        <v>36.700000000000003</v>
      </c>
      <c r="U49" s="8">
        <v>31.2</v>
      </c>
      <c r="V49" s="8">
        <f t="shared" si="3"/>
        <v>639.06259688954378</v>
      </c>
      <c r="W49" s="8">
        <v>200</v>
      </c>
      <c r="X49" s="8">
        <v>439.06259688954378</v>
      </c>
      <c r="Y49" s="8">
        <v>13629274102</v>
      </c>
      <c r="Z49" s="5" t="s">
        <v>145</v>
      </c>
      <c r="AA49" s="8">
        <v>150</v>
      </c>
    </row>
    <row r="50" spans="1:27">
      <c r="A50" s="8">
        <v>1637814</v>
      </c>
      <c r="B50" s="8" t="s">
        <v>108</v>
      </c>
      <c r="C50" s="5">
        <v>1.87</v>
      </c>
      <c r="D50" s="14">
        <v>4.83</v>
      </c>
      <c r="F50" s="5" t="s">
        <v>174</v>
      </c>
      <c r="G50" s="8">
        <v>58</v>
      </c>
      <c r="H50" s="10">
        <v>159.19999999999999</v>
      </c>
      <c r="I50" s="10">
        <v>1.5919999999999999</v>
      </c>
      <c r="J50" s="10">
        <v>56.5</v>
      </c>
      <c r="K50" s="8">
        <f t="shared" si="2"/>
        <v>22.292682002979724</v>
      </c>
      <c r="P50" s="11">
        <v>0.35610000000000003</v>
      </c>
      <c r="Q50" s="11">
        <v>3.3099999999999997E-2</v>
      </c>
      <c r="R50" s="11">
        <v>0.18329999999999999</v>
      </c>
      <c r="S50" s="8">
        <v>3490.2660275967996</v>
      </c>
      <c r="T50" s="8">
        <v>41.9</v>
      </c>
      <c r="U50" s="8">
        <v>36.1</v>
      </c>
      <c r="V50" s="8">
        <f t="shared" si="3"/>
        <v>519.06520410413918</v>
      </c>
      <c r="W50" s="8">
        <v>50</v>
      </c>
      <c r="X50" s="8">
        <v>469.06520410413918</v>
      </c>
      <c r="Y50" s="8">
        <v>13759940220</v>
      </c>
      <c r="Z50" s="5" t="s">
        <v>150</v>
      </c>
      <c r="AA50" s="8">
        <v>60</v>
      </c>
    </row>
    <row r="51" spans="1:27">
      <c r="A51" s="8">
        <v>1621291</v>
      </c>
      <c r="B51" s="8" t="s">
        <v>117</v>
      </c>
      <c r="C51" s="5">
        <v>0.62</v>
      </c>
      <c r="D51" s="6">
        <v>6</v>
      </c>
      <c r="F51" s="5" t="s">
        <v>174</v>
      </c>
      <c r="G51" s="8">
        <v>42</v>
      </c>
      <c r="H51" s="10">
        <v>158.1</v>
      </c>
      <c r="I51" s="10">
        <v>1.581</v>
      </c>
      <c r="J51" s="10">
        <v>58.3</v>
      </c>
      <c r="K51" s="8">
        <f t="shared" si="2"/>
        <v>23.324095711206887</v>
      </c>
      <c r="P51" s="11">
        <v>0.35610000000000003</v>
      </c>
      <c r="Q51" s="11">
        <v>3.3099999999999997E-2</v>
      </c>
      <c r="R51" s="11">
        <v>0.18329999999999999</v>
      </c>
      <c r="S51" s="8">
        <v>3520.2680955901001</v>
      </c>
      <c r="T51" s="8">
        <v>34.700000000000003</v>
      </c>
      <c r="U51" s="8">
        <v>27.9</v>
      </c>
      <c r="V51" s="8">
        <f t="shared" si="3"/>
        <v>764.78667891414364</v>
      </c>
      <c r="W51" s="8">
        <v>200</v>
      </c>
      <c r="X51" s="8">
        <v>564.78667891414364</v>
      </c>
      <c r="Y51" s="8">
        <v>13689109525</v>
      </c>
      <c r="Z51" s="5" t="s">
        <v>148</v>
      </c>
      <c r="AA51" s="8">
        <v>130</v>
      </c>
    </row>
    <row r="52" spans="1:27">
      <c r="A52" s="8">
        <v>1611280</v>
      </c>
      <c r="B52" s="8" t="s">
        <v>65</v>
      </c>
      <c r="C52" s="5">
        <v>6.29</v>
      </c>
      <c r="D52" s="6">
        <v>7.2</v>
      </c>
      <c r="F52" s="5" t="s">
        <v>174</v>
      </c>
      <c r="G52" s="8">
        <v>46</v>
      </c>
      <c r="H52" s="10">
        <v>158.80000000000001</v>
      </c>
      <c r="I52" s="10">
        <v>1.5880000000000001</v>
      </c>
      <c r="J52" s="10">
        <v>53.3</v>
      </c>
      <c r="K52" s="8">
        <f t="shared" si="2"/>
        <v>21.136166081886184</v>
      </c>
      <c r="P52" s="11">
        <v>0.35610000000000003</v>
      </c>
      <c r="Q52" s="11">
        <v>3.3099999999999997E-2</v>
      </c>
      <c r="R52" s="11">
        <v>0.18329999999999999</v>
      </c>
      <c r="S52" s="8">
        <v>3373.5429449792005</v>
      </c>
      <c r="T52" s="8">
        <v>38.299999999999997</v>
      </c>
      <c r="U52" s="8">
        <v>33.5</v>
      </c>
      <c r="V52" s="8">
        <f t="shared" si="3"/>
        <v>451.05866673816581</v>
      </c>
      <c r="W52" s="8">
        <v>200</v>
      </c>
      <c r="X52" s="8">
        <v>251.05866673816581</v>
      </c>
      <c r="Y52" s="8">
        <v>18717328285</v>
      </c>
      <c r="Z52" s="5" t="s">
        <v>147</v>
      </c>
      <c r="AA52" s="8">
        <v>120</v>
      </c>
    </row>
    <row r="53" spans="1:27">
      <c r="A53" s="8">
        <v>1632328</v>
      </c>
      <c r="B53" s="8" t="s">
        <v>99</v>
      </c>
      <c r="C53" s="5">
        <v>3.49</v>
      </c>
      <c r="D53" s="9">
        <v>5.84</v>
      </c>
      <c r="F53" s="5" t="s">
        <v>174</v>
      </c>
      <c r="G53" s="8">
        <v>57</v>
      </c>
      <c r="H53" s="10">
        <v>156.5</v>
      </c>
      <c r="I53" s="10">
        <v>1.5649999999999999</v>
      </c>
      <c r="J53" s="10">
        <v>53</v>
      </c>
      <c r="K53" s="8">
        <f t="shared" si="2"/>
        <v>21.63949820861701</v>
      </c>
      <c r="P53" s="11">
        <v>0.35610000000000003</v>
      </c>
      <c r="Q53" s="11">
        <v>3.3099999999999997E-2</v>
      </c>
      <c r="R53" s="11">
        <v>0.18329999999999999</v>
      </c>
      <c r="S53" s="8">
        <v>3302.5445202124997</v>
      </c>
      <c r="T53" s="8">
        <v>40.4</v>
      </c>
      <c r="U53" s="8">
        <v>35.5</v>
      </c>
      <c r="V53" s="8">
        <f t="shared" si="3"/>
        <v>426.41549799845171</v>
      </c>
      <c r="W53" s="8">
        <v>100</v>
      </c>
      <c r="X53" s="8">
        <v>326.41549799845171</v>
      </c>
      <c r="Y53" s="8">
        <v>15389237623</v>
      </c>
      <c r="Z53" s="5" t="s">
        <v>147</v>
      </c>
      <c r="AA53" s="8">
        <v>90</v>
      </c>
    </row>
    <row r="54" spans="1:27">
      <c r="A54" s="8">
        <v>1644401</v>
      </c>
      <c r="B54" s="8" t="s">
        <v>102</v>
      </c>
      <c r="C54" s="5">
        <v>1.21</v>
      </c>
      <c r="D54" s="9" t="s">
        <v>87</v>
      </c>
      <c r="F54" s="5" t="s">
        <v>174</v>
      </c>
      <c r="G54" s="8">
        <v>36</v>
      </c>
      <c r="H54" s="10">
        <v>164.2</v>
      </c>
      <c r="I54" s="10">
        <v>1.6419999999999999</v>
      </c>
      <c r="J54" s="10">
        <v>58.9</v>
      </c>
      <c r="K54" s="8">
        <f t="shared" si="2"/>
        <v>21.845852106919317</v>
      </c>
      <c r="P54" s="11">
        <v>0.35610000000000003</v>
      </c>
      <c r="Q54" s="11">
        <v>3.3099999999999997E-2</v>
      </c>
      <c r="R54" s="11">
        <v>0.18329999999999999</v>
      </c>
      <c r="S54" s="8">
        <v>3709.3807686567998</v>
      </c>
      <c r="T54" s="8">
        <v>37.6</v>
      </c>
      <c r="U54" s="8">
        <v>35.799999999999997</v>
      </c>
      <c r="V54" s="8">
        <f t="shared" si="3"/>
        <v>181.93148184147833</v>
      </c>
      <c r="W54" s="8">
        <v>100</v>
      </c>
      <c r="X54" s="8">
        <v>81.93148184147833</v>
      </c>
      <c r="Y54" s="8">
        <v>13572102539</v>
      </c>
      <c r="Z54" s="5" t="s">
        <v>147</v>
      </c>
      <c r="AA54" s="8">
        <v>130</v>
      </c>
    </row>
    <row r="55" spans="1:27">
      <c r="A55" s="8">
        <v>1638936</v>
      </c>
      <c r="B55" s="8" t="s">
        <v>103</v>
      </c>
      <c r="C55" s="5">
        <v>3.07</v>
      </c>
      <c r="D55" s="9">
        <v>3.99</v>
      </c>
      <c r="F55" s="5" t="s">
        <v>174</v>
      </c>
      <c r="G55" s="8">
        <v>48</v>
      </c>
      <c r="H55" s="10">
        <v>161.69999999999999</v>
      </c>
      <c r="I55" s="10">
        <v>1.617</v>
      </c>
      <c r="J55" s="10">
        <v>57.5</v>
      </c>
      <c r="K55" s="8">
        <f t="shared" si="2"/>
        <v>21.9911431149173</v>
      </c>
      <c r="P55" s="11">
        <v>0.35610000000000003</v>
      </c>
      <c r="Q55" s="11">
        <v>3.3099999999999997E-2</v>
      </c>
      <c r="R55" s="11">
        <v>0.18329999999999999</v>
      </c>
      <c r="S55" s="8">
        <v>3592.1237474392997</v>
      </c>
      <c r="T55" s="8">
        <v>33.200000000000003</v>
      </c>
      <c r="U55" s="8">
        <v>28.3</v>
      </c>
      <c r="V55" s="8">
        <f t="shared" si="3"/>
        <v>572.40345894154723</v>
      </c>
      <c r="W55" s="8">
        <v>200</v>
      </c>
      <c r="X55" s="8">
        <v>372.40345894154723</v>
      </c>
      <c r="Y55" s="8">
        <v>15353698308</v>
      </c>
      <c r="Z55" s="5" t="s">
        <v>147</v>
      </c>
      <c r="AA55" s="8">
        <v>90</v>
      </c>
    </row>
    <row r="56" spans="1:27">
      <c r="A56" s="8">
        <v>1608443</v>
      </c>
      <c r="B56" s="8" t="s">
        <v>110</v>
      </c>
      <c r="C56" s="8">
        <v>0.92</v>
      </c>
      <c r="D56" s="13">
        <v>2.79</v>
      </c>
      <c r="F56" s="5" t="s">
        <v>174</v>
      </c>
      <c r="G56" s="8">
        <v>53</v>
      </c>
      <c r="H56" s="10">
        <v>155</v>
      </c>
      <c r="I56" s="10">
        <v>1.55</v>
      </c>
      <c r="J56" s="10">
        <v>54.2</v>
      </c>
      <c r="K56" s="8">
        <f t="shared" si="2"/>
        <v>22.559833506763788</v>
      </c>
      <c r="P56" s="11">
        <v>0.35610000000000003</v>
      </c>
      <c r="Q56" s="11">
        <v>3.3099999999999997E-2</v>
      </c>
      <c r="R56" s="11">
        <v>0.18329999999999999</v>
      </c>
      <c r="S56" s="8">
        <v>3303.3918874999999</v>
      </c>
      <c r="T56" s="8">
        <v>35.700000000000003</v>
      </c>
      <c r="U56" s="8">
        <v>31.1</v>
      </c>
      <c r="V56" s="8">
        <f t="shared" si="3"/>
        <v>454.95816414670662</v>
      </c>
      <c r="W56" s="8">
        <v>200</v>
      </c>
      <c r="X56" s="8">
        <v>254.95816414670662</v>
      </c>
      <c r="Y56" s="8">
        <v>18092712135</v>
      </c>
      <c r="Z56" s="5" t="s">
        <v>147</v>
      </c>
      <c r="AA56" s="8">
        <v>95</v>
      </c>
    </row>
    <row r="57" spans="1:27">
      <c r="A57" s="8">
        <v>1624716</v>
      </c>
      <c r="B57" s="8" t="s">
        <v>114</v>
      </c>
      <c r="C57" s="5">
        <v>1.61</v>
      </c>
      <c r="D57" s="9">
        <v>3.49</v>
      </c>
      <c r="F57" s="5" t="s">
        <v>174</v>
      </c>
      <c r="G57" s="8">
        <v>21</v>
      </c>
      <c r="H57" s="10">
        <v>159.19999999999999</v>
      </c>
      <c r="I57" s="10">
        <v>1.5919999999999999</v>
      </c>
      <c r="J57" s="10">
        <v>58.8</v>
      </c>
      <c r="K57" s="8">
        <f t="shared" si="2"/>
        <v>23.200171712835541</v>
      </c>
      <c r="P57" s="11">
        <v>0.35610000000000003</v>
      </c>
      <c r="Q57" s="11">
        <v>3.3099999999999997E-2</v>
      </c>
      <c r="R57" s="11">
        <v>0.18329999999999999</v>
      </c>
      <c r="S57" s="8">
        <v>3566.3960275967997</v>
      </c>
      <c r="T57" s="8">
        <v>39.4</v>
      </c>
      <c r="U57" s="8">
        <v>32.1</v>
      </c>
      <c r="V57" s="8">
        <f t="shared" si="3"/>
        <v>728.24310493584971</v>
      </c>
      <c r="W57" s="8">
        <v>200</v>
      </c>
      <c r="X57" s="8">
        <v>528.24310493584971</v>
      </c>
      <c r="Y57" s="8">
        <v>13891364840</v>
      </c>
      <c r="Z57" s="5" t="s">
        <v>147</v>
      </c>
      <c r="AA57" s="8">
        <v>125</v>
      </c>
    </row>
    <row r="58" spans="1:27">
      <c r="A58" s="8">
        <v>1609618</v>
      </c>
      <c r="B58" s="8" t="s">
        <v>119</v>
      </c>
      <c r="C58" s="5">
        <v>0.71</v>
      </c>
      <c r="D58" s="9">
        <v>2.12</v>
      </c>
      <c r="F58" s="5" t="s">
        <v>174</v>
      </c>
      <c r="G58" s="8">
        <v>43</v>
      </c>
      <c r="H58" s="10">
        <v>168</v>
      </c>
      <c r="I58" s="10">
        <v>1.68</v>
      </c>
      <c r="J58" s="10">
        <v>66</v>
      </c>
      <c r="K58" s="8">
        <f t="shared" si="2"/>
        <v>23.3843537414966</v>
      </c>
      <c r="P58" s="11">
        <v>0.35610000000000003</v>
      </c>
      <c r="Q58" s="11">
        <v>3.3099999999999997E-2</v>
      </c>
      <c r="R58" s="11">
        <v>0.18329999999999999</v>
      </c>
      <c r="S58" s="8">
        <v>4056.3951551999999</v>
      </c>
      <c r="T58" s="8">
        <v>36.5</v>
      </c>
      <c r="U58" s="8">
        <v>33.200000000000003</v>
      </c>
      <c r="V58" s="8">
        <f t="shared" si="3"/>
        <v>384.10628442352902</v>
      </c>
      <c r="W58" s="8">
        <v>100</v>
      </c>
      <c r="X58" s="8">
        <v>284.10628442352902</v>
      </c>
      <c r="Y58" s="8">
        <v>18729593905</v>
      </c>
      <c r="Z58" s="5" t="s">
        <v>147</v>
      </c>
      <c r="AA58" s="8">
        <v>95</v>
      </c>
    </row>
    <row r="59" spans="1:27">
      <c r="A59" s="8">
        <v>1643611</v>
      </c>
      <c r="B59" s="8" t="s">
        <v>125</v>
      </c>
      <c r="C59" s="5">
        <v>0.89</v>
      </c>
      <c r="D59" s="9">
        <v>3.46</v>
      </c>
      <c r="F59" s="5" t="s">
        <v>174</v>
      </c>
      <c r="G59" s="8">
        <v>34</v>
      </c>
      <c r="H59" s="10">
        <v>155.9</v>
      </c>
      <c r="I59" s="10">
        <v>1.5590000000000002</v>
      </c>
      <c r="J59" s="10">
        <v>58.599999999999994</v>
      </c>
      <c r="K59" s="8">
        <f t="shared" si="2"/>
        <v>24.110453856664577</v>
      </c>
      <c r="P59" s="11">
        <v>0.35610000000000003</v>
      </c>
      <c r="Q59" s="11">
        <v>3.3099999999999997E-2</v>
      </c>
      <c r="R59" s="11">
        <v>0.18329999999999999</v>
      </c>
      <c r="S59" s="8">
        <v>3472.2655889119001</v>
      </c>
      <c r="T59" s="8">
        <v>41.1</v>
      </c>
      <c r="U59" s="8">
        <v>35.700000000000003</v>
      </c>
      <c r="V59" s="8">
        <f t="shared" si="3"/>
        <v>488.28734844073574</v>
      </c>
      <c r="W59" s="8">
        <v>200</v>
      </c>
      <c r="X59" s="8">
        <v>288.28734844073574</v>
      </c>
      <c r="Y59" s="8">
        <v>15902919801</v>
      </c>
      <c r="Z59" s="5" t="s">
        <v>147</v>
      </c>
      <c r="AA59" s="8">
        <v>100</v>
      </c>
    </row>
    <row r="60" spans="1:27">
      <c r="A60" s="8">
        <v>1636988</v>
      </c>
      <c r="B60" s="5" t="s">
        <v>152</v>
      </c>
      <c r="C60" s="8">
        <v>1.88</v>
      </c>
      <c r="D60" s="13">
        <v>3.23</v>
      </c>
      <c r="E60" s="5"/>
      <c r="F60" s="5" t="s">
        <v>174</v>
      </c>
      <c r="G60" s="8">
        <v>53</v>
      </c>
      <c r="H60" s="10">
        <v>163.4</v>
      </c>
      <c r="I60" s="10">
        <v>1.6340000000000001</v>
      </c>
      <c r="J60" s="10">
        <v>65.5</v>
      </c>
      <c r="K60" s="8">
        <f t="shared" si="2"/>
        <v>24.532239482598211</v>
      </c>
      <c r="P60" s="11">
        <v>0.35610000000000003</v>
      </c>
      <c r="Q60" s="11">
        <v>3.3099999999999997E-2</v>
      </c>
      <c r="R60" s="11">
        <v>0.18329999999999999</v>
      </c>
      <c r="S60" s="8">
        <v>3904.9103558344004</v>
      </c>
      <c r="T60" s="8">
        <v>39.700000000000003</v>
      </c>
      <c r="U60" s="8">
        <v>34.200000000000003</v>
      </c>
      <c r="V60" s="8">
        <f t="shared" si="3"/>
        <v>581.24511385897699</v>
      </c>
      <c r="W60" s="8">
        <v>100</v>
      </c>
      <c r="X60" s="8">
        <v>481.24511385897699</v>
      </c>
      <c r="Y60" s="8">
        <v>18502988920</v>
      </c>
      <c r="Z60" s="5" t="s">
        <v>147</v>
      </c>
      <c r="AA60" s="8">
        <v>90</v>
      </c>
    </row>
    <row r="61" spans="1:27">
      <c r="A61" s="8">
        <v>1628732</v>
      </c>
      <c r="B61" s="8" t="s">
        <v>135</v>
      </c>
      <c r="C61" s="5">
        <v>0.92</v>
      </c>
      <c r="D61" s="9">
        <v>3.3</v>
      </c>
      <c r="F61" s="5" t="s">
        <v>174</v>
      </c>
      <c r="G61" s="8">
        <v>50</v>
      </c>
      <c r="H61" s="10">
        <v>156.1</v>
      </c>
      <c r="I61" s="10">
        <v>1.5609999999999999</v>
      </c>
      <c r="J61" s="10">
        <v>63.599999999999994</v>
      </c>
      <c r="K61" s="8">
        <f t="shared" si="2"/>
        <v>26.100649192090518</v>
      </c>
      <c r="P61" s="11">
        <v>0.35610000000000003</v>
      </c>
      <c r="Q61" s="11">
        <v>3.3099999999999997E-2</v>
      </c>
      <c r="R61" s="11">
        <v>0.18329999999999999</v>
      </c>
      <c r="S61" s="8">
        <v>3642.9652193840998</v>
      </c>
      <c r="T61" s="8">
        <v>35.700000000000003</v>
      </c>
      <c r="U61" s="8">
        <v>32.1</v>
      </c>
      <c r="V61" s="8">
        <f t="shared" si="3"/>
        <v>386.86356312043546</v>
      </c>
      <c r="W61" s="8">
        <v>200</v>
      </c>
      <c r="X61" s="8">
        <v>186.86356312043546</v>
      </c>
      <c r="Z61" s="5" t="s">
        <v>147</v>
      </c>
      <c r="AA61" s="8">
        <v>105</v>
      </c>
    </row>
    <row r="62" spans="1:27">
      <c r="A62" s="8">
        <v>1639716</v>
      </c>
      <c r="B62" s="8" t="s">
        <v>137</v>
      </c>
      <c r="C62" s="5">
        <v>0.62</v>
      </c>
      <c r="D62" s="9" t="s">
        <v>91</v>
      </c>
      <c r="F62" s="5" t="s">
        <v>174</v>
      </c>
      <c r="G62" s="8">
        <v>40</v>
      </c>
      <c r="H62" s="10">
        <v>156.6</v>
      </c>
      <c r="I62" s="10">
        <v>1.5659999999999998</v>
      </c>
      <c r="J62" s="10">
        <v>64.7</v>
      </c>
      <c r="K62" s="8">
        <f t="shared" si="2"/>
        <v>26.382792710356906</v>
      </c>
      <c r="P62" s="11">
        <v>0.35610000000000003</v>
      </c>
      <c r="Q62" s="11">
        <v>3.3099999999999997E-2</v>
      </c>
      <c r="R62" s="11">
        <v>0.18329999999999999</v>
      </c>
      <c r="S62" s="8">
        <v>3692.4326995255992</v>
      </c>
      <c r="T62" s="8">
        <v>38.799999999999997</v>
      </c>
      <c r="U62" s="8">
        <v>34.799999999999997</v>
      </c>
      <c r="V62" s="8">
        <f t="shared" si="3"/>
        <v>401.35138038321736</v>
      </c>
      <c r="W62" s="8">
        <v>200</v>
      </c>
      <c r="X62" s="8">
        <v>201.35138038321736</v>
      </c>
      <c r="Y62" s="8">
        <v>18710777209</v>
      </c>
      <c r="Z62" s="5" t="s">
        <v>148</v>
      </c>
      <c r="AA62" s="8">
        <v>100</v>
      </c>
    </row>
  </sheetData>
  <sortState ref="A2:AA62">
    <sortCondition ref="F2:F62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60"/>
  <sheetViews>
    <sheetView topLeftCell="J1" workbookViewId="0">
      <pane ySplit="1" topLeftCell="A11" activePane="bottomLeft" state="frozen"/>
      <selection pane="bottomLeft" activeCell="I63" sqref="I63"/>
    </sheetView>
  </sheetViews>
  <sheetFormatPr defaultColWidth="9" defaultRowHeight="14.4"/>
  <cols>
    <col min="1" max="1" width="12.44140625" customWidth="1"/>
    <col min="2" max="2" width="8.44140625" customWidth="1"/>
    <col min="3" max="3" width="15.6640625" customWidth="1"/>
    <col min="4" max="4" width="11.88671875" style="3" customWidth="1"/>
    <col min="5" max="6" width="11.88671875" customWidth="1"/>
    <col min="7" max="7" width="6.33203125" customWidth="1"/>
    <col min="8" max="27" width="11.88671875" customWidth="1"/>
  </cols>
  <sheetData>
    <row r="1" spans="1:27">
      <c r="A1" s="5" t="s">
        <v>176</v>
      </c>
      <c r="B1" s="5" t="s">
        <v>154</v>
      </c>
      <c r="C1" s="5" t="s">
        <v>155</v>
      </c>
      <c r="D1" s="6" t="s">
        <v>156</v>
      </c>
      <c r="E1" s="7" t="s">
        <v>157</v>
      </c>
      <c r="F1" s="5" t="s">
        <v>158</v>
      </c>
      <c r="G1" s="5" t="s">
        <v>159</v>
      </c>
      <c r="H1" s="5" t="s">
        <v>160</v>
      </c>
      <c r="I1" s="5" t="s">
        <v>160</v>
      </c>
      <c r="J1" s="5" t="s">
        <v>161</v>
      </c>
      <c r="K1" s="8" t="s">
        <v>0</v>
      </c>
      <c r="L1" s="8" t="s">
        <v>72</v>
      </c>
      <c r="M1" s="8" t="s">
        <v>73</v>
      </c>
      <c r="N1" s="8" t="s">
        <v>74</v>
      </c>
      <c r="O1" s="5" t="s">
        <v>165</v>
      </c>
      <c r="P1" s="8" t="s">
        <v>75</v>
      </c>
      <c r="Q1" s="8" t="s">
        <v>76</v>
      </c>
      <c r="R1" s="8" t="s">
        <v>77</v>
      </c>
      <c r="S1" s="5" t="s">
        <v>162</v>
      </c>
      <c r="T1" s="5" t="s">
        <v>163</v>
      </c>
      <c r="U1" s="5" t="s">
        <v>164</v>
      </c>
      <c r="V1" s="5" t="s">
        <v>162</v>
      </c>
      <c r="W1" s="5" t="s">
        <v>166</v>
      </c>
      <c r="X1" s="5" t="s">
        <v>167</v>
      </c>
      <c r="Y1" s="5" t="s">
        <v>168</v>
      </c>
      <c r="Z1" s="5" t="s">
        <v>169</v>
      </c>
      <c r="AA1" s="5" t="s">
        <v>170</v>
      </c>
    </row>
    <row r="2" spans="1:27">
      <c r="A2" s="8">
        <v>1629137</v>
      </c>
      <c r="B2" s="8" t="s">
        <v>179</v>
      </c>
      <c r="C2" s="5">
        <v>0.85</v>
      </c>
      <c r="D2" s="9">
        <v>3.21</v>
      </c>
      <c r="E2" s="7">
        <v>4</v>
      </c>
      <c r="F2" s="5" t="s">
        <v>171</v>
      </c>
      <c r="G2" s="8">
        <v>23</v>
      </c>
      <c r="H2" s="10">
        <v>180</v>
      </c>
      <c r="I2" s="10">
        <f t="shared" ref="I2:I33" si="0">H2/100</f>
        <v>1.8</v>
      </c>
      <c r="J2" s="10">
        <v>73.8</v>
      </c>
      <c r="K2" s="10">
        <f t="shared" ref="K2:K33" si="1">J2/I2/I2</f>
        <v>22.777777777777779</v>
      </c>
      <c r="L2" s="11">
        <v>0.3669</v>
      </c>
      <c r="M2" s="11">
        <v>3.2199999999999999E-2</v>
      </c>
      <c r="N2" s="11">
        <v>0.60409999999999997</v>
      </c>
      <c r="O2" s="8">
        <f t="shared" ref="O2:O34" si="2">(L2*I2*I2*I2+M2*J2+N2)*1000</f>
        <v>5120.2208000000001</v>
      </c>
      <c r="P2" s="10"/>
      <c r="Q2" s="10"/>
      <c r="R2" s="10"/>
      <c r="S2" s="10"/>
      <c r="T2" s="8">
        <v>43.1</v>
      </c>
      <c r="U2" s="8">
        <v>40.200000000000003</v>
      </c>
      <c r="V2" s="11">
        <f t="shared" ref="V2:V34" si="3">2*O2*(T2-U2)/(T2+U2)</f>
        <v>356.50997166866728</v>
      </c>
      <c r="W2" s="8">
        <v>50</v>
      </c>
      <c r="X2" s="11">
        <f t="shared" ref="X2:X33" si="4">V2-W2</f>
        <v>306.50997166866728</v>
      </c>
      <c r="Y2" s="8">
        <v>18740536436</v>
      </c>
      <c r="Z2" s="5" t="s">
        <v>45</v>
      </c>
      <c r="AA2" s="8">
        <v>120</v>
      </c>
    </row>
    <row r="3" spans="1:27">
      <c r="A3" s="8">
        <v>1643235</v>
      </c>
      <c r="B3" s="5" t="s">
        <v>180</v>
      </c>
      <c r="C3" s="5">
        <v>1.53</v>
      </c>
      <c r="D3" s="9">
        <v>3.54</v>
      </c>
      <c r="E3" s="7">
        <v>3.54</v>
      </c>
      <c r="F3" s="5" t="s">
        <v>171</v>
      </c>
      <c r="G3" s="8">
        <v>24</v>
      </c>
      <c r="H3" s="10">
        <v>176.8</v>
      </c>
      <c r="I3" s="10">
        <f t="shared" si="0"/>
        <v>1.768</v>
      </c>
      <c r="J3" s="10">
        <v>62.1</v>
      </c>
      <c r="K3" s="8">
        <f t="shared" si="1"/>
        <v>19.866761532319156</v>
      </c>
      <c r="L3" s="11">
        <v>0.3669</v>
      </c>
      <c r="M3" s="11">
        <v>3.2199999999999999E-2</v>
      </c>
      <c r="N3" s="11">
        <v>0.60409999999999997</v>
      </c>
      <c r="O3" s="8">
        <f t="shared" si="2"/>
        <v>4631.3770116608002</v>
      </c>
      <c r="P3" s="8"/>
      <c r="Q3" s="8"/>
      <c r="R3" s="8"/>
      <c r="S3" s="8"/>
      <c r="T3" s="8">
        <v>33.4</v>
      </c>
      <c r="U3" s="8">
        <v>29.6</v>
      </c>
      <c r="V3" s="8">
        <f t="shared" si="3"/>
        <v>558.70579823209619</v>
      </c>
      <c r="W3" s="8">
        <v>100</v>
      </c>
      <c r="X3" s="8">
        <f t="shared" si="4"/>
        <v>458.70579823209619</v>
      </c>
      <c r="Y3" s="8">
        <v>13571220229</v>
      </c>
      <c r="Z3" s="5" t="s">
        <v>42</v>
      </c>
      <c r="AA3" s="8">
        <v>120</v>
      </c>
    </row>
    <row r="4" spans="1:27">
      <c r="A4" s="8">
        <v>1630027</v>
      </c>
      <c r="B4" s="8" t="s">
        <v>181</v>
      </c>
      <c r="C4" s="5">
        <v>2.73</v>
      </c>
      <c r="D4" s="9">
        <v>4.7300000000000004</v>
      </c>
      <c r="E4" s="7">
        <v>6.43</v>
      </c>
      <c r="F4" s="5" t="s">
        <v>171</v>
      </c>
      <c r="G4" s="8">
        <v>27</v>
      </c>
      <c r="H4" s="10">
        <v>176.8</v>
      </c>
      <c r="I4" s="10">
        <f t="shared" si="0"/>
        <v>1.768</v>
      </c>
      <c r="J4" s="10">
        <v>62.1</v>
      </c>
      <c r="K4" s="10">
        <f t="shared" si="1"/>
        <v>19.866761532319156</v>
      </c>
      <c r="L4" s="11">
        <v>0.3669</v>
      </c>
      <c r="M4" s="11">
        <v>3.2199999999999999E-2</v>
      </c>
      <c r="N4" s="11">
        <v>0.60409999999999997</v>
      </c>
      <c r="O4" s="8">
        <f t="shared" si="2"/>
        <v>4631.3770116608002</v>
      </c>
      <c r="P4" s="10"/>
      <c r="Q4" s="10"/>
      <c r="R4" s="10"/>
      <c r="S4" s="10"/>
      <c r="T4" s="11">
        <v>38.5</v>
      </c>
      <c r="U4" s="11">
        <v>33.5</v>
      </c>
      <c r="V4" s="11">
        <f t="shared" si="3"/>
        <v>643.24680717511114</v>
      </c>
      <c r="W4" s="8">
        <v>50</v>
      </c>
      <c r="X4" s="11">
        <f t="shared" si="4"/>
        <v>593.24680717511114</v>
      </c>
      <c r="Y4" s="8">
        <v>13217066899</v>
      </c>
      <c r="Z4" s="5" t="s">
        <v>45</v>
      </c>
      <c r="AA4" s="8">
        <v>70</v>
      </c>
    </row>
    <row r="5" spans="1:27">
      <c r="A5" s="8">
        <v>1637527</v>
      </c>
      <c r="B5" s="8" t="s">
        <v>182</v>
      </c>
      <c r="C5" s="5">
        <v>0.33</v>
      </c>
      <c r="D5" s="9">
        <v>2.48</v>
      </c>
      <c r="E5" s="7">
        <v>3</v>
      </c>
      <c r="F5" s="5" t="s">
        <v>171</v>
      </c>
      <c r="G5" s="8">
        <v>28</v>
      </c>
      <c r="H5" s="10">
        <v>169.1</v>
      </c>
      <c r="I5" s="10">
        <f t="shared" si="0"/>
        <v>1.6909999999999998</v>
      </c>
      <c r="J5" s="10">
        <v>64.3</v>
      </c>
      <c r="K5" s="10">
        <f t="shared" si="1"/>
        <v>22.486598092451047</v>
      </c>
      <c r="L5" s="11">
        <v>0.3669</v>
      </c>
      <c r="M5" s="11">
        <v>3.2199999999999999E-2</v>
      </c>
      <c r="N5" s="11">
        <v>0.60409999999999997</v>
      </c>
      <c r="O5" s="8">
        <f t="shared" si="2"/>
        <v>4448.6617919198989</v>
      </c>
      <c r="P5" s="10"/>
      <c r="Q5" s="10"/>
      <c r="R5" s="10"/>
      <c r="S5" s="10"/>
      <c r="T5" s="8">
        <v>43.3</v>
      </c>
      <c r="U5" s="8">
        <v>39.700000000000003</v>
      </c>
      <c r="V5" s="11">
        <f t="shared" si="3"/>
        <v>385.90801086534003</v>
      </c>
      <c r="W5" s="8">
        <v>30</v>
      </c>
      <c r="X5" s="11">
        <f t="shared" si="4"/>
        <v>355.90801086534003</v>
      </c>
      <c r="Y5" s="8">
        <v>18702949634</v>
      </c>
      <c r="Z5" s="5" t="s">
        <v>45</v>
      </c>
      <c r="AA5" s="8">
        <v>60</v>
      </c>
    </row>
    <row r="6" spans="1:27">
      <c r="A6" s="8">
        <v>1644656</v>
      </c>
      <c r="B6" s="8" t="s">
        <v>183</v>
      </c>
      <c r="C6" s="5">
        <v>4.9400000000000004</v>
      </c>
      <c r="D6" s="9">
        <v>6.43</v>
      </c>
      <c r="E6" s="7">
        <v>5</v>
      </c>
      <c r="F6" s="5" t="s">
        <v>171</v>
      </c>
      <c r="G6" s="8">
        <v>30</v>
      </c>
      <c r="H6" s="10">
        <v>168</v>
      </c>
      <c r="I6" s="10">
        <f t="shared" si="0"/>
        <v>1.68</v>
      </c>
      <c r="J6" s="10">
        <v>60.3</v>
      </c>
      <c r="K6" s="10">
        <f t="shared" si="1"/>
        <v>21.364795918367349</v>
      </c>
      <c r="L6" s="11">
        <v>0.3669</v>
      </c>
      <c r="M6" s="11">
        <v>3.2199999999999999E-2</v>
      </c>
      <c r="N6" s="11">
        <v>0.60409999999999997</v>
      </c>
      <c r="O6" s="8">
        <f t="shared" si="2"/>
        <v>4285.4647807999991</v>
      </c>
      <c r="P6" s="10"/>
      <c r="Q6" s="10"/>
      <c r="R6" s="10"/>
      <c r="S6" s="10"/>
      <c r="T6" s="8">
        <v>39.799999999999997</v>
      </c>
      <c r="U6" s="8">
        <v>34.299999999999997</v>
      </c>
      <c r="V6" s="11">
        <f t="shared" si="3"/>
        <v>636.16886084750331</v>
      </c>
      <c r="W6" s="8">
        <v>50</v>
      </c>
      <c r="X6" s="11">
        <f t="shared" si="4"/>
        <v>586.16886084750331</v>
      </c>
      <c r="Y6" s="8">
        <v>13772501629</v>
      </c>
      <c r="Z6" s="5" t="s">
        <v>45</v>
      </c>
      <c r="AA6" s="8">
        <v>100</v>
      </c>
    </row>
    <row r="7" spans="1:27">
      <c r="A7" s="8">
        <v>1617820</v>
      </c>
      <c r="B7" s="8" t="s">
        <v>184</v>
      </c>
      <c r="C7" s="5">
        <v>3.22</v>
      </c>
      <c r="D7" s="9" t="s">
        <v>80</v>
      </c>
      <c r="E7" s="7">
        <v>3.85</v>
      </c>
      <c r="F7" s="5" t="s">
        <v>171</v>
      </c>
      <c r="G7" s="8">
        <v>34</v>
      </c>
      <c r="H7" s="10">
        <v>167.5</v>
      </c>
      <c r="I7" s="10">
        <f t="shared" si="0"/>
        <v>1.675</v>
      </c>
      <c r="J7" s="10">
        <v>57.7</v>
      </c>
      <c r="K7" s="8">
        <f t="shared" si="1"/>
        <v>20.565827578525283</v>
      </c>
      <c r="L7" s="11">
        <v>0.3669</v>
      </c>
      <c r="M7" s="11">
        <v>3.2199999999999999E-2</v>
      </c>
      <c r="N7" s="11">
        <v>0.60409999999999997</v>
      </c>
      <c r="O7" s="8">
        <f t="shared" si="2"/>
        <v>4186.2578859374999</v>
      </c>
      <c r="P7" s="8"/>
      <c r="Q7" s="8"/>
      <c r="R7" s="8"/>
      <c r="S7" s="8"/>
      <c r="T7" s="8">
        <v>45.8</v>
      </c>
      <c r="U7" s="8">
        <v>41.4</v>
      </c>
      <c r="V7" s="8">
        <f t="shared" si="3"/>
        <v>422.46639215883016</v>
      </c>
      <c r="W7" s="8">
        <v>200</v>
      </c>
      <c r="X7" s="8">
        <f t="shared" si="4"/>
        <v>222.46639215883016</v>
      </c>
      <c r="Y7" s="8">
        <v>13572037368</v>
      </c>
      <c r="Z7" s="5" t="s">
        <v>42</v>
      </c>
      <c r="AA7" s="8">
        <v>80</v>
      </c>
    </row>
    <row r="8" spans="1:27">
      <c r="A8" s="8">
        <v>1642632</v>
      </c>
      <c r="B8" s="8" t="s">
        <v>185</v>
      </c>
      <c r="C8" s="5">
        <v>3.7</v>
      </c>
      <c r="D8" s="9">
        <v>4.3600000000000003</v>
      </c>
      <c r="E8" s="7">
        <v>5.38</v>
      </c>
      <c r="F8" s="5" t="s">
        <v>171</v>
      </c>
      <c r="G8" s="8">
        <v>40</v>
      </c>
      <c r="H8" s="10">
        <v>183.6</v>
      </c>
      <c r="I8" s="10">
        <f t="shared" si="0"/>
        <v>1.8359999999999999</v>
      </c>
      <c r="J8" s="10">
        <v>67.7</v>
      </c>
      <c r="K8" s="10">
        <f t="shared" si="1"/>
        <v>20.083681015373958</v>
      </c>
      <c r="L8" s="11">
        <v>0.3669</v>
      </c>
      <c r="M8" s="11">
        <v>3.2199999999999999E-2</v>
      </c>
      <c r="N8" s="11">
        <v>0.60409999999999997</v>
      </c>
      <c r="O8" s="8">
        <f t="shared" si="2"/>
        <v>5054.7712790464002</v>
      </c>
      <c r="P8" s="10"/>
      <c r="Q8" s="10"/>
      <c r="R8" s="10"/>
      <c r="S8" s="10"/>
      <c r="T8" s="8">
        <v>38.200000000000003</v>
      </c>
      <c r="U8" s="8">
        <v>35.299999999999997</v>
      </c>
      <c r="V8" s="11">
        <f t="shared" si="3"/>
        <v>398.87991045536296</v>
      </c>
      <c r="W8" s="8">
        <v>200</v>
      </c>
      <c r="X8" s="11">
        <f t="shared" si="4"/>
        <v>198.87991045536296</v>
      </c>
      <c r="Y8" s="8">
        <v>13289268083</v>
      </c>
      <c r="Z8" s="5" t="s">
        <v>45</v>
      </c>
      <c r="AA8" s="8">
        <v>130</v>
      </c>
    </row>
    <row r="9" spans="1:27">
      <c r="A9" s="8">
        <v>1617479</v>
      </c>
      <c r="B9" s="5" t="s">
        <v>186</v>
      </c>
      <c r="C9" s="5">
        <v>0.84</v>
      </c>
      <c r="D9" s="9" t="s">
        <v>82</v>
      </c>
      <c r="E9" s="7">
        <v>4</v>
      </c>
      <c r="F9" s="5" t="s">
        <v>171</v>
      </c>
      <c r="G9" s="8">
        <v>41</v>
      </c>
      <c r="H9" s="10">
        <v>163</v>
      </c>
      <c r="I9" s="10">
        <f t="shared" si="0"/>
        <v>1.63</v>
      </c>
      <c r="J9" s="10">
        <v>58.9</v>
      </c>
      <c r="K9" s="10">
        <f t="shared" si="1"/>
        <v>22.168692837517412</v>
      </c>
      <c r="L9" s="11">
        <v>0.3669</v>
      </c>
      <c r="M9" s="11">
        <v>3.2199999999999999E-2</v>
      </c>
      <c r="N9" s="11">
        <v>0.60409999999999997</v>
      </c>
      <c r="O9" s="8">
        <f t="shared" si="2"/>
        <v>4089.6310742999999</v>
      </c>
      <c r="P9" s="10"/>
      <c r="Q9" s="10"/>
      <c r="R9" s="10"/>
      <c r="S9" s="10"/>
      <c r="T9" s="8">
        <v>42.1</v>
      </c>
      <c r="U9" s="8">
        <v>39.6</v>
      </c>
      <c r="V9" s="11">
        <f t="shared" si="3"/>
        <v>250.28341947980417</v>
      </c>
      <c r="W9" s="8">
        <v>100</v>
      </c>
      <c r="X9" s="11">
        <f t="shared" si="4"/>
        <v>150.28341947980417</v>
      </c>
      <c r="Y9" s="8">
        <v>15029557359</v>
      </c>
      <c r="Z9" s="5" t="s">
        <v>45</v>
      </c>
      <c r="AA9" s="8">
        <v>150</v>
      </c>
    </row>
    <row r="10" spans="1:27" ht="15.6" customHeight="1">
      <c r="A10" s="8">
        <v>1608231</v>
      </c>
      <c r="B10" s="8" t="s">
        <v>187</v>
      </c>
      <c r="C10" s="5">
        <v>2.66</v>
      </c>
      <c r="D10" s="9" t="s">
        <v>84</v>
      </c>
      <c r="E10" s="7">
        <v>3</v>
      </c>
      <c r="F10" s="5" t="s">
        <v>171</v>
      </c>
      <c r="G10" s="8">
        <v>45</v>
      </c>
      <c r="H10" s="10">
        <v>173.1</v>
      </c>
      <c r="I10" s="10">
        <f t="shared" si="0"/>
        <v>1.7309999999999999</v>
      </c>
      <c r="J10" s="10">
        <v>78.3</v>
      </c>
      <c r="K10" s="10">
        <f t="shared" si="1"/>
        <v>26.131697749369987</v>
      </c>
      <c r="L10" s="11">
        <v>0.3669</v>
      </c>
      <c r="M10" s="11">
        <v>3.2199999999999999E-2</v>
      </c>
      <c r="N10" s="11">
        <v>0.60409999999999997</v>
      </c>
      <c r="O10" s="8">
        <f t="shared" si="2"/>
        <v>5028.3605569078991</v>
      </c>
      <c r="P10" s="10"/>
      <c r="Q10" s="10"/>
      <c r="R10" s="10"/>
      <c r="S10" s="10"/>
      <c r="T10" s="8">
        <v>45.1</v>
      </c>
      <c r="U10" s="8">
        <v>40.299999999999997</v>
      </c>
      <c r="V10" s="11">
        <f t="shared" si="3"/>
        <v>565.24896190065419</v>
      </c>
      <c r="W10" s="8">
        <v>50</v>
      </c>
      <c r="X10" s="11">
        <f t="shared" si="4"/>
        <v>515.24896190065419</v>
      </c>
      <c r="Y10" s="8">
        <v>13772532959</v>
      </c>
      <c r="Z10" s="5" t="s">
        <v>45</v>
      </c>
      <c r="AA10" s="8">
        <v>80</v>
      </c>
    </row>
    <row r="11" spans="1:27">
      <c r="A11" s="8">
        <v>1637618</v>
      </c>
      <c r="B11" s="8" t="s">
        <v>188</v>
      </c>
      <c r="C11" s="5">
        <v>2.35</v>
      </c>
      <c r="D11" s="9">
        <v>3.43</v>
      </c>
      <c r="E11" s="7">
        <v>3.99</v>
      </c>
      <c r="F11" s="5" t="s">
        <v>171</v>
      </c>
      <c r="G11" s="8">
        <v>48</v>
      </c>
      <c r="H11" s="10">
        <v>167.1</v>
      </c>
      <c r="I11" s="10">
        <f t="shared" si="0"/>
        <v>1.671</v>
      </c>
      <c r="J11" s="10">
        <v>56</v>
      </c>
      <c r="K11" s="10">
        <f t="shared" si="1"/>
        <v>20.055575432063346</v>
      </c>
      <c r="L11" s="11">
        <v>0.3669</v>
      </c>
      <c r="M11" s="11">
        <v>3.2199999999999999E-2</v>
      </c>
      <c r="N11" s="11">
        <v>0.60409999999999997</v>
      </c>
      <c r="O11" s="8">
        <f t="shared" si="2"/>
        <v>4119.1947554659</v>
      </c>
      <c r="P11" s="10"/>
      <c r="Q11" s="10"/>
      <c r="R11" s="10"/>
      <c r="S11" s="10"/>
      <c r="T11" s="8">
        <v>32.299999999999997</v>
      </c>
      <c r="U11" s="8">
        <v>30.3</v>
      </c>
      <c r="V11" s="11">
        <f t="shared" si="3"/>
        <v>263.20733261762894</v>
      </c>
      <c r="W11" s="8">
        <v>100</v>
      </c>
      <c r="X11" s="11">
        <f t="shared" si="4"/>
        <v>163.20733261762894</v>
      </c>
      <c r="Y11" s="8">
        <v>13571831466</v>
      </c>
      <c r="Z11" s="5" t="s">
        <v>45</v>
      </c>
      <c r="AA11" s="8">
        <v>180</v>
      </c>
    </row>
    <row r="12" spans="1:27">
      <c r="A12" s="8">
        <v>1613767</v>
      </c>
      <c r="B12" s="8" t="s">
        <v>189</v>
      </c>
      <c r="C12" s="5">
        <v>1.23</v>
      </c>
      <c r="D12" s="9">
        <v>4.95</v>
      </c>
      <c r="E12" s="7">
        <v>2</v>
      </c>
      <c r="F12" s="5" t="s">
        <v>171</v>
      </c>
      <c r="G12" s="8">
        <v>49</v>
      </c>
      <c r="H12" s="10">
        <v>183.2</v>
      </c>
      <c r="I12" s="10">
        <f t="shared" si="0"/>
        <v>1.8319999999999999</v>
      </c>
      <c r="J12" s="10">
        <v>71.900000000000006</v>
      </c>
      <c r="K12" s="10">
        <f t="shared" si="1"/>
        <v>21.42288476573674</v>
      </c>
      <c r="L12" s="11">
        <v>0.3669</v>
      </c>
      <c r="M12" s="11">
        <v>3.2199999999999999E-2</v>
      </c>
      <c r="N12" s="11">
        <v>0.60409999999999997</v>
      </c>
      <c r="O12" s="8">
        <f t="shared" si="2"/>
        <v>5175.2022088191998</v>
      </c>
      <c r="P12" s="10"/>
      <c r="Q12" s="10"/>
      <c r="R12" s="10"/>
      <c r="S12" s="10"/>
      <c r="T12" s="8">
        <v>44.2</v>
      </c>
      <c r="U12" s="8">
        <v>42.7</v>
      </c>
      <c r="V12" s="11">
        <f t="shared" si="3"/>
        <v>178.66060559790103</v>
      </c>
      <c r="W12" s="8">
        <v>50</v>
      </c>
      <c r="X12" s="11">
        <f t="shared" si="4"/>
        <v>128.66060559790103</v>
      </c>
      <c r="Y12" s="8">
        <v>13991343643</v>
      </c>
      <c r="Z12" s="5" t="s">
        <v>45</v>
      </c>
      <c r="AA12" s="8">
        <v>75</v>
      </c>
    </row>
    <row r="13" spans="1:27">
      <c r="A13" s="8">
        <v>1619900</v>
      </c>
      <c r="B13" s="8" t="s">
        <v>190</v>
      </c>
      <c r="C13" s="5">
        <v>1.25</v>
      </c>
      <c r="D13" s="9" t="s">
        <v>89</v>
      </c>
      <c r="E13" s="12">
        <v>3</v>
      </c>
      <c r="F13" s="5" t="s">
        <v>171</v>
      </c>
      <c r="G13" s="8">
        <v>49</v>
      </c>
      <c r="H13" s="10">
        <v>183.6</v>
      </c>
      <c r="I13" s="10">
        <f t="shared" si="0"/>
        <v>1.8359999999999999</v>
      </c>
      <c r="J13" s="10">
        <v>64.8</v>
      </c>
      <c r="K13" s="8">
        <f t="shared" si="1"/>
        <v>19.223375624759711</v>
      </c>
      <c r="L13" s="11">
        <v>0.3669</v>
      </c>
      <c r="M13" s="11">
        <v>3.2199999999999999E-2</v>
      </c>
      <c r="N13" s="11">
        <v>0.60409999999999997</v>
      </c>
      <c r="O13" s="8">
        <f t="shared" si="2"/>
        <v>4961.3912790463992</v>
      </c>
      <c r="P13" s="8"/>
      <c r="Q13" s="8"/>
      <c r="R13" s="8"/>
      <c r="S13" s="8"/>
      <c r="T13" s="8">
        <v>45.9</v>
      </c>
      <c r="U13" s="8">
        <v>41.3</v>
      </c>
      <c r="V13" s="8">
        <f t="shared" si="3"/>
        <v>523.4495386149872</v>
      </c>
      <c r="W13" s="8">
        <v>200</v>
      </c>
      <c r="X13" s="8">
        <f t="shared" si="4"/>
        <v>323.4495386149872</v>
      </c>
      <c r="Y13" s="8">
        <v>15829906085</v>
      </c>
      <c r="Z13" s="5" t="s">
        <v>42</v>
      </c>
      <c r="AA13" s="8">
        <v>70</v>
      </c>
    </row>
    <row r="14" spans="1:27">
      <c r="A14" s="8">
        <v>1607233</v>
      </c>
      <c r="B14" s="8" t="s">
        <v>191</v>
      </c>
      <c r="C14" s="8">
        <v>0.77</v>
      </c>
      <c r="D14" s="13">
        <v>3.54</v>
      </c>
      <c r="E14" s="12">
        <v>2.79</v>
      </c>
      <c r="F14" s="5" t="s">
        <v>171</v>
      </c>
      <c r="G14" s="8">
        <v>50</v>
      </c>
      <c r="H14" s="10">
        <v>172</v>
      </c>
      <c r="I14" s="10">
        <f t="shared" si="0"/>
        <v>1.72</v>
      </c>
      <c r="J14" s="10">
        <v>58.7</v>
      </c>
      <c r="K14" s="10">
        <f t="shared" si="1"/>
        <v>19.841806381828015</v>
      </c>
      <c r="L14" s="11">
        <v>0.3669</v>
      </c>
      <c r="M14" s="11">
        <v>3.2199999999999999E-2</v>
      </c>
      <c r="N14" s="11">
        <v>0.60409999999999997</v>
      </c>
      <c r="O14" s="8">
        <f t="shared" si="2"/>
        <v>4361.1915712</v>
      </c>
      <c r="P14" s="10"/>
      <c r="Q14" s="10"/>
      <c r="R14" s="10"/>
      <c r="S14" s="10"/>
      <c r="T14" s="8">
        <v>45</v>
      </c>
      <c r="U14" s="8">
        <v>39.5</v>
      </c>
      <c r="V14" s="11">
        <f t="shared" si="3"/>
        <v>567.72908027455617</v>
      </c>
      <c r="W14" s="8">
        <v>50</v>
      </c>
      <c r="X14" s="11">
        <f t="shared" si="4"/>
        <v>517.72908027455617</v>
      </c>
      <c r="Y14" s="8">
        <v>13709197697</v>
      </c>
      <c r="Z14" s="5" t="s">
        <v>42</v>
      </c>
      <c r="AA14" s="8">
        <v>60</v>
      </c>
    </row>
    <row r="15" spans="1:27">
      <c r="A15" s="8">
        <v>1604202</v>
      </c>
      <c r="B15" s="8" t="s">
        <v>192</v>
      </c>
      <c r="C15" s="8">
        <v>0.95</v>
      </c>
      <c r="D15" s="13">
        <v>4.32</v>
      </c>
      <c r="E15" s="7">
        <v>6.67</v>
      </c>
      <c r="F15" s="5" t="s">
        <v>171</v>
      </c>
      <c r="G15" s="8">
        <v>57</v>
      </c>
      <c r="H15" s="10">
        <v>181.4</v>
      </c>
      <c r="I15" s="10">
        <f t="shared" si="0"/>
        <v>1.8140000000000001</v>
      </c>
      <c r="J15" s="10">
        <v>75.099999999999994</v>
      </c>
      <c r="K15" s="10">
        <f t="shared" si="1"/>
        <v>22.82261328950743</v>
      </c>
      <c r="L15" s="11">
        <v>0.3669</v>
      </c>
      <c r="M15" s="11">
        <v>3.2199999999999999E-2</v>
      </c>
      <c r="N15" s="11">
        <v>0.60409999999999997</v>
      </c>
      <c r="O15" s="8">
        <f t="shared" si="2"/>
        <v>5212.3978857336006</v>
      </c>
      <c r="P15" s="10"/>
      <c r="Q15" s="10"/>
      <c r="R15" s="10"/>
      <c r="S15" s="10"/>
      <c r="T15" s="8">
        <v>50.8</v>
      </c>
      <c r="U15" s="8">
        <v>47.2</v>
      </c>
      <c r="V15" s="11">
        <f t="shared" si="3"/>
        <v>382.95168140083535</v>
      </c>
      <c r="W15" s="8">
        <v>50</v>
      </c>
      <c r="X15" s="11">
        <f t="shared" si="4"/>
        <v>332.95168140083535</v>
      </c>
      <c r="Y15" s="8">
        <v>18966755523</v>
      </c>
      <c r="Z15" s="5" t="s">
        <v>42</v>
      </c>
      <c r="AA15" s="8">
        <v>90</v>
      </c>
    </row>
    <row r="16" spans="1:27">
      <c r="A16" s="8">
        <v>1625548</v>
      </c>
      <c r="B16" s="5" t="s">
        <v>193</v>
      </c>
      <c r="C16" s="5">
        <v>7.76</v>
      </c>
      <c r="D16" s="9">
        <v>9.76</v>
      </c>
      <c r="E16" s="7">
        <v>4</v>
      </c>
      <c r="F16" s="5" t="s">
        <v>171</v>
      </c>
      <c r="G16" s="8">
        <v>58</v>
      </c>
      <c r="H16" s="10">
        <v>171.9</v>
      </c>
      <c r="I16" s="10">
        <f t="shared" si="0"/>
        <v>1.7190000000000001</v>
      </c>
      <c r="J16" s="10">
        <v>67.900000000000006</v>
      </c>
      <c r="K16" s="10">
        <f t="shared" si="1"/>
        <v>22.97830665108609</v>
      </c>
      <c r="L16" s="11">
        <v>0.3669</v>
      </c>
      <c r="M16" s="11">
        <v>3.2199999999999999E-2</v>
      </c>
      <c r="N16" s="11">
        <v>0.60409999999999997</v>
      </c>
      <c r="O16" s="8">
        <f t="shared" si="2"/>
        <v>4654.1771531571003</v>
      </c>
      <c r="P16" s="10"/>
      <c r="Q16" s="10"/>
      <c r="R16" s="10"/>
      <c r="S16" s="10"/>
      <c r="T16" s="8">
        <v>34.700000000000003</v>
      </c>
      <c r="U16" s="8">
        <v>31.3</v>
      </c>
      <c r="V16" s="11">
        <f t="shared" si="3"/>
        <v>479.52128244648947</v>
      </c>
      <c r="W16" s="8">
        <v>50</v>
      </c>
      <c r="X16" s="11">
        <f t="shared" si="4"/>
        <v>429.52128244648947</v>
      </c>
      <c r="Y16" s="8">
        <v>13892193758</v>
      </c>
      <c r="Z16" s="5" t="s">
        <v>45</v>
      </c>
      <c r="AA16" s="8">
        <v>100</v>
      </c>
    </row>
    <row r="17" spans="1:27">
      <c r="A17" s="8">
        <v>1607985</v>
      </c>
      <c r="B17" s="8" t="s">
        <v>194</v>
      </c>
      <c r="C17" s="5">
        <v>0.76</v>
      </c>
      <c r="D17" s="9">
        <v>4.32</v>
      </c>
      <c r="E17" s="7">
        <v>3.92</v>
      </c>
      <c r="F17" s="5" t="s">
        <v>171</v>
      </c>
      <c r="G17" s="8">
        <v>59</v>
      </c>
      <c r="H17" s="10">
        <v>173.7</v>
      </c>
      <c r="I17" s="10">
        <f t="shared" si="0"/>
        <v>1.7369999999999999</v>
      </c>
      <c r="J17" s="10">
        <v>68.5</v>
      </c>
      <c r="K17" s="10">
        <f t="shared" si="1"/>
        <v>22.703401765032055</v>
      </c>
      <c r="L17" s="11">
        <v>0.3669</v>
      </c>
      <c r="M17" s="11">
        <v>3.2199999999999999E-2</v>
      </c>
      <c r="N17" s="11">
        <v>0.60409999999999997</v>
      </c>
      <c r="O17" s="8">
        <f t="shared" si="2"/>
        <v>4732.6577946956995</v>
      </c>
      <c r="P17" s="10"/>
      <c r="Q17" s="10"/>
      <c r="R17" s="10"/>
      <c r="S17" s="10"/>
      <c r="T17" s="8">
        <v>45.1</v>
      </c>
      <c r="U17" s="8">
        <v>41.8</v>
      </c>
      <c r="V17" s="11">
        <f t="shared" si="3"/>
        <v>359.44236415410421</v>
      </c>
      <c r="W17" s="8">
        <v>50</v>
      </c>
      <c r="X17" s="11">
        <f t="shared" si="4"/>
        <v>309.44236415410421</v>
      </c>
      <c r="Y17" s="8">
        <v>18066665012</v>
      </c>
      <c r="Z17" s="5" t="s">
        <v>45</v>
      </c>
      <c r="AA17" s="8">
        <v>60</v>
      </c>
    </row>
    <row r="18" spans="1:27">
      <c r="A18" s="8">
        <v>1611722</v>
      </c>
      <c r="B18" s="8" t="s">
        <v>195</v>
      </c>
      <c r="C18" s="5">
        <v>1.39</v>
      </c>
      <c r="D18" s="9" t="s">
        <v>78</v>
      </c>
      <c r="E18" s="7">
        <v>4.7300000000000004</v>
      </c>
      <c r="F18" s="5" t="s">
        <v>171</v>
      </c>
      <c r="G18" s="8">
        <v>25</v>
      </c>
      <c r="H18" s="10">
        <v>163.6</v>
      </c>
      <c r="I18" s="10">
        <f t="shared" si="0"/>
        <v>1.6359999999999999</v>
      </c>
      <c r="J18" s="10">
        <v>52.5</v>
      </c>
      <c r="K18" s="10">
        <f t="shared" si="1"/>
        <v>19.615198378775837</v>
      </c>
      <c r="L18" s="11">
        <v>0.3669</v>
      </c>
      <c r="M18" s="11">
        <v>3.2199999999999999E-2</v>
      </c>
      <c r="N18" s="11">
        <v>0.60409999999999997</v>
      </c>
      <c r="O18" s="8">
        <f t="shared" si="2"/>
        <v>3901.1624416063996</v>
      </c>
      <c r="P18" s="10"/>
      <c r="Q18" s="10"/>
      <c r="R18" s="10"/>
      <c r="S18" s="10"/>
      <c r="T18" s="8">
        <v>44.1</v>
      </c>
      <c r="U18" s="8">
        <v>41.5</v>
      </c>
      <c r="V18" s="11">
        <f t="shared" si="3"/>
        <v>236.98650346207114</v>
      </c>
      <c r="W18" s="8">
        <v>50</v>
      </c>
      <c r="X18" s="11">
        <f t="shared" si="4"/>
        <v>186.98650346207114</v>
      </c>
      <c r="Y18" s="8">
        <v>18802938691</v>
      </c>
      <c r="Z18" s="5" t="s">
        <v>48</v>
      </c>
      <c r="AA18" s="8">
        <v>80</v>
      </c>
    </row>
    <row r="19" spans="1:27">
      <c r="A19" s="8">
        <v>1625672</v>
      </c>
      <c r="B19" s="8" t="s">
        <v>196</v>
      </c>
      <c r="C19" s="5">
        <v>4.59</v>
      </c>
      <c r="D19" s="9">
        <v>3.87</v>
      </c>
      <c r="E19" s="7">
        <v>2.4300000000000002</v>
      </c>
      <c r="F19" s="5" t="s">
        <v>171</v>
      </c>
      <c r="G19" s="8">
        <v>30</v>
      </c>
      <c r="H19" s="10">
        <v>183.5</v>
      </c>
      <c r="I19" s="10">
        <f t="shared" si="0"/>
        <v>1.835</v>
      </c>
      <c r="J19" s="10">
        <v>76.099999999999994</v>
      </c>
      <c r="K19" s="10">
        <f t="shared" si="1"/>
        <v>22.600212341022651</v>
      </c>
      <c r="L19" s="11">
        <v>0.3669</v>
      </c>
      <c r="M19" s="11">
        <v>3.2199999999999999E-2</v>
      </c>
      <c r="N19" s="11">
        <v>0.60409999999999997</v>
      </c>
      <c r="O19" s="8">
        <f t="shared" si="2"/>
        <v>5321.5429543374994</v>
      </c>
      <c r="P19" s="10"/>
      <c r="Q19" s="10"/>
      <c r="R19" s="10"/>
      <c r="S19" s="10"/>
      <c r="T19" s="8">
        <v>42.5</v>
      </c>
      <c r="U19" s="8">
        <v>40.1</v>
      </c>
      <c r="V19" s="11">
        <f t="shared" si="3"/>
        <v>309.24220557893443</v>
      </c>
      <c r="W19" s="8">
        <v>50</v>
      </c>
      <c r="X19" s="11">
        <f t="shared" si="4"/>
        <v>259.24220557893443</v>
      </c>
      <c r="Y19" s="8">
        <v>15991618455</v>
      </c>
      <c r="Z19" s="5" t="s">
        <v>40</v>
      </c>
      <c r="AA19" s="8">
        <v>90</v>
      </c>
    </row>
    <row r="20" spans="1:27">
      <c r="A20" s="8">
        <v>1613039</v>
      </c>
      <c r="B20" s="5" t="s">
        <v>197</v>
      </c>
      <c r="C20" s="5">
        <v>0.64</v>
      </c>
      <c r="D20" s="9">
        <v>2.4300000000000002</v>
      </c>
      <c r="E20" s="7">
        <v>6.43</v>
      </c>
      <c r="F20" s="5" t="s">
        <v>171</v>
      </c>
      <c r="G20" s="8">
        <v>30</v>
      </c>
      <c r="H20" s="10">
        <v>164</v>
      </c>
      <c r="I20" s="10">
        <f t="shared" si="0"/>
        <v>1.64</v>
      </c>
      <c r="J20" s="10">
        <v>63</v>
      </c>
      <c r="K20" s="10">
        <f t="shared" si="1"/>
        <v>23.423557406305772</v>
      </c>
      <c r="L20" s="11">
        <v>0.3669</v>
      </c>
      <c r="M20" s="11">
        <v>3.2199999999999999E-2</v>
      </c>
      <c r="N20" s="11">
        <v>0.60409999999999997</v>
      </c>
      <c r="O20" s="8">
        <f t="shared" si="2"/>
        <v>4251.0753535999993</v>
      </c>
      <c r="P20" s="10"/>
      <c r="Q20" s="10"/>
      <c r="R20" s="10"/>
      <c r="S20" s="10"/>
      <c r="T20" s="8">
        <v>44.1</v>
      </c>
      <c r="U20" s="8">
        <v>39.799999999999997</v>
      </c>
      <c r="V20" s="11">
        <f t="shared" si="3"/>
        <v>435.74789083385019</v>
      </c>
      <c r="W20" s="8">
        <v>50</v>
      </c>
      <c r="X20" s="11">
        <f t="shared" si="4"/>
        <v>385.74789083385019</v>
      </c>
      <c r="Y20" s="8">
        <v>13679228324</v>
      </c>
      <c r="Z20" s="5" t="s">
        <v>48</v>
      </c>
      <c r="AA20" s="8">
        <v>80</v>
      </c>
    </row>
    <row r="21" spans="1:27">
      <c r="A21" s="8">
        <v>1623855</v>
      </c>
      <c r="B21" s="8" t="s">
        <v>198</v>
      </c>
      <c r="C21" s="5">
        <v>0.68</v>
      </c>
      <c r="D21" s="9">
        <v>2.13</v>
      </c>
      <c r="E21" s="7">
        <v>3.86</v>
      </c>
      <c r="F21" s="5" t="s">
        <v>171</v>
      </c>
      <c r="G21" s="8">
        <v>36</v>
      </c>
      <c r="H21" s="10">
        <v>181.7</v>
      </c>
      <c r="I21" s="10">
        <f t="shared" si="0"/>
        <v>1.8169999999999999</v>
      </c>
      <c r="J21" s="10">
        <v>61.8</v>
      </c>
      <c r="K21" s="10">
        <f t="shared" si="1"/>
        <v>18.718826565831353</v>
      </c>
      <c r="L21" s="11">
        <v>0.3669</v>
      </c>
      <c r="M21" s="11">
        <v>3.2199999999999999E-2</v>
      </c>
      <c r="N21" s="11">
        <v>0.60409999999999997</v>
      </c>
      <c r="O21" s="8">
        <f t="shared" si="2"/>
        <v>4795.0217427197003</v>
      </c>
      <c r="P21" s="10"/>
      <c r="Q21" s="10"/>
      <c r="R21" s="10"/>
      <c r="S21" s="10"/>
      <c r="T21" s="11">
        <v>40.1</v>
      </c>
      <c r="U21" s="11">
        <v>37.5</v>
      </c>
      <c r="V21" s="11">
        <f t="shared" si="3"/>
        <v>321.31588997606258</v>
      </c>
      <c r="W21" s="8">
        <v>100</v>
      </c>
      <c r="X21" s="11">
        <f t="shared" si="4"/>
        <v>221.31588997606258</v>
      </c>
      <c r="Y21" s="8">
        <v>18392706586</v>
      </c>
      <c r="Z21" s="5" t="s">
        <v>40</v>
      </c>
      <c r="AA21" s="8">
        <v>60</v>
      </c>
    </row>
    <row r="22" spans="1:27">
      <c r="A22" s="8">
        <v>1625411</v>
      </c>
      <c r="B22" s="8" t="s">
        <v>199</v>
      </c>
      <c r="C22" s="5">
        <v>3.49</v>
      </c>
      <c r="D22" s="9">
        <v>5.84</v>
      </c>
      <c r="E22" s="7">
        <v>3</v>
      </c>
      <c r="F22" s="5" t="s">
        <v>171</v>
      </c>
      <c r="G22" s="8">
        <v>47</v>
      </c>
      <c r="H22" s="10">
        <v>156.19999999999999</v>
      </c>
      <c r="I22" s="10">
        <f t="shared" si="0"/>
        <v>1.5619999999999998</v>
      </c>
      <c r="J22" s="10">
        <v>59.1</v>
      </c>
      <c r="K22" s="10">
        <f t="shared" si="1"/>
        <v>24.222860150075174</v>
      </c>
      <c r="L22" s="11">
        <v>0.3669</v>
      </c>
      <c r="M22" s="11">
        <v>3.2199999999999999E-2</v>
      </c>
      <c r="N22" s="11">
        <v>0.60409999999999997</v>
      </c>
      <c r="O22" s="8">
        <f t="shared" si="2"/>
        <v>3905.3892287431995</v>
      </c>
      <c r="P22" s="10"/>
      <c r="Q22" s="10"/>
      <c r="R22" s="10"/>
      <c r="S22" s="10"/>
      <c r="T22" s="8">
        <v>41.8</v>
      </c>
      <c r="U22" s="11">
        <v>38.5</v>
      </c>
      <c r="V22" s="11">
        <f t="shared" si="3"/>
        <v>320.99089551313944</v>
      </c>
      <c r="W22" s="8">
        <v>100</v>
      </c>
      <c r="X22" s="11">
        <f t="shared" si="4"/>
        <v>220.99089551313944</v>
      </c>
      <c r="Y22" s="8">
        <v>13186077558</v>
      </c>
      <c r="Z22" s="5" t="s">
        <v>40</v>
      </c>
      <c r="AA22" s="8">
        <v>60</v>
      </c>
    </row>
    <row r="23" spans="1:27">
      <c r="A23" s="8">
        <v>1628544</v>
      </c>
      <c r="B23" s="8" t="s">
        <v>200</v>
      </c>
      <c r="C23" s="5">
        <v>1.21</v>
      </c>
      <c r="D23" s="9" t="s">
        <v>87</v>
      </c>
      <c r="E23" s="7">
        <v>6.54</v>
      </c>
      <c r="F23" s="5" t="s">
        <v>171</v>
      </c>
      <c r="G23" s="8">
        <v>47</v>
      </c>
      <c r="H23" s="10">
        <v>174.9</v>
      </c>
      <c r="I23" s="10">
        <f t="shared" si="0"/>
        <v>1.7490000000000001</v>
      </c>
      <c r="J23" s="10">
        <v>57.9</v>
      </c>
      <c r="K23" s="8">
        <f t="shared" si="1"/>
        <v>18.927747980468133</v>
      </c>
      <c r="L23" s="11">
        <v>0.3669</v>
      </c>
      <c r="M23" s="11">
        <v>3.2199999999999999E-2</v>
      </c>
      <c r="N23" s="11">
        <v>0.60409999999999997</v>
      </c>
      <c r="O23" s="8">
        <f t="shared" si="2"/>
        <v>4431.4657196080998</v>
      </c>
      <c r="P23" s="8"/>
      <c r="Q23" s="8"/>
      <c r="R23" s="8"/>
      <c r="S23" s="8"/>
      <c r="T23" s="8">
        <v>45.6</v>
      </c>
      <c r="U23" s="8">
        <v>38.5</v>
      </c>
      <c r="V23" s="8">
        <f t="shared" si="3"/>
        <v>748.2379693036271</v>
      </c>
      <c r="W23" s="8">
        <v>200</v>
      </c>
      <c r="X23" s="8">
        <f t="shared" si="4"/>
        <v>548.2379693036271</v>
      </c>
      <c r="Y23" s="8">
        <v>13772280300</v>
      </c>
      <c r="Z23" s="5" t="s">
        <v>40</v>
      </c>
      <c r="AA23" s="8">
        <v>90</v>
      </c>
    </row>
    <row r="24" spans="1:27">
      <c r="A24" s="8">
        <v>1602908</v>
      </c>
      <c r="B24" s="8" t="s">
        <v>201</v>
      </c>
      <c r="C24" s="8">
        <v>0.92</v>
      </c>
      <c r="D24" s="13">
        <v>2.79</v>
      </c>
      <c r="E24" s="7">
        <v>3.49</v>
      </c>
      <c r="F24" s="5" t="s">
        <v>171</v>
      </c>
      <c r="G24" s="8">
        <v>50</v>
      </c>
      <c r="H24" s="10">
        <v>174</v>
      </c>
      <c r="I24" s="10">
        <f t="shared" si="0"/>
        <v>1.74</v>
      </c>
      <c r="J24" s="10">
        <v>69.2</v>
      </c>
      <c r="K24" s="10">
        <f t="shared" si="1"/>
        <v>22.856387898005021</v>
      </c>
      <c r="L24" s="11">
        <v>0.3669</v>
      </c>
      <c r="M24" s="11">
        <v>3.2199999999999999E-2</v>
      </c>
      <c r="N24" s="11">
        <v>0.60409999999999997</v>
      </c>
      <c r="O24" s="8">
        <f t="shared" si="2"/>
        <v>4765.1780055999998</v>
      </c>
      <c r="P24" s="10"/>
      <c r="Q24" s="10"/>
      <c r="R24" s="10"/>
      <c r="S24" s="10"/>
      <c r="T24" s="8">
        <v>43.1</v>
      </c>
      <c r="U24" s="8">
        <v>41.4</v>
      </c>
      <c r="V24" s="11">
        <f t="shared" si="3"/>
        <v>191.73497300639085</v>
      </c>
      <c r="W24" s="8">
        <v>80</v>
      </c>
      <c r="X24" s="11">
        <f t="shared" si="4"/>
        <v>111.73497300639085</v>
      </c>
      <c r="Y24" s="8">
        <v>18066590977</v>
      </c>
      <c r="Z24" s="8" t="s">
        <v>40</v>
      </c>
      <c r="AA24" s="8">
        <v>90</v>
      </c>
    </row>
    <row r="25" spans="1:27">
      <c r="A25" s="8">
        <v>1609676</v>
      </c>
      <c r="B25" s="8" t="s">
        <v>202</v>
      </c>
      <c r="C25" s="5">
        <v>0.71</v>
      </c>
      <c r="D25" s="9">
        <v>2.12</v>
      </c>
      <c r="E25" s="7">
        <v>3.46</v>
      </c>
      <c r="F25" s="5" t="s">
        <v>171</v>
      </c>
      <c r="G25" s="8">
        <v>51</v>
      </c>
      <c r="H25" s="10">
        <v>161.6</v>
      </c>
      <c r="I25" s="10">
        <f t="shared" si="0"/>
        <v>1.6159999999999999</v>
      </c>
      <c r="J25" s="10">
        <v>50.4</v>
      </c>
      <c r="K25" s="10">
        <f t="shared" si="1"/>
        <v>19.299578472698759</v>
      </c>
      <c r="L25" s="11">
        <v>0.3669</v>
      </c>
      <c r="M25" s="11">
        <v>3.2199999999999999E-2</v>
      </c>
      <c r="N25" s="11">
        <v>0.60409999999999997</v>
      </c>
      <c r="O25" s="8">
        <f t="shared" si="2"/>
        <v>3775.3394215423996</v>
      </c>
      <c r="P25" s="10"/>
      <c r="Q25" s="10"/>
      <c r="R25" s="10"/>
      <c r="S25" s="10"/>
      <c r="T25" s="8">
        <v>46.3</v>
      </c>
      <c r="U25" s="8">
        <v>40.299999999999997</v>
      </c>
      <c r="V25" s="11">
        <f t="shared" si="3"/>
        <v>523.14172122989373</v>
      </c>
      <c r="W25" s="8">
        <v>100</v>
      </c>
      <c r="X25" s="11">
        <f t="shared" si="4"/>
        <v>423.14172122989373</v>
      </c>
      <c r="Y25" s="8">
        <v>13835894716</v>
      </c>
      <c r="Z25" s="5" t="s">
        <v>48</v>
      </c>
      <c r="AA25" s="8">
        <v>90</v>
      </c>
    </row>
    <row r="26" spans="1:27">
      <c r="A26" s="8">
        <v>1608871</v>
      </c>
      <c r="B26" s="8" t="s">
        <v>203</v>
      </c>
      <c r="C26" s="5">
        <v>0.89</v>
      </c>
      <c r="D26" s="9">
        <v>3.46</v>
      </c>
      <c r="E26" s="7">
        <v>2.4300000000000002</v>
      </c>
      <c r="F26" s="5" t="s">
        <v>171</v>
      </c>
      <c r="G26" s="8">
        <v>51</v>
      </c>
      <c r="H26" s="10">
        <v>156.19999999999999</v>
      </c>
      <c r="I26" s="10">
        <f t="shared" si="0"/>
        <v>1.5619999999999998</v>
      </c>
      <c r="J26" s="10">
        <v>58.3</v>
      </c>
      <c r="K26" s="10">
        <f t="shared" si="1"/>
        <v>23.89497033416891</v>
      </c>
      <c r="L26" s="11">
        <v>0.3669</v>
      </c>
      <c r="M26" s="11">
        <v>3.2199999999999999E-2</v>
      </c>
      <c r="N26" s="11">
        <v>0.60409999999999997</v>
      </c>
      <c r="O26" s="8">
        <f t="shared" si="2"/>
        <v>3879.6292287431993</v>
      </c>
      <c r="P26" s="10"/>
      <c r="Q26" s="10"/>
      <c r="R26" s="10"/>
      <c r="S26" s="10"/>
      <c r="T26" s="8">
        <v>46</v>
      </c>
      <c r="U26" s="8">
        <v>42.3</v>
      </c>
      <c r="V26" s="11">
        <f t="shared" si="3"/>
        <v>325.13314034767495</v>
      </c>
      <c r="W26" s="8">
        <v>80</v>
      </c>
      <c r="X26" s="11">
        <f t="shared" si="4"/>
        <v>245.13314034767495</v>
      </c>
      <c r="Y26" s="8">
        <v>13893830624</v>
      </c>
      <c r="Z26" s="5" t="s">
        <v>48</v>
      </c>
      <c r="AA26" s="8">
        <v>65</v>
      </c>
    </row>
    <row r="27" spans="1:27" ht="15.6" customHeight="1">
      <c r="A27" s="8">
        <v>1614193</v>
      </c>
      <c r="B27" s="8" t="s">
        <v>204</v>
      </c>
      <c r="C27" s="5">
        <v>1.46</v>
      </c>
      <c r="D27" s="9">
        <v>3.31</v>
      </c>
      <c r="E27" s="12">
        <v>4.6500000000000004</v>
      </c>
      <c r="F27" s="5" t="s">
        <v>171</v>
      </c>
      <c r="G27" s="8">
        <v>56</v>
      </c>
      <c r="H27" s="10">
        <v>161.9</v>
      </c>
      <c r="I27" s="10">
        <f t="shared" si="0"/>
        <v>1.619</v>
      </c>
      <c r="J27" s="10">
        <v>54</v>
      </c>
      <c r="K27" s="10">
        <f t="shared" si="1"/>
        <v>20.60155785928449</v>
      </c>
      <c r="L27" s="11">
        <v>0.3669</v>
      </c>
      <c r="M27" s="11">
        <v>3.2199999999999999E-2</v>
      </c>
      <c r="N27" s="11">
        <v>0.60409999999999997</v>
      </c>
      <c r="O27" s="8">
        <f t="shared" si="2"/>
        <v>3899.8987288870999</v>
      </c>
      <c r="P27" s="10"/>
      <c r="Q27" s="10"/>
      <c r="R27" s="10"/>
      <c r="S27" s="10"/>
      <c r="T27" s="8">
        <v>43.3</v>
      </c>
      <c r="U27" s="11">
        <v>40.1</v>
      </c>
      <c r="V27" s="11">
        <f t="shared" si="3"/>
        <v>299.27280413522067</v>
      </c>
      <c r="W27" s="8">
        <v>100</v>
      </c>
      <c r="X27" s="11">
        <f t="shared" si="4"/>
        <v>199.27280413522067</v>
      </c>
      <c r="Y27" s="8">
        <v>13830413563</v>
      </c>
      <c r="Z27" s="5" t="s">
        <v>49</v>
      </c>
      <c r="AA27" s="8">
        <v>90</v>
      </c>
    </row>
    <row r="28" spans="1:27">
      <c r="A28" s="8">
        <v>1622000</v>
      </c>
      <c r="B28" s="8" t="s">
        <v>205</v>
      </c>
      <c r="C28" s="5">
        <v>5.25</v>
      </c>
      <c r="D28" s="9">
        <v>6.43</v>
      </c>
      <c r="E28" s="7">
        <v>2.48</v>
      </c>
      <c r="F28" s="5" t="s">
        <v>171</v>
      </c>
      <c r="G28" s="8">
        <v>27</v>
      </c>
      <c r="H28" s="10">
        <v>158.1</v>
      </c>
      <c r="I28" s="10">
        <f t="shared" si="0"/>
        <v>1.581</v>
      </c>
      <c r="J28" s="10">
        <v>56.1</v>
      </c>
      <c r="K28" s="10">
        <f t="shared" si="1"/>
        <v>22.443941156067005</v>
      </c>
      <c r="L28" s="11">
        <v>0.3669</v>
      </c>
      <c r="M28" s="11">
        <v>3.2199999999999999E-2</v>
      </c>
      <c r="N28" s="11">
        <v>0.60409999999999997</v>
      </c>
      <c r="O28" s="8">
        <f t="shared" si="2"/>
        <v>3860.4375997529</v>
      </c>
      <c r="P28" s="10"/>
      <c r="Q28" s="10"/>
      <c r="R28" s="10"/>
      <c r="S28" s="10"/>
      <c r="T28" s="11">
        <v>40.1</v>
      </c>
      <c r="U28" s="11">
        <v>36.5</v>
      </c>
      <c r="V28" s="11">
        <f t="shared" si="3"/>
        <v>362.86097543369311</v>
      </c>
      <c r="W28" s="8">
        <v>50</v>
      </c>
      <c r="X28" s="11">
        <f t="shared" si="4"/>
        <v>312.86097543369311</v>
      </c>
      <c r="Y28" s="8">
        <v>13649236216</v>
      </c>
      <c r="Z28" s="5" t="s">
        <v>46</v>
      </c>
      <c r="AA28" s="8">
        <v>90</v>
      </c>
    </row>
    <row r="29" spans="1:27">
      <c r="A29" s="8">
        <v>1608748</v>
      </c>
      <c r="B29" s="8" t="s">
        <v>206</v>
      </c>
      <c r="C29" s="5">
        <v>1.78</v>
      </c>
      <c r="D29" s="9">
        <v>5.38</v>
      </c>
      <c r="E29" s="7">
        <v>6.73</v>
      </c>
      <c r="F29" s="5" t="s">
        <v>171</v>
      </c>
      <c r="G29" s="8">
        <v>40</v>
      </c>
      <c r="H29" s="10">
        <v>169</v>
      </c>
      <c r="I29" s="10">
        <f t="shared" si="0"/>
        <v>1.69</v>
      </c>
      <c r="J29" s="10">
        <v>59.6</v>
      </c>
      <c r="K29" s="10">
        <f t="shared" si="1"/>
        <v>20.867616680088236</v>
      </c>
      <c r="L29" s="11">
        <v>0.3669</v>
      </c>
      <c r="M29" s="11">
        <v>3.2199999999999999E-2</v>
      </c>
      <c r="N29" s="11">
        <v>0.60409999999999997</v>
      </c>
      <c r="O29" s="8">
        <f t="shared" si="2"/>
        <v>4294.1762220999999</v>
      </c>
      <c r="P29" s="10"/>
      <c r="Q29" s="10"/>
      <c r="R29" s="10"/>
      <c r="S29" s="10"/>
      <c r="T29" s="8">
        <v>41.8</v>
      </c>
      <c r="U29" s="8">
        <v>38.6</v>
      </c>
      <c r="V29" s="11">
        <f t="shared" si="3"/>
        <v>341.82497290348209</v>
      </c>
      <c r="W29" s="8">
        <v>50</v>
      </c>
      <c r="X29" s="11">
        <f t="shared" si="4"/>
        <v>291.82497290348209</v>
      </c>
      <c r="Y29" s="8">
        <v>13572921257</v>
      </c>
      <c r="Z29" s="5" t="s">
        <v>46</v>
      </c>
      <c r="AA29" s="8">
        <v>110</v>
      </c>
    </row>
    <row r="30" spans="1:27">
      <c r="A30" s="8">
        <v>1607285</v>
      </c>
      <c r="B30" s="5" t="s">
        <v>207</v>
      </c>
      <c r="C30" s="5">
        <v>3.78</v>
      </c>
      <c r="D30" s="9">
        <v>6.73</v>
      </c>
      <c r="E30" s="7">
        <v>2</v>
      </c>
      <c r="F30" s="5" t="s">
        <v>171</v>
      </c>
      <c r="G30" s="8">
        <v>40</v>
      </c>
      <c r="H30" s="10">
        <v>167.5</v>
      </c>
      <c r="I30" s="10">
        <f t="shared" si="0"/>
        <v>1.675</v>
      </c>
      <c r="J30" s="10">
        <v>72.2</v>
      </c>
      <c r="K30" s="10">
        <f t="shared" si="1"/>
        <v>25.734016484740476</v>
      </c>
      <c r="L30" s="11">
        <v>0.3669</v>
      </c>
      <c r="M30" s="11">
        <v>3.2199999999999999E-2</v>
      </c>
      <c r="N30" s="11">
        <v>0.60409999999999997</v>
      </c>
      <c r="O30" s="8">
        <f t="shared" si="2"/>
        <v>4653.1578859374995</v>
      </c>
      <c r="P30" s="10"/>
      <c r="Q30" s="10"/>
      <c r="R30" s="10"/>
      <c r="S30" s="10"/>
      <c r="T30" s="11">
        <v>39.799999999999997</v>
      </c>
      <c r="U30" s="11">
        <v>37.200000000000003</v>
      </c>
      <c r="V30" s="11">
        <f t="shared" si="3"/>
        <v>314.23923385551876</v>
      </c>
      <c r="W30" s="8">
        <v>50</v>
      </c>
      <c r="X30" s="11">
        <f t="shared" si="4"/>
        <v>264.23923385551876</v>
      </c>
      <c r="Y30" s="8">
        <v>18220329526</v>
      </c>
      <c r="Z30" s="5" t="s">
        <v>50</v>
      </c>
      <c r="AA30" s="8">
        <v>120</v>
      </c>
    </row>
    <row r="31" spans="1:27">
      <c r="A31" s="8">
        <v>1637232</v>
      </c>
      <c r="B31" s="5" t="s">
        <v>208</v>
      </c>
      <c r="C31" s="5">
        <v>1.21</v>
      </c>
      <c r="D31" s="9" t="s">
        <v>83</v>
      </c>
      <c r="E31" s="7">
        <v>3.3</v>
      </c>
      <c r="F31" s="5" t="s">
        <v>171</v>
      </c>
      <c r="G31" s="8">
        <v>44</v>
      </c>
      <c r="H31" s="10">
        <v>161.6</v>
      </c>
      <c r="I31" s="10">
        <f t="shared" si="0"/>
        <v>1.6159999999999999</v>
      </c>
      <c r="J31" s="10">
        <v>50.4</v>
      </c>
      <c r="K31" s="8">
        <f t="shared" si="1"/>
        <v>19.299578472698759</v>
      </c>
      <c r="L31" s="11">
        <v>0.3669</v>
      </c>
      <c r="M31" s="11">
        <v>3.2199999999999999E-2</v>
      </c>
      <c r="N31" s="11">
        <v>0.60409999999999997</v>
      </c>
      <c r="O31" s="8">
        <f t="shared" si="2"/>
        <v>3775.3394215423996</v>
      </c>
      <c r="P31" s="8"/>
      <c r="Q31" s="8"/>
      <c r="R31" s="8"/>
      <c r="S31" s="8"/>
      <c r="T31" s="8">
        <v>40</v>
      </c>
      <c r="U31" s="8">
        <v>32.5</v>
      </c>
      <c r="V31" s="8">
        <f t="shared" si="3"/>
        <v>781.10470790532406</v>
      </c>
      <c r="W31" s="8">
        <v>200</v>
      </c>
      <c r="X31" s="8">
        <f t="shared" si="4"/>
        <v>581.10470790532406</v>
      </c>
      <c r="Y31" s="8">
        <v>15991387874</v>
      </c>
      <c r="Z31" s="5" t="s">
        <v>41</v>
      </c>
      <c r="AA31" s="8">
        <v>140</v>
      </c>
    </row>
    <row r="32" spans="1:27">
      <c r="A32" s="8">
        <v>1627895</v>
      </c>
      <c r="B32" s="8" t="s">
        <v>209</v>
      </c>
      <c r="C32" s="5">
        <v>1.65</v>
      </c>
      <c r="D32" s="9">
        <v>4.21</v>
      </c>
      <c r="E32" s="7">
        <v>4.95</v>
      </c>
      <c r="F32" s="5" t="s">
        <v>171</v>
      </c>
      <c r="G32" s="8">
        <v>49</v>
      </c>
      <c r="H32" s="10">
        <v>171.9</v>
      </c>
      <c r="I32" s="10">
        <f t="shared" si="0"/>
        <v>1.7190000000000001</v>
      </c>
      <c r="J32" s="10">
        <v>62.3</v>
      </c>
      <c r="K32" s="10">
        <f t="shared" si="1"/>
        <v>21.083188576769707</v>
      </c>
      <c r="L32" s="11">
        <v>0.3669</v>
      </c>
      <c r="M32" s="11">
        <v>3.2199999999999999E-2</v>
      </c>
      <c r="N32" s="11">
        <v>0.60409999999999997</v>
      </c>
      <c r="O32" s="8">
        <f t="shared" si="2"/>
        <v>4473.8571531570997</v>
      </c>
      <c r="P32" s="10"/>
      <c r="Q32" s="10"/>
      <c r="R32" s="10"/>
      <c r="S32" s="10"/>
      <c r="T32" s="8">
        <v>39.200000000000003</v>
      </c>
      <c r="U32" s="11">
        <v>37.200000000000003</v>
      </c>
      <c r="V32" s="11">
        <f t="shared" si="3"/>
        <v>234.23335880403661</v>
      </c>
      <c r="W32" s="8">
        <v>100</v>
      </c>
      <c r="X32" s="11">
        <f t="shared" si="4"/>
        <v>134.23335880403661</v>
      </c>
      <c r="Y32" s="8">
        <v>15399392642</v>
      </c>
      <c r="Z32" s="5" t="s">
        <v>46</v>
      </c>
      <c r="AA32" s="8">
        <v>60</v>
      </c>
    </row>
    <row r="33" spans="1:31">
      <c r="A33" s="8">
        <v>1621354</v>
      </c>
      <c r="B33" s="5" t="s">
        <v>210</v>
      </c>
      <c r="C33" s="5">
        <v>1.26</v>
      </c>
      <c r="D33" s="9" t="s">
        <v>93</v>
      </c>
      <c r="E33" s="7">
        <v>3.3</v>
      </c>
      <c r="F33" s="5" t="s">
        <v>171</v>
      </c>
      <c r="G33" s="8">
        <v>58</v>
      </c>
      <c r="H33" s="10">
        <v>177.8</v>
      </c>
      <c r="I33" s="10">
        <f t="shared" si="0"/>
        <v>1.778</v>
      </c>
      <c r="J33" s="10">
        <v>52.6</v>
      </c>
      <c r="K33" s="8">
        <f t="shared" si="1"/>
        <v>16.638808787821656</v>
      </c>
      <c r="L33" s="11">
        <v>0.3669</v>
      </c>
      <c r="M33" s="11">
        <v>3.2199999999999999E-2</v>
      </c>
      <c r="N33" s="11">
        <v>0.60409999999999997</v>
      </c>
      <c r="O33" s="8">
        <f t="shared" si="2"/>
        <v>4360.0779270887997</v>
      </c>
      <c r="P33" s="8"/>
      <c r="Q33" s="8"/>
      <c r="R33" s="8"/>
      <c r="S33" s="8"/>
      <c r="T33" s="8">
        <v>45.3</v>
      </c>
      <c r="U33" s="8">
        <v>41.4</v>
      </c>
      <c r="V33" s="8">
        <f t="shared" si="3"/>
        <v>392.25614568964971</v>
      </c>
      <c r="W33" s="8">
        <v>100</v>
      </c>
      <c r="X33" s="8">
        <f t="shared" si="4"/>
        <v>292.25614568964971</v>
      </c>
      <c r="Y33" s="8">
        <v>18066750168</v>
      </c>
      <c r="Z33" s="5" t="s">
        <v>46</v>
      </c>
      <c r="AA33" s="8">
        <v>145</v>
      </c>
    </row>
    <row r="34" spans="1:31">
      <c r="A34" s="8">
        <v>1616185</v>
      </c>
      <c r="B34" s="8" t="s">
        <v>211</v>
      </c>
      <c r="C34" s="5">
        <v>3.78</v>
      </c>
      <c r="D34" s="9">
        <v>3.92</v>
      </c>
      <c r="E34" s="7">
        <v>3</v>
      </c>
      <c r="F34" s="5" t="s">
        <v>171</v>
      </c>
      <c r="G34" s="8">
        <v>59</v>
      </c>
      <c r="H34" s="10">
        <v>156.5</v>
      </c>
      <c r="I34" s="10">
        <f t="shared" ref="I34:I60" si="5">H34/100</f>
        <v>1.5649999999999999</v>
      </c>
      <c r="J34" s="10">
        <v>50.4</v>
      </c>
      <c r="K34" s="10">
        <f t="shared" ref="K34:K60" si="6">J34/I34/I34</f>
        <v>20.577937919137689</v>
      </c>
      <c r="L34" s="11">
        <v>0.3669</v>
      </c>
      <c r="M34" s="11">
        <v>3.2199999999999999E-2</v>
      </c>
      <c r="N34" s="11">
        <v>0.60409999999999997</v>
      </c>
      <c r="O34" s="8">
        <f t="shared" si="2"/>
        <v>3633.3213211624998</v>
      </c>
      <c r="P34" s="10"/>
      <c r="Q34" s="10"/>
      <c r="R34" s="10"/>
      <c r="S34" s="10"/>
      <c r="T34" s="8">
        <v>39.4</v>
      </c>
      <c r="U34" s="8">
        <v>33.5</v>
      </c>
      <c r="V34" s="11">
        <f t="shared" si="3"/>
        <v>588.10962400161156</v>
      </c>
      <c r="W34" s="8">
        <v>100</v>
      </c>
      <c r="X34" s="11">
        <f t="shared" ref="X34:X60" si="7">V34-W34</f>
        <v>488.10962400161156</v>
      </c>
      <c r="Y34" s="8">
        <v>13991202160</v>
      </c>
      <c r="Z34" s="5" t="s">
        <v>50</v>
      </c>
      <c r="AA34" s="8">
        <v>115</v>
      </c>
    </row>
    <row r="35" spans="1:31" s="1" customFormat="1">
      <c r="A35" s="8">
        <v>1645121</v>
      </c>
      <c r="B35" s="8" t="s">
        <v>212</v>
      </c>
      <c r="C35" s="5">
        <v>1.1200000000000001</v>
      </c>
      <c r="D35" s="9" t="s">
        <v>79</v>
      </c>
      <c r="E35" s="7">
        <v>3.87</v>
      </c>
      <c r="F35" s="5" t="s">
        <v>175</v>
      </c>
      <c r="G35" s="8">
        <v>28</v>
      </c>
      <c r="H35" s="10">
        <v>162.1</v>
      </c>
      <c r="I35" s="10">
        <f t="shared" si="5"/>
        <v>1.621</v>
      </c>
      <c r="J35" s="10">
        <v>50.7</v>
      </c>
      <c r="K35" s="8">
        <f t="shared" si="6"/>
        <v>19.294873234205131</v>
      </c>
      <c r="L35" s="8"/>
      <c r="M35" s="8"/>
      <c r="N35" s="8"/>
      <c r="O35" s="8"/>
      <c r="P35" s="11">
        <v>0.35610000000000003</v>
      </c>
      <c r="Q35" s="11">
        <v>3.3099999999999997E-2</v>
      </c>
      <c r="R35" s="11">
        <v>0.18329999999999999</v>
      </c>
      <c r="S35" s="8">
        <f t="shared" ref="S35:S60" si="8">(P35*I35*I35*I35+Q35*J35+R35)*1000</f>
        <v>3378.2444983220998</v>
      </c>
      <c r="T35" s="8">
        <v>41.1</v>
      </c>
      <c r="U35" s="8">
        <v>33.799999999999997</v>
      </c>
      <c r="V35" s="8">
        <f t="shared" ref="V35:V60" si="9">2*S35*(T35-U35)/(T35+U35)</f>
        <v>658.50960848468196</v>
      </c>
      <c r="W35" s="8">
        <v>150</v>
      </c>
      <c r="X35" s="8">
        <f t="shared" si="7"/>
        <v>508.50960848468196</v>
      </c>
      <c r="Y35" s="8">
        <v>18294340825</v>
      </c>
      <c r="Z35" s="5" t="s">
        <v>42</v>
      </c>
      <c r="AA35" s="8">
        <v>130</v>
      </c>
      <c r="AB35"/>
      <c r="AC35"/>
      <c r="AD35"/>
      <c r="AE35"/>
    </row>
    <row r="36" spans="1:31">
      <c r="A36" s="8">
        <v>1606929</v>
      </c>
      <c r="B36" s="8" t="s">
        <v>213</v>
      </c>
      <c r="C36" s="8">
        <v>0.76</v>
      </c>
      <c r="D36" s="9" t="s">
        <v>86</v>
      </c>
      <c r="E36" s="7">
        <v>5.84</v>
      </c>
      <c r="F36" s="5" t="s">
        <v>175</v>
      </c>
      <c r="G36" s="8">
        <v>46</v>
      </c>
      <c r="H36" s="10">
        <v>158.5</v>
      </c>
      <c r="I36" s="10">
        <f t="shared" si="5"/>
        <v>1.585</v>
      </c>
      <c r="J36" s="10">
        <v>66.2</v>
      </c>
      <c r="K36" s="10">
        <f t="shared" si="6"/>
        <v>26.351142911164409</v>
      </c>
      <c r="L36" s="10"/>
      <c r="M36" s="10"/>
      <c r="N36" s="10"/>
      <c r="O36" s="10"/>
      <c r="P36" s="11">
        <v>0.35610000000000003</v>
      </c>
      <c r="Q36" s="11">
        <v>3.3099999999999997E-2</v>
      </c>
      <c r="R36" s="11">
        <v>0.18329999999999999</v>
      </c>
      <c r="S36" s="8">
        <f t="shared" si="8"/>
        <v>3792.4662661625002</v>
      </c>
      <c r="T36" s="8">
        <v>44.7</v>
      </c>
      <c r="U36" s="8">
        <v>41.2</v>
      </c>
      <c r="V36" s="11">
        <f t="shared" si="9"/>
        <v>309.0484733776193</v>
      </c>
      <c r="W36" s="8">
        <v>100</v>
      </c>
      <c r="X36" s="11">
        <f t="shared" si="7"/>
        <v>209.0484733776193</v>
      </c>
      <c r="Y36" s="8">
        <v>13571968156</v>
      </c>
      <c r="Z36" s="5" t="s">
        <v>42</v>
      </c>
      <c r="AA36" s="8">
        <v>75</v>
      </c>
    </row>
    <row r="37" spans="1:31">
      <c r="A37" s="8">
        <v>1627931</v>
      </c>
      <c r="B37" s="8" t="s">
        <v>214</v>
      </c>
      <c r="C37" s="5">
        <v>3.44</v>
      </c>
      <c r="D37" s="9">
        <v>6.54</v>
      </c>
      <c r="E37" s="7">
        <v>3.43</v>
      </c>
      <c r="F37" s="5" t="s">
        <v>175</v>
      </c>
      <c r="G37" s="8">
        <v>47</v>
      </c>
      <c r="H37" s="10">
        <v>167.4</v>
      </c>
      <c r="I37" s="10">
        <f t="shared" si="5"/>
        <v>1.6740000000000002</v>
      </c>
      <c r="J37" s="10">
        <v>60.099999999999994</v>
      </c>
      <c r="K37" s="10">
        <f t="shared" si="6"/>
        <v>21.446852487049807</v>
      </c>
      <c r="L37" s="10"/>
      <c r="M37" s="10"/>
      <c r="N37" s="10"/>
      <c r="O37" s="10"/>
      <c r="P37" s="11">
        <v>0.35610000000000003</v>
      </c>
      <c r="Q37" s="11">
        <v>3.3099999999999997E-2</v>
      </c>
      <c r="R37" s="11">
        <v>0.18329999999999999</v>
      </c>
      <c r="S37" s="8">
        <f t="shared" si="8"/>
        <v>3843.0786695464003</v>
      </c>
      <c r="T37" s="8">
        <v>38.799999999999997</v>
      </c>
      <c r="U37" s="8">
        <v>35.9</v>
      </c>
      <c r="V37" s="11">
        <f t="shared" si="9"/>
        <v>298.39165037977392</v>
      </c>
      <c r="W37" s="8">
        <v>100</v>
      </c>
      <c r="X37" s="11">
        <f t="shared" si="7"/>
        <v>198.39165037977392</v>
      </c>
      <c r="Y37" s="8">
        <v>18706833791</v>
      </c>
      <c r="Z37" s="5" t="s">
        <v>42</v>
      </c>
      <c r="AA37" s="8">
        <v>90</v>
      </c>
    </row>
    <row r="38" spans="1:31">
      <c r="A38" s="8">
        <v>1641990</v>
      </c>
      <c r="B38" s="5" t="s">
        <v>215</v>
      </c>
      <c r="C38" s="5">
        <v>0.88</v>
      </c>
      <c r="D38" s="9" t="s">
        <v>88</v>
      </c>
      <c r="E38" s="7">
        <v>4.21</v>
      </c>
      <c r="F38" s="5" t="s">
        <v>175</v>
      </c>
      <c r="G38" s="8">
        <v>48</v>
      </c>
      <c r="H38" s="10">
        <v>169.8</v>
      </c>
      <c r="I38" s="10">
        <f t="shared" si="5"/>
        <v>1.6980000000000002</v>
      </c>
      <c r="J38" s="10">
        <v>53.5</v>
      </c>
      <c r="K38" s="8">
        <f t="shared" si="6"/>
        <v>18.555745621884537</v>
      </c>
      <c r="L38" s="8"/>
      <c r="M38" s="8"/>
      <c r="N38" s="8"/>
      <c r="O38" s="8"/>
      <c r="P38" s="11">
        <v>0.35610000000000003</v>
      </c>
      <c r="Q38" s="11">
        <v>3.3099999999999997E-2</v>
      </c>
      <c r="R38" s="11">
        <v>0.18329999999999999</v>
      </c>
      <c r="S38" s="8">
        <f t="shared" si="8"/>
        <v>3697.5017875912008</v>
      </c>
      <c r="T38" s="8">
        <v>40.1</v>
      </c>
      <c r="U38" s="8">
        <v>36.799999999999997</v>
      </c>
      <c r="V38" s="8">
        <f t="shared" si="9"/>
        <v>317.34085563201501</v>
      </c>
      <c r="W38" s="8">
        <v>80</v>
      </c>
      <c r="X38" s="8">
        <f t="shared" si="7"/>
        <v>237.34085563201501</v>
      </c>
      <c r="Y38" s="8">
        <v>13991814444</v>
      </c>
      <c r="Z38" s="5" t="s">
        <v>42</v>
      </c>
      <c r="AA38" s="8">
        <v>110</v>
      </c>
    </row>
    <row r="39" spans="1:31">
      <c r="A39" s="8">
        <v>1601048</v>
      </c>
      <c r="B39" s="8" t="s">
        <v>216</v>
      </c>
      <c r="C39" s="5">
        <v>1.31</v>
      </c>
      <c r="D39" s="9" t="s">
        <v>90</v>
      </c>
      <c r="E39" s="12">
        <v>3.54</v>
      </c>
      <c r="F39" s="5" t="s">
        <v>175</v>
      </c>
      <c r="G39" s="8">
        <v>49</v>
      </c>
      <c r="H39" s="10">
        <v>157.1</v>
      </c>
      <c r="I39" s="10">
        <f t="shared" si="5"/>
        <v>1.571</v>
      </c>
      <c r="J39" s="10">
        <v>50.2</v>
      </c>
      <c r="K39" s="8">
        <f t="shared" si="6"/>
        <v>20.340018662574895</v>
      </c>
      <c r="L39" s="8"/>
      <c r="M39" s="8"/>
      <c r="N39" s="8"/>
      <c r="O39" s="8"/>
      <c r="P39" s="11">
        <v>0.35610000000000003</v>
      </c>
      <c r="Q39" s="11">
        <v>3.3099999999999997E-2</v>
      </c>
      <c r="R39" s="11">
        <v>0.18329999999999999</v>
      </c>
      <c r="S39" s="8">
        <f t="shared" si="8"/>
        <v>3225.6238275571</v>
      </c>
      <c r="T39" s="8">
        <v>39.5</v>
      </c>
      <c r="U39" s="8">
        <v>30.1</v>
      </c>
      <c r="V39" s="8">
        <f t="shared" si="9"/>
        <v>871.28919479990623</v>
      </c>
      <c r="W39" s="8">
        <v>200</v>
      </c>
      <c r="X39" s="8">
        <f t="shared" si="7"/>
        <v>671.28919479990623</v>
      </c>
      <c r="Y39" s="8">
        <v>15829019196</v>
      </c>
      <c r="Z39" s="8" t="s">
        <v>42</v>
      </c>
      <c r="AA39" s="8">
        <v>80</v>
      </c>
    </row>
    <row r="40" spans="1:31">
      <c r="A40" s="8">
        <v>1603770</v>
      </c>
      <c r="B40" s="8" t="s">
        <v>217</v>
      </c>
      <c r="C40" s="8">
        <v>1.76</v>
      </c>
      <c r="D40" s="13">
        <v>5.43</v>
      </c>
      <c r="E40" s="12">
        <v>3.87</v>
      </c>
      <c r="F40" s="5" t="s">
        <v>175</v>
      </c>
      <c r="G40" s="8">
        <v>54</v>
      </c>
      <c r="H40" s="10">
        <v>164.2</v>
      </c>
      <c r="I40" s="10">
        <f t="shared" si="5"/>
        <v>1.6419999999999999</v>
      </c>
      <c r="J40" s="10">
        <v>58.9</v>
      </c>
      <c r="K40" s="10">
        <f t="shared" si="6"/>
        <v>21.845852106919317</v>
      </c>
      <c r="L40" s="10"/>
      <c r="M40" s="10"/>
      <c r="N40" s="10"/>
      <c r="O40" s="10"/>
      <c r="P40" s="11">
        <v>0.35610000000000003</v>
      </c>
      <c r="Q40" s="11">
        <v>3.3099999999999997E-2</v>
      </c>
      <c r="R40" s="11">
        <v>0.18329999999999999</v>
      </c>
      <c r="S40" s="8">
        <f t="shared" si="8"/>
        <v>3709.3807686567998</v>
      </c>
      <c r="T40" s="8">
        <v>47.4</v>
      </c>
      <c r="U40" s="8">
        <v>45.2</v>
      </c>
      <c r="V40" s="11">
        <f t="shared" si="9"/>
        <v>176.25567367267698</v>
      </c>
      <c r="W40" s="8">
        <v>30</v>
      </c>
      <c r="X40" s="11">
        <f t="shared" si="7"/>
        <v>146.25567367267698</v>
      </c>
      <c r="Y40" s="8">
        <v>13402981106</v>
      </c>
      <c r="Z40" s="5" t="s">
        <v>44</v>
      </c>
      <c r="AA40" s="8">
        <v>90</v>
      </c>
    </row>
    <row r="41" spans="1:31">
      <c r="A41" s="8">
        <v>1603895</v>
      </c>
      <c r="B41" s="8" t="s">
        <v>218</v>
      </c>
      <c r="C41" s="8">
        <v>1.52</v>
      </c>
      <c r="D41" s="13">
        <v>3.87</v>
      </c>
      <c r="E41" s="12">
        <v>4.93</v>
      </c>
      <c r="F41" s="5" t="s">
        <v>175</v>
      </c>
      <c r="G41" s="8">
        <v>55</v>
      </c>
      <c r="H41" s="10">
        <v>161.9</v>
      </c>
      <c r="I41" s="10">
        <f t="shared" si="5"/>
        <v>1.619</v>
      </c>
      <c r="J41" s="10">
        <v>55.7</v>
      </c>
      <c r="K41" s="10">
        <f t="shared" si="6"/>
        <v>21.250125421521229</v>
      </c>
      <c r="L41" s="10"/>
      <c r="M41" s="10"/>
      <c r="N41" s="10"/>
      <c r="O41" s="10"/>
      <c r="P41" s="11">
        <v>0.35610000000000003</v>
      </c>
      <c r="Q41" s="11">
        <v>3.3099999999999997E-2</v>
      </c>
      <c r="R41" s="11">
        <v>0.18329999999999999</v>
      </c>
      <c r="S41" s="8">
        <f t="shared" si="8"/>
        <v>3538.1372045699</v>
      </c>
      <c r="T41" s="8">
        <v>48.7</v>
      </c>
      <c r="U41" s="8">
        <v>45.2</v>
      </c>
      <c r="V41" s="11">
        <f t="shared" si="9"/>
        <v>263.75889703928965</v>
      </c>
      <c r="W41" s="8">
        <v>50</v>
      </c>
      <c r="X41" s="11">
        <f t="shared" si="7"/>
        <v>213.75889703928965</v>
      </c>
      <c r="Y41" s="8">
        <v>13909248938</v>
      </c>
      <c r="Z41" s="5" t="s">
        <v>42</v>
      </c>
      <c r="AA41" s="8">
        <v>90</v>
      </c>
    </row>
    <row r="42" spans="1:31">
      <c r="A42" s="8">
        <v>1629529</v>
      </c>
      <c r="B42" s="8" t="s">
        <v>219</v>
      </c>
      <c r="C42" s="5">
        <v>1.78</v>
      </c>
      <c r="D42" s="9">
        <v>6.67</v>
      </c>
      <c r="E42" s="12">
        <v>3.43</v>
      </c>
      <c r="F42" s="5" t="s">
        <v>175</v>
      </c>
      <c r="G42" s="8">
        <v>57</v>
      </c>
      <c r="H42" s="10">
        <v>163.30000000000001</v>
      </c>
      <c r="I42" s="10">
        <f t="shared" si="5"/>
        <v>1.633</v>
      </c>
      <c r="J42" s="10">
        <v>52.1</v>
      </c>
      <c r="K42" s="10">
        <f t="shared" si="6"/>
        <v>19.537336374807861</v>
      </c>
      <c r="L42" s="10"/>
      <c r="M42" s="10"/>
      <c r="N42" s="10"/>
      <c r="O42" s="10"/>
      <c r="P42" s="11">
        <v>0.35610000000000003</v>
      </c>
      <c r="Q42" s="11">
        <v>3.3099999999999997E-2</v>
      </c>
      <c r="R42" s="11">
        <v>0.18329999999999999</v>
      </c>
      <c r="S42" s="8">
        <f t="shared" si="8"/>
        <v>3458.5197870857005</v>
      </c>
      <c r="T42" s="11">
        <v>38.6</v>
      </c>
      <c r="U42" s="11">
        <v>35.4</v>
      </c>
      <c r="V42" s="11">
        <f t="shared" si="9"/>
        <v>299.11522482903382</v>
      </c>
      <c r="W42" s="8">
        <v>30</v>
      </c>
      <c r="X42" s="11">
        <f t="shared" si="7"/>
        <v>269.11522482903382</v>
      </c>
      <c r="Y42" s="8">
        <v>18609818499</v>
      </c>
      <c r="Z42" s="5" t="s">
        <v>45</v>
      </c>
      <c r="AA42" s="8">
        <v>60</v>
      </c>
    </row>
    <row r="43" spans="1:31">
      <c r="A43" s="8">
        <v>1632880</v>
      </c>
      <c r="B43" s="8" t="s">
        <v>220</v>
      </c>
      <c r="C43" s="5">
        <v>2.17</v>
      </c>
      <c r="D43" s="9">
        <v>3.85</v>
      </c>
      <c r="E43" s="7">
        <v>2.13</v>
      </c>
      <c r="F43" s="5" t="s">
        <v>175</v>
      </c>
      <c r="G43" s="8">
        <v>35</v>
      </c>
      <c r="H43" s="10">
        <v>161.30000000000001</v>
      </c>
      <c r="I43" s="10">
        <f t="shared" si="5"/>
        <v>1.6130000000000002</v>
      </c>
      <c r="J43" s="10">
        <v>54.5</v>
      </c>
      <c r="K43" s="10">
        <f t="shared" si="6"/>
        <v>20.947286250239735</v>
      </c>
      <c r="L43" s="10"/>
      <c r="M43" s="10"/>
      <c r="N43" s="10"/>
      <c r="O43" s="10"/>
      <c r="P43" s="11">
        <v>0.35610000000000003</v>
      </c>
      <c r="Q43" s="11">
        <v>3.3099999999999997E-2</v>
      </c>
      <c r="R43" s="11">
        <v>0.18329999999999999</v>
      </c>
      <c r="S43" s="8">
        <f t="shared" si="8"/>
        <v>3481.6782746717004</v>
      </c>
      <c r="T43" s="8">
        <v>38</v>
      </c>
      <c r="U43" s="8">
        <v>35.9</v>
      </c>
      <c r="V43" s="11">
        <f t="shared" si="9"/>
        <v>197.87616716672733</v>
      </c>
      <c r="W43" s="8">
        <v>50</v>
      </c>
      <c r="X43" s="11">
        <f t="shared" si="7"/>
        <v>147.87616716672733</v>
      </c>
      <c r="Y43" s="8">
        <v>18681884036</v>
      </c>
      <c r="Z43" s="5" t="s">
        <v>40</v>
      </c>
      <c r="AA43" s="8">
        <v>70</v>
      </c>
    </row>
    <row r="44" spans="1:31">
      <c r="A44" s="8">
        <v>1614460</v>
      </c>
      <c r="B44" s="8" t="s">
        <v>221</v>
      </c>
      <c r="C44" s="5">
        <v>0.89</v>
      </c>
      <c r="D44" s="9" t="s">
        <v>85</v>
      </c>
      <c r="E44" s="12">
        <v>3</v>
      </c>
      <c r="F44" s="5" t="s">
        <v>175</v>
      </c>
      <c r="G44" s="8">
        <v>46</v>
      </c>
      <c r="H44" s="10">
        <v>161.69999999999999</v>
      </c>
      <c r="I44" s="10">
        <f t="shared" si="5"/>
        <v>1.617</v>
      </c>
      <c r="J44" s="10">
        <v>57.5</v>
      </c>
      <c r="K44" s="10">
        <f t="shared" si="6"/>
        <v>21.9911431149173</v>
      </c>
      <c r="L44" s="10"/>
      <c r="M44" s="10"/>
      <c r="N44" s="10"/>
      <c r="O44" s="10"/>
      <c r="P44" s="11">
        <v>0.35610000000000003</v>
      </c>
      <c r="Q44" s="11">
        <v>3.3099999999999997E-2</v>
      </c>
      <c r="R44" s="11">
        <v>0.18329999999999999</v>
      </c>
      <c r="S44" s="8">
        <f t="shared" si="8"/>
        <v>3592.1237474392997</v>
      </c>
      <c r="T44" s="8">
        <v>43.4</v>
      </c>
      <c r="U44" s="8">
        <v>40.1</v>
      </c>
      <c r="V44" s="11">
        <f t="shared" si="9"/>
        <v>283.92834410897433</v>
      </c>
      <c r="W44" s="8">
        <v>80</v>
      </c>
      <c r="X44" s="11">
        <f t="shared" si="7"/>
        <v>203.92834410897433</v>
      </c>
      <c r="Y44" s="8">
        <v>13484515606</v>
      </c>
      <c r="Z44" s="5" t="s">
        <v>48</v>
      </c>
      <c r="AA44" s="8">
        <v>120</v>
      </c>
    </row>
    <row r="45" spans="1:31">
      <c r="A45" s="8">
        <v>1619561</v>
      </c>
      <c r="B45" s="8" t="s">
        <v>222</v>
      </c>
      <c r="C45" s="5">
        <v>3.07</v>
      </c>
      <c r="D45" s="9">
        <v>3.99</v>
      </c>
      <c r="E45" s="7">
        <v>2</v>
      </c>
      <c r="F45" s="5" t="s">
        <v>175</v>
      </c>
      <c r="G45" s="8">
        <v>48</v>
      </c>
      <c r="H45" s="10">
        <v>163.69999999999999</v>
      </c>
      <c r="I45" s="10">
        <f t="shared" si="5"/>
        <v>1.6369999999999998</v>
      </c>
      <c r="J45" s="10">
        <v>52.8</v>
      </c>
      <c r="K45" s="10">
        <f t="shared" si="6"/>
        <v>19.7031908347324</v>
      </c>
      <c r="L45" s="10"/>
      <c r="M45" s="10"/>
      <c r="N45" s="10"/>
      <c r="O45" s="10"/>
      <c r="P45" s="11">
        <v>0.35610000000000003</v>
      </c>
      <c r="Q45" s="11">
        <v>3.3099999999999997E-2</v>
      </c>
      <c r="R45" s="11">
        <v>0.18329999999999999</v>
      </c>
      <c r="S45" s="8">
        <f t="shared" si="8"/>
        <v>3493.1130178532994</v>
      </c>
      <c r="T45" s="8">
        <v>33.799999999999997</v>
      </c>
      <c r="U45" s="11">
        <v>31.2</v>
      </c>
      <c r="V45" s="11">
        <f t="shared" si="9"/>
        <v>279.44904142826374</v>
      </c>
      <c r="W45" s="8">
        <v>30</v>
      </c>
      <c r="X45" s="11">
        <f t="shared" si="7"/>
        <v>249.44904142826374</v>
      </c>
      <c r="Y45" s="8">
        <v>13991261866</v>
      </c>
      <c r="Z45" s="5" t="s">
        <v>48</v>
      </c>
      <c r="AA45" s="8">
        <v>60</v>
      </c>
    </row>
    <row r="46" spans="1:31">
      <c r="A46" s="8">
        <v>1623276</v>
      </c>
      <c r="B46" s="8" t="s">
        <v>223</v>
      </c>
      <c r="C46" s="5">
        <v>1.61</v>
      </c>
      <c r="D46" s="9">
        <v>3.49</v>
      </c>
      <c r="E46" s="7">
        <v>2</v>
      </c>
      <c r="F46" s="5" t="s">
        <v>175</v>
      </c>
      <c r="G46" s="8">
        <v>50</v>
      </c>
      <c r="H46" s="10">
        <v>167.7</v>
      </c>
      <c r="I46" s="10">
        <f t="shared" si="5"/>
        <v>1.6769999999999998</v>
      </c>
      <c r="J46" s="10">
        <v>52.1</v>
      </c>
      <c r="K46" s="10">
        <f t="shared" si="6"/>
        <v>18.525570799149037</v>
      </c>
      <c r="L46" s="10"/>
      <c r="M46" s="10"/>
      <c r="N46" s="10"/>
      <c r="O46" s="10"/>
      <c r="P46" s="11">
        <v>0.35610000000000003</v>
      </c>
      <c r="Q46" s="11">
        <v>3.3099999999999997E-2</v>
      </c>
      <c r="R46" s="11">
        <v>0.18329999999999999</v>
      </c>
      <c r="S46" s="8">
        <f t="shared" si="8"/>
        <v>3587.2757885213</v>
      </c>
      <c r="T46" s="8">
        <v>39.6</v>
      </c>
      <c r="U46" s="8">
        <v>36.5</v>
      </c>
      <c r="V46" s="11">
        <f t="shared" si="9"/>
        <v>292.26162797414025</v>
      </c>
      <c r="W46" s="8">
        <v>100</v>
      </c>
      <c r="X46" s="11">
        <f t="shared" si="7"/>
        <v>192.26162797414025</v>
      </c>
      <c r="Y46" s="8">
        <v>18391027915</v>
      </c>
      <c r="Z46" s="5" t="s">
        <v>48</v>
      </c>
      <c r="AA46" s="8">
        <v>60</v>
      </c>
    </row>
    <row r="47" spans="1:31">
      <c r="A47" s="8">
        <v>1606550</v>
      </c>
      <c r="B47" s="8" t="s">
        <v>224</v>
      </c>
      <c r="C47" s="8">
        <v>1.88</v>
      </c>
      <c r="D47" s="13">
        <v>3.23</v>
      </c>
      <c r="E47" s="7">
        <v>3.05</v>
      </c>
      <c r="F47" s="5" t="s">
        <v>175</v>
      </c>
      <c r="G47" s="8">
        <v>53</v>
      </c>
      <c r="H47" s="10">
        <v>162.1</v>
      </c>
      <c r="I47" s="10">
        <f t="shared" si="5"/>
        <v>1.621</v>
      </c>
      <c r="J47" s="10">
        <v>50.7</v>
      </c>
      <c r="K47" s="10">
        <f t="shared" si="6"/>
        <v>19.294873234205131</v>
      </c>
      <c r="L47" s="10"/>
      <c r="M47" s="10"/>
      <c r="N47" s="10"/>
      <c r="O47" s="10"/>
      <c r="P47" s="11">
        <v>0.35610000000000003</v>
      </c>
      <c r="Q47" s="11">
        <v>3.3099999999999997E-2</v>
      </c>
      <c r="R47" s="11">
        <v>0.18329999999999999</v>
      </c>
      <c r="S47" s="8">
        <f t="shared" si="8"/>
        <v>3378.2444983220998</v>
      </c>
      <c r="T47" s="8">
        <v>44.3</v>
      </c>
      <c r="U47" s="8">
        <v>41.4</v>
      </c>
      <c r="V47" s="11">
        <f t="shared" si="9"/>
        <v>228.63264982810003</v>
      </c>
      <c r="W47" s="8">
        <v>50</v>
      </c>
      <c r="X47" s="11">
        <f t="shared" si="7"/>
        <v>178.63264982810003</v>
      </c>
      <c r="Y47" s="8">
        <v>18700280123</v>
      </c>
      <c r="Z47" s="5" t="s">
        <v>40</v>
      </c>
      <c r="AA47" s="8">
        <v>75</v>
      </c>
    </row>
    <row r="48" spans="1:31">
      <c r="A48" s="8">
        <v>1615998</v>
      </c>
      <c r="B48" s="8" t="s">
        <v>225</v>
      </c>
      <c r="C48" s="5">
        <v>0.92</v>
      </c>
      <c r="D48" s="9">
        <v>3.3</v>
      </c>
      <c r="E48" s="7">
        <v>9.43</v>
      </c>
      <c r="F48" s="5" t="s">
        <v>175</v>
      </c>
      <c r="G48" s="8">
        <v>58</v>
      </c>
      <c r="H48" s="10">
        <v>166.5</v>
      </c>
      <c r="I48" s="10">
        <f t="shared" si="5"/>
        <v>1.665</v>
      </c>
      <c r="J48" s="10">
        <v>51.1</v>
      </c>
      <c r="K48" s="10">
        <f t="shared" si="6"/>
        <v>18.432847261676091</v>
      </c>
      <c r="L48" s="10"/>
      <c r="M48" s="10"/>
      <c r="N48" s="10"/>
      <c r="O48" s="10"/>
      <c r="P48" s="11">
        <v>0.35610000000000003</v>
      </c>
      <c r="Q48" s="11">
        <v>3.3099999999999997E-2</v>
      </c>
      <c r="R48" s="11">
        <v>0.18329999999999999</v>
      </c>
      <c r="S48" s="8">
        <f t="shared" si="8"/>
        <v>3518.3802219625004</v>
      </c>
      <c r="T48" s="8">
        <v>43.6</v>
      </c>
      <c r="U48" s="8">
        <v>35.299999999999997</v>
      </c>
      <c r="V48" s="11">
        <f t="shared" si="9"/>
        <v>740.24222667398647</v>
      </c>
      <c r="W48" s="8">
        <v>100</v>
      </c>
      <c r="X48" s="11">
        <f t="shared" si="7"/>
        <v>640.24222667398647</v>
      </c>
      <c r="Y48" s="8">
        <v>15029965498</v>
      </c>
      <c r="Z48" s="5" t="s">
        <v>48</v>
      </c>
      <c r="AA48" s="8">
        <v>90</v>
      </c>
    </row>
    <row r="49" spans="1:27">
      <c r="A49" s="8">
        <v>1621356</v>
      </c>
      <c r="B49" s="8" t="s">
        <v>226</v>
      </c>
      <c r="C49" s="5">
        <v>0.62</v>
      </c>
      <c r="D49" s="9" t="s">
        <v>91</v>
      </c>
      <c r="E49" s="7">
        <v>2.12</v>
      </c>
      <c r="F49" s="5" t="s">
        <v>175</v>
      </c>
      <c r="G49" s="8">
        <v>50</v>
      </c>
      <c r="H49" s="10">
        <v>159.19999999999999</v>
      </c>
      <c r="I49" s="10">
        <f t="shared" si="5"/>
        <v>1.5919999999999999</v>
      </c>
      <c r="J49" s="10">
        <v>58.8</v>
      </c>
      <c r="K49" s="10">
        <f t="shared" si="6"/>
        <v>23.200171712835541</v>
      </c>
      <c r="L49" s="10"/>
      <c r="M49" s="10"/>
      <c r="N49" s="10"/>
      <c r="O49" s="10"/>
      <c r="P49" s="11">
        <v>0.35610000000000003</v>
      </c>
      <c r="Q49" s="11">
        <v>3.3099999999999997E-2</v>
      </c>
      <c r="R49" s="11">
        <v>0.18329999999999999</v>
      </c>
      <c r="S49" s="8">
        <f t="shared" si="8"/>
        <v>3566.3960275967997</v>
      </c>
      <c r="T49" s="8">
        <v>39.9</v>
      </c>
      <c r="U49" s="11">
        <v>37.5</v>
      </c>
      <c r="V49" s="11">
        <f t="shared" si="9"/>
        <v>221.1718466726696</v>
      </c>
      <c r="W49" s="8">
        <v>50</v>
      </c>
      <c r="X49" s="11">
        <f t="shared" si="7"/>
        <v>171.1718466726696</v>
      </c>
      <c r="Y49" s="8">
        <v>13993425849</v>
      </c>
      <c r="Z49" s="5" t="s">
        <v>49</v>
      </c>
      <c r="AA49" s="8">
        <v>70</v>
      </c>
    </row>
    <row r="50" spans="1:27">
      <c r="A50" s="8">
        <v>1636698</v>
      </c>
      <c r="B50" s="8" t="s">
        <v>227</v>
      </c>
      <c r="C50" s="8">
        <v>0.98</v>
      </c>
      <c r="D50" s="9" t="s">
        <v>81</v>
      </c>
      <c r="E50" s="7">
        <v>3.21</v>
      </c>
      <c r="F50" s="5" t="s">
        <v>175</v>
      </c>
      <c r="G50" s="8">
        <v>18</v>
      </c>
      <c r="H50" s="10">
        <v>163.69999999999999</v>
      </c>
      <c r="I50" s="10">
        <f t="shared" si="5"/>
        <v>1.6369999999999998</v>
      </c>
      <c r="J50" s="10">
        <v>52.8</v>
      </c>
      <c r="K50" s="8">
        <f t="shared" si="6"/>
        <v>19.7031908347324</v>
      </c>
      <c r="L50" s="8"/>
      <c r="M50" s="8"/>
      <c r="N50" s="8"/>
      <c r="O50" s="8"/>
      <c r="P50" s="11">
        <v>0.35610000000000003</v>
      </c>
      <c r="Q50" s="11">
        <v>3.3099999999999997E-2</v>
      </c>
      <c r="R50" s="11">
        <v>0.18329999999999999</v>
      </c>
      <c r="S50" s="8">
        <f t="shared" si="8"/>
        <v>3493.1130178532994</v>
      </c>
      <c r="T50" s="8">
        <v>40.1</v>
      </c>
      <c r="U50" s="8">
        <v>33.6</v>
      </c>
      <c r="V50" s="8">
        <f t="shared" si="9"/>
        <v>616.15290681265799</v>
      </c>
      <c r="W50" s="8">
        <v>200</v>
      </c>
      <c r="X50" s="8">
        <f t="shared" si="7"/>
        <v>416.15290681265799</v>
      </c>
      <c r="Y50" s="8">
        <v>13149120868</v>
      </c>
      <c r="Z50" s="5" t="s">
        <v>46</v>
      </c>
      <c r="AA50" s="8">
        <v>120</v>
      </c>
    </row>
    <row r="51" spans="1:27">
      <c r="A51" s="8">
        <v>1623463</v>
      </c>
      <c r="B51" s="8" t="s">
        <v>228</v>
      </c>
      <c r="C51" s="5">
        <v>1.54</v>
      </c>
      <c r="D51" s="9">
        <v>3.86</v>
      </c>
      <c r="E51" s="7">
        <v>4.3600000000000003</v>
      </c>
      <c r="F51" s="5" t="s">
        <v>175</v>
      </c>
      <c r="G51" s="8">
        <v>37</v>
      </c>
      <c r="H51" s="10">
        <v>163.69999999999999</v>
      </c>
      <c r="I51" s="10">
        <f t="shared" si="5"/>
        <v>1.6369999999999998</v>
      </c>
      <c r="J51" s="10">
        <v>67.3</v>
      </c>
      <c r="K51" s="10">
        <f t="shared" si="6"/>
        <v>25.114104984422173</v>
      </c>
      <c r="L51" s="10"/>
      <c r="M51" s="10"/>
      <c r="N51" s="10"/>
      <c r="O51" s="10"/>
      <c r="P51" s="11">
        <v>0.35610000000000003</v>
      </c>
      <c r="Q51" s="11">
        <v>3.3099999999999997E-2</v>
      </c>
      <c r="R51" s="11">
        <v>0.18329999999999999</v>
      </c>
      <c r="S51" s="8">
        <f t="shared" si="8"/>
        <v>3973.0630178532992</v>
      </c>
      <c r="T51" s="11">
        <v>39.200000000000003</v>
      </c>
      <c r="U51" s="11">
        <v>33.200000000000003</v>
      </c>
      <c r="V51" s="11">
        <f t="shared" si="9"/>
        <v>658.51873224087831</v>
      </c>
      <c r="W51" s="8">
        <v>50</v>
      </c>
      <c r="X51" s="11">
        <f t="shared" si="7"/>
        <v>608.51873224087831</v>
      </c>
      <c r="Y51" s="8">
        <v>13571286388</v>
      </c>
      <c r="Z51" s="5" t="s">
        <v>46</v>
      </c>
      <c r="AA51" s="8">
        <v>70</v>
      </c>
    </row>
    <row r="52" spans="1:27">
      <c r="A52" s="8">
        <v>1608577</v>
      </c>
      <c r="B52" s="8" t="s">
        <v>229</v>
      </c>
      <c r="C52" s="5">
        <v>1.43</v>
      </c>
      <c r="D52" s="9">
        <v>2.4300000000000002</v>
      </c>
      <c r="E52" s="12">
        <v>3.23</v>
      </c>
      <c r="F52" s="5" t="s">
        <v>175</v>
      </c>
      <c r="G52" s="8">
        <v>51</v>
      </c>
      <c r="H52" s="10">
        <v>161.1</v>
      </c>
      <c r="I52" s="10">
        <f t="shared" si="5"/>
        <v>1.611</v>
      </c>
      <c r="J52" s="10">
        <v>58</v>
      </c>
      <c r="K52" s="10">
        <f t="shared" si="6"/>
        <v>22.347909950252781</v>
      </c>
      <c r="L52" s="10"/>
      <c r="M52" s="10"/>
      <c r="N52" s="10"/>
      <c r="O52" s="10"/>
      <c r="P52" s="11">
        <v>0.35610000000000003</v>
      </c>
      <c r="Q52" s="11">
        <v>3.3099999999999997E-2</v>
      </c>
      <c r="R52" s="11">
        <v>0.18329999999999999</v>
      </c>
      <c r="S52" s="8">
        <f t="shared" si="8"/>
        <v>3591.9762248491002</v>
      </c>
      <c r="T52" s="11">
        <v>38.799999999999997</v>
      </c>
      <c r="U52" s="11">
        <v>36.200000000000003</v>
      </c>
      <c r="V52" s="11">
        <f t="shared" si="9"/>
        <v>249.0436849228704</v>
      </c>
      <c r="W52" s="8">
        <v>100</v>
      </c>
      <c r="X52" s="11">
        <f t="shared" si="7"/>
        <v>149.0436849228704</v>
      </c>
      <c r="Y52" s="8">
        <v>18693422056</v>
      </c>
      <c r="Z52" s="5" t="s">
        <v>46</v>
      </c>
      <c r="AA52" s="8">
        <v>60</v>
      </c>
    </row>
    <row r="53" spans="1:27">
      <c r="A53" s="8">
        <v>1632504</v>
      </c>
      <c r="B53" s="8" t="s">
        <v>230</v>
      </c>
      <c r="C53" s="5">
        <v>2.04</v>
      </c>
      <c r="D53" s="9">
        <v>3.05</v>
      </c>
      <c r="E53" s="12">
        <v>5.43</v>
      </c>
      <c r="F53" s="5" t="s">
        <v>175</v>
      </c>
      <c r="G53" s="8">
        <v>53</v>
      </c>
      <c r="H53" s="10">
        <v>155.9</v>
      </c>
      <c r="I53" s="10">
        <f t="shared" si="5"/>
        <v>1.5590000000000002</v>
      </c>
      <c r="J53" s="10">
        <v>58.599999999999994</v>
      </c>
      <c r="K53" s="10">
        <f t="shared" si="6"/>
        <v>24.110453856664577</v>
      </c>
      <c r="L53" s="10"/>
      <c r="M53" s="10"/>
      <c r="N53" s="10"/>
      <c r="O53" s="10"/>
      <c r="P53" s="11">
        <v>0.35610000000000003</v>
      </c>
      <c r="Q53" s="11">
        <v>3.3099999999999997E-2</v>
      </c>
      <c r="R53" s="11">
        <v>0.18329999999999999</v>
      </c>
      <c r="S53" s="8">
        <f t="shared" si="8"/>
        <v>3472.2655889119001</v>
      </c>
      <c r="T53" s="8">
        <v>39.799999999999997</v>
      </c>
      <c r="U53" s="8">
        <v>36.5</v>
      </c>
      <c r="V53" s="11">
        <f t="shared" si="9"/>
        <v>300.35324884427939</v>
      </c>
      <c r="W53" s="8">
        <v>50</v>
      </c>
      <c r="X53" s="11">
        <f t="shared" si="7"/>
        <v>250.35324884427939</v>
      </c>
      <c r="Y53" s="8">
        <v>15353647112</v>
      </c>
      <c r="Z53" s="5" t="s">
        <v>50</v>
      </c>
      <c r="AA53" s="8">
        <v>120</v>
      </c>
    </row>
    <row r="54" spans="1:27">
      <c r="A54" s="8">
        <v>1603808</v>
      </c>
      <c r="B54" s="8" t="s">
        <v>231</v>
      </c>
      <c r="C54" s="8">
        <v>0.65</v>
      </c>
      <c r="D54" s="13">
        <v>4.93</v>
      </c>
      <c r="E54" s="7">
        <v>3.31</v>
      </c>
      <c r="F54" s="5" t="s">
        <v>175</v>
      </c>
      <c r="G54" s="8">
        <v>55</v>
      </c>
      <c r="H54" s="10">
        <v>156.6</v>
      </c>
      <c r="I54" s="10">
        <f t="shared" si="5"/>
        <v>1.5659999999999998</v>
      </c>
      <c r="J54" s="10">
        <v>64.7</v>
      </c>
      <c r="K54" s="10">
        <f t="shared" si="6"/>
        <v>26.382792710356906</v>
      </c>
      <c r="L54" s="10"/>
      <c r="M54" s="10"/>
      <c r="N54" s="10"/>
      <c r="O54" s="10"/>
      <c r="P54" s="11">
        <v>0.35610000000000003</v>
      </c>
      <c r="Q54" s="11">
        <v>3.3099999999999997E-2</v>
      </c>
      <c r="R54" s="11">
        <v>0.18329999999999999</v>
      </c>
      <c r="S54" s="8">
        <f t="shared" si="8"/>
        <v>3692.4326995255992</v>
      </c>
      <c r="T54" s="8">
        <v>48.5</v>
      </c>
      <c r="U54" s="8">
        <v>45.4</v>
      </c>
      <c r="V54" s="11">
        <f t="shared" si="9"/>
        <v>243.80279805174359</v>
      </c>
      <c r="W54" s="8">
        <v>30</v>
      </c>
      <c r="X54" s="11">
        <f t="shared" si="7"/>
        <v>213.80279805174359</v>
      </c>
      <c r="Y54" s="8">
        <v>15002913706</v>
      </c>
      <c r="Z54" s="5" t="s">
        <v>41</v>
      </c>
      <c r="AA54" s="8">
        <v>80</v>
      </c>
    </row>
    <row r="55" spans="1:27">
      <c r="A55" s="8">
        <v>1603698</v>
      </c>
      <c r="B55" s="8" t="s">
        <v>232</v>
      </c>
      <c r="C55" s="8">
        <v>2.81</v>
      </c>
      <c r="D55" s="13">
        <v>4.6500000000000004</v>
      </c>
      <c r="E55" s="12">
        <v>7.4</v>
      </c>
      <c r="F55" s="5" t="s">
        <v>175</v>
      </c>
      <c r="G55" s="8">
        <v>56</v>
      </c>
      <c r="H55" s="10">
        <v>158.1</v>
      </c>
      <c r="I55" s="10">
        <f t="shared" si="5"/>
        <v>1.581</v>
      </c>
      <c r="J55" s="10">
        <v>58.3</v>
      </c>
      <c r="K55" s="10">
        <f t="shared" si="6"/>
        <v>23.324095711206887</v>
      </c>
      <c r="L55" s="10"/>
      <c r="M55" s="10"/>
      <c r="N55" s="10"/>
      <c r="O55" s="10"/>
      <c r="P55" s="11">
        <v>0.35610000000000003</v>
      </c>
      <c r="Q55" s="11">
        <v>3.3099999999999997E-2</v>
      </c>
      <c r="R55" s="11">
        <v>0.18329999999999999</v>
      </c>
      <c r="S55" s="8">
        <f t="shared" si="8"/>
        <v>3520.2680955901001</v>
      </c>
      <c r="T55" s="8">
        <v>41.7</v>
      </c>
      <c r="U55" s="8">
        <v>39</v>
      </c>
      <c r="V55" s="11">
        <f t="shared" si="9"/>
        <v>235.55697293911476</v>
      </c>
      <c r="W55" s="8">
        <v>60</v>
      </c>
      <c r="X55" s="11">
        <f t="shared" si="7"/>
        <v>175.55697293911476</v>
      </c>
      <c r="Y55" s="8">
        <v>13572111079</v>
      </c>
      <c r="Z55" s="8" t="s">
        <v>41</v>
      </c>
      <c r="AA55" s="8">
        <v>100</v>
      </c>
    </row>
    <row r="56" spans="1:27">
      <c r="A56" s="8">
        <v>1604124</v>
      </c>
      <c r="B56" s="8" t="s">
        <v>233</v>
      </c>
      <c r="C56" s="8">
        <v>2.2200000000000002</v>
      </c>
      <c r="D56" s="13">
        <v>7.4</v>
      </c>
      <c r="E56" s="12">
        <v>3</v>
      </c>
      <c r="F56" s="5" t="s">
        <v>175</v>
      </c>
      <c r="G56" s="8">
        <v>56</v>
      </c>
      <c r="H56" s="10">
        <v>168</v>
      </c>
      <c r="I56" s="10">
        <f t="shared" si="5"/>
        <v>1.68</v>
      </c>
      <c r="J56" s="10">
        <v>66</v>
      </c>
      <c r="K56" s="10">
        <f t="shared" si="6"/>
        <v>23.3843537414966</v>
      </c>
      <c r="L56" s="10"/>
      <c r="M56" s="10"/>
      <c r="N56" s="10"/>
      <c r="O56" s="10"/>
      <c r="P56" s="11">
        <v>0.35610000000000003</v>
      </c>
      <c r="Q56" s="11">
        <v>3.3099999999999997E-2</v>
      </c>
      <c r="R56" s="11">
        <v>0.18329999999999999</v>
      </c>
      <c r="S56" s="8">
        <f t="shared" si="8"/>
        <v>4056.3951551999999</v>
      </c>
      <c r="T56" s="8">
        <v>41.6</v>
      </c>
      <c r="U56" s="8">
        <v>38.9</v>
      </c>
      <c r="V56" s="11">
        <f t="shared" si="9"/>
        <v>272.10601041093196</v>
      </c>
      <c r="W56" s="8">
        <v>50</v>
      </c>
      <c r="X56" s="11">
        <f t="shared" si="7"/>
        <v>222.10601041093196</v>
      </c>
      <c r="Y56" s="8">
        <v>13389224275</v>
      </c>
      <c r="Z56" s="8" t="s">
        <v>41</v>
      </c>
      <c r="AA56" s="8">
        <v>100</v>
      </c>
    </row>
    <row r="57" spans="1:27">
      <c r="A57" s="8">
        <v>1638590</v>
      </c>
      <c r="B57" s="8" t="s">
        <v>234</v>
      </c>
      <c r="C57" s="8">
        <v>1.22</v>
      </c>
      <c r="D57" s="9" t="s">
        <v>92</v>
      </c>
      <c r="E57" s="12">
        <v>4.32</v>
      </c>
      <c r="F57" s="5" t="s">
        <v>175</v>
      </c>
      <c r="G57" s="8">
        <v>56</v>
      </c>
      <c r="H57" s="10">
        <v>165</v>
      </c>
      <c r="I57" s="10">
        <f t="shared" si="5"/>
        <v>1.65</v>
      </c>
      <c r="J57" s="10">
        <v>53.8</v>
      </c>
      <c r="K57" s="8">
        <f t="shared" si="6"/>
        <v>19.761248852157944</v>
      </c>
      <c r="L57" s="8"/>
      <c r="M57" s="8"/>
      <c r="N57" s="8"/>
      <c r="O57" s="8"/>
      <c r="P57" s="11">
        <v>0.35610000000000003</v>
      </c>
      <c r="Q57" s="11">
        <v>3.3099999999999997E-2</v>
      </c>
      <c r="R57" s="11">
        <v>0.18329999999999999</v>
      </c>
      <c r="S57" s="8">
        <f t="shared" si="8"/>
        <v>3563.7257124999996</v>
      </c>
      <c r="T57" s="8">
        <v>38.1</v>
      </c>
      <c r="U57" s="8">
        <v>33.6</v>
      </c>
      <c r="V57" s="8">
        <f t="shared" si="9"/>
        <v>447.32958734309619</v>
      </c>
      <c r="W57" s="8">
        <v>300</v>
      </c>
      <c r="X57" s="8">
        <f t="shared" si="7"/>
        <v>147.32958734309619</v>
      </c>
      <c r="Y57" s="8">
        <v>13193321062</v>
      </c>
      <c r="Z57" s="5" t="s">
        <v>46</v>
      </c>
      <c r="AA57" s="8">
        <v>70</v>
      </c>
    </row>
    <row r="58" spans="1:27">
      <c r="A58" s="8">
        <v>1600709</v>
      </c>
      <c r="B58" s="8" t="s">
        <v>235</v>
      </c>
      <c r="C58" s="8">
        <v>0.41</v>
      </c>
      <c r="D58" s="13">
        <v>3.43</v>
      </c>
      <c r="E58" s="7">
        <v>9.76</v>
      </c>
      <c r="F58" s="5" t="s">
        <v>175</v>
      </c>
      <c r="G58" s="8">
        <v>57</v>
      </c>
      <c r="H58" s="10">
        <v>158.80000000000001</v>
      </c>
      <c r="I58" s="10">
        <f t="shared" si="5"/>
        <v>1.5880000000000001</v>
      </c>
      <c r="J58" s="10">
        <v>53.3</v>
      </c>
      <c r="K58" s="10">
        <f t="shared" si="6"/>
        <v>21.136166081886184</v>
      </c>
      <c r="L58" s="10"/>
      <c r="M58" s="10"/>
      <c r="N58" s="10"/>
      <c r="O58" s="10"/>
      <c r="P58" s="11">
        <v>0.35610000000000003</v>
      </c>
      <c r="Q58" s="11">
        <v>3.3099999999999997E-2</v>
      </c>
      <c r="R58" s="11">
        <v>0.18329999999999999</v>
      </c>
      <c r="S58" s="8">
        <f t="shared" si="8"/>
        <v>3373.5429449792005</v>
      </c>
      <c r="T58" s="8">
        <v>36.799999999999997</v>
      </c>
      <c r="U58" s="11">
        <v>34.1</v>
      </c>
      <c r="V58" s="11">
        <f t="shared" si="9"/>
        <v>256.94121160631386</v>
      </c>
      <c r="W58" s="8">
        <v>200</v>
      </c>
      <c r="X58" s="11">
        <f t="shared" si="7"/>
        <v>56.941211606313857</v>
      </c>
      <c r="Y58" s="8">
        <v>15891922328</v>
      </c>
      <c r="Z58" s="5" t="s">
        <v>50</v>
      </c>
      <c r="AA58" s="8">
        <v>120</v>
      </c>
    </row>
    <row r="59" spans="1:27">
      <c r="A59" s="8">
        <v>1616039</v>
      </c>
      <c r="B59" s="8" t="s">
        <v>236</v>
      </c>
      <c r="C59" s="5">
        <v>6.76</v>
      </c>
      <c r="D59" s="9">
        <v>9.43</v>
      </c>
      <c r="E59" s="7">
        <v>4.32</v>
      </c>
      <c r="F59" s="5" t="s">
        <v>175</v>
      </c>
      <c r="G59" s="8">
        <v>58</v>
      </c>
      <c r="H59" s="10">
        <v>163.9</v>
      </c>
      <c r="I59" s="10">
        <f t="shared" si="5"/>
        <v>1.639</v>
      </c>
      <c r="J59" s="10">
        <v>59.8</v>
      </c>
      <c r="K59" s="10">
        <f t="shared" si="6"/>
        <v>22.260928608308536</v>
      </c>
      <c r="L59" s="10"/>
      <c r="M59" s="10"/>
      <c r="N59" s="10"/>
      <c r="O59" s="10"/>
      <c r="P59" s="11">
        <v>0.35610000000000003</v>
      </c>
      <c r="Q59" s="11">
        <v>3.3099999999999997E-2</v>
      </c>
      <c r="R59" s="11">
        <v>0.18329999999999999</v>
      </c>
      <c r="S59" s="8">
        <f t="shared" si="8"/>
        <v>3730.5456103758997</v>
      </c>
      <c r="T59" s="8">
        <v>40.700000000000003</v>
      </c>
      <c r="U59" s="8">
        <v>38.1</v>
      </c>
      <c r="V59" s="11">
        <f t="shared" si="9"/>
        <v>246.17813672531327</v>
      </c>
      <c r="W59" s="8">
        <v>50</v>
      </c>
      <c r="X59" s="11">
        <f t="shared" si="7"/>
        <v>196.17813672531327</v>
      </c>
      <c r="Y59" s="8">
        <v>13152095391</v>
      </c>
      <c r="Z59" s="5" t="s">
        <v>50</v>
      </c>
      <c r="AA59" s="8">
        <v>135</v>
      </c>
    </row>
    <row r="60" spans="1:27">
      <c r="A60" s="8">
        <v>1607973</v>
      </c>
      <c r="B60" s="8" t="s">
        <v>237</v>
      </c>
      <c r="C60" s="5">
        <v>1.22</v>
      </c>
      <c r="D60" s="9" t="s">
        <v>94</v>
      </c>
      <c r="E60" s="9" t="s">
        <v>95</v>
      </c>
      <c r="F60" s="5" t="s">
        <v>175</v>
      </c>
      <c r="G60" s="8">
        <v>60</v>
      </c>
      <c r="H60" s="10">
        <v>169.3</v>
      </c>
      <c r="I60" s="10">
        <f t="shared" si="5"/>
        <v>1.6930000000000001</v>
      </c>
      <c r="J60" s="10">
        <v>52.5</v>
      </c>
      <c r="K60" s="8">
        <f t="shared" si="6"/>
        <v>18.316622177626577</v>
      </c>
      <c r="L60" s="8"/>
      <c r="M60" s="8"/>
      <c r="N60" s="8"/>
      <c r="O60" s="8"/>
      <c r="P60" s="11">
        <v>0.35610000000000003</v>
      </c>
      <c r="Q60" s="11">
        <v>3.3099999999999997E-2</v>
      </c>
      <c r="R60" s="11">
        <v>0.18329999999999999</v>
      </c>
      <c r="S60" s="8">
        <f t="shared" si="8"/>
        <v>3649.0464582477007</v>
      </c>
      <c r="T60" s="8">
        <v>39.6</v>
      </c>
      <c r="U60" s="8">
        <v>33.700000000000003</v>
      </c>
      <c r="V60" s="8">
        <f t="shared" si="9"/>
        <v>587.43176271927496</v>
      </c>
      <c r="W60" s="8">
        <v>200</v>
      </c>
      <c r="X60" s="8">
        <f t="shared" si="7"/>
        <v>387.43176271927496</v>
      </c>
      <c r="Y60" s="8">
        <v>13992410395</v>
      </c>
      <c r="Z60" s="5" t="s">
        <v>46</v>
      </c>
      <c r="AA60" s="8">
        <v>120</v>
      </c>
    </row>
  </sheetData>
  <sortState ref="A2:AA60">
    <sortCondition ref="F2:F60"/>
  </sortState>
  <dataConsolidate/>
  <phoneticPr fontId="1" type="noConversion"/>
  <pageMargins left="0.69930555555555596" right="0.69930555555555596" top="0.75" bottom="0.75" header="0.3" footer="0.3"/>
  <pageSetup paperSize="9" orientation="portrait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intravenous group</vt:lpstr>
      <vt:lpstr>topical group</vt:lpstr>
      <vt:lpstr>combined group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thinkpad</cp:lastModifiedBy>
  <dcterms:created xsi:type="dcterms:W3CDTF">2006-09-13T11:21:00Z</dcterms:created>
  <dcterms:modified xsi:type="dcterms:W3CDTF">2018-12-08T04:39:21Z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2052-10.1.0.6929</vt:lpwstr>
  </property>
</Properties>
</file>