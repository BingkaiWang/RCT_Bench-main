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showObjects="none"/>
  <mc:AlternateContent xmlns:mc="http://schemas.openxmlformats.org/markup-compatibility/2006">
    <mc:Choice Requires="x15">
      <x15ac:absPath xmlns:x15ac="http://schemas.microsoft.com/office/spreadsheetml/2010/11/ac" url="/Users/Quixote/Desktop/"/>
    </mc:Choice>
  </mc:AlternateContent>
  <xr:revisionPtr revIDLastSave="0" documentId="13_ncr:1_{303AFA22-066B-3343-B48B-B92B7ABBB4DC}" xr6:coauthVersionLast="47" xr6:coauthVersionMax="47" xr10:uidLastSave="{00000000-0000-0000-0000-000000000000}"/>
  <bookViews>
    <workbookView xWindow="0" yWindow="0" windowWidth="27320" windowHeight="15360" xr2:uid="{00000000-000D-0000-FFFF-FFFF00000000}"/>
  </bookViews>
  <sheets>
    <sheet name="UPSIDE DOWN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'UPSIDE DOWNS'!#REF!</definedName>
    <definedName name="abdominais_h_29">'[1]Prog. Força'!$B$75:$C$81</definedName>
    <definedName name="abdominais_h_39">'[1]Prog. Força'!$D$75:$E$81</definedName>
    <definedName name="abdominais_h_49">'[1]Prog. Força'!$F$75:$G$81</definedName>
    <definedName name="abdominais_h_60">'[1]Prog. Força'!$J$75:$K$81</definedName>
    <definedName name="abdominais_m_29">'[1]Prog. Força'!$O$75:$P$81</definedName>
    <definedName name="abdominais_m_39">'[1]Prog. Força'!$Q$75:$R$81</definedName>
    <definedName name="abdominais_m_49">'[1]Prog. Força'!$S$75:$T$81</definedName>
    <definedName name="abdominais_m_59">'[1]Prog. Força'!$U$75:$V$81</definedName>
    <definedName name="abdominais_m_60">'[1]Prog. Força'!$W$75:$X$81</definedName>
    <definedName name="ABS_FEMALES_29">#REF!</definedName>
    <definedName name="ABS_FEMALES_39">#REF!</definedName>
    <definedName name="ABS_FEMALES_49">#REF!</definedName>
    <definedName name="ABS_FEMALES_59">#REF!</definedName>
    <definedName name="ABS_FEMALES_60">#REF!</definedName>
    <definedName name="ABS_MALES_29">#REF!</definedName>
    <definedName name="ABS_MALES_39">#REF!</definedName>
    <definedName name="ABS_MALES_49">#REF!</definedName>
    <definedName name="ABS_MALES_59">#REF!</definedName>
    <definedName name="ABS_MALES_60">#REF!</definedName>
    <definedName name="ABS2_FIREFIGHTERS_29">#REF!</definedName>
    <definedName name="ABS2_FIREFIGHTERS_39">#REF!</definedName>
    <definedName name="ABS2_FIREFIGHTERS_49">#REF!</definedName>
    <definedName name="ABS2_FIREFIGHTERS_50">#REF!</definedName>
    <definedName name="AGE">#REF!</definedName>
    <definedName name="AGE_M">#REF!</definedName>
    <definedName name="alcanç_costas_h_64">#REF!</definedName>
    <definedName name="alcanç_costas_h_69">#REF!</definedName>
    <definedName name="alcanç_costas_h_74">#REF!</definedName>
    <definedName name="alcanç_costas_h_79">#REF!</definedName>
    <definedName name="alcanç_costas_h_84">#REF!</definedName>
    <definedName name="alcanç_costas_h_89">#REF!</definedName>
    <definedName name="alcanç_costas_h_94">#REF!</definedName>
    <definedName name="alcanç_costas_m_64">#REF!</definedName>
    <definedName name="alcanç_costas_m_69">#REF!</definedName>
    <definedName name="alcanç_costas_m_74">#REF!</definedName>
    <definedName name="alcanç_costas_m_79">#REF!</definedName>
    <definedName name="alcanç_costas_m_84">#REF!</definedName>
    <definedName name="alcanç_costas_m_89">#REF!</definedName>
    <definedName name="alcanç_costas_m_94">#REF!</definedName>
    <definedName name="altura">'[1]Composição Corporal'!$K$5</definedName>
    <definedName name="AMP_HZ_NORMAL_FEMALES">#REF!</definedName>
    <definedName name="AMP_HZ_NORMAL_MALES">#REF!</definedName>
    <definedName name="AMP_HZ_REFERENCE_FEMALES">#REF!</definedName>
    <definedName name="AMP_HZ_REFERENCE_MALES">#REF!</definedName>
    <definedName name="AMP_Normal_Females_20">#REF!</definedName>
    <definedName name="AMP_Normal_Females_29">#REF!</definedName>
    <definedName name="AMP_Normal_Females_39">#REF!</definedName>
    <definedName name="AMP_Normal_Females_49">#REF!</definedName>
    <definedName name="AMP_Normal_Females_59">#REF!</definedName>
    <definedName name="AMP_Normal_Females_69">#REF!</definedName>
    <definedName name="AMP_Normal_Females_70">#REF!</definedName>
    <definedName name="AMP_Normal_Males_20">#REF!</definedName>
    <definedName name="AMP_Normal_Males_29">#REF!</definedName>
    <definedName name="AMP_Normal_Males_39">#REF!</definedName>
    <definedName name="AMP_Normal_Males_49">#REF!</definedName>
    <definedName name="AMP_Normal_Males_59">#REF!</definedName>
    <definedName name="AMP_Normal_Males_69">#REF!</definedName>
    <definedName name="AMP_Normal_Males_70">#REF!</definedName>
    <definedName name="AMP_PERCENT_CLASS">#REF!</definedName>
    <definedName name="AMP_Reference_Females_20">#REF!</definedName>
    <definedName name="AMP_Reference_Females_29">#REF!</definedName>
    <definedName name="AMP_Reference_Females_39">#REF!</definedName>
    <definedName name="AMP_Reference_Females_49">#REF!</definedName>
    <definedName name="AMP_Reference_Females_59">#REF!</definedName>
    <definedName name="AMP_Reference_Females_69">#REF!</definedName>
    <definedName name="AMP_Reference_Females_70">#REF!</definedName>
    <definedName name="AMP_Reference_Males_20">#REF!</definedName>
    <definedName name="AMP_Reference_Males_29">#REF!</definedName>
    <definedName name="AMP_Reference_Males_39">#REF!</definedName>
    <definedName name="AMP_Reference_Males_49">#REF!</definedName>
    <definedName name="AMP_Reference_Males_59">#REF!</definedName>
    <definedName name="AMP_Reference_Males_69">#REF!</definedName>
    <definedName name="AMP_Reference_Males_70">#REF!</definedName>
    <definedName name="andar_6_h_64">#REF!</definedName>
    <definedName name="andar_6_h_69">#REF!</definedName>
    <definedName name="andar_6_h_74">#REF!</definedName>
    <definedName name="andar_6_h_79">#REF!</definedName>
    <definedName name="andar_6_h_84">#REF!</definedName>
    <definedName name="andar_6_h_89">#REF!</definedName>
    <definedName name="andar_6_h_94">#REF!</definedName>
    <definedName name="andar_6_m_64">#REF!</definedName>
    <definedName name="andar_6_m_69">#REF!</definedName>
    <definedName name="andar_6_m_74">#REF!</definedName>
    <definedName name="andar_6_m_79">#REF!</definedName>
    <definedName name="andar_6_m_84">#REF!</definedName>
    <definedName name="andar_6_m_89">#REF!</definedName>
    <definedName name="andar_6_m_94">#REF!</definedName>
    <definedName name="BACK_SCRATCH_FEMALES_20">#REF!</definedName>
    <definedName name="BACK_SCRATCH_FEMALES_30">#REF!</definedName>
    <definedName name="BACK_SCRATCH_FEMALES_40">#REF!</definedName>
    <definedName name="BACK_SCRATCH_FEMALES_50">#REF!</definedName>
    <definedName name="BACK_SCRATCH_FEMALES_60">#REF!</definedName>
    <definedName name="BACK_SCRATCH_MALES_20">#REF!</definedName>
    <definedName name="BACK_SCRATCH_MALES_30">#REF!</definedName>
    <definedName name="BACK_SCRATCH_MALES_40">#REF!</definedName>
    <definedName name="BACK_SCRATCH_MALES_50">#REF!</definedName>
    <definedName name="BACK_SCRATCH_MALES_60">#REF!</definedName>
    <definedName name="BICEP_CURL_FEMALES_65">#REF!</definedName>
    <definedName name="BICEP_CURL_FEMALES_70">#REF!</definedName>
    <definedName name="BICEP_CURL_FEMALES_75">#REF!</definedName>
    <definedName name="BICEP_CURL_FEMALES_80">#REF!</definedName>
    <definedName name="BICEP_CURL_FEMALES_85">#REF!</definedName>
    <definedName name="BICEP_CURL_MALES_65">#REF!</definedName>
    <definedName name="BICEP_CURL_MALES_70">#REF!</definedName>
    <definedName name="BICEP_CURL_MALES_75">#REF!</definedName>
    <definedName name="BICEP_CURL_MALES_80">#REF!</definedName>
    <definedName name="BICEP_CURL_MALES_85">#REF!</definedName>
    <definedName name="BIO_PERCENT_CLASS">#REF!</definedName>
    <definedName name="BMI_ALL">[3]!Tabela4[#All]</definedName>
    <definedName name="BMI_BOYS">[3]!Table2[#All]</definedName>
    <definedName name="BMI_CLASS">#REF!</definedName>
    <definedName name="BMI_GIRLS">[3]!Table7[#All]</definedName>
    <definedName name="BORG_SCALE">#REF!</definedName>
    <definedName name="BP_PERCENT_CLASS">#REF!</definedName>
    <definedName name="Chair_Sit_and_Reach_Females_PT_65">#REF!</definedName>
    <definedName name="Chair_Sit_and_Reach_Females_PT_70">#REF!</definedName>
    <definedName name="Chair_Sit_and_Reach_Females_PT_75">#REF!</definedName>
    <definedName name="Chair_Sit_and_Reach_Females_PT_80">#REF!</definedName>
    <definedName name="Chair_Sit_and_Reach_Females_PT_85">#REF!</definedName>
    <definedName name="Chair_Sit_and_Reach_Males_PT_65">#REF!</definedName>
    <definedName name="Chair_Sit_and_Reach_Males_PT_70">#REF!</definedName>
    <definedName name="Chair_Sit_and_Reach_Males_PT_75">#REF!</definedName>
    <definedName name="Chair_Sit_and_Reach_Males_PT_80">#REF!</definedName>
    <definedName name="Chair_Sit_and_Reach_Males_PT_85">#REF!</definedName>
    <definedName name="Chair_Stand_Females_60">#REF!</definedName>
    <definedName name="Chair_Stand_Females_65">#REF!</definedName>
    <definedName name="Chair_Stand_Females_65_PT">#REF!</definedName>
    <definedName name="Chair_Stand_Females_70">#REF!</definedName>
    <definedName name="Chair_Stand_Females_70_PT">#REF!</definedName>
    <definedName name="Chair_Stand_Females_75">#REF!</definedName>
    <definedName name="Chair_Stand_Females_75_PT">#REF!</definedName>
    <definedName name="Chair_Stand_Females_80">#REF!</definedName>
    <definedName name="Chair_Stand_Females_80_PT">#REF!</definedName>
    <definedName name="Chair_Stand_Females_85">#REF!</definedName>
    <definedName name="Chair_Stand_Females_85_PT">#REF!</definedName>
    <definedName name="Chair_Stand_Females_90">#REF!</definedName>
    <definedName name="Chair_Stand_Females_ID_50">#REF!</definedName>
    <definedName name="Chair_Stand_Females_ID_60">#REF!</definedName>
    <definedName name="Chair_Stand_Females_ID_70">#REF!</definedName>
    <definedName name="Chair_Stand_Males_60">#REF!</definedName>
    <definedName name="Chair_Stand_Males_60_PT">#REF!</definedName>
    <definedName name="Chair_Stand_Males_65">#REF!</definedName>
    <definedName name="Chair_Stand_Males_65_PT">#REF!</definedName>
    <definedName name="Chair_Stand_Males_70">#REF!</definedName>
    <definedName name="Chair_Stand_Males_70_PT">#REF!</definedName>
    <definedName name="Chair_Stand_Males_75">#REF!</definedName>
    <definedName name="Chair_Stand_Males_75_PT">#REF!</definedName>
    <definedName name="Chair_Stand_Males_80">#REF!</definedName>
    <definedName name="Chair_Stand_Males_80_PT">#REF!</definedName>
    <definedName name="Chair_Stand_Males_85">#REF!</definedName>
    <definedName name="Chair_Stand_Males_85_PT">#REF!</definedName>
    <definedName name="Chair_Stand_Males_90">#REF!</definedName>
    <definedName name="Chair_Stand_Males_ID_50">#REF!</definedName>
    <definedName name="Chair_Stand_Males_ID_60">#REF!</definedName>
    <definedName name="Chair_Stand_Males_ID_70">#REF!</definedName>
    <definedName name="cintura_H">'[1]Prog. CC'!$D$40:$E$44</definedName>
    <definedName name="cintura_M">'[1]Prog. CC'!$B$40:$C$44</definedName>
    <definedName name="classif_DAF">#REF!</definedName>
    <definedName name="Classif_IMC">'[1]Prog. CC'!$B$48:$C$54</definedName>
    <definedName name="Classificação_Act.Física_Max">#REF!</definedName>
    <definedName name="Classificação_Act.Física_Min">#REF!</definedName>
    <definedName name="Classificação_passos">#REF!</definedName>
    <definedName name="Coeficientes">'[1]Prog. Força'!$Q$3:$R$12</definedName>
    <definedName name="CRF_PERCENT_CLASS">#REF!</definedName>
    <definedName name="CSBP_HZ_NORMAL_FEMALES">#REF!</definedName>
    <definedName name="CSBP_HZ_NORMAL_MALES">#REF!</definedName>
    <definedName name="CSBP_HZ_REFERENCE_FEMALES">#REF!</definedName>
    <definedName name="CSBP_HZ_REFERENCE_MALES">#REF!</definedName>
    <definedName name="CSBP_Normal_Females_20">#REF!</definedName>
    <definedName name="CSBP_Normal_Females_29">#REF!</definedName>
    <definedName name="CSBP_Normal_Females_39">#REF!</definedName>
    <definedName name="CSBP_Normal_Females_49">#REF!</definedName>
    <definedName name="CSBP_Normal_Females_59">#REF!</definedName>
    <definedName name="CSBP_Normal_Females_69">#REF!</definedName>
    <definedName name="CSBP_Normal_Females_70">#REF!</definedName>
    <definedName name="CSBP_Normal_Males_20">#REF!</definedName>
    <definedName name="CSBP_Normal_Males_29">#REF!</definedName>
    <definedName name="CSBP_Normal_Males_39">#REF!</definedName>
    <definedName name="CSBP_Normal_Males_49">#REF!</definedName>
    <definedName name="CSBP_Normal_Males_59">#REF!</definedName>
    <definedName name="CSBP_Normal_Males_69">#REF!</definedName>
    <definedName name="CSBP_Normal_Males_70">#REF!</definedName>
    <definedName name="CSBP_Reference_Females_20">#REF!</definedName>
    <definedName name="CSBP_Reference_Females_29">#REF!</definedName>
    <definedName name="CSBP_Reference_Females_39">#REF!</definedName>
    <definedName name="CSBP_Reference_Females_49">#REF!</definedName>
    <definedName name="CSBP_Reference_Females_59">#REF!</definedName>
    <definedName name="CSBP_Reference_Females_69">#REF!</definedName>
    <definedName name="CSBP_Reference_Females_70">#REF!</definedName>
    <definedName name="CSBP_Reference_Males_20">#REF!</definedName>
    <definedName name="CSBP_Reference_Males_29">#REF!</definedName>
    <definedName name="CSBP_Reference_Males_39">#REF!</definedName>
    <definedName name="CSBP_Reference_Males_49">#REF!</definedName>
    <definedName name="CSBP_Reference_Males_59">#REF!</definedName>
    <definedName name="CSBP_Reference_Males_69">#REF!</definedName>
    <definedName name="CSBP_Reference_Males_70">#REF!</definedName>
    <definedName name="cxvxc">#REF!</definedName>
    <definedName name="desc_pressão_diastólica">'[1]Prog. Hemo'!$C$3:$D$11</definedName>
    <definedName name="desc_pressão_sistólica">'[1]Prog. Hemo'!$A$3:$B$11</definedName>
    <definedName name="Descrição_dos_Percentis_CC">#REF!</definedName>
    <definedName name="Descrição_dos_Percentis_Idosos">#REF!</definedName>
    <definedName name="Descrição_dos_Percentis_VO2">#REF!</definedName>
    <definedName name="descrição_passos_dia">#REF!</definedName>
    <definedName name="DESCRIÇÃO_PERCENTIS_VO2">[3]!Tabela258[#All]</definedName>
    <definedName name="dois_step_h_64">#REF!</definedName>
    <definedName name="dois_step_h_69">#REF!</definedName>
    <definedName name="dois_step_h_74">#REF!</definedName>
    <definedName name="dois_step_h_79">#REF!</definedName>
    <definedName name="dois_step_h_84">#REF!</definedName>
    <definedName name="dois_step_h_89">#REF!</definedName>
    <definedName name="dois_step_h_94">#REF!</definedName>
    <definedName name="dois_step_m_64">#REF!</definedName>
    <definedName name="dois_step_m_69">#REF!</definedName>
    <definedName name="dois_step_m_74">#REF!</definedName>
    <definedName name="dois_step_m_79">#REF!</definedName>
    <definedName name="dois_step_m_84">#REF!</definedName>
    <definedName name="dois_step_m_89">#REF!</definedName>
    <definedName name="dois_step_m_94">#REF!</definedName>
    <definedName name="EIGHTFT_Females_65_PT">#REF!</definedName>
    <definedName name="EIGHTFT_Females_70_PT">#REF!</definedName>
    <definedName name="EIGHTFT_Females_75_PT">#REF!</definedName>
    <definedName name="EIGHTFT_Females_80_PT">#REF!</definedName>
    <definedName name="EIGHTFT_Females_85_PT">#REF!</definedName>
    <definedName name="EIGHTFT_Males_65_PT">#REF!</definedName>
    <definedName name="EIGHTFT_Males_70_PT">#REF!</definedName>
    <definedName name="EIGHTFT_Males_75_PT">#REF!</definedName>
    <definedName name="EIGHTFT_Males_80_PT">#REF!</definedName>
    <definedName name="EIGHTFT_Males_85_PT">#REF!</definedName>
    <definedName name="estratificacao_risco">[1]QSAD!$H$90</definedName>
    <definedName name="extensões_braços_h_29">'[1]Prog. Força'!$B$65:$C$71</definedName>
    <definedName name="extensões_braços_h_39">'[1]Prog. Força'!$D$65:$E$71</definedName>
    <definedName name="extensões_braços_h_49">'[1]Prog. Força'!$F$65:$G$71</definedName>
    <definedName name="extensões_braços_h_59">'[1]Prog. Força'!$H$65:$I$71</definedName>
    <definedName name="extensões_braços_h_60">'[1]Prog. Força'!$J$65:$K$71</definedName>
    <definedName name="extensões_braços_m_29">'[1]Prog. Força'!$O$65:$P$71</definedName>
    <definedName name="extensões_braços_m_39">'[1]Prog. Força'!$Q$65:$R$71</definedName>
    <definedName name="extensões_braços_m_49">'[1]Prog. Força'!$S$65:$T$71</definedName>
    <definedName name="extensões_braços_m_59">'[1]Prog. Força'!$U$65:$V$71</definedName>
    <definedName name="extensões_braços_m_60">'[1]Prog. Força'!$W$65:$X$71</definedName>
    <definedName name="FALL_PROOF_SCORE_DESC">#REF!</definedName>
    <definedName name="FAT_AGE_ADULTS_FEMALES">#REF!</definedName>
    <definedName name="FAT_AGE_ADULTS_FEMALS">'[4]%FAT vs AGE_ADULTS'!$C$23:$N$38</definedName>
    <definedName name="FAT_AGE_ADULTS_MALES">#REF!</definedName>
    <definedName name="FEEDBACK_AEROBIC">#REF!</definedName>
    <definedName name="FEEDBACK_AORTIC_BP">#REF!</definedName>
    <definedName name="FEEDBACK_BALANCE">#REF!</definedName>
    <definedName name="FEEDBACK_BODY_COMPOSITION">#REF!</definedName>
    <definedName name="FEEDBACK_BRACHIAL_BP">#REF!</definedName>
    <definedName name="FEEDBACK_EPR">#REF!</definedName>
    <definedName name="FEEDBACK_FLEXIBILITY">#REF!</definedName>
    <definedName name="FEEDBACK_FUNCTIONAL_FITNESS">#REF!</definedName>
    <definedName name="FEEDBACK_PHYSICAL_ACTIVITY">#REF!</definedName>
    <definedName name="FEEDBACK_PWV">#REF!</definedName>
    <definedName name="FEEDBACK_QOL">#REF!</definedName>
    <definedName name="FEEDBACK_QOL_EPR">#REF!</definedName>
    <definedName name="FEEDBACK_RISK_SCORE">#REF!</definedName>
    <definedName name="FEEDBACK_STRENGTH">#REF!</definedName>
    <definedName name="FFMI_25_F">#REF!</definedName>
    <definedName name="FFMI_25_M">#REF!</definedName>
    <definedName name="FFMI_30_F">#REF!</definedName>
    <definedName name="FFMI_30_M">#REF!</definedName>
    <definedName name="FFMI_35_F">#REF!</definedName>
    <definedName name="FFMI_35_M">#REF!</definedName>
    <definedName name="FFMI_AVERAGE_F">#REF!</definedName>
    <definedName name="FFMI_AVERAGE_M">#REF!</definedName>
    <definedName name="flex_h_64">#REF!</definedName>
    <definedName name="flex_h_69">#REF!</definedName>
    <definedName name="flex_h_74">#REF!</definedName>
    <definedName name="flex_h_79">#REF!</definedName>
    <definedName name="flex_h_84">#REF!</definedName>
    <definedName name="flex_h_89">#REF!</definedName>
    <definedName name="flex_h_94">#REF!</definedName>
    <definedName name="flex_m_64">#REF!</definedName>
    <definedName name="flex_m_69">#REF!</definedName>
    <definedName name="flex_m_74">#REF!</definedName>
    <definedName name="flex_m_79">#REF!</definedName>
    <definedName name="flex_m_84">#REF!</definedName>
    <definedName name="flex_m_89">#REF!</definedName>
    <definedName name="flex_m_94">#REF!</definedName>
    <definedName name="FM_HEIGHT_AGE_ADULTS_FEMALES">#REF!</definedName>
    <definedName name="FM_HEIGHT_AGE_ADULTS_MALES">#REF!</definedName>
    <definedName name="FMI_25_F">#REF!</definedName>
    <definedName name="FMI_25_M">#REF!</definedName>
    <definedName name="FMI_30_F">#REF!</definedName>
    <definedName name="FMI_30_M">#REF!</definedName>
    <definedName name="FMI_35_F">#REF!</definedName>
    <definedName name="FMI_35_M">#REF!</definedName>
    <definedName name="FMI_AVERAGE_F">#REF!</definedName>
    <definedName name="FMI_AVERAGE_M">#REF!</definedName>
    <definedName name="força_inferior_h_29">'[1]Prog. Força'!$B$36:$C$46</definedName>
    <definedName name="força_inferior_h_39">'[1]Prog. Força'!$D$36:$E$46</definedName>
    <definedName name="força_inferior_h_49">'[1]Prog. Força'!$F$36:$G$46</definedName>
    <definedName name="força_inferior_h_59">'[1]Prog. Força'!$H$36:$I$46</definedName>
    <definedName name="força_inferior_h_60">'[1]Prog. Força'!$J$36:$K$46</definedName>
    <definedName name="força_inferior_m_29">'[1]Prog. Força'!$B$51:$C$61</definedName>
    <definedName name="força_inferior_m_39">'[1]Prog. Força'!$D$51:$E$61</definedName>
    <definedName name="força_inferior_m_49">'[1]Prog. Força'!$F$51:$G$61</definedName>
    <definedName name="força_inferior_m_59">'[1]Prog. Força'!$H$51:$I$61</definedName>
    <definedName name="força_inferior_m_60">'[1]Prog. Força'!$J$51:$K$61</definedName>
    <definedName name="força_superior_h_29">'[1]Prog. Força'!$B$4:$C$14</definedName>
    <definedName name="força_superior_h_39">'[1]Prog. Força'!$D$4:$E$14</definedName>
    <definedName name="força_superior_h_49">'[1]Prog. Força'!$F$4:$G$14</definedName>
    <definedName name="força_superior_h_59">'[1]Prog. Força'!$H$4:$I$14</definedName>
    <definedName name="força_superior_h_60">'[1]Prog. Força'!$J$4:$K$14</definedName>
    <definedName name="força_superior_m_29">'[1]Prog. Força'!$B$21:$C$31</definedName>
    <definedName name="força_superior_m_39">'[1]Prog. Força'!$D$21:$E$31</definedName>
    <definedName name="força_superior_m_49">'[1]Prog. Força'!$F$21:$G$31</definedName>
    <definedName name="força_superior_m_59">'[1]Prog. Força'!$H$21:$I$31</definedName>
    <definedName name="força_superior_m_60">'[1]Prog. Força'!$J$21:$K$31</definedName>
    <definedName name="Gender">[3]!Table6[[#This Row],[Column2]]</definedName>
    <definedName name="Handgrip">'UPSIDE DOWNS'!$Y$17</definedName>
    <definedName name="HANDGRIP_FEMALES_35">#REF!</definedName>
    <definedName name="HANDGRIP_FEMALES_41">#REF!</definedName>
    <definedName name="HANDGRIP_FEMALES_51">#REF!</definedName>
    <definedName name="HANDGRIP_FEMALES_61">#REF!</definedName>
    <definedName name="HANDGRIP_FEMALES_ID_50">#REF!</definedName>
    <definedName name="HANDGRIP_FEMALES_ID_60">#REF!</definedName>
    <definedName name="HANDGRIP_FEMALES_ID_70">#REF!</definedName>
    <definedName name="HANDGRIP_FIREFIGHTERS_20">#REF!</definedName>
    <definedName name="HANDGRIP_FIREFIGHTERS_25">#REF!</definedName>
    <definedName name="HANDGRIP_FIREFIGHTERS_30">#REF!</definedName>
    <definedName name="HANDGRIP_FIREFIGHTERS_35">#REF!</definedName>
    <definedName name="HANDGRIP_FIREFIGHTERS_40">#REF!</definedName>
    <definedName name="HANDGRIP_FIREFIGHTERS_45">#REF!</definedName>
    <definedName name="HANDGRIP_FIREFIGHTERS_50">#REF!</definedName>
    <definedName name="HANDGRIP_FIREFIGHTERS_55">#REF!</definedName>
    <definedName name="HANDGRIP_FIREFIGHTERS_60">#REF!</definedName>
    <definedName name="HANDGRIP_MALES_35">#REF!</definedName>
    <definedName name="HANDGRIP_MALES_41">#REF!</definedName>
    <definedName name="HANDGRIP_MALES_51">#REF!</definedName>
    <definedName name="HANDGRIP_MALES_61">#REF!</definedName>
    <definedName name="HANDGRIP_MALES_ID_50">#REF!</definedName>
    <definedName name="HANDGRIP_MALES_ID_60">#REF!</definedName>
    <definedName name="HANDGRIP_MALES_ID_70">#REF!</definedName>
    <definedName name="HZ_ABS_FEMALES">#REF!</definedName>
    <definedName name="HZ_ABS_MALES">#REF!</definedName>
    <definedName name="HZ_BACK_SCRATCH_FEMALES">#REF!</definedName>
    <definedName name="HZ_BACK_SCRATCH_MALES">#REF!</definedName>
    <definedName name="HZ_BICEP_CURL_FEMALES">#REF!</definedName>
    <definedName name="HZ_BICEP_CURL_MALES">#REF!</definedName>
    <definedName name="HZ_Chair_Sit_and_Reach_Females_PT">#REF!</definedName>
    <definedName name="HZ_Chair_Sit_and_Reach_Males_PT">#REF!</definedName>
    <definedName name="HZ_Chair_Stand_Females_ID">#REF!</definedName>
    <definedName name="HZ_Chair_Stand_Females_PT">#REF!</definedName>
    <definedName name="HZ_Chair_Stand_Males_ID">#REF!</definedName>
    <definedName name="HZ_Chair_Stand_Males_PT">#REF!</definedName>
    <definedName name="HZ_CRF_FEMALES">#REF!</definedName>
    <definedName name="HZ_CRF_MALES">#REF!</definedName>
    <definedName name="HZ_EIGHTFT_Females_PT">#REF!</definedName>
    <definedName name="HZ_EIGHTFT_Males_PT">#REF!</definedName>
    <definedName name="HZ_Females_Chair_Stand">#REF!</definedName>
    <definedName name="HZ_HANDGRIP_Females_ID">#REF!</definedName>
    <definedName name="HZ_HANDGRIP_FIREFIGHTERS">#REF!</definedName>
    <definedName name="HZ_HANDGRIP_HEALTHY_FEMALES">#REF!</definedName>
    <definedName name="HZ_HANDGRIP_HEALTHY_MALES">#REF!</definedName>
    <definedName name="HZ_HANDGRIP_Males_ID">#REF!</definedName>
    <definedName name="HZ_Males_Chair_Stand">#REF!</definedName>
    <definedName name="HZ_MIN_ABS">#REF!</definedName>
    <definedName name="HZ_PUSH_UPS_FEMALES">#REF!</definedName>
    <definedName name="HZ_PUSH_UPS_MALES">#REF!</definedName>
    <definedName name="HZ_SIT_REACH_FEMALES">#REF!</definedName>
    <definedName name="HZ_SIT_REACH_MALES">#REF!</definedName>
    <definedName name="HZ_TBF_FEMALES">#REF!</definedName>
    <definedName name="HZ_TBF_MALES">#REF!</definedName>
    <definedName name="ICA_H_29">'[1]Prog. CC'!$G$40:$H$44</definedName>
    <definedName name="ICA_H_39">'[1]Prog. CC'!$I$40:$J$44</definedName>
    <definedName name="ICA_H_49">'[1]Prog. CC'!$K$40:$L$44</definedName>
    <definedName name="ICA_H_59">'[1]Prog. CC'!$M$40:$N$44</definedName>
    <definedName name="ICA_H_69">'[1]Prog. CC'!$O$40:$P$44</definedName>
    <definedName name="ICA_M_29">'[1]Prog. CC'!$R$40:$S$44</definedName>
    <definedName name="ICA_M_39">'[1]Prog. CC'!$T$40:$U$44</definedName>
    <definedName name="ICA_M_49">'[1]Prog. CC'!$V$40:$W$44</definedName>
    <definedName name="ICA_M_59">'[1]Prog. CC'!$X$40:$Y$44</definedName>
    <definedName name="ICA_M_69">'[1]Prog. CC'!$Z$40:$AA$44</definedName>
    <definedName name="idade">'[1]Dados de ID'!$D$11</definedName>
    <definedName name="imc_h_64">#REF!</definedName>
    <definedName name="imc_h_69">#REF!</definedName>
    <definedName name="imc_h_74">#REF!</definedName>
    <definedName name="imc_h_79">#REF!</definedName>
    <definedName name="imc_h_84">#REF!</definedName>
    <definedName name="imc_h_89">#REF!</definedName>
    <definedName name="imc_h_94">#REF!</definedName>
    <definedName name="imc_m_64">#REF!</definedName>
    <definedName name="imc_m_69">#REF!</definedName>
    <definedName name="imc_m_74">#REF!</definedName>
    <definedName name="imc_m_79">#REF!</definedName>
    <definedName name="imc_m_84">#REF!</definedName>
    <definedName name="imc_m_89">#REF!</definedName>
    <definedName name="imc_m_94">#REF!</definedName>
    <definedName name="IMT_15_MEN">[4]!Table3[[15]:[IMT(UM)]]</definedName>
    <definedName name="IMT_15_WOMEN">[4]!Table328[[15]:[IMT(UM)]]</definedName>
    <definedName name="IMT_20_MEN">[4]!Table3[[20]:[MEN]]</definedName>
    <definedName name="IMT_20_WOMEN">[4]!Table328[[20]:[WOMEN]]</definedName>
    <definedName name="IMT_25_MEN">[4]!Table3[[25]:[Column3]]</definedName>
    <definedName name="IMT_25_WOMEN">[4]!Table328[[25]:[Column3]]</definedName>
    <definedName name="IMT_30_MEN">[4]!Table3[[30]:[Column4]]</definedName>
    <definedName name="IMT_30_WOMEN">[4]!Table328[[30]:[Column4]]</definedName>
    <definedName name="IMT_35_MEN">[4]!Table3[[35]:[Column5]]</definedName>
    <definedName name="IMT_35_WOMEN">[4]!Table328[[35]:[Column5]]</definedName>
    <definedName name="IMT_40_MEN">[4]!Table3[[40]:[Column1]]</definedName>
    <definedName name="IMT_40_WOMEN">[4]!Table328[[40]:[Column1]]</definedName>
    <definedName name="IMT_45_MEN">[4]!Table3[[45]:[Coluna8]]</definedName>
    <definedName name="IMT_45_WOMEN">[4]!Table328[[45]:[Coluna8]]</definedName>
    <definedName name="IMT_50_MEN">[4]!Table3[[50]:[Coluna7]]</definedName>
    <definedName name="IMT_50_WOMEN">[4]!Table328[[50]:[Coluna7]]</definedName>
    <definedName name="IMT_55_MEN">[4]!Table3[[55]:[Coluna6]]</definedName>
    <definedName name="IMT_55_WOMEN">[4]!Table328[[55]:[Coluna6]]</definedName>
    <definedName name="IMT_60_MEN">[4]!Table3[[60]:[Coluna5]]</definedName>
    <definedName name="IMT_60_WOMEN">[4]!Table328[[60]:[Coluna5]]</definedName>
    <definedName name="IMT_65_MEN">[4]!Table3[[65]:[Coluna4]]</definedName>
    <definedName name="IMT_65_WOMEN">[4]!Table328[[65]:[Coluna4]]</definedName>
    <definedName name="IMT_70_MEN">[4]!Table3[[70]:[Coluna3]]</definedName>
    <definedName name="IMT_70_WOMEN">[4]!Table328[[70]:[Coluna3]]</definedName>
    <definedName name="IMT_75_MEN">[4]!Table3[[75]:[Coluna2]]</definedName>
    <definedName name="IMT_75_WOMEN">[4]!Table328[[75]:[Coluna2]]</definedName>
    <definedName name="IMT_80_MEN">[4]!Table3[[80]:[Coluna1]]</definedName>
    <definedName name="IMT_80_WOMEN">[4]!Table328[[80]:[Coluna1]]</definedName>
    <definedName name="IMT_85_MEN">[4]!Table3[[85]:[Coluna9]]</definedName>
    <definedName name="IMT_85_WOMEN">[4]!Table328[[85]:[Coluna9]]</definedName>
    <definedName name="lev_sent_h_64">#REF!</definedName>
    <definedName name="lev_sent_h_69">#REF!</definedName>
    <definedName name="lev_sent_h_74">#REF!</definedName>
    <definedName name="lev_sent_h_79">#REF!</definedName>
    <definedName name="lev_sent_h_84">#REF!</definedName>
    <definedName name="lev_sent_h_89">#REF!</definedName>
    <definedName name="lev_sent_h_94">#REF!</definedName>
    <definedName name="lev_sent_m_64">#REF!</definedName>
    <definedName name="lev_sent_m_69">#REF!</definedName>
    <definedName name="lev_sent_m_74">#REF!</definedName>
    <definedName name="lev_sent_m_79">#REF!</definedName>
    <definedName name="lev_sent_m_84">#REF!</definedName>
    <definedName name="lev_sent_m_89">#REF!</definedName>
    <definedName name="lev_sent_m_94">#REF!</definedName>
    <definedName name="MG_RISC_SAUD_H_39">'[1]Prog. CC'!$B$31:$C$35</definedName>
    <definedName name="MG_RISC_SAUD_H_59">'[1]Prog. CC'!$D$31:$E$35</definedName>
    <definedName name="MG_RISC_SAUD_H_79">'[1]Prog. CC'!$F$31:$G$35</definedName>
    <definedName name="MG_RISC_SAUD_M_39">'[1]Prog. CC'!$I$31:$J$35</definedName>
    <definedName name="MG_RISC_SAUD_M_59">'[1]Prog. CC'!$K$31:$L$35</definedName>
    <definedName name="MG_RISC_SAUD_M_79">'[1]Prog. CC'!$M$31:$N$35</definedName>
    <definedName name="MSRT">#REF!</definedName>
    <definedName name="MSRT_HZ_Females">#REF!</definedName>
    <definedName name="MSRT_HZ_Males">#REF!</definedName>
    <definedName name="PA_25_F">#REF!</definedName>
    <definedName name="PA_25_M">#REF!</definedName>
    <definedName name="PA_30_F">#REF!</definedName>
    <definedName name="PA_30_M">#REF!</definedName>
    <definedName name="PA_35_F">#REF!</definedName>
    <definedName name="PA_35_M">#REF!</definedName>
    <definedName name="PA_AVERAGE_F">#REF!</definedName>
    <definedName name="PA_AVERAGE_M">#REF!</definedName>
    <definedName name="PAD_CLASS">#REF!</definedName>
    <definedName name="PAS_CLASS">#REF!</definedName>
    <definedName name="perc_MG_H_29">'[1]Prog. CC'!$B$18:$C$27</definedName>
    <definedName name="perc_MG_H_39">'[1]Prog. CC'!$D$18:$E$27</definedName>
    <definedName name="perc_MG_H_49">'[1]Prog. CC'!$F$18:$G$27</definedName>
    <definedName name="perc_MG_H_59">'[1]Prog. CC'!$H$18:$I$27</definedName>
    <definedName name="perc_MG_H_60">'[1]Prog. CC'!$J$18:$K$27</definedName>
    <definedName name="perc_MG_M_29">'[1]Prog. CC'!$O$18:$P$27</definedName>
    <definedName name="perc_MG_M_39">'[1]Prog. CC'!$Q$18:$R$27</definedName>
    <definedName name="perc_MG_M_49">'[1]Prog. CC'!$S$18:$T$27</definedName>
    <definedName name="perc_MG_M_59">'[1]Prog. CC'!$U$18:$V$27</definedName>
    <definedName name="perc_MG_M_60">'[1]Prog. CC'!$W$18:$X$27</definedName>
    <definedName name="PERC_VO2_B_10">[3]!Table3[[10]:[Column4]]</definedName>
    <definedName name="PERC_VO2_B_11">[3]!Table3[[11]:[Column5]]</definedName>
    <definedName name="PERC_VO2_B_12">[3]!Table3[[12]:[Column1]]</definedName>
    <definedName name="PERC_VO2_B_15">#REF!</definedName>
    <definedName name="PERC_VO2_B_18">#REF!</definedName>
    <definedName name="PERC_VO2_B_5">#REF!</definedName>
    <definedName name="PERC_VO2_B_7">[3]!Table3[[7]:[VO2max Boys]]</definedName>
    <definedName name="PERC_VO2_B_8">[3]!Table3[[8]:[Column2]]</definedName>
    <definedName name="PERC_VO2_B_9">[3]!Table3[[9]:[Column3]]</definedName>
    <definedName name="PERC_VO2_G_10">[3]!Table4[[10]:[Column8]]</definedName>
    <definedName name="PERC_VO2_G_11">[3]!Table4[[11]:[Column10]]</definedName>
    <definedName name="PERC_VO2_G_12">[3]!Table4[[12]:[Column12]]</definedName>
    <definedName name="PERC_VO2_G_15">#REF!</definedName>
    <definedName name="PERC_VO2_G_18">#REF!</definedName>
    <definedName name="PERC_VO2_G_5">#REF!</definedName>
    <definedName name="PERC_VO2_G_7">[3]!Table4[[7]:[VO2max Girls]]</definedName>
    <definedName name="PERC_VO2_G_8">[3]!Table4[[8]:[Column4]]</definedName>
    <definedName name="PERC_VO2_G_9">[3]!Table4[[9]:[Column6]]</definedName>
    <definedName name="PERC_VO2_H_29">#REF!</definedName>
    <definedName name="PERC_VO2_H_39">#REF!</definedName>
    <definedName name="PERC_VO2_H_49">#REF!</definedName>
    <definedName name="PERC_VO2_H_59">#REF!</definedName>
    <definedName name="PERC_VO2_H_60">#REF!</definedName>
    <definedName name="PERC_VO2_H_69">#REF!</definedName>
    <definedName name="PERC_VO2_H_79">#REF!</definedName>
    <definedName name="PERC_VO2_M_29">#REF!</definedName>
    <definedName name="PERC_VO2_M_39">#REF!</definedName>
    <definedName name="PERC_VO2_M_49">#REF!</definedName>
    <definedName name="PERC_VO2_M_59">#REF!</definedName>
    <definedName name="PERC_VO2_M_60">#REF!</definedName>
    <definedName name="PERC_VO2_M_69">#REF!</definedName>
    <definedName name="PERC_VO2_M_79">#REF!</definedName>
    <definedName name="PERCENT_CLASS">[2]!Tabela258[#All]</definedName>
    <definedName name="percent_vs_rm">'[1]Prog. Força'!$T$3:$U$30</definedName>
    <definedName name="PERCENTIL_CLASS">[4]!Table30[#Data]</definedName>
    <definedName name="peso">'[1]Composição Corporal'!$H$5</definedName>
    <definedName name="push_ups_females_29">#REF!</definedName>
    <definedName name="push_ups_females_39">#REF!</definedName>
    <definedName name="push_ups_females_49">#REF!</definedName>
    <definedName name="push_ups_females_59">#REF!</definedName>
    <definedName name="push_ups_females_60">#REF!</definedName>
    <definedName name="push_ups_males_29">#REF!</definedName>
    <definedName name="push_ups_males_39">#REF!</definedName>
    <definedName name="push_ups_males_49">#REF!</definedName>
    <definedName name="push_ups_males_59">#REF!</definedName>
    <definedName name="push_ups_males_60">#REF!</definedName>
    <definedName name="PWV">#REF!</definedName>
    <definedName name="PWV_G1HBP_29">#REF!</definedName>
    <definedName name="PWV_G1HBP_39">#REF!</definedName>
    <definedName name="PWV_G1HBP_49">#REF!</definedName>
    <definedName name="PWV_G1HBP_59">#REF!</definedName>
    <definedName name="PWV_G1HBP_69">#REF!</definedName>
    <definedName name="PWV_G1HBP_70">#REF!</definedName>
    <definedName name="PWV_G2HBP_29">#REF!</definedName>
    <definedName name="PWV_G2HBP_39">#REF!</definedName>
    <definedName name="PWV_G2HBP_49">#REF!</definedName>
    <definedName name="PWV_G2HBP_59">#REF!</definedName>
    <definedName name="PWV_G2HBP_69">#REF!</definedName>
    <definedName name="PWV_G2HBP_70">#REF!</definedName>
    <definedName name="PWV_HNBP_29">#REF!</definedName>
    <definedName name="PWV_HNBP_39">#REF!</definedName>
    <definedName name="PWV_HNBP_49">#REF!</definedName>
    <definedName name="PWV_HNBP_59">#REF!</definedName>
    <definedName name="PWV_HNBP_69">#REF!</definedName>
    <definedName name="PWV_HNBP_70">#REF!</definedName>
    <definedName name="PWV_NBP_29">#REF!</definedName>
    <definedName name="PWV_NBP_39">#REF!</definedName>
    <definedName name="PWV_NBP_49">#REF!</definedName>
    <definedName name="PWV_NBP_59">#REF!</definedName>
    <definedName name="PWV_NBP_69">#REF!</definedName>
    <definedName name="PWV_NBP_70">#REF!</definedName>
    <definedName name="PWV_OBP_29">#REF!</definedName>
    <definedName name="PWV_OBP_39">#REF!</definedName>
    <definedName name="PWV_OBP_49">#REF!</definedName>
    <definedName name="PWV_OBP_59">#REF!</definedName>
    <definedName name="PWV_OBP_69">#REF!</definedName>
    <definedName name="PWV_OBP_70">#REF!</definedName>
    <definedName name="PWV_PERCENT_CLASS">#REF!</definedName>
    <definedName name="QOL_CLASS">#REF!</definedName>
    <definedName name="RACA">'[1]Dados de ID'!$J$11</definedName>
    <definedName name="REACT_25_F">#REF!</definedName>
    <definedName name="REACT_25_M">#REF!</definedName>
    <definedName name="REACT_30_F">#REF!</definedName>
    <definedName name="REACT_30_M">#REF!</definedName>
    <definedName name="REACT_35_F">#REF!</definedName>
    <definedName name="REACT_35_M">#REF!</definedName>
    <definedName name="REACT_AVERAGE_F">#REF!</definedName>
    <definedName name="REACT_AVERAGE_M">#REF!</definedName>
    <definedName name="RES_25_F">#REF!</definedName>
    <definedName name="RES_25_M">#REF!</definedName>
    <definedName name="RES_30_F">#REF!</definedName>
    <definedName name="RES_30_M">#REF!</definedName>
    <definedName name="RES_35_F">#REF!</definedName>
    <definedName name="RES_35_M">#REF!</definedName>
    <definedName name="RES_AVERAGE_F">#REF!</definedName>
    <definedName name="RES_AVERAGE_M">#REF!</definedName>
    <definedName name="sent_alc_h_29">'[5]Prog. Flexib'!$C$34:$D$39</definedName>
    <definedName name="sent_alc_h_39">'[5]Prog. Flexib'!$E$34:$F$39</definedName>
    <definedName name="sent_alc_h_49">'[5]Prog. Flexib'!$G$34:$H$39</definedName>
    <definedName name="sent_alc_h_59">'[5]Prog. Flexib'!$I$34:$J$39</definedName>
    <definedName name="sent_alc_h_60">'[5]Prog. Flexib'!$K$34:$L$39</definedName>
    <definedName name="sent_alc_h_64">#REF!</definedName>
    <definedName name="sent_alc_h_69">#REF!</definedName>
    <definedName name="sent_alc_h_74">#REF!</definedName>
    <definedName name="sent_alc_h_79">#REF!</definedName>
    <definedName name="sent_alc_h_84">#REF!</definedName>
    <definedName name="sent_alc_h_89">#REF!</definedName>
    <definedName name="sent_alc_h_94">#REF!</definedName>
    <definedName name="sent_alc_m_29">'[5]Prog. Flexib'!$O$34:$P$39</definedName>
    <definedName name="sent_alc_m_39">'[5]Prog. Flexib'!$Q$34:$R$39</definedName>
    <definedName name="sent_alc_m_49">'[5]Prog. Flexib'!$S$34:$T$39</definedName>
    <definedName name="sent_alc_m_59">'[5]Prog. Flexib'!$U$34:$V$39</definedName>
    <definedName name="sent_alc_m_60">'[5]Prog. Flexib'!$W$34:$X$39</definedName>
    <definedName name="sent_alc_m_64">#REF!</definedName>
    <definedName name="sent_alc_m_69">#REF!</definedName>
    <definedName name="sent_alc_m_74">#REF!</definedName>
    <definedName name="sent_alc_m_79">#REF!</definedName>
    <definedName name="sent_alc_m_84">#REF!</definedName>
    <definedName name="sent_alc_m_89">#REF!</definedName>
    <definedName name="sent_alc_m_94">#REF!</definedName>
    <definedName name="sent_caminh_sent_h_64">#REF!</definedName>
    <definedName name="sent_caminh_sent_h_69">#REF!</definedName>
    <definedName name="sent_caminh_sent_h_74">#REF!</definedName>
    <definedName name="sent_caminh_sent_h_79">#REF!</definedName>
    <definedName name="sent_caminh_sent_h_84">#REF!</definedName>
    <definedName name="sent_caminh_sent_h_89">#REF!</definedName>
    <definedName name="sent_caminh_sent_h_94">#REF!</definedName>
    <definedName name="sent_caminh_sent_m_64">#REF!</definedName>
    <definedName name="sent_caminh_sent_m_69">#REF!</definedName>
    <definedName name="sent_caminh_sent_m_74">#REF!</definedName>
    <definedName name="sent_caminh_sent_m_79">#REF!</definedName>
    <definedName name="sent_caminh_sent_m_84">#REF!</definedName>
    <definedName name="sent_caminh_sent_m_89">#REF!</definedName>
    <definedName name="sent_caminh_sent_m_94">#REF!</definedName>
    <definedName name="sexo">'[1]Dados de ID'!$J$5</definedName>
    <definedName name="sit_reach_females_29">#REF!</definedName>
    <definedName name="sit_reach_females_39">#REF!</definedName>
    <definedName name="sit_reach_females_49">#REF!</definedName>
    <definedName name="sit_reach_females_59">#REF!</definedName>
    <definedName name="sit_reach_females_60">#REF!</definedName>
    <definedName name="sit_reach_males_29">#REF!</definedName>
    <definedName name="sit_reach_males_39">#REF!</definedName>
    <definedName name="sit_reach_males_49">#REF!</definedName>
    <definedName name="sit_reach_males_59">#REF!</definedName>
    <definedName name="sit_reach_males_60">#REF!</definedName>
    <definedName name="SMM_LA_25_F">#REF!</definedName>
    <definedName name="SMM_LA_25_M">#REF!</definedName>
    <definedName name="SMM_LA_30_F">#REF!</definedName>
    <definedName name="SMM_LA_30_M">#REF!</definedName>
    <definedName name="SMM_LA_35_F">#REF!</definedName>
    <definedName name="SMM_LA_35_M">#REF!</definedName>
    <definedName name="SMM_LA_AVERAGE_F">#REF!</definedName>
    <definedName name="SMM_LA_AVERAGE_M">#REF!</definedName>
    <definedName name="SMM_LL_25_F">#REF!</definedName>
    <definedName name="SMM_LL_25_M">#REF!</definedName>
    <definedName name="SMM_LL_30_F">#REF!</definedName>
    <definedName name="SMM_LL_30_M">#REF!</definedName>
    <definedName name="SMM_LL_35_F">#REF!</definedName>
    <definedName name="SMM_LL_35_M">#REF!</definedName>
    <definedName name="SMM_LL_AVERAGE_F">#REF!</definedName>
    <definedName name="SMM_LL_AVERAGE_M">#REF!</definedName>
    <definedName name="SMM_RA_25_F">#REF!</definedName>
    <definedName name="SMM_RA_25_M">#REF!</definedName>
    <definedName name="SMM_RA_30_F">#REF!</definedName>
    <definedName name="SMM_RA_30_M">#REF!</definedName>
    <definedName name="SMM_RA_35_F">#REF!</definedName>
    <definedName name="SMM_RA_35_M">#REF!</definedName>
    <definedName name="SMM_RA_AVERAGE_F">#REF!</definedName>
    <definedName name="SMM_RA_AVERAGE_M">#REF!</definedName>
    <definedName name="SMM_RL_25_F">#REF!</definedName>
    <definedName name="SMM_RL_25_M">#REF!</definedName>
    <definedName name="SMM_RL_30_F">#REF!</definedName>
    <definedName name="SMM_RL_30_M">#REF!</definedName>
    <definedName name="SMM_RL_35_F">#REF!</definedName>
    <definedName name="SMM_RL_35_M">#REF!</definedName>
    <definedName name="SMM_RL_AVERAGE_F">#REF!</definedName>
    <definedName name="SMM_RL_AVERAGE_M">#REF!</definedName>
    <definedName name="SMM_RL_AVERAGE_RL">#REF!</definedName>
    <definedName name="SMM_T_25_F">#REF!</definedName>
    <definedName name="SMM_T_25_M">#REF!</definedName>
    <definedName name="SMM_T_30_F">#REF!</definedName>
    <definedName name="SMM_T_30_M">#REF!</definedName>
    <definedName name="SMM_T_35_F">#REF!</definedName>
    <definedName name="SMM_T_35_M">#REF!</definedName>
    <definedName name="SMM_T_AVERAGE_F">#REF!</definedName>
    <definedName name="SMM_T_AVERAGE_M">#REF!</definedName>
    <definedName name="SMM_TB_25_F">#REF!</definedName>
    <definedName name="SMM_TB_25_M">#REF!</definedName>
    <definedName name="SMM_TB_30_F">#REF!</definedName>
    <definedName name="SMM_TB_30_M">#REF!</definedName>
    <definedName name="SMM_TB_35_F">#REF!</definedName>
    <definedName name="SMM_TB_35_M">#REF!</definedName>
    <definedName name="SMM_TB_AVERAGE_F">#REF!</definedName>
    <definedName name="SMM_TB_AVERAGE_M">#REF!</definedName>
    <definedName name="STEPS_CLASS">#REF!</definedName>
    <definedName name="supino_h_25">'[1]Prog. Força'!$B$85:$C$93</definedName>
    <definedName name="supino_h_35">'[1]Prog. Força'!$D$85:$E$93</definedName>
    <definedName name="supino_h_45">'[1]Prog. Força'!$F$85:$G$93</definedName>
    <definedName name="supino_h_55">'[1]Prog. Força'!$H$85:$I$93</definedName>
    <definedName name="supino_h_65">'[1]Prog. Força'!$J$85:$K$93</definedName>
    <definedName name="supino_h_66">'[1]Prog. Força'!$L$85:$M$93</definedName>
    <definedName name="supino_m_25">'[1]Prog. Força'!$Q$85:$R$93</definedName>
    <definedName name="supino_m_35">'[1]Prog. Força'!$S$85:$T$93</definedName>
    <definedName name="supino_m_45">#REF!</definedName>
    <definedName name="supino_m_55">'[1]Prog. Força'!$V$85:$W$93</definedName>
    <definedName name="supino_m_65">'[1]Prog. Força'!$Y$85:$Z$93</definedName>
    <definedName name="supino_m_66">'[1]Prog. Força'!$AA$85:$AB$93</definedName>
    <definedName name="t_fem">[6]!Tabela2[#All]</definedName>
    <definedName name="t_masc">[6]!Tabela1[#All]</definedName>
    <definedName name="T_TEST_FEMALES">#REF!</definedName>
    <definedName name="T_TEST_MALES">#REF!</definedName>
    <definedName name="TABELA_GERAL">OFFSET([1]TAB_GERAL!$A$9:$A$11,,,,200)</definedName>
    <definedName name="teste">[1]TAB_GERAL!#REF!</definedName>
    <definedName name="tmr_equa">[1]TAB_GERAL!#REF!</definedName>
    <definedName name="tmr_equa_kcal">[1]TAB_GERAL!#REF!</definedName>
    <definedName name="tmr_equa_vo">[1]TAB_GERAL!#REF!</definedName>
    <definedName name="WbodyComposition_Query">#REF!</definedName>
    <definedName name="WC_BOY_10">[3]!Table42[[10]:[Column5]]</definedName>
    <definedName name="WC_BOY_11">[3]!Table42[[11]:[Column7]]</definedName>
    <definedName name="WC_BOY_12">[3]!Table42[[12]:[Column9]]</definedName>
    <definedName name="WC_BOY_13">[3]!Table42[[13]:[Column11]]</definedName>
    <definedName name="WC_BOY_14">[3]!Table42[[14]:[Column13]]</definedName>
    <definedName name="WC_BOY_15">[3]!Table42[[15]:[Column14]]</definedName>
    <definedName name="WC_BOY_16">[3]!Table42[[16]:[Column15]]</definedName>
    <definedName name="WC_BOY_17">[3]!Table42[[17]:[Column1]]</definedName>
    <definedName name="WC_BOY_18">[3]!Table42[[18]:[Column16]]</definedName>
    <definedName name="WC_BOY_2">[3]!Table42[[2]:[WC Boys]]</definedName>
    <definedName name="WC_BOY_3">[3]!Table42[[3]:[Column4]]</definedName>
    <definedName name="WC_BOY_4">[3]!Table42[[4]:[Column6]]</definedName>
    <definedName name="WC_BOY_5">[3]!Table42[[5]:[Column8]]</definedName>
    <definedName name="WC_BOY_6">[3]!Table42[[6]:[Column10]]</definedName>
    <definedName name="WC_BOY_7">[3]!Table42[[7]:[Column12]]</definedName>
    <definedName name="WC_BOY_8">[3]!Table42[[8]:[Column2]]</definedName>
    <definedName name="WC_BOY_9">[3]!Table42[[9]:[Column3]]</definedName>
    <definedName name="WC_GIRL_10">[3]!Table429[[10]:[Column5]]</definedName>
    <definedName name="WC_GIRL_11">[3]!Table429[[11]:[Column7]]</definedName>
    <definedName name="WC_GIRL_12">[3]!Table429[[12]:[Column9]]</definedName>
    <definedName name="WC_GIRL_13">[3]!Table429[[13]:[Column11]]</definedName>
    <definedName name="WC_GIRL_14">[3]!Table429[[14]:[Column13]]</definedName>
    <definedName name="WC_GIRL_15">[3]!Table429[[15]:[Column14]]</definedName>
    <definedName name="WC_GIRL_16">[3]!Table429[[16]:[Column15]]</definedName>
    <definedName name="WC_GIRL_17">[3]!Table429[[17]:[Column1]]</definedName>
    <definedName name="WC_GIRL_18">[3]!Table429[[18]:[Column16]]</definedName>
    <definedName name="WC_GIRL_2">[3]!Table429[[2]:[WC Girls]]</definedName>
    <definedName name="WC_GIRL_3">[3]!Table429[[3]:[Column4]]</definedName>
    <definedName name="WC_GIRL_4">[3]!Table429[[4]:[Column6]]</definedName>
    <definedName name="WC_GIRL_5">[3]!Table429[[5]:[Column8]]</definedName>
    <definedName name="WC_GIRL_6">[3]!Table429[[6]:[Column10]]</definedName>
    <definedName name="WC_GIRL_7">[3]!Table429[[7]:[Column12]]</definedName>
    <definedName name="WC_GIRL_8">[3]!Table429[[8]:[Column2]]</definedName>
    <definedName name="WC_GIRL_9">[3]!Table429[[9]:[Column3]]</definedName>
    <definedName name="Z_STATISTICS">'[7]Z STATISTICS'!$C$3:$M$43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A18" i="1" l="1"/>
  <c r="DA4" i="1"/>
  <c r="DA3" i="1"/>
  <c r="DA9" i="1"/>
  <c r="DA12" i="1"/>
  <c r="DA13" i="1"/>
  <c r="DA10" i="1"/>
  <c r="DA6" i="1"/>
  <c r="DA8" i="1"/>
  <c r="DA11" i="1"/>
  <c r="DA16" i="1"/>
  <c r="DA2" i="1"/>
  <c r="DA5" i="1"/>
  <c r="DA7" i="1"/>
  <c r="DA14" i="1"/>
  <c r="DA15" i="1"/>
  <c r="DA17" i="1"/>
  <c r="DA20" i="1"/>
  <c r="DA21" i="1"/>
  <c r="DA19" i="1"/>
  <c r="DA22" i="1"/>
  <c r="DA23" i="1"/>
  <c r="DA24" i="1"/>
  <c r="DA25" i="1"/>
  <c r="DA26" i="1"/>
  <c r="DA27" i="1"/>
  <c r="DA31" i="1"/>
  <c r="DA32" i="1"/>
  <c r="DA34" i="1"/>
  <c r="DA35" i="1"/>
  <c r="DA28" i="1"/>
  <c r="DA29" i="1"/>
  <c r="DA30" i="1"/>
  <c r="DA33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R33" i="1"/>
  <c r="R16" i="1"/>
  <c r="R55" i="1"/>
  <c r="R49" i="1"/>
  <c r="AJ32" i="1" l="1"/>
  <c r="AJ46" i="1"/>
  <c r="AJ61" i="1"/>
  <c r="AJ17" i="1"/>
  <c r="AJ34" i="1"/>
  <c r="AJ47" i="1"/>
  <c r="AJ62" i="1"/>
  <c r="AJ13" i="1"/>
  <c r="AJ30" i="1"/>
  <c r="AJ44" i="1"/>
  <c r="AJ52" i="1"/>
  <c r="AJ14" i="1"/>
  <c r="AJ31" i="1"/>
  <c r="AJ8" i="1"/>
  <c r="AJ25" i="1"/>
  <c r="AJ42" i="1"/>
  <c r="AJ58" i="1"/>
  <c r="AJ6" i="1"/>
  <c r="AJ23" i="1"/>
  <c r="AJ40" i="1"/>
  <c r="AJ56" i="1"/>
  <c r="AJ2" i="1"/>
  <c r="AJ19" i="1"/>
  <c r="AJ38" i="1"/>
  <c r="AJ53" i="1"/>
  <c r="AJ9" i="1"/>
  <c r="AJ26" i="1"/>
  <c r="AJ43" i="1"/>
  <c r="AJ59" i="1"/>
  <c r="AJ16" i="1"/>
  <c r="AJ33" i="1"/>
  <c r="AJ49" i="1"/>
  <c r="AJ55" i="1"/>
  <c r="AJ11" i="1"/>
  <c r="AJ28" i="1"/>
  <c r="AJ7" i="1"/>
  <c r="AJ24" i="1"/>
  <c r="AJ41" i="1"/>
  <c r="AJ57" i="1"/>
  <c r="AJ12" i="1"/>
  <c r="AJ29" i="1"/>
  <c r="AJ3" i="1"/>
  <c r="AJ20" i="1"/>
  <c r="AJ36" i="1"/>
  <c r="AJ50" i="1"/>
  <c r="AJ5" i="1"/>
  <c r="AJ22" i="1"/>
  <c r="AJ39" i="1"/>
  <c r="AJ54" i="1"/>
  <c r="AJ10" i="1"/>
  <c r="AJ27" i="1"/>
  <c r="AJ45" i="1"/>
  <c r="AJ60" i="1"/>
  <c r="AJ18" i="1"/>
  <c r="AJ35" i="1"/>
  <c r="AJ48" i="1"/>
  <c r="AJ63" i="1"/>
  <c r="AJ4" i="1"/>
  <c r="AJ21" i="1"/>
  <c r="AJ37" i="1"/>
  <c r="AJ51" i="1"/>
  <c r="AJ15" i="1"/>
  <c r="AK15" i="1"/>
  <c r="AK32" i="1"/>
  <c r="AK46" i="1"/>
  <c r="AK61" i="1"/>
  <c r="AK17" i="1"/>
  <c r="AK34" i="1"/>
  <c r="AK47" i="1"/>
  <c r="AK62" i="1"/>
  <c r="AK13" i="1"/>
  <c r="AK30" i="1"/>
  <c r="AK44" i="1"/>
  <c r="AK52" i="1"/>
  <c r="AK14" i="1"/>
  <c r="AK31" i="1"/>
  <c r="AK8" i="1"/>
  <c r="AK25" i="1"/>
  <c r="AK42" i="1"/>
  <c r="AK58" i="1"/>
  <c r="AK6" i="1"/>
  <c r="AK23" i="1"/>
  <c r="AK40" i="1"/>
  <c r="AK56" i="1"/>
  <c r="AK2" i="1"/>
  <c r="AK19" i="1"/>
  <c r="AK38" i="1"/>
  <c r="AK53" i="1"/>
  <c r="AK9" i="1"/>
  <c r="AK26" i="1"/>
  <c r="AK43" i="1"/>
  <c r="AK59" i="1"/>
  <c r="AK16" i="1"/>
  <c r="AK33" i="1"/>
  <c r="AK49" i="1"/>
  <c r="AK55" i="1"/>
  <c r="AK11" i="1"/>
  <c r="AK28" i="1"/>
  <c r="AK7" i="1"/>
  <c r="AK24" i="1"/>
  <c r="AK41" i="1"/>
  <c r="AK57" i="1"/>
  <c r="AK12" i="1"/>
  <c r="AK29" i="1"/>
  <c r="AK3" i="1"/>
  <c r="AK20" i="1"/>
  <c r="AK36" i="1"/>
  <c r="AK50" i="1"/>
  <c r="AK5" i="1"/>
  <c r="AK22" i="1"/>
  <c r="AK39" i="1"/>
  <c r="AK54" i="1"/>
  <c r="AK10" i="1"/>
  <c r="AK27" i="1"/>
  <c r="AK45" i="1"/>
  <c r="AK60" i="1"/>
  <c r="AK18" i="1"/>
  <c r="AK35" i="1"/>
  <c r="AK48" i="1"/>
  <c r="AK63" i="1"/>
  <c r="AK4" i="1"/>
  <c r="AK21" i="1"/>
  <c r="AK37" i="1"/>
  <c r="AK51" i="1"/>
  <c r="I32" i="1" l="1"/>
  <c r="O63" i="1" l="1"/>
  <c r="O62" i="1" l="1"/>
  <c r="I62" i="1"/>
  <c r="O58" i="1"/>
  <c r="I58" i="1"/>
  <c r="O56" i="1"/>
  <c r="I56" i="1"/>
  <c r="O59" i="1"/>
  <c r="I59" i="1"/>
  <c r="O61" i="1" l="1"/>
  <c r="I61" i="1"/>
  <c r="I36" i="1"/>
  <c r="O52" i="1"/>
  <c r="I52" i="1"/>
  <c r="I41" i="1"/>
  <c r="O41" i="1" l="1"/>
  <c r="O36" i="1"/>
  <c r="I39" i="1" l="1"/>
  <c r="O51" i="1"/>
  <c r="I51" i="1"/>
  <c r="I49" i="1"/>
  <c r="O39" i="1" l="1"/>
  <c r="O49" i="1"/>
  <c r="O37" i="1" l="1"/>
  <c r="O48" i="1"/>
  <c r="O21" i="1"/>
  <c r="O7" i="1"/>
  <c r="O12" i="1"/>
  <c r="O53" i="1"/>
  <c r="I53" i="1"/>
  <c r="I45" i="1"/>
  <c r="O45" i="1" l="1"/>
  <c r="I63" i="1" l="1"/>
  <c r="I48" i="1" l="1"/>
  <c r="I55" i="1"/>
  <c r="I57" i="1"/>
  <c r="I50" i="1"/>
  <c r="I54" i="1"/>
  <c r="O50" i="1"/>
  <c r="O60" i="1" l="1"/>
  <c r="I60" i="1"/>
  <c r="I37" i="1"/>
  <c r="O54" i="1"/>
  <c r="O57" i="1"/>
  <c r="I33" i="1" l="1"/>
  <c r="I28" i="1"/>
  <c r="I24" i="1"/>
  <c r="I29" i="1"/>
  <c r="I20" i="1"/>
  <c r="I22" i="1"/>
  <c r="I27" i="1"/>
  <c r="I35" i="1"/>
  <c r="I21" i="1"/>
  <c r="I46" i="1"/>
  <c r="I47" i="1"/>
  <c r="I44" i="1"/>
  <c r="I42" i="1"/>
  <c r="I40" i="1"/>
  <c r="I38" i="1"/>
  <c r="I43" i="1"/>
  <c r="O42" i="1" l="1"/>
  <c r="O44" i="1"/>
  <c r="O46" i="1"/>
  <c r="O43" i="1"/>
  <c r="O38" i="1"/>
  <c r="O40" i="1"/>
  <c r="O47" i="1"/>
  <c r="O27" i="1"/>
  <c r="O35" i="1"/>
  <c r="I19" i="1" l="1"/>
  <c r="I15" i="1" l="1"/>
  <c r="I17" i="1"/>
  <c r="I13" i="1"/>
  <c r="I14" i="1"/>
  <c r="I8" i="1"/>
  <c r="I6" i="1"/>
  <c r="I2" i="1"/>
  <c r="I9" i="1"/>
  <c r="I16" i="1"/>
  <c r="I11" i="1"/>
  <c r="I7" i="1"/>
  <c r="I12" i="1"/>
  <c r="I3" i="1"/>
  <c r="I5" i="1"/>
  <c r="I10" i="1"/>
  <c r="I18" i="1"/>
  <c r="I4" i="1"/>
  <c r="I34" i="1"/>
  <c r="I30" i="1"/>
  <c r="I31" i="1"/>
  <c r="I25" i="1"/>
  <c r="I26" i="1"/>
  <c r="I23" i="1"/>
  <c r="O32" i="1" l="1"/>
  <c r="O20" i="1" l="1"/>
  <c r="O34" i="1"/>
  <c r="O29" i="1"/>
  <c r="O25" i="1"/>
  <c r="O24" i="1"/>
  <c r="O31" i="1"/>
  <c r="O28" i="1"/>
  <c r="O30" i="1"/>
  <c r="O33" i="1"/>
  <c r="O19" i="1"/>
  <c r="O22" i="1"/>
  <c r="O23" i="1"/>
  <c r="O26" i="1"/>
  <c r="O55" i="1"/>
  <c r="O4" i="1"/>
  <c r="O17" i="1"/>
  <c r="O18" i="1"/>
  <c r="O9" i="1"/>
  <c r="O2" i="1"/>
  <c r="O10" i="1"/>
  <c r="O6" i="1"/>
  <c r="O8" i="1"/>
  <c r="O5" i="1"/>
  <c r="O14" i="1"/>
  <c r="O3" i="1"/>
  <c r="O13" i="1"/>
  <c r="O16" i="1"/>
  <c r="O11" i="1"/>
  <c r="O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tc={419944E5-8A66-40B8-92D8-4F109C3462F8}</author>
    <author>Xavier Melo</author>
    <author>tc={D0EFFD6E-6C58-4EBC-9965-D64CB9CB4A38}</author>
    <author>tc={C4E435F4-46F5-45EC-A16F-B3ABCE1239F2}</author>
    <author>tc={D245EBD3-004D-4FEB-B2A4-9CBC19226D96}</author>
    <author>tc={79F8A5C2-BE2A-4252-AA24-03545B2484A8}</author>
    <author>tc={A7955661-F976-4737-AAA4-9E3A080A74B7}</author>
    <author>tc={E55CFFC2-4FA8-44EB-99BB-C4AF37AA5F28}</author>
    <author>tc={6AF35BBC-510E-4A9C-A505-A1ACE3BD76D1}</author>
    <author>tc={01F2024E-C166-46F3-B262-93E95C4565D8}</author>
    <author>tc={5AB6C6C2-3BC4-4919-8EF5-DDF6A121583D}</author>
    <author>tc={0086E235-06D4-4873-ACB1-559277BCB1E0}</author>
  </authors>
  <commentList>
    <comment ref="E1" authorId="0" shapeId="0" xr:uid="{419944E5-8A66-40B8-92D8-4F109C3462F8}">
      <text>
        <t>[Threaded comment]
Your version of Excel allows you to read this threaded comment; however, any edits to it will get removed if the file is opened in a newer version of Excel. Learn more: https://go.microsoft.com/fwlink/?linkid=870924
Comment:
    GDD - Global Development Delay (IDD)
ASD - Autism Spectrum Disorder
WS - Williams Syndrome
Reference: Diagnostic and Statistical Manual of Mental Disorders - Fifht Edition - DSM-5</t>
      </text>
    </comment>
    <comment ref="G1" authorId="1" shapeId="0" xr:uid="{00000000-0006-0000-0000-000002000000}">
      <text>
        <r>
          <rPr>
            <b/>
            <sz val="9"/>
            <color rgb="FF000000"/>
            <rFont val="Tahoma"/>
            <family val="2"/>
          </rPr>
          <t>Xavier Melo: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0=Female
</t>
        </r>
        <r>
          <rPr>
            <sz val="9"/>
            <color rgb="FF000000"/>
            <rFont val="Tahoma"/>
            <family val="2"/>
          </rPr>
          <t>1=Male</t>
        </r>
      </text>
    </comment>
    <comment ref="BZ1" authorId="2" shapeId="0" xr:uid="{D0EFFD6E-6C58-4EBC-9965-D64CB9CB4A38}">
      <text>
        <t>[Threaded comment]
Your version of Excel allows you to read this threaded comment; however, any edits to it will get removed if the file is opened in a newer version of Excel. Learn more: https://go.microsoft.com/fwlink/?linkid=870924
Comment:
    IPAQ PRÉ CONFINAMENTO</t>
      </text>
    </comment>
    <comment ref="Y4" authorId="3" shapeId="0" xr:uid="{C4E435F4-46F5-45EC-A16F-B3ABCE1239F2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consegue realizar com o braço direito devido a limitações físicas</t>
      </text>
    </comment>
    <comment ref="R13" authorId="4" shapeId="0" xr:uid="{D245EBD3-004D-4FEB-B2A4-9CBC1922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10.24</t>
      </text>
    </comment>
    <comment ref="R16" authorId="5" shapeId="0" xr:uid="{79F8A5C2-BE2A-4252-AA24-03545B2484A8}">
      <text>
        <t>[Threaded comment]
Your version of Excel allows you to read this threaded comment; however, any edits to it will get removed if the file is opened in a newer version of Excel. Learn more: https://go.microsoft.com/fwlink/?linkid=870924
Comment:
    32.90 na passadeira
Valor nas células é uma redução de 11% do VO2 peak que representa a diferença entre passadeira e cicloergometro</t>
      </text>
    </comment>
    <comment ref="Y21" authorId="6" shapeId="0" xr:uid="{A7955661-F976-4737-AAA4-9E3A080A74B7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consegue realizar com o braço direito devido a limitações físicas</t>
      </text>
    </comment>
    <comment ref="AL32" authorId="7" shapeId="0" xr:uid="{E55CFFC2-4FA8-44EB-99BB-C4AF37AA5F28}">
      <text>
        <t>[Threaded comment]
Your version of Excel allows you to read this threaded comment; however, any edits to it will get removed if the file is opened in a newer version of Excel. Learn more: https://go.microsoft.com/fwlink/?linkid=870924
Comment:
    M3 EPR - Final sessões online</t>
      </text>
    </comment>
    <comment ref="BZ32" authorId="8" shapeId="0" xr:uid="{6AF35BBC-510E-4A9C-A505-A1ACE3BD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IPAQ M3 - FINAL SESSÕES ONLINE</t>
      </text>
    </comment>
    <comment ref="R33" authorId="9" shapeId="0" xr:uid="{01F2024E-C166-46F3-B262-93E95C4565D8}">
      <text>
        <t>[Threaded comment]
Your version of Excel allows you to read this threaded comment; however, any edits to it will get removed if the file is opened in a newer version of Excel. Learn more: https://go.microsoft.com/fwlink/?linkid=870924
Comment:
    27.8 na passadeira</t>
      </text>
    </comment>
    <comment ref="R49" authorId="10" shapeId="0" xr:uid="{5AB6C6C2-3BC4-4919-8EF5-DDF6A121583D}">
      <text>
        <t>[Threaded comment]
Your version of Excel allows you to read this threaded comment; however, any edits to it will get removed if the file is opened in a newer version of Excel. Learn more: https://go.microsoft.com/fwlink/?linkid=870924
Comment:
    29.38 na passadeira</t>
      </text>
    </comment>
    <comment ref="R55" authorId="11" shapeId="0" xr:uid="{0086E235-06D4-4873-ACB1-559277BCB1E0}">
      <text>
        <t>[Threaded comment]
Your version of Excel allows you to read this threaded comment; however, any edits to it will get removed if the file is opened in a newer version of Excel. Learn more: https://go.microsoft.com/fwlink/?linkid=870924
Comment:
    31.42 na passadeira</t>
      </text>
    </comment>
  </commentList>
</comments>
</file>

<file path=xl/sharedStrings.xml><?xml version="1.0" encoding="utf-8"?>
<sst xmlns="http://schemas.openxmlformats.org/spreadsheetml/2006/main" count="480" uniqueCount="136">
  <si>
    <t>White</t>
  </si>
  <si>
    <t>AGE</t>
  </si>
  <si>
    <t>SEX</t>
  </si>
  <si>
    <t>ETHNICITY</t>
  </si>
  <si>
    <t>IMPAIRMENT</t>
  </si>
  <si>
    <t>FMI</t>
  </si>
  <si>
    <t>FFMI</t>
  </si>
  <si>
    <t>WC</t>
  </si>
  <si>
    <t>HEIGHT</t>
  </si>
  <si>
    <t>WEIGHT</t>
  </si>
  <si>
    <t>HR_MAX_EST</t>
  </si>
  <si>
    <t>HANDGRIP_RIGHT</t>
  </si>
  <si>
    <t>HANDGRIP_LEFT</t>
  </si>
  <si>
    <t>MOMENT</t>
  </si>
  <si>
    <t>GROUP</t>
  </si>
  <si>
    <t>UD001</t>
  </si>
  <si>
    <t>UD003</t>
  </si>
  <si>
    <t>UD004</t>
  </si>
  <si>
    <t>UD005</t>
  </si>
  <si>
    <t>UD006</t>
  </si>
  <si>
    <t>UD007</t>
  </si>
  <si>
    <t>UD008</t>
  </si>
  <si>
    <t>UD009</t>
  </si>
  <si>
    <t>UD010</t>
  </si>
  <si>
    <t>UD011</t>
  </si>
  <si>
    <t>UD012</t>
  </si>
  <si>
    <t>UD013</t>
  </si>
  <si>
    <t>UD014</t>
  </si>
  <si>
    <t>UD015</t>
  </si>
  <si>
    <t>UD017</t>
  </si>
  <si>
    <t>UD019</t>
  </si>
  <si>
    <t>DS</t>
  </si>
  <si>
    <t>ID</t>
  </si>
  <si>
    <t>UD020</t>
  </si>
  <si>
    <t>WD_WALKING_MINUTES</t>
  </si>
  <si>
    <t>WD_WALKING_DAYS</t>
  </si>
  <si>
    <t>WD_MODERATE_MINUTES</t>
  </si>
  <si>
    <t>WD_MODERATE_DAYS</t>
  </si>
  <si>
    <t>WD_VIGOROUS_MINUTES</t>
  </si>
  <si>
    <t>WD_VIGOROUS_DAYS</t>
  </si>
  <si>
    <t>TD_WALKING_MINUTES</t>
  </si>
  <si>
    <t>TD_WALKING_DAYS</t>
  </si>
  <si>
    <t>TD_CYCLE_MINUTES</t>
  </si>
  <si>
    <t>TD_CYCLE_DAYS</t>
  </si>
  <si>
    <t>DGD_VIGOROUS_MINUTES</t>
  </si>
  <si>
    <t>DGD_VIGOROUS_DAYS</t>
  </si>
  <si>
    <t>DGD_YMODERATE_MINUTES</t>
  </si>
  <si>
    <t>DGD_YMODERATE_DAYS</t>
  </si>
  <si>
    <t>DGD_DMODERATE_MINUTES</t>
  </si>
  <si>
    <t>DGD_DMODERATE_DAYS</t>
  </si>
  <si>
    <t>LTD_WALKING_MINUTES</t>
  </si>
  <si>
    <t>LTD_WALKING_DAYS</t>
  </si>
  <si>
    <t>LTD_MODERATE_MINUTES</t>
  </si>
  <si>
    <t>LTD_MODERATE_DAYS</t>
  </si>
  <si>
    <t>LTD_VIGOROUS_MINUTES</t>
  </si>
  <si>
    <t>LTD_VIGOROUS_DAYS</t>
  </si>
  <si>
    <t>SIT_WEEK_MINUTES</t>
  </si>
  <si>
    <t>SIT_WKEND_MINUTES</t>
  </si>
  <si>
    <t>BMI</t>
  </si>
  <si>
    <t>VO2_PEAK</t>
  </si>
  <si>
    <t>RQ_PEAK</t>
  </si>
  <si>
    <t>METS_PEAK</t>
  </si>
  <si>
    <t>VO2_KG_PEAK</t>
  </si>
  <si>
    <t>HR_PEAK</t>
  </si>
  <si>
    <t>COMPLIOR_HR</t>
  </si>
  <si>
    <t>COMPLIOR_bSBP</t>
  </si>
  <si>
    <t>COMPLIOR_bDBP</t>
  </si>
  <si>
    <t>COMPLIOR_bPP</t>
  </si>
  <si>
    <t>COMPLIOR_bMAP</t>
  </si>
  <si>
    <t>CF_PWV</t>
  </si>
  <si>
    <t>CD_PWV</t>
  </si>
  <si>
    <t>COMPLIOR_cSBP</t>
  </si>
  <si>
    <t>COMPLIOR_cDBP</t>
  </si>
  <si>
    <t>COMPLIOR_cMAP</t>
  </si>
  <si>
    <t>COMPLIOR_cPP</t>
  </si>
  <si>
    <t xml:space="preserve">QOF_P1 </t>
  </si>
  <si>
    <t xml:space="preserve">QOF_P2 </t>
  </si>
  <si>
    <t>QOF_P3</t>
  </si>
  <si>
    <t>QOF_P4</t>
  </si>
  <si>
    <t>QOF_P5</t>
  </si>
  <si>
    <t>QOF_P6</t>
  </si>
  <si>
    <t>QOF_P7</t>
  </si>
  <si>
    <t>QOF_P8</t>
  </si>
  <si>
    <t>QOF_P9</t>
  </si>
  <si>
    <t>QOF_P10</t>
  </si>
  <si>
    <t>QOF_P11</t>
  </si>
  <si>
    <t>QOF_P12</t>
  </si>
  <si>
    <t>QOF_P13</t>
  </si>
  <si>
    <t>QOF_P14</t>
  </si>
  <si>
    <t>QOF_P15</t>
  </si>
  <si>
    <t>QOF_P16</t>
  </si>
  <si>
    <t>QOF_P17</t>
  </si>
  <si>
    <t>QOF_P18</t>
  </si>
  <si>
    <t>QOF_P19</t>
  </si>
  <si>
    <t>QOF_P20</t>
  </si>
  <si>
    <t>QOF_P21</t>
  </si>
  <si>
    <t>QOF_P22</t>
  </si>
  <si>
    <t>QOF_P23</t>
  </si>
  <si>
    <t>QOF_P24</t>
  </si>
  <si>
    <t>QOF_P25</t>
  </si>
  <si>
    <t>QOF_P26</t>
  </si>
  <si>
    <t>QOF_P27</t>
  </si>
  <si>
    <t>QOF_P28</t>
  </si>
  <si>
    <t>QOF_P29</t>
  </si>
  <si>
    <t>QOF_P30</t>
  </si>
  <si>
    <t>QOF_P31</t>
  </si>
  <si>
    <t>QOF_P32</t>
  </si>
  <si>
    <t>QOF_P33</t>
  </si>
  <si>
    <t>QOF_P34</t>
  </si>
  <si>
    <t>QOF_P35</t>
  </si>
  <si>
    <t>QOF_P36</t>
  </si>
  <si>
    <t>QOF_P37</t>
  </si>
  <si>
    <t>QOF_P38</t>
  </si>
  <si>
    <t>QOF_P39</t>
  </si>
  <si>
    <t>QOF_P40</t>
  </si>
  <si>
    <t>IMT_D_MAX</t>
  </si>
  <si>
    <t>IMT_D_MIN</t>
  </si>
  <si>
    <t>IMT_AVG_D</t>
  </si>
  <si>
    <t>IMT_SD_D</t>
  </si>
  <si>
    <t>IMT_POINTS_D</t>
  </si>
  <si>
    <t>IMT_WIDTH_D</t>
  </si>
  <si>
    <t>ETIOLOGY</t>
  </si>
  <si>
    <t>GDD</t>
  </si>
  <si>
    <t>ASD</t>
  </si>
  <si>
    <t>WS</t>
  </si>
  <si>
    <t>SIT</t>
  </si>
  <si>
    <t>M1</t>
  </si>
  <si>
    <t>M2</t>
  </si>
  <si>
    <t>M3</t>
  </si>
  <si>
    <t>M4</t>
  </si>
  <si>
    <t>IMT_AVG_Micro</t>
  </si>
  <si>
    <t>CAET</t>
  </si>
  <si>
    <t>AT_HRR</t>
  </si>
  <si>
    <t>RC_HRR</t>
  </si>
  <si>
    <t>AT_VO2R</t>
  </si>
  <si>
    <t>RC_VO2R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</si>
</sst>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entury Gothic"/>
      <family val="1"/>
    </font>
    <font>
      <sz val="8"/>
      <name val="Calibri"/>
      <family val="2"/>
      <scheme val="minor"/>
    </font>
    <font>
      <sz val="11"/>
      <color rgb="FF000000"/>
      <name val="Century Gothic"/>
      <family val="1"/>
    </font>
    <font>
      <sz val="11"/>
      <color rgb="FFFF0000"/>
      <name val="Century Gothic"/>
      <family val="2"/>
    </font>
    <font>
      <sz val="11"/>
      <name val="Century Gothic"/>
      <family val="1"/>
    </font>
    <font>
      <sz val="10"/>
      <name val="Arial"/>
      <family val="2"/>
    </font>
    <font>
      <sz val="12"/>
      <name val="Arial"/>
      <family val="2"/>
    </font>
    <font>
      <sz val="12"/>
      <color indexed="0"/>
      <name val="Arial"/>
      <family val="2"/>
    </font>
    <font>
      <sz val="11"/>
      <color theme="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sz val="10"/>
      <color indexed="0"/>
      <name val="Arial"/>
      <family val="2"/>
    </font>
    <font>
      <sz val="11"/>
      <color theme="1"/>
      <name val="Century Gothic"/>
      <family val="2"/>
    </font>
    <font>
      <sz val="11"/>
      <color rgb="FFFF0000"/>
      <name val="Calibri"/>
      <family val="2"/>
      <scheme val="minor"/>
    </font>
    <font>
      <sz val="11"/>
      <color rgb="FFFF0000"/>
      <name val="Century Gothic"/>
      <family val="1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0"/>
      <name val="Arial"/>
      <family val="2"/>
    </font>
    <font>
      <sz val="11"/>
      <color theme="1"/>
      <name val="Century Gothic"/>
      <family val="1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entury Gothic"/>
      <family val="2"/>
    </font>
    <font>
      <sz val="10"/>
      <name val="Century Gothic"/>
      <family val="2"/>
    </font>
    <font>
      <sz val="10"/>
      <color indexed="8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rgb="FF7C984A"/>
        <bgColor rgb="FF7C984A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rgb="FF7C984A"/>
      </patternFill>
    </fill>
    <fill>
      <patternFill patternType="solid">
        <fgColor theme="5"/>
        <bgColor rgb="FFDACDBA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rgb="FF797B7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rgb="FF7C984A"/>
      </patternFill>
    </fill>
    <fill>
      <patternFill patternType="solid">
        <fgColor theme="7" tint="0.39997558519241921"/>
        <bgColor rgb="FF7C984A"/>
      </patternFill>
    </fill>
    <fill>
      <patternFill patternType="solid">
        <fgColor theme="4"/>
        <bgColor rgb="FF7C984A"/>
      </patternFill>
    </fill>
    <fill>
      <patternFill patternType="solid">
        <fgColor rgb="FF0070C0"/>
        <bgColor rgb="FF7C984A"/>
      </patternFill>
    </fill>
    <fill>
      <patternFill patternType="solid">
        <fgColor rgb="FF00B050"/>
        <bgColor rgb="FF7C984A"/>
      </patternFill>
    </fill>
    <fill>
      <patternFill patternType="solid">
        <fgColor rgb="FFFF0000"/>
        <bgColor rgb="FF7C984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8">
    <xf numFmtId="0" fontId="0" fillId="0" borderId="0"/>
    <xf numFmtId="0" fontId="14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6" fillId="0" borderId="0"/>
    <xf numFmtId="0" fontId="2" fillId="0" borderId="0"/>
    <xf numFmtId="0" fontId="26" fillId="0" borderId="0" applyNumberFormat="0" applyFont="0" applyFill="0" applyBorder="0" applyAlignment="0" applyProtection="0"/>
  </cellStyleXfs>
  <cellXfs count="108">
    <xf numFmtId="0" fontId="0" fillId="0" borderId="0" xfId="0"/>
    <xf numFmtId="2" fontId="0" fillId="0" borderId="0" xfId="0" applyNumberFormat="1"/>
    <xf numFmtId="0" fontId="0" fillId="0" borderId="0" xfId="0" applyProtection="1">
      <protection locked="0"/>
    </xf>
    <xf numFmtId="0" fontId="3" fillId="0" borderId="0" xfId="0" applyFont="1"/>
    <xf numFmtId="0" fontId="4" fillId="0" borderId="0" xfId="0" applyFont="1"/>
    <xf numFmtId="1" fontId="4" fillId="6" borderId="0" xfId="0" applyNumberFormat="1" applyFont="1" applyFill="1"/>
    <xf numFmtId="164" fontId="4" fillId="5" borderId="0" xfId="0" applyNumberFormat="1" applyFont="1" applyFill="1" applyAlignment="1">
      <alignment horizontal="center"/>
    </xf>
    <xf numFmtId="1" fontId="3" fillId="10" borderId="0" xfId="0" applyNumberFormat="1" applyFont="1" applyFill="1"/>
    <xf numFmtId="2" fontId="9" fillId="9" borderId="0" xfId="0" applyNumberFormat="1" applyFont="1" applyFill="1"/>
    <xf numFmtId="1" fontId="0" fillId="0" borderId="0" xfId="0" applyNumberFormat="1"/>
    <xf numFmtId="0" fontId="3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4" fillId="4" borderId="0" xfId="0" applyFont="1" applyFill="1" applyProtection="1">
      <protection locked="0"/>
    </xf>
    <xf numFmtId="0" fontId="4" fillId="8" borderId="0" xfId="0" applyFont="1" applyFill="1" applyProtection="1">
      <protection locked="0"/>
    </xf>
    <xf numFmtId="2" fontId="9" fillId="0" borderId="0" xfId="0" applyNumberFormat="1" applyFont="1" applyProtection="1">
      <protection locked="0"/>
    </xf>
    <xf numFmtId="1" fontId="9" fillId="0" borderId="0" xfId="0" applyNumberFormat="1" applyFont="1" applyProtection="1">
      <protection locked="0"/>
    </xf>
    <xf numFmtId="49" fontId="3" fillId="0" borderId="0" xfId="0" applyNumberFormat="1" applyFont="1"/>
    <xf numFmtId="0" fontId="15" fillId="0" borderId="0" xfId="1" applyFont="1" applyAlignment="1">
      <alignment horizontal="left"/>
    </xf>
    <xf numFmtId="0" fontId="16" fillId="0" borderId="0" xfId="1" applyFont="1" applyAlignment="1">
      <alignment horizontal="left"/>
    </xf>
    <xf numFmtId="1" fontId="17" fillId="0" borderId="0" xfId="0" applyNumberFormat="1" applyFont="1" applyProtection="1">
      <protection locked="0"/>
    </xf>
    <xf numFmtId="0" fontId="0" fillId="11" borderId="0" xfId="0" applyFill="1"/>
    <xf numFmtId="1" fontId="3" fillId="0" borderId="0" xfId="0" applyNumberFormat="1" applyFont="1" applyProtection="1">
      <protection locked="0"/>
    </xf>
    <xf numFmtId="1" fontId="0" fillId="0" borderId="0" xfId="0" applyNumberFormat="1" applyProtection="1">
      <protection locked="0"/>
    </xf>
    <xf numFmtId="2" fontId="18" fillId="9" borderId="0" xfId="0" applyNumberFormat="1" applyFont="1" applyFill="1"/>
    <xf numFmtId="1" fontId="18" fillId="0" borderId="0" xfId="0" applyNumberFormat="1" applyFont="1" applyProtection="1">
      <protection locked="0"/>
    </xf>
    <xf numFmtId="164" fontId="0" fillId="0" borderId="0" xfId="0" applyNumberFormat="1"/>
    <xf numFmtId="0" fontId="11" fillId="0" borderId="0" xfId="0" applyFont="1" applyAlignment="1" applyProtection="1">
      <alignment horizontal="right"/>
      <protection locked="0"/>
    </xf>
    <xf numFmtId="1" fontId="17" fillId="0" borderId="0" xfId="1" applyNumberFormat="1" applyFont="1" applyAlignment="1" applyProtection="1">
      <alignment horizontal="right"/>
      <protection locked="0"/>
    </xf>
    <xf numFmtId="1" fontId="18" fillId="0" borderId="0" xfId="1" applyNumberFormat="1" applyFont="1" applyAlignment="1" applyProtection="1">
      <alignment horizontal="right"/>
      <protection locked="0"/>
    </xf>
    <xf numFmtId="0" fontId="17" fillId="0" borderId="0" xfId="0" applyFont="1" applyAlignment="1" applyProtection="1">
      <alignment horizontal="right"/>
      <protection locked="0"/>
    </xf>
    <xf numFmtId="1" fontId="18" fillId="0" borderId="0" xfId="0" applyNumberFormat="1" applyFont="1" applyAlignment="1" applyProtection="1">
      <alignment horizontal="right"/>
      <protection locked="0"/>
    </xf>
    <xf numFmtId="1" fontId="9" fillId="0" borderId="0" xfId="1" applyNumberFormat="1" applyFont="1" applyAlignment="1" applyProtection="1">
      <alignment horizontal="right"/>
      <protection locked="0"/>
    </xf>
    <xf numFmtId="0" fontId="19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right"/>
      <protection locked="0"/>
    </xf>
    <xf numFmtId="1" fontId="3" fillId="7" borderId="0" xfId="0" applyNumberFormat="1" applyFont="1" applyFill="1"/>
    <xf numFmtId="0" fontId="0" fillId="13" borderId="1" xfId="0" applyFill="1" applyBorder="1"/>
    <xf numFmtId="0" fontId="22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" fontId="2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" fontId="24" fillId="0" borderId="0" xfId="0" applyNumberFormat="1" applyFont="1"/>
    <xf numFmtId="1" fontId="3" fillId="0" borderId="0" xfId="0" applyNumberFormat="1" applyFont="1"/>
    <xf numFmtId="1" fontId="6" fillId="0" borderId="0" xfId="0" applyNumberFormat="1" applyFont="1"/>
    <xf numFmtId="0" fontId="11" fillId="0" borderId="0" xfId="0" quotePrefix="1" applyFont="1" applyAlignment="1" applyProtection="1">
      <alignment horizontal="center"/>
      <protection locked="0"/>
    </xf>
    <xf numFmtId="0" fontId="6" fillId="0" borderId="0" xfId="6" applyFont="1" applyAlignment="1">
      <alignment horizontal="left"/>
    </xf>
    <xf numFmtId="1" fontId="9" fillId="0" borderId="0" xfId="1" applyNumberFormat="1" applyFont="1" applyAlignment="1" applyProtection="1">
      <alignment horizontal="center"/>
      <protection locked="0"/>
    </xf>
    <xf numFmtId="2" fontId="22" fillId="0" borderId="0" xfId="0" applyNumberFormat="1" applyFont="1"/>
    <xf numFmtId="0" fontId="9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164" fontId="18" fillId="0" borderId="0" xfId="0" applyNumberFormat="1" applyFont="1" applyAlignment="1">
      <alignment horizontal="left"/>
    </xf>
    <xf numFmtId="164" fontId="12" fillId="0" borderId="0" xfId="6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9" fillId="0" borderId="0" xfId="6" applyNumberFormat="1" applyFont="1" applyAlignment="1" applyProtection="1">
      <alignment horizontal="right"/>
      <protection locked="0"/>
    </xf>
    <xf numFmtId="1" fontId="9" fillId="0" borderId="0" xfId="0" applyNumberFormat="1" applyFont="1" applyAlignment="1" applyProtection="1">
      <alignment horizontal="right"/>
      <protection locked="0"/>
    </xf>
    <xf numFmtId="0" fontId="20" fillId="0" borderId="0" xfId="1" applyFont="1" applyAlignment="1">
      <alignment horizontal="left"/>
    </xf>
    <xf numFmtId="0" fontId="27" fillId="0" borderId="0" xfId="0" applyFont="1" applyAlignment="1">
      <alignment horizontal="left"/>
    </xf>
    <xf numFmtId="1" fontId="0" fillId="0" borderId="0" xfId="0" applyNumberFormat="1" applyAlignment="1">
      <alignment horizontal="right"/>
    </xf>
    <xf numFmtId="1" fontId="28" fillId="0" borderId="0" xfId="0" applyNumberFormat="1" applyFont="1" applyAlignment="1">
      <alignment horizontal="right"/>
    </xf>
    <xf numFmtId="1" fontId="29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 wrapText="1"/>
    </xf>
    <xf numFmtId="1" fontId="12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/>
    </xf>
    <xf numFmtId="1" fontId="3" fillId="12" borderId="0" xfId="0" applyNumberFormat="1" applyFont="1" applyFill="1" applyAlignment="1">
      <alignment horizontal="center"/>
    </xf>
    <xf numFmtId="1" fontId="16" fillId="0" borderId="0" xfId="1" applyNumberFormat="1" applyFont="1" applyAlignment="1">
      <alignment horizontal="left"/>
    </xf>
    <xf numFmtId="2" fontId="6" fillId="14" borderId="2" xfId="0" applyNumberFormat="1" applyFont="1" applyFill="1" applyBorder="1"/>
    <xf numFmtId="2" fontId="6" fillId="15" borderId="2" xfId="0" applyNumberFormat="1" applyFont="1" applyFill="1" applyBorder="1"/>
    <xf numFmtId="2" fontId="6" fillId="0" borderId="2" xfId="0" applyNumberFormat="1" applyFont="1" applyBorder="1"/>
    <xf numFmtId="2" fontId="6" fillId="16" borderId="2" xfId="0" applyNumberFormat="1" applyFont="1" applyFill="1" applyBorder="1"/>
    <xf numFmtId="2" fontId="6" fillId="17" borderId="2" xfId="0" applyNumberFormat="1" applyFont="1" applyFill="1" applyBorder="1"/>
    <xf numFmtId="2" fontId="3" fillId="18" borderId="2" xfId="0" applyNumberFormat="1" applyFont="1" applyFill="1" applyBorder="1"/>
    <xf numFmtId="2" fontId="3" fillId="19" borderId="2" xfId="0" applyNumberFormat="1" applyFont="1" applyFill="1" applyBorder="1"/>
    <xf numFmtId="0" fontId="0" fillId="0" borderId="0" xfId="0" applyAlignment="1">
      <alignment horizontal="center"/>
    </xf>
    <xf numFmtId="49" fontId="4" fillId="2" borderId="0" xfId="0" applyNumberFormat="1" applyFont="1" applyFill="1" applyProtection="1">
      <protection locked="0"/>
    </xf>
    <xf numFmtId="49" fontId="9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49" fontId="3" fillId="0" borderId="0" xfId="0" applyNumberFormat="1" applyFont="1" applyProtection="1">
      <protection locked="0"/>
    </xf>
    <xf numFmtId="49" fontId="3" fillId="0" borderId="0" xfId="0" applyNumberFormat="1" applyFont="1" applyAlignment="1">
      <alignment horizontal="left"/>
    </xf>
    <xf numFmtId="49" fontId="5" fillId="3" borderId="0" xfId="0" applyNumberFormat="1" applyFont="1" applyFill="1" applyProtection="1">
      <protection locked="0"/>
    </xf>
    <xf numFmtId="49" fontId="3" fillId="0" borderId="0" xfId="0" applyNumberFormat="1" applyFont="1" applyAlignment="1">
      <alignment horizontal="right"/>
    </xf>
    <xf numFmtId="49" fontId="9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 applyProtection="1">
      <alignment horizontal="right"/>
      <protection locked="0"/>
    </xf>
    <xf numFmtId="2" fontId="0" fillId="0" borderId="0" xfId="0" applyNumberFormat="1" applyProtection="1">
      <protection locked="0"/>
    </xf>
    <xf numFmtId="1" fontId="9" fillId="0" borderId="0" xfId="0" applyNumberFormat="1" applyFont="1"/>
    <xf numFmtId="49" fontId="21" fillId="0" borderId="0" xfId="0" applyNumberFormat="1" applyFont="1" applyAlignment="1">
      <alignment horizontal="right"/>
    </xf>
    <xf numFmtId="1" fontId="27" fillId="0" borderId="0" xfId="0" applyNumberFormat="1" applyFont="1" applyProtection="1">
      <protection locked="0"/>
    </xf>
    <xf numFmtId="0" fontId="27" fillId="0" borderId="0" xfId="0" applyFont="1" applyProtection="1">
      <protection locked="0"/>
    </xf>
    <xf numFmtId="2" fontId="27" fillId="9" borderId="0" xfId="0" applyNumberFormat="1" applyFont="1" applyFill="1"/>
    <xf numFmtId="2" fontId="9" fillId="0" borderId="0" xfId="0" applyNumberFormat="1" applyFont="1"/>
    <xf numFmtId="2" fontId="3" fillId="12" borderId="3" xfId="0" applyNumberFormat="1" applyFont="1" applyFill="1" applyBorder="1"/>
    <xf numFmtId="1" fontId="3" fillId="12" borderId="3" xfId="0" applyNumberFormat="1" applyFont="1" applyFill="1" applyBorder="1"/>
    <xf numFmtId="2" fontId="25" fillId="18" borderId="3" xfId="0" applyNumberFormat="1" applyFont="1" applyFill="1" applyBorder="1"/>
    <xf numFmtId="2" fontId="3" fillId="0" borderId="0" xfId="0" applyNumberFormat="1" applyFont="1" applyAlignment="1">
      <alignment horizontal="center"/>
    </xf>
    <xf numFmtId="49" fontId="0" fillId="0" borderId="0" xfId="0" applyNumberFormat="1" applyAlignment="1" applyProtection="1">
      <alignment horizontal="right"/>
      <protection locked="0"/>
    </xf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1" fontId="32" fillId="12" borderId="0" xfId="0" applyNumberFormat="1" applyFont="1" applyFill="1" applyAlignment="1">
      <alignment horizontal="center"/>
    </xf>
    <xf numFmtId="164" fontId="9" fillId="0" borderId="0" xfId="0" applyNumberFormat="1" applyFont="1" applyProtection="1">
      <protection locked="0"/>
    </xf>
    <xf numFmtId="2" fontId="18" fillId="0" borderId="0" xfId="0" applyNumberFormat="1" applyFont="1" applyProtection="1">
      <protection locked="0"/>
    </xf>
  </cellXfs>
  <cellStyles count="8">
    <cellStyle name="Normal" xfId="0" builtinId="0"/>
    <cellStyle name="Normal 2" xfId="2" xr:uid="{00000000-0005-0000-0000-000001000000}"/>
    <cellStyle name="Normal 3" xfId="4" xr:uid="{00000000-0005-0000-0000-000002000000}"/>
    <cellStyle name="Normal 4" xfId="5" xr:uid="{435223AF-4C2B-4E1E-A275-B5234050E438}"/>
    <cellStyle name="Normal 5" xfId="7" xr:uid="{C9B1A385-CD51-42AB-AC27-84D0C091A5F3}"/>
    <cellStyle name="Percent 2" xfId="3" xr:uid="{00000000-0005-0000-0000-000003000000}"/>
    <cellStyle name="RowLevel_4" xfId="1" builtinId="1" iLevel="3"/>
    <cellStyle name="RowLevel_4 7" xfId="6" xr:uid="{8437EB02-46C7-4511-B028-A0D92F6697CD}"/>
  </cellStyles>
  <dxfs count="109">
    <dxf>
      <fill>
        <patternFill>
          <fgColor theme="5"/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name val="Century Gothic"/>
        <scheme val="none"/>
      </font>
      <numFmt numFmtId="164" formatCode="0.0"/>
      <fill>
        <patternFill patternType="solid">
          <fgColor indexed="64"/>
          <bgColor theme="6"/>
        </patternFill>
      </fill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>
        <top style="thin">
          <color theme="4"/>
        </top>
        <bottom style="thin">
          <color theme="4"/>
        </bottom>
        <horizontal style="thin">
          <color theme="4"/>
        </horizontal>
      </border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>
        <top style="thin">
          <color theme="4"/>
        </top>
        <bottom style="thin">
          <color theme="4"/>
        </bottom>
        <horizontal style="thin">
          <color theme="4"/>
        </horizontal>
      </border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right/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>
        <top style="thin">
          <color theme="4"/>
        </top>
        <bottom style="thin">
          <color theme="4"/>
        </bottom>
        <horizontal style="thin">
          <color theme="4"/>
        </horizontal>
      </border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>
        <left/>
        <top style="thin">
          <color theme="4"/>
        </top>
        <bottom style="thin">
          <color theme="4"/>
        </bottom>
        <horizontal style="thin">
          <color theme="4"/>
        </horizontal>
      </border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entury Gothic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2" formatCode="0.00"/>
      <fill>
        <patternFill patternType="solid">
          <fgColor indexed="64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4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fill>
        <patternFill patternType="solid">
          <fgColor indexed="64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2" formatCode="0.0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30" formatCode="@"/>
      <alignment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30" formatCode="@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none"/>
      </font>
      <numFmt numFmtId="30" formatCode="@"/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protection locked="0" hidden="0"/>
    </dxf>
    <dxf>
      <font>
        <strike val="0"/>
        <outline val="0"/>
        <shadow val="0"/>
        <u val="none"/>
        <vertAlign val="baseline"/>
        <name val="Century Gothic"/>
        <scheme val="none"/>
      </font>
      <numFmt numFmtId="2" formatCode="0.00"/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2" formatCode="0.00"/>
      <fill>
        <patternFill patternType="solid">
          <fgColor rgb="FF7C984A"/>
          <bgColor theme="9" tint="-0.499984740745262"/>
        </patternFill>
      </fill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F99FF"/>
      <color rgb="FFFF00FF"/>
      <color rgb="FF9999FF"/>
      <color rgb="FFFF00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xaviermelo/My%20Documents/Magic%20Briefcase/Est&#250;dio%20da%20Beloura/Clientes/Susana%20Mata/Susana%20Mata%2018-05-201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olumes/GoogleDrive/My%20Drive/FIREFIGHTERS%20CML/RAW%20DATA%20FIREFIGHTE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OBERISK/RAW%20DATA_OBE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G:/BackupBombeiros/My%20Drive/OBERISK/REPORTS%20ONLY_RAW%20DATA_OBERISK_ADULT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C:/C:/C:/C:/C:/C:/C:/C:/G:/BackupBombeiros/My%20Drive/Est&#250;dio%20da%20Beloura/Participantes/Susana%20Mata/Susana%20Mata%2018-05-201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34ae51103e3832d/OBERISK/Cole%20criteri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xaviermelo/My%20Documents/Dropbox/Center%20for%20the%20Unknown/Exercise%20and%20arterial%20adaptation%20in%20elite%20athletes/BODY%20COMPOSITION_DX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de ID"/>
      <sheetName val="QSAD"/>
      <sheetName val="Composição Corporal"/>
      <sheetName val="VO2 Máx"/>
      <sheetName val="Força "/>
      <sheetName val="Flexibilidade"/>
      <sheetName val="Testes Idosos"/>
      <sheetName val="Taxa Metabólica Repouso"/>
      <sheetName val="TAB_GERAL"/>
      <sheetName val="Relatório"/>
      <sheetName val="Prescrição Cardio"/>
      <sheetName val="Prescrição Estilo vida"/>
      <sheetName val="Métodos Treino Cárdio"/>
      <sheetName val="Prescrição Força"/>
      <sheetName val="Prog. Hemo"/>
      <sheetName val="Prog. CC"/>
      <sheetName val="Prog. Força"/>
      <sheetName val="Prog. Flexib"/>
      <sheetName val="Prog. CR"/>
      <sheetName val="Prescrição Flexibilidade"/>
      <sheetName val="Plano de Treino"/>
      <sheetName val="Treino"/>
      <sheetName val="Contrato de Objectivos"/>
      <sheetName val="Próximas Avaliações"/>
      <sheetName val="Consentimento Médico"/>
      <sheetName val="Susana Mata 18-05-2011"/>
    </sheetNames>
    <sheetDataSet>
      <sheetData sheetId="0" refreshError="1">
        <row r="5">
          <cell r="J5" t="str">
            <v>feminino</v>
          </cell>
        </row>
        <row r="11">
          <cell r="D11">
            <v>38</v>
          </cell>
          <cell r="J11" t="str">
            <v>caucasiana</v>
          </cell>
        </row>
      </sheetData>
      <sheetData sheetId="1" refreshError="1">
        <row r="90">
          <cell r="H90" t="str">
            <v>Baixo</v>
          </cell>
        </row>
      </sheetData>
      <sheetData sheetId="2" refreshError="1">
        <row r="5">
          <cell r="H5">
            <v>75.900000000000006</v>
          </cell>
          <cell r="K5">
            <v>1.64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A9">
            <v>1</v>
          </cell>
        </row>
        <row r="10">
          <cell r="A10">
            <v>2</v>
          </cell>
        </row>
        <row r="11">
          <cell r="A11">
            <v>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>
            <v>0</v>
          </cell>
          <cell r="B3" t="str">
            <v>Muito Baixa</v>
          </cell>
          <cell r="C3">
            <v>0</v>
          </cell>
          <cell r="D3" t="str">
            <v>Muito Baixa</v>
          </cell>
        </row>
        <row r="4">
          <cell r="A4">
            <v>115</v>
          </cell>
          <cell r="B4" t="str">
            <v>Baixa</v>
          </cell>
          <cell r="C4">
            <v>75</v>
          </cell>
          <cell r="D4" t="str">
            <v>Baixa</v>
          </cell>
        </row>
        <row r="5">
          <cell r="A5">
            <v>120</v>
          </cell>
          <cell r="B5" t="str">
            <v>Óptima</v>
          </cell>
          <cell r="C5">
            <v>80</v>
          </cell>
          <cell r="D5" t="str">
            <v>Óptima</v>
          </cell>
        </row>
        <row r="6">
          <cell r="A6">
            <v>129</v>
          </cell>
          <cell r="B6" t="str">
            <v>Normal</v>
          </cell>
          <cell r="C6">
            <v>84</v>
          </cell>
          <cell r="D6" t="str">
            <v>Normal</v>
          </cell>
        </row>
        <row r="7">
          <cell r="A7">
            <v>139</v>
          </cell>
          <cell r="B7" t="str">
            <v>Normal Alta</v>
          </cell>
          <cell r="C7">
            <v>89</v>
          </cell>
          <cell r="D7" t="str">
            <v>Normal Alta</v>
          </cell>
        </row>
        <row r="8">
          <cell r="A8">
            <v>159</v>
          </cell>
          <cell r="B8" t="str">
            <v>Hipertensão Leve</v>
          </cell>
          <cell r="C8">
            <v>99</v>
          </cell>
          <cell r="D8" t="str">
            <v>Hipertensão Leve</v>
          </cell>
        </row>
        <row r="9">
          <cell r="A9">
            <v>179</v>
          </cell>
          <cell r="B9" t="str">
            <v>Hipertensão Moderada</v>
          </cell>
          <cell r="C9">
            <v>109</v>
          </cell>
          <cell r="D9" t="str">
            <v>Hipertensão Moderada</v>
          </cell>
        </row>
        <row r="10">
          <cell r="A10">
            <v>180</v>
          </cell>
          <cell r="B10" t="str">
            <v>Hipertensão Grave</v>
          </cell>
          <cell r="C10">
            <v>110</v>
          </cell>
          <cell r="D10" t="str">
            <v>Hipertensão Grave</v>
          </cell>
        </row>
        <row r="11">
          <cell r="A11">
            <v>300</v>
          </cell>
          <cell r="B11" t="str">
            <v>Hipertensão Grave</v>
          </cell>
          <cell r="C11">
            <v>200</v>
          </cell>
          <cell r="D11" t="str">
            <v>Hipertensão Grave</v>
          </cell>
        </row>
      </sheetData>
      <sheetData sheetId="15" refreshError="1">
        <row r="18">
          <cell r="B18">
            <v>0</v>
          </cell>
          <cell r="C18">
            <v>0.9</v>
          </cell>
          <cell r="D18">
            <v>0</v>
          </cell>
          <cell r="E18">
            <v>0.9</v>
          </cell>
          <cell r="F18">
            <v>0</v>
          </cell>
          <cell r="G18">
            <v>0.9</v>
          </cell>
          <cell r="H18">
            <v>0</v>
          </cell>
          <cell r="I18">
            <v>0.9</v>
          </cell>
          <cell r="J18">
            <v>0</v>
          </cell>
          <cell r="K18">
            <v>0.9</v>
          </cell>
          <cell r="O18">
            <v>0</v>
          </cell>
          <cell r="P18">
            <v>0.9</v>
          </cell>
          <cell r="Q18">
            <v>0</v>
          </cell>
          <cell r="R18">
            <v>0.9</v>
          </cell>
          <cell r="S18">
            <v>0</v>
          </cell>
          <cell r="T18">
            <v>0.9</v>
          </cell>
          <cell r="U18">
            <v>0</v>
          </cell>
          <cell r="V18">
            <v>0.9</v>
          </cell>
          <cell r="W18">
            <v>0</v>
          </cell>
          <cell r="X18">
            <v>0.9</v>
          </cell>
        </row>
        <row r="19">
          <cell r="B19">
            <v>7.9000000000000001E-2</v>
          </cell>
          <cell r="C19">
            <v>0.8</v>
          </cell>
          <cell r="D19">
            <v>0.11899999999999999</v>
          </cell>
          <cell r="E19">
            <v>0.8</v>
          </cell>
          <cell r="F19">
            <v>0.14899999999999999</v>
          </cell>
          <cell r="G19">
            <v>0.8</v>
          </cell>
          <cell r="H19">
            <v>0.16700000000000001</v>
          </cell>
          <cell r="I19">
            <v>0.8</v>
          </cell>
          <cell r="J19">
            <v>0.17599999999999999</v>
          </cell>
          <cell r="K19">
            <v>0.8</v>
          </cell>
          <cell r="O19">
            <v>0.14799999999999999</v>
          </cell>
          <cell r="P19">
            <v>0.8</v>
          </cell>
          <cell r="Q19">
            <v>0.156</v>
          </cell>
          <cell r="R19">
            <v>0.8</v>
          </cell>
          <cell r="S19">
            <v>0.17199999999999999</v>
          </cell>
          <cell r="T19">
            <v>0.8</v>
          </cell>
          <cell r="U19">
            <v>0.19500000000000001</v>
          </cell>
          <cell r="V19">
            <v>0.8</v>
          </cell>
          <cell r="W19">
            <v>0.19800000000000001</v>
          </cell>
          <cell r="X19">
            <v>0.8</v>
          </cell>
        </row>
        <row r="20">
          <cell r="B20">
            <v>0.105</v>
          </cell>
          <cell r="C20">
            <v>0.7</v>
          </cell>
          <cell r="D20">
            <v>0.14499999999999999</v>
          </cell>
          <cell r="E20">
            <v>0.7</v>
          </cell>
          <cell r="F20">
            <v>0.17399999999999999</v>
          </cell>
          <cell r="G20">
            <v>0.7</v>
          </cell>
          <cell r="H20">
            <v>0.191</v>
          </cell>
          <cell r="I20">
            <v>0.7</v>
          </cell>
          <cell r="J20">
            <v>0.19700000000000001</v>
          </cell>
          <cell r="K20">
            <v>0.7</v>
          </cell>
          <cell r="O20">
            <v>0.16500000000000001</v>
          </cell>
          <cell r="P20">
            <v>0.7</v>
          </cell>
          <cell r="Q20">
            <v>0.17399999999999999</v>
          </cell>
          <cell r="R20">
            <v>0.7</v>
          </cell>
          <cell r="S20">
            <v>0.19800000000000001</v>
          </cell>
          <cell r="T20">
            <v>0.7</v>
          </cell>
          <cell r="U20">
            <v>0.22500000000000001</v>
          </cell>
          <cell r="V20">
            <v>0.7</v>
          </cell>
          <cell r="W20">
            <v>0.23200000000000001</v>
          </cell>
          <cell r="X20">
            <v>0.7</v>
          </cell>
        </row>
        <row r="21">
          <cell r="B21">
            <v>0.127</v>
          </cell>
          <cell r="C21">
            <v>0.6</v>
          </cell>
          <cell r="D21">
            <v>0.16500000000000001</v>
          </cell>
          <cell r="E21">
            <v>0.6</v>
          </cell>
          <cell r="F21">
            <v>0.191</v>
          </cell>
          <cell r="G21">
            <v>0.6</v>
          </cell>
          <cell r="H21">
            <v>0.20699999999999999</v>
          </cell>
          <cell r="I21">
            <v>0.6</v>
          </cell>
          <cell r="J21">
            <v>0.21299999999999999</v>
          </cell>
          <cell r="K21">
            <v>0.6</v>
          </cell>
          <cell r="O21">
            <v>0.18</v>
          </cell>
          <cell r="P21">
            <v>0.6</v>
          </cell>
          <cell r="Q21">
            <v>0.191</v>
          </cell>
          <cell r="R21">
            <v>0.6</v>
          </cell>
          <cell r="S21">
            <v>0.219</v>
          </cell>
          <cell r="T21">
            <v>0.6</v>
          </cell>
          <cell r="U21">
            <v>0.251</v>
          </cell>
          <cell r="V21">
            <v>0.6</v>
          </cell>
          <cell r="W21">
            <v>0.25900000000000001</v>
          </cell>
          <cell r="X21">
            <v>0.6</v>
          </cell>
        </row>
        <row r="22">
          <cell r="B22">
            <v>0.14799999999999999</v>
          </cell>
          <cell r="C22">
            <v>0.5</v>
          </cell>
          <cell r="D22">
            <v>0.182</v>
          </cell>
          <cell r="E22">
            <v>0.5</v>
          </cell>
          <cell r="F22">
            <v>0.20599999999999999</v>
          </cell>
          <cell r="G22">
            <v>0.5</v>
          </cell>
          <cell r="H22">
            <v>0.221</v>
          </cell>
          <cell r="I22">
            <v>0.5</v>
          </cell>
          <cell r="J22">
            <v>0.22600000000000001</v>
          </cell>
          <cell r="K22">
            <v>0.5</v>
          </cell>
          <cell r="O22">
            <v>0.19400000000000001</v>
          </cell>
          <cell r="P22">
            <v>0.5</v>
          </cell>
          <cell r="Q22">
            <v>0.20799999999999999</v>
          </cell>
          <cell r="R22">
            <v>0.5</v>
          </cell>
          <cell r="S22">
            <v>0.23799999999999999</v>
          </cell>
          <cell r="T22">
            <v>0.5</v>
          </cell>
          <cell r="U22">
            <v>0.27</v>
          </cell>
          <cell r="V22">
            <v>0.5</v>
          </cell>
          <cell r="W22">
            <v>0.27900000000000003</v>
          </cell>
          <cell r="X22">
            <v>0.5</v>
          </cell>
        </row>
        <row r="23">
          <cell r="B23">
            <v>0.16600000000000001</v>
          </cell>
          <cell r="C23">
            <v>0.4</v>
          </cell>
          <cell r="D23">
            <v>0.19700000000000001</v>
          </cell>
          <cell r="E23">
            <v>0.4</v>
          </cell>
          <cell r="F23">
            <v>0.219</v>
          </cell>
          <cell r="G23">
            <v>0.4</v>
          </cell>
          <cell r="H23">
            <v>0.23200000000000001</v>
          </cell>
          <cell r="I23">
            <v>0.4</v>
          </cell>
          <cell r="J23">
            <v>0.23699999999999999</v>
          </cell>
          <cell r="K23">
            <v>0.4</v>
          </cell>
          <cell r="O23">
            <v>0.21</v>
          </cell>
          <cell r="P23">
            <v>0.4</v>
          </cell>
          <cell r="Q23">
            <v>0.22600000000000001</v>
          </cell>
          <cell r="R23">
            <v>0.4</v>
          </cell>
          <cell r="S23">
            <v>0.25600000000000001</v>
          </cell>
          <cell r="T23">
            <v>0.4</v>
          </cell>
          <cell r="U23">
            <v>0.28799999999999998</v>
          </cell>
          <cell r="V23">
            <v>0.4</v>
          </cell>
          <cell r="W23">
            <v>0.29799999999999999</v>
          </cell>
          <cell r="X23">
            <v>0.4</v>
          </cell>
        </row>
        <row r="24">
          <cell r="B24">
            <v>0.186</v>
          </cell>
          <cell r="C24">
            <v>0.3</v>
          </cell>
          <cell r="D24">
            <v>0.21299999999999999</v>
          </cell>
          <cell r="E24">
            <v>0.3</v>
          </cell>
          <cell r="F24">
            <v>0.23400000000000001</v>
          </cell>
          <cell r="G24">
            <v>0.3</v>
          </cell>
          <cell r="H24">
            <v>0.246</v>
          </cell>
          <cell r="I24">
            <v>0.3</v>
          </cell>
          <cell r="J24">
            <v>0.252</v>
          </cell>
          <cell r="K24">
            <v>0.3</v>
          </cell>
          <cell r="O24">
            <v>0.22700000000000001</v>
          </cell>
          <cell r="P24">
            <v>0.3</v>
          </cell>
          <cell r="Q24">
            <v>0.246</v>
          </cell>
          <cell r="R24">
            <v>0.3</v>
          </cell>
          <cell r="S24">
            <v>0.27600000000000002</v>
          </cell>
          <cell r="T24">
            <v>0.3</v>
          </cell>
          <cell r="U24">
            <v>0.30399999999999999</v>
          </cell>
          <cell r="V24">
            <v>0.3</v>
          </cell>
          <cell r="W24">
            <v>0.313</v>
          </cell>
          <cell r="X24">
            <v>0.3</v>
          </cell>
        </row>
        <row r="25">
          <cell r="B25">
            <v>0.20599999999999999</v>
          </cell>
          <cell r="C25">
            <v>0.2</v>
          </cell>
          <cell r="D25">
            <v>0.23</v>
          </cell>
          <cell r="E25">
            <v>0.2</v>
          </cell>
          <cell r="F25">
            <v>0.248</v>
          </cell>
          <cell r="G25">
            <v>0.2</v>
          </cell>
          <cell r="H25">
            <v>0.26</v>
          </cell>
          <cell r="I25">
            <v>0.2</v>
          </cell>
          <cell r="J25">
            <v>0.26700000000000002</v>
          </cell>
          <cell r="K25">
            <v>0.2</v>
          </cell>
          <cell r="O25">
            <v>0.245</v>
          </cell>
          <cell r="P25">
            <v>0.2</v>
          </cell>
          <cell r="Q25">
            <v>0.26700000000000002</v>
          </cell>
          <cell r="R25">
            <v>0.2</v>
          </cell>
          <cell r="S25">
            <v>0.29599999999999999</v>
          </cell>
          <cell r="T25">
            <v>0.2</v>
          </cell>
          <cell r="U25">
            <v>0.32500000000000001</v>
          </cell>
          <cell r="V25">
            <v>0.2</v>
          </cell>
          <cell r="W25">
            <v>0.33300000000000002</v>
          </cell>
          <cell r="X25">
            <v>0.2</v>
          </cell>
        </row>
        <row r="26">
          <cell r="B26">
            <v>0.23100000000000001</v>
          </cell>
          <cell r="C26">
            <v>0.1</v>
          </cell>
          <cell r="D26">
            <v>0.249</v>
          </cell>
          <cell r="E26">
            <v>0.1</v>
          </cell>
          <cell r="F26">
            <v>0.26600000000000001</v>
          </cell>
          <cell r="G26">
            <v>0.1</v>
          </cell>
          <cell r="H26">
            <v>0.27800000000000002</v>
          </cell>
          <cell r="I26">
            <v>0.1</v>
          </cell>
          <cell r="J26">
            <v>0.28399999999999997</v>
          </cell>
          <cell r="K26">
            <v>0.1</v>
          </cell>
          <cell r="O26">
            <v>0.27100000000000002</v>
          </cell>
          <cell r="P26">
            <v>0.1</v>
          </cell>
          <cell r="Q26">
            <v>0.29099999999999998</v>
          </cell>
          <cell r="R26">
            <v>0.1</v>
          </cell>
          <cell r="S26">
            <v>0.31900000000000001</v>
          </cell>
          <cell r="T26">
            <v>0.1</v>
          </cell>
          <cell r="U26">
            <v>0.34499999999999997</v>
          </cell>
          <cell r="V26">
            <v>0.1</v>
          </cell>
          <cell r="W26">
            <v>0.35399999999999998</v>
          </cell>
          <cell r="X26">
            <v>0.1</v>
          </cell>
        </row>
        <row r="27">
          <cell r="B27">
            <v>0.26300000000000001</v>
          </cell>
          <cell r="C27">
            <v>0.1</v>
          </cell>
          <cell r="D27">
            <v>0.27800000000000002</v>
          </cell>
          <cell r="E27">
            <v>0.1</v>
          </cell>
          <cell r="F27">
            <v>0.29199999999999998</v>
          </cell>
          <cell r="G27">
            <v>0.1</v>
          </cell>
          <cell r="H27">
            <v>0.30299999999999999</v>
          </cell>
          <cell r="I27">
            <v>0.1</v>
          </cell>
          <cell r="J27">
            <v>0.312</v>
          </cell>
          <cell r="K27">
            <v>0.1</v>
          </cell>
          <cell r="O27">
            <v>0.314</v>
          </cell>
          <cell r="P27">
            <v>0.1</v>
          </cell>
          <cell r="Q27">
            <v>0.33</v>
          </cell>
          <cell r="R27">
            <v>0.1</v>
          </cell>
          <cell r="S27">
            <v>0.35399999999999998</v>
          </cell>
          <cell r="T27">
            <v>0.1</v>
          </cell>
          <cell r="U27">
            <v>0.36699999999999999</v>
          </cell>
          <cell r="V27">
            <v>0.1</v>
          </cell>
          <cell r="W27">
            <v>0.373</v>
          </cell>
          <cell r="X27">
            <v>0.1</v>
          </cell>
        </row>
        <row r="31">
          <cell r="B31">
            <v>0</v>
          </cell>
          <cell r="C31" t="str">
            <v>Aumentado</v>
          </cell>
          <cell r="D31">
            <v>0</v>
          </cell>
          <cell r="E31" t="str">
            <v>Aumentado</v>
          </cell>
          <cell r="F31">
            <v>0</v>
          </cell>
          <cell r="G31" t="str">
            <v>Aumentado</v>
          </cell>
          <cell r="I31">
            <v>0</v>
          </cell>
          <cell r="J31" t="str">
            <v>Aumentado</v>
          </cell>
          <cell r="K31">
            <v>0</v>
          </cell>
          <cell r="L31" t="str">
            <v>Aumentado</v>
          </cell>
          <cell r="M31">
            <v>0</v>
          </cell>
          <cell r="N31" t="str">
            <v>Aumentado</v>
          </cell>
        </row>
        <row r="32">
          <cell r="B32">
            <v>0.08</v>
          </cell>
          <cell r="C32" t="str">
            <v>Médio</v>
          </cell>
          <cell r="D32">
            <v>0.11</v>
          </cell>
          <cell r="E32" t="str">
            <v>Aumentado</v>
          </cell>
          <cell r="F32">
            <v>0.13</v>
          </cell>
          <cell r="G32" t="str">
            <v>Médio</v>
          </cell>
          <cell r="I32">
            <v>0.21</v>
          </cell>
          <cell r="J32" t="str">
            <v>Aumentado</v>
          </cell>
          <cell r="K32">
            <v>0.23</v>
          </cell>
          <cell r="L32" t="str">
            <v>Aumentado</v>
          </cell>
          <cell r="M32">
            <v>0.24</v>
          </cell>
          <cell r="N32" t="str">
            <v>Aumentado</v>
          </cell>
        </row>
        <row r="33">
          <cell r="B33">
            <v>0.19</v>
          </cell>
          <cell r="C33" t="str">
            <v>Aumentado</v>
          </cell>
          <cell r="D33">
            <v>0.21</v>
          </cell>
          <cell r="E33" t="str">
            <v>Médio</v>
          </cell>
          <cell r="F33">
            <v>0.24</v>
          </cell>
          <cell r="G33" t="str">
            <v>Aumentado</v>
          </cell>
          <cell r="I33">
            <v>0.32</v>
          </cell>
          <cell r="J33" t="str">
            <v>Médio</v>
          </cell>
          <cell r="K33">
            <v>0.33</v>
          </cell>
          <cell r="L33" t="str">
            <v>Médio</v>
          </cell>
          <cell r="M33">
            <v>0.35</v>
          </cell>
          <cell r="N33" t="str">
            <v>Médio</v>
          </cell>
        </row>
        <row r="34">
          <cell r="B34">
            <v>0.24</v>
          </cell>
          <cell r="C34" t="str">
            <v>Elevado</v>
          </cell>
          <cell r="D34">
            <v>0.27</v>
          </cell>
          <cell r="E34" t="str">
            <v>Aumentado</v>
          </cell>
          <cell r="F34">
            <v>0.28999999999999998</v>
          </cell>
          <cell r="G34" t="str">
            <v>Elevado</v>
          </cell>
          <cell r="I34">
            <v>0.38</v>
          </cell>
          <cell r="J34" t="str">
            <v>Aumentado</v>
          </cell>
          <cell r="K34">
            <v>0.39</v>
          </cell>
          <cell r="L34" t="str">
            <v>Aumentado</v>
          </cell>
          <cell r="M34">
            <v>0.41</v>
          </cell>
          <cell r="N34" t="str">
            <v>Aumentado</v>
          </cell>
        </row>
        <row r="35">
          <cell r="B35">
            <v>0.25</v>
          </cell>
          <cell r="C35" t="str">
            <v>Elevado</v>
          </cell>
          <cell r="D35">
            <v>0.28000000000000003</v>
          </cell>
          <cell r="E35" t="str">
            <v>Elevado</v>
          </cell>
          <cell r="F35">
            <v>0.3</v>
          </cell>
          <cell r="G35" t="str">
            <v>Elevado</v>
          </cell>
          <cell r="I35">
            <v>0.39</v>
          </cell>
          <cell r="J35" t="str">
            <v>Elevado</v>
          </cell>
          <cell r="K35">
            <v>0.4</v>
          </cell>
          <cell r="L35" t="str">
            <v>Elevado</v>
          </cell>
          <cell r="M35">
            <v>0.42</v>
          </cell>
          <cell r="N35" t="str">
            <v>Elevado</v>
          </cell>
        </row>
        <row r="40">
          <cell r="B40">
            <v>0</v>
          </cell>
          <cell r="C40" t="str">
            <v>Muito Baixo</v>
          </cell>
          <cell r="D40">
            <v>0</v>
          </cell>
          <cell r="E40" t="str">
            <v>Muito Baixo</v>
          </cell>
          <cell r="G40">
            <v>0</v>
          </cell>
          <cell r="H40" t="str">
            <v>Baixo</v>
          </cell>
          <cell r="I40">
            <v>0</v>
          </cell>
          <cell r="J40" t="str">
            <v>Baixo</v>
          </cell>
          <cell r="K40">
            <v>0</v>
          </cell>
          <cell r="L40" t="str">
            <v>Baixo</v>
          </cell>
          <cell r="M40">
            <v>0</v>
          </cell>
          <cell r="N40" t="str">
            <v>Baixo</v>
          </cell>
          <cell r="O40">
            <v>0</v>
          </cell>
          <cell r="P40" t="str">
            <v>Baixo</v>
          </cell>
          <cell r="R40">
            <v>0</v>
          </cell>
          <cell r="S40" t="str">
            <v>Baixo</v>
          </cell>
          <cell r="T40">
            <v>0</v>
          </cell>
          <cell r="U40" t="str">
            <v>Baixo</v>
          </cell>
          <cell r="V40">
            <v>0</v>
          </cell>
          <cell r="W40" t="str">
            <v>Baixo</v>
          </cell>
          <cell r="X40">
            <v>0</v>
          </cell>
          <cell r="Y40" t="str">
            <v>Baixo</v>
          </cell>
          <cell r="Z40">
            <v>0</v>
          </cell>
          <cell r="AA40" t="str">
            <v>Baixo</v>
          </cell>
        </row>
        <row r="41">
          <cell r="B41">
            <v>70</v>
          </cell>
          <cell r="C41" t="str">
            <v>Baixo</v>
          </cell>
          <cell r="D41">
            <v>80</v>
          </cell>
          <cell r="E41" t="str">
            <v>Baixo</v>
          </cell>
          <cell r="G41">
            <v>0.83</v>
          </cell>
          <cell r="H41" t="str">
            <v>Baixo</v>
          </cell>
          <cell r="I41">
            <v>0.84</v>
          </cell>
          <cell r="J41" t="str">
            <v>Baixo</v>
          </cell>
          <cell r="K41">
            <v>0.88</v>
          </cell>
          <cell r="L41" t="str">
            <v>Baixo</v>
          </cell>
          <cell r="M41">
            <v>0.9</v>
          </cell>
          <cell r="N41" t="str">
            <v>Baixo</v>
          </cell>
          <cell r="O41">
            <v>0.91</v>
          </cell>
          <cell r="P41" t="str">
            <v>Baixo</v>
          </cell>
          <cell r="R41">
            <v>0.71</v>
          </cell>
          <cell r="S41" t="str">
            <v>Baixo</v>
          </cell>
          <cell r="T41">
            <v>0.72</v>
          </cell>
          <cell r="U41" t="str">
            <v>Baixo</v>
          </cell>
          <cell r="V41">
            <v>0.73</v>
          </cell>
          <cell r="W41" t="str">
            <v>Baixo</v>
          </cell>
          <cell r="X41">
            <v>0.74</v>
          </cell>
          <cell r="Y41" t="str">
            <v>Baixo</v>
          </cell>
          <cell r="Z41">
            <v>0.76</v>
          </cell>
          <cell r="AA41" t="str">
            <v>Baixo</v>
          </cell>
        </row>
        <row r="42">
          <cell r="B42">
            <v>90</v>
          </cell>
          <cell r="C42" t="str">
            <v>Elevado</v>
          </cell>
          <cell r="D42">
            <v>100</v>
          </cell>
          <cell r="E42" t="str">
            <v>Elevado</v>
          </cell>
          <cell r="G42">
            <v>0.88</v>
          </cell>
          <cell r="H42" t="str">
            <v>Moderado</v>
          </cell>
          <cell r="I42">
            <v>0.91</v>
          </cell>
          <cell r="J42" t="str">
            <v>Moderado</v>
          </cell>
          <cell r="K42">
            <v>0.95</v>
          </cell>
          <cell r="L42" t="str">
            <v>Moderado</v>
          </cell>
          <cell r="M42">
            <v>0.96</v>
          </cell>
          <cell r="N42" t="str">
            <v>Moderado</v>
          </cell>
          <cell r="O42">
            <v>0.98</v>
          </cell>
          <cell r="P42" t="str">
            <v>Moderado</v>
          </cell>
          <cell r="R42">
            <v>0.77</v>
          </cell>
          <cell r="S42" t="str">
            <v>Moderado</v>
          </cell>
          <cell r="T42">
            <v>0.78</v>
          </cell>
          <cell r="U42" t="str">
            <v>Moderado</v>
          </cell>
          <cell r="V42">
            <v>0.79</v>
          </cell>
          <cell r="W42" t="str">
            <v>Moderado</v>
          </cell>
          <cell r="X42">
            <v>0.81</v>
          </cell>
          <cell r="Y42" t="str">
            <v>Moderado</v>
          </cell>
          <cell r="Z42">
            <v>0.83</v>
          </cell>
          <cell r="AA42" t="str">
            <v>Moderado</v>
          </cell>
        </row>
        <row r="43">
          <cell r="B43">
            <v>110</v>
          </cell>
          <cell r="C43" t="str">
            <v>Muito Elevado</v>
          </cell>
          <cell r="D43">
            <v>120</v>
          </cell>
          <cell r="E43" t="str">
            <v>Muito Elevado</v>
          </cell>
          <cell r="G43">
            <v>0.94</v>
          </cell>
          <cell r="H43" t="str">
            <v>Alto</v>
          </cell>
          <cell r="I43">
            <v>0.96</v>
          </cell>
          <cell r="J43" t="str">
            <v>Alto</v>
          </cell>
          <cell r="K43">
            <v>1</v>
          </cell>
          <cell r="L43" t="str">
            <v>Alto</v>
          </cell>
          <cell r="M43">
            <v>1.02</v>
          </cell>
          <cell r="N43" t="str">
            <v>Alto</v>
          </cell>
          <cell r="O43">
            <v>1.03</v>
          </cell>
          <cell r="P43" t="str">
            <v>Alto</v>
          </cell>
          <cell r="R43">
            <v>0.82</v>
          </cell>
          <cell r="S43" t="str">
            <v>Alto</v>
          </cell>
          <cell r="T43">
            <v>0.84</v>
          </cell>
          <cell r="U43" t="str">
            <v>Alto</v>
          </cell>
          <cell r="V43">
            <v>0.87</v>
          </cell>
          <cell r="W43" t="str">
            <v>Alto</v>
          </cell>
          <cell r="X43">
            <v>0.88</v>
          </cell>
          <cell r="Y43" t="str">
            <v>Alto</v>
          </cell>
          <cell r="Z43">
            <v>0.9</v>
          </cell>
          <cell r="AA43" t="str">
            <v>Alto</v>
          </cell>
        </row>
        <row r="44">
          <cell r="B44">
            <v>110</v>
          </cell>
          <cell r="C44" t="str">
            <v>Muito Elevado</v>
          </cell>
          <cell r="D44">
            <v>120</v>
          </cell>
          <cell r="E44" t="str">
            <v>Muito Elevado</v>
          </cell>
          <cell r="G44">
            <v>1</v>
          </cell>
          <cell r="H44" t="str">
            <v>Muito Alto</v>
          </cell>
          <cell r="I44">
            <v>1.02</v>
          </cell>
          <cell r="J44" t="str">
            <v>Muito Alto</v>
          </cell>
          <cell r="K44">
            <v>1.05</v>
          </cell>
          <cell r="L44" t="str">
            <v>Muito Alto</v>
          </cell>
          <cell r="M44">
            <v>1.0900000000000001</v>
          </cell>
          <cell r="N44" t="str">
            <v>Muito Alto</v>
          </cell>
          <cell r="O44">
            <v>1.1000000000000001</v>
          </cell>
          <cell r="P44" t="str">
            <v>Muito Alto</v>
          </cell>
          <cell r="R44">
            <v>0.9</v>
          </cell>
          <cell r="S44" t="str">
            <v>Muito Alto</v>
          </cell>
          <cell r="T44">
            <v>0.9</v>
          </cell>
          <cell r="U44" t="str">
            <v>Muito Alto</v>
          </cell>
          <cell r="V44">
            <v>1.05</v>
          </cell>
          <cell r="W44" t="str">
            <v>Muito Alto</v>
          </cell>
          <cell r="X44">
            <v>1.05</v>
          </cell>
          <cell r="Y44" t="str">
            <v>Muito Alto</v>
          </cell>
          <cell r="Z44">
            <v>1.05</v>
          </cell>
          <cell r="AA44" t="str">
            <v>Muito Alto</v>
          </cell>
        </row>
        <row r="48">
          <cell r="B48">
            <v>0</v>
          </cell>
          <cell r="C48" t="str">
            <v>Magreza</v>
          </cell>
        </row>
        <row r="49">
          <cell r="B49">
            <v>18.5</v>
          </cell>
          <cell r="C49" t="str">
            <v>Normal</v>
          </cell>
        </row>
        <row r="50">
          <cell r="B50">
            <v>25</v>
          </cell>
          <cell r="C50" t="str">
            <v>Excesso de Peso</v>
          </cell>
        </row>
        <row r="51">
          <cell r="B51">
            <v>30</v>
          </cell>
          <cell r="C51" t="str">
            <v>Obesidade I</v>
          </cell>
        </row>
        <row r="52">
          <cell r="B52">
            <v>35</v>
          </cell>
          <cell r="C52" t="str">
            <v>Obesidade II</v>
          </cell>
        </row>
        <row r="53">
          <cell r="B53">
            <v>40</v>
          </cell>
          <cell r="C53" t="str">
            <v>Obesidade III</v>
          </cell>
        </row>
        <row r="54">
          <cell r="B54">
            <v>50</v>
          </cell>
          <cell r="C54" t="str">
            <v>Obesidade III</v>
          </cell>
        </row>
      </sheetData>
      <sheetData sheetId="16" refreshError="1">
        <row r="3">
          <cell r="Q3">
            <v>1</v>
          </cell>
          <cell r="R3">
            <v>1</v>
          </cell>
          <cell r="T3">
            <v>0.3</v>
          </cell>
          <cell r="U3">
            <v>30</v>
          </cell>
        </row>
        <row r="4">
          <cell r="B4">
            <v>0</v>
          </cell>
          <cell r="C4">
            <v>0.1</v>
          </cell>
          <cell r="D4">
            <v>0</v>
          </cell>
          <cell r="E4">
            <v>0.1</v>
          </cell>
          <cell r="F4">
            <v>0</v>
          </cell>
          <cell r="G4">
            <v>0.1</v>
          </cell>
          <cell r="H4">
            <v>0</v>
          </cell>
          <cell r="I4">
            <v>0.1</v>
          </cell>
          <cell r="J4">
            <v>0</v>
          </cell>
          <cell r="K4">
            <v>0.1</v>
          </cell>
          <cell r="Q4">
            <v>2</v>
          </cell>
          <cell r="R4">
            <v>1.07</v>
          </cell>
          <cell r="T4">
            <v>0.33</v>
          </cell>
          <cell r="U4">
            <v>30</v>
          </cell>
        </row>
        <row r="5">
          <cell r="B5">
            <v>0.8</v>
          </cell>
          <cell r="C5">
            <v>0.1</v>
          </cell>
          <cell r="D5">
            <v>0.71</v>
          </cell>
          <cell r="E5">
            <v>0.1</v>
          </cell>
          <cell r="F5">
            <v>0.65</v>
          </cell>
          <cell r="G5">
            <v>0.1</v>
          </cell>
          <cell r="H5">
            <v>0.56999999999999995</v>
          </cell>
          <cell r="I5">
            <v>0.1</v>
          </cell>
          <cell r="J5">
            <v>0.53</v>
          </cell>
          <cell r="K5">
            <v>0.1</v>
          </cell>
          <cell r="Q5">
            <v>3</v>
          </cell>
          <cell r="R5">
            <v>1.1000000000000001</v>
          </cell>
          <cell r="T5">
            <v>0.35</v>
          </cell>
          <cell r="U5">
            <v>30</v>
          </cell>
        </row>
        <row r="6">
          <cell r="B6">
            <v>0.88</v>
          </cell>
          <cell r="C6">
            <v>0.2</v>
          </cell>
          <cell r="D6">
            <v>0.78</v>
          </cell>
          <cell r="E6">
            <v>0.2</v>
          </cell>
          <cell r="F6">
            <v>0.72</v>
          </cell>
          <cell r="G6">
            <v>0.2</v>
          </cell>
          <cell r="H6">
            <v>0.63</v>
          </cell>
          <cell r="I6">
            <v>0.2</v>
          </cell>
          <cell r="J6">
            <v>0.56999999999999995</v>
          </cell>
          <cell r="K6">
            <v>0.2</v>
          </cell>
          <cell r="Q6">
            <v>4</v>
          </cell>
          <cell r="R6">
            <v>1.1299999999999999</v>
          </cell>
          <cell r="T6">
            <v>0.37</v>
          </cell>
          <cell r="U6">
            <v>30</v>
          </cell>
        </row>
        <row r="7">
          <cell r="B7">
            <v>0.93</v>
          </cell>
          <cell r="C7">
            <v>0.3</v>
          </cell>
          <cell r="D7">
            <v>0.83</v>
          </cell>
          <cell r="E7">
            <v>0.3</v>
          </cell>
          <cell r="F7">
            <v>0.76</v>
          </cell>
          <cell r="G7">
            <v>0.3</v>
          </cell>
          <cell r="H7">
            <v>0.68</v>
          </cell>
          <cell r="I7">
            <v>0.3</v>
          </cell>
          <cell r="J7">
            <v>0.63</v>
          </cell>
          <cell r="K7">
            <v>0.3</v>
          </cell>
          <cell r="Q7">
            <v>5</v>
          </cell>
          <cell r="R7">
            <v>1.1599999999999999</v>
          </cell>
          <cell r="T7">
            <v>0.4</v>
          </cell>
          <cell r="U7">
            <v>30</v>
          </cell>
        </row>
        <row r="8">
          <cell r="B8">
            <v>0.99</v>
          </cell>
          <cell r="C8">
            <v>0.4</v>
          </cell>
          <cell r="D8">
            <v>0.88</v>
          </cell>
          <cell r="E8">
            <v>0.4</v>
          </cell>
          <cell r="F8">
            <v>0.8</v>
          </cell>
          <cell r="G8">
            <v>0.4</v>
          </cell>
          <cell r="H8">
            <v>0.71</v>
          </cell>
          <cell r="I8">
            <v>0.4</v>
          </cell>
          <cell r="J8">
            <v>0.66</v>
          </cell>
          <cell r="K8">
            <v>0.4</v>
          </cell>
          <cell r="Q8">
            <v>6</v>
          </cell>
          <cell r="R8">
            <v>1.2</v>
          </cell>
          <cell r="T8">
            <v>0.43</v>
          </cell>
          <cell r="U8">
            <v>28</v>
          </cell>
        </row>
        <row r="9">
          <cell r="B9">
            <v>1.06</v>
          </cell>
          <cell r="C9">
            <v>0.5</v>
          </cell>
          <cell r="D9">
            <v>0.93</v>
          </cell>
          <cell r="E9">
            <v>0.5</v>
          </cell>
          <cell r="F9">
            <v>0.84</v>
          </cell>
          <cell r="G9">
            <v>0.5</v>
          </cell>
          <cell r="H9">
            <v>0.75</v>
          </cell>
          <cell r="I9">
            <v>0.5</v>
          </cell>
          <cell r="J9">
            <v>0.68</v>
          </cell>
          <cell r="K9">
            <v>0.5</v>
          </cell>
          <cell r="Q9">
            <v>7</v>
          </cell>
          <cell r="R9">
            <v>1.23</v>
          </cell>
          <cell r="T9">
            <v>0.45</v>
          </cell>
          <cell r="U9">
            <v>25</v>
          </cell>
        </row>
        <row r="10">
          <cell r="B10">
            <v>1.1399999999999999</v>
          </cell>
          <cell r="C10">
            <v>0.6</v>
          </cell>
          <cell r="D10">
            <v>0.98</v>
          </cell>
          <cell r="E10">
            <v>0.6</v>
          </cell>
          <cell r="F10">
            <v>0.88</v>
          </cell>
          <cell r="G10">
            <v>0.6</v>
          </cell>
          <cell r="H10">
            <v>0.79</v>
          </cell>
          <cell r="I10">
            <v>0.6</v>
          </cell>
          <cell r="J10">
            <v>0.72</v>
          </cell>
          <cell r="K10">
            <v>0.6</v>
          </cell>
          <cell r="Q10">
            <v>8</v>
          </cell>
          <cell r="R10">
            <v>1.27</v>
          </cell>
          <cell r="T10">
            <v>0.47</v>
          </cell>
          <cell r="U10">
            <v>22</v>
          </cell>
        </row>
        <row r="11">
          <cell r="B11">
            <v>1.22</v>
          </cell>
          <cell r="C11">
            <v>0.7</v>
          </cell>
          <cell r="D11">
            <v>1.04</v>
          </cell>
          <cell r="E11">
            <v>0.7</v>
          </cell>
          <cell r="F11">
            <v>0.93</v>
          </cell>
          <cell r="G11">
            <v>0.7</v>
          </cell>
          <cell r="H11">
            <v>0.84</v>
          </cell>
          <cell r="I11">
            <v>0.7</v>
          </cell>
          <cell r="J11">
            <v>0.77</v>
          </cell>
          <cell r="K11">
            <v>0.7</v>
          </cell>
          <cell r="Q11">
            <v>9</v>
          </cell>
          <cell r="R11">
            <v>1.32</v>
          </cell>
          <cell r="T11">
            <v>0.5</v>
          </cell>
          <cell r="U11">
            <v>22</v>
          </cell>
        </row>
        <row r="12">
          <cell r="B12">
            <v>1.32</v>
          </cell>
          <cell r="C12">
            <v>0.8</v>
          </cell>
          <cell r="D12">
            <v>1.1200000000000001</v>
          </cell>
          <cell r="E12">
            <v>0.8</v>
          </cell>
          <cell r="F12">
            <v>1</v>
          </cell>
          <cell r="G12">
            <v>0.8</v>
          </cell>
          <cell r="H12">
            <v>0.9</v>
          </cell>
          <cell r="I12">
            <v>0.8</v>
          </cell>
          <cell r="J12">
            <v>0.82</v>
          </cell>
          <cell r="K12">
            <v>0.8</v>
          </cell>
          <cell r="Q12">
            <v>10</v>
          </cell>
          <cell r="R12">
            <v>1.36</v>
          </cell>
          <cell r="T12">
            <v>0.53</v>
          </cell>
          <cell r="U12">
            <v>20</v>
          </cell>
        </row>
        <row r="13">
          <cell r="B13">
            <v>1.48</v>
          </cell>
          <cell r="C13">
            <v>0.9</v>
          </cell>
          <cell r="D13">
            <v>1.24</v>
          </cell>
          <cell r="E13">
            <v>0.9</v>
          </cell>
          <cell r="F13">
            <v>1.1000000000000001</v>
          </cell>
          <cell r="G13">
            <v>0.9</v>
          </cell>
          <cell r="H13">
            <v>0.97</v>
          </cell>
          <cell r="I13">
            <v>0.9</v>
          </cell>
          <cell r="J13">
            <v>0.89</v>
          </cell>
          <cell r="K13">
            <v>0.9</v>
          </cell>
          <cell r="T13">
            <v>0.55000000000000004</v>
          </cell>
          <cell r="U13">
            <v>20</v>
          </cell>
        </row>
        <row r="14">
          <cell r="B14">
            <v>2</v>
          </cell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2</v>
          </cell>
          <cell r="I14">
            <v>1</v>
          </cell>
          <cell r="J14">
            <v>2</v>
          </cell>
          <cell r="K14">
            <v>1</v>
          </cell>
          <cell r="T14">
            <v>0.56999999999999995</v>
          </cell>
          <cell r="U14">
            <v>18</v>
          </cell>
        </row>
        <row r="15">
          <cell r="T15">
            <v>0.6</v>
          </cell>
          <cell r="U15">
            <v>17.571428571428498</v>
          </cell>
        </row>
        <row r="16">
          <cell r="T16">
            <v>0.63</v>
          </cell>
          <cell r="U16">
            <v>16.3571428571429</v>
          </cell>
        </row>
        <row r="17">
          <cell r="T17">
            <v>0.65</v>
          </cell>
          <cell r="U17">
            <v>15.1428571428571</v>
          </cell>
        </row>
        <row r="18">
          <cell r="T18">
            <v>0.67</v>
          </cell>
          <cell r="U18">
            <v>12</v>
          </cell>
        </row>
        <row r="19">
          <cell r="T19">
            <v>0.7</v>
          </cell>
          <cell r="U19">
            <v>11</v>
          </cell>
        </row>
        <row r="20">
          <cell r="T20">
            <v>0.73</v>
          </cell>
          <cell r="U20">
            <v>11</v>
          </cell>
        </row>
        <row r="21">
          <cell r="B21">
            <v>0</v>
          </cell>
          <cell r="C21">
            <v>0.1</v>
          </cell>
          <cell r="D21">
            <v>0</v>
          </cell>
          <cell r="E21">
            <v>0.1</v>
          </cell>
          <cell r="F21">
            <v>0</v>
          </cell>
          <cell r="G21">
            <v>0.1</v>
          </cell>
          <cell r="H21">
            <v>0</v>
          </cell>
          <cell r="I21">
            <v>0.1</v>
          </cell>
          <cell r="J21">
            <v>0</v>
          </cell>
          <cell r="K21">
            <v>0.1</v>
          </cell>
          <cell r="T21">
            <v>0.75</v>
          </cell>
          <cell r="U21">
            <v>10</v>
          </cell>
        </row>
        <row r="22">
          <cell r="B22">
            <v>0.48</v>
          </cell>
          <cell r="C22">
            <v>0.1</v>
          </cell>
          <cell r="D22">
            <v>0.42</v>
          </cell>
          <cell r="E22">
            <v>0.1</v>
          </cell>
          <cell r="F22">
            <v>0.38</v>
          </cell>
          <cell r="G22">
            <v>0.1</v>
          </cell>
          <cell r="H22">
            <v>0.37</v>
          </cell>
          <cell r="I22">
            <v>0.1</v>
          </cell>
          <cell r="J22">
            <v>0.33</v>
          </cell>
          <cell r="K22">
            <v>0.1</v>
          </cell>
          <cell r="T22">
            <v>0.77</v>
          </cell>
          <cell r="U22">
            <v>9</v>
          </cell>
        </row>
        <row r="23">
          <cell r="B23">
            <v>0.51</v>
          </cell>
          <cell r="C23">
            <v>0.2</v>
          </cell>
          <cell r="D23">
            <v>0.47</v>
          </cell>
          <cell r="E23">
            <v>0.2</v>
          </cell>
          <cell r="F23">
            <v>0.43</v>
          </cell>
          <cell r="G23">
            <v>0.2</v>
          </cell>
          <cell r="H23">
            <v>0.39</v>
          </cell>
          <cell r="I23">
            <v>0.2</v>
          </cell>
          <cell r="J23">
            <v>0.38</v>
          </cell>
          <cell r="K23">
            <v>0.2</v>
          </cell>
          <cell r="T23">
            <v>0.8</v>
          </cell>
          <cell r="U23">
            <v>8</v>
          </cell>
        </row>
        <row r="24">
          <cell r="B24">
            <v>0.56000000000000005</v>
          </cell>
          <cell r="C24">
            <v>0.3</v>
          </cell>
          <cell r="D24">
            <v>0.51</v>
          </cell>
          <cell r="E24">
            <v>0.3</v>
          </cell>
          <cell r="F24">
            <v>0.47</v>
          </cell>
          <cell r="G24">
            <v>0.3</v>
          </cell>
          <cell r="H24">
            <v>0.42</v>
          </cell>
          <cell r="I24">
            <v>0.3</v>
          </cell>
          <cell r="J24">
            <v>0.4</v>
          </cell>
          <cell r="K24">
            <v>0.3</v>
          </cell>
          <cell r="T24">
            <v>0.83</v>
          </cell>
          <cell r="U24">
            <v>7</v>
          </cell>
        </row>
        <row r="25">
          <cell r="B25">
            <v>0.59</v>
          </cell>
          <cell r="C25">
            <v>0.4</v>
          </cell>
          <cell r="D25">
            <v>0.53</v>
          </cell>
          <cell r="E25">
            <v>0.4</v>
          </cell>
          <cell r="F25">
            <v>0.5</v>
          </cell>
          <cell r="G25">
            <v>0.4</v>
          </cell>
          <cell r="H25">
            <v>0.44</v>
          </cell>
          <cell r="I25">
            <v>0.4</v>
          </cell>
          <cell r="J25">
            <v>0.43</v>
          </cell>
          <cell r="K25">
            <v>0.4</v>
          </cell>
          <cell r="T25">
            <v>0.85</v>
          </cell>
          <cell r="U25">
            <v>6</v>
          </cell>
        </row>
        <row r="26">
          <cell r="B26">
            <v>0.65</v>
          </cell>
          <cell r="C26">
            <v>0.5</v>
          </cell>
          <cell r="D26">
            <v>0.56999999999999995</v>
          </cell>
          <cell r="E26">
            <v>0.5</v>
          </cell>
          <cell r="F26">
            <v>0.52</v>
          </cell>
          <cell r="G26">
            <v>0.5</v>
          </cell>
          <cell r="H26">
            <v>0.46</v>
          </cell>
          <cell r="I26">
            <v>0.5</v>
          </cell>
          <cell r="J26">
            <v>0.45</v>
          </cell>
          <cell r="K26">
            <v>0.5</v>
          </cell>
          <cell r="T26">
            <v>0.87</v>
          </cell>
          <cell r="U26">
            <v>5</v>
          </cell>
        </row>
        <row r="27">
          <cell r="B27">
            <v>0.7</v>
          </cell>
          <cell r="C27">
            <v>0.6</v>
          </cell>
          <cell r="D27">
            <v>0.6</v>
          </cell>
          <cell r="E27">
            <v>0.6</v>
          </cell>
          <cell r="F27">
            <v>0.54</v>
          </cell>
          <cell r="G27">
            <v>0.6</v>
          </cell>
          <cell r="H27">
            <v>0.48</v>
          </cell>
          <cell r="I27">
            <v>0.6</v>
          </cell>
          <cell r="J27">
            <v>0.47</v>
          </cell>
          <cell r="K27">
            <v>0.6</v>
          </cell>
          <cell r="T27">
            <v>0.9</v>
          </cell>
          <cell r="U27">
            <v>4</v>
          </cell>
        </row>
        <row r="28">
          <cell r="B28">
            <v>0.74</v>
          </cell>
          <cell r="C28">
            <v>0.7</v>
          </cell>
          <cell r="D28">
            <v>0.63</v>
          </cell>
          <cell r="E28">
            <v>0.7</v>
          </cell>
          <cell r="F28">
            <v>0.56999999999999995</v>
          </cell>
          <cell r="G28">
            <v>0.7</v>
          </cell>
          <cell r="H28">
            <v>0.52</v>
          </cell>
          <cell r="I28">
            <v>0.7</v>
          </cell>
          <cell r="J28">
            <v>0.51</v>
          </cell>
          <cell r="K28">
            <v>0.7</v>
          </cell>
          <cell r="T28">
            <v>0.93</v>
          </cell>
          <cell r="U28">
            <v>3</v>
          </cell>
        </row>
        <row r="29">
          <cell r="B29">
            <v>0.8</v>
          </cell>
          <cell r="C29">
            <v>0.8</v>
          </cell>
          <cell r="D29">
            <v>0.7</v>
          </cell>
          <cell r="E29">
            <v>0.8</v>
          </cell>
          <cell r="F29">
            <v>0.62</v>
          </cell>
          <cell r="G29">
            <v>0.8</v>
          </cell>
          <cell r="H29">
            <v>0.55000000000000004</v>
          </cell>
          <cell r="I29">
            <v>0.8</v>
          </cell>
          <cell r="J29">
            <v>0.54</v>
          </cell>
          <cell r="K29">
            <v>0.8</v>
          </cell>
          <cell r="T29">
            <v>0.95</v>
          </cell>
          <cell r="U29">
            <v>2</v>
          </cell>
        </row>
        <row r="30">
          <cell r="B30">
            <v>0.9</v>
          </cell>
          <cell r="C30">
            <v>0.9</v>
          </cell>
          <cell r="D30">
            <v>0.76</v>
          </cell>
          <cell r="E30">
            <v>0.9</v>
          </cell>
          <cell r="F30">
            <v>0.71</v>
          </cell>
          <cell r="G30">
            <v>0.9</v>
          </cell>
          <cell r="H30">
            <v>0.61</v>
          </cell>
          <cell r="I30">
            <v>0.9</v>
          </cell>
          <cell r="J30">
            <v>0.64</v>
          </cell>
          <cell r="K30">
            <v>0.9</v>
          </cell>
          <cell r="T30">
            <v>1</v>
          </cell>
          <cell r="U30">
            <v>1</v>
          </cell>
        </row>
        <row r="31">
          <cell r="B31">
            <v>2</v>
          </cell>
          <cell r="C31">
            <v>1</v>
          </cell>
          <cell r="D31">
            <v>2</v>
          </cell>
          <cell r="E31">
            <v>1</v>
          </cell>
          <cell r="F31">
            <v>2</v>
          </cell>
          <cell r="G31">
            <v>1</v>
          </cell>
          <cell r="H31">
            <v>2</v>
          </cell>
          <cell r="I31">
            <v>1</v>
          </cell>
          <cell r="J31">
            <v>2</v>
          </cell>
          <cell r="K31">
            <v>1</v>
          </cell>
        </row>
        <row r="36">
          <cell r="B36">
            <v>0</v>
          </cell>
          <cell r="C36">
            <v>0.1</v>
          </cell>
          <cell r="D36">
            <v>0</v>
          </cell>
          <cell r="E36">
            <v>0.1</v>
          </cell>
          <cell r="F36">
            <v>0</v>
          </cell>
          <cell r="G36">
            <v>0.1</v>
          </cell>
          <cell r="H36">
            <v>0</v>
          </cell>
          <cell r="I36">
            <v>0.1</v>
          </cell>
          <cell r="J36">
            <v>0</v>
          </cell>
          <cell r="K36">
            <v>0.1</v>
          </cell>
        </row>
        <row r="37">
          <cell r="B37">
            <v>1.51</v>
          </cell>
          <cell r="C37">
            <v>0.1</v>
          </cell>
          <cell r="D37">
            <v>1.43</v>
          </cell>
          <cell r="E37">
            <v>0.1</v>
          </cell>
          <cell r="F37">
            <v>1.35</v>
          </cell>
          <cell r="G37">
            <v>0.1</v>
          </cell>
          <cell r="H37">
            <v>1.22</v>
          </cell>
          <cell r="I37">
            <v>0.1</v>
          </cell>
          <cell r="J37">
            <v>1.1599999999999999</v>
          </cell>
          <cell r="K37">
            <v>0.1</v>
          </cell>
        </row>
        <row r="38">
          <cell r="B38">
            <v>1.63</v>
          </cell>
          <cell r="C38">
            <v>0.2</v>
          </cell>
          <cell r="D38">
            <v>1.52</v>
          </cell>
          <cell r="E38">
            <v>0.2</v>
          </cell>
          <cell r="F38">
            <v>1.44</v>
          </cell>
          <cell r="G38">
            <v>0.2</v>
          </cell>
          <cell r="H38">
            <v>1.32</v>
          </cell>
          <cell r="I38">
            <v>0.2</v>
          </cell>
          <cell r="J38">
            <v>1.25</v>
          </cell>
          <cell r="K38">
            <v>0.2</v>
          </cell>
        </row>
        <row r="39">
          <cell r="B39">
            <v>1.74</v>
          </cell>
          <cell r="C39">
            <v>0.3</v>
          </cell>
          <cell r="D39">
            <v>1.59</v>
          </cell>
          <cell r="E39">
            <v>0.3</v>
          </cell>
          <cell r="F39">
            <v>1.51</v>
          </cell>
          <cell r="G39">
            <v>0.3</v>
          </cell>
          <cell r="H39">
            <v>1.39</v>
          </cell>
          <cell r="I39">
            <v>0.3</v>
          </cell>
          <cell r="J39">
            <v>1.3</v>
          </cell>
          <cell r="K39">
            <v>0.3</v>
          </cell>
        </row>
        <row r="40">
          <cell r="B40">
            <v>1.83</v>
          </cell>
          <cell r="C40">
            <v>0.4</v>
          </cell>
          <cell r="D40">
            <v>1.65</v>
          </cell>
          <cell r="E40">
            <v>0.4</v>
          </cell>
          <cell r="F40">
            <v>1.57</v>
          </cell>
          <cell r="G40">
            <v>0.4</v>
          </cell>
          <cell r="H40">
            <v>1.46</v>
          </cell>
          <cell r="I40">
            <v>0.4</v>
          </cell>
          <cell r="J40">
            <v>1.38</v>
          </cell>
          <cell r="K40">
            <v>0.4</v>
          </cell>
        </row>
        <row r="41">
          <cell r="B41">
            <v>1.91</v>
          </cell>
          <cell r="C41">
            <v>0.5</v>
          </cell>
          <cell r="D41">
            <v>1.71</v>
          </cell>
          <cell r="E41">
            <v>0.5</v>
          </cell>
          <cell r="F41">
            <v>1.62</v>
          </cell>
          <cell r="G41">
            <v>0.5</v>
          </cell>
          <cell r="H41">
            <v>1.52</v>
          </cell>
          <cell r="I41">
            <v>0.5</v>
          </cell>
          <cell r="J41">
            <v>1.43</v>
          </cell>
          <cell r="K41">
            <v>0.5</v>
          </cell>
        </row>
        <row r="42">
          <cell r="B42">
            <v>1.97</v>
          </cell>
          <cell r="C42">
            <v>0.6</v>
          </cell>
          <cell r="D42">
            <v>1.77</v>
          </cell>
          <cell r="E42">
            <v>0.6</v>
          </cell>
          <cell r="F42">
            <v>1.68</v>
          </cell>
          <cell r="G42">
            <v>0.6</v>
          </cell>
          <cell r="H42">
            <v>1.58</v>
          </cell>
          <cell r="I42">
            <v>0.6</v>
          </cell>
          <cell r="J42">
            <v>1.49</v>
          </cell>
          <cell r="K42">
            <v>0.6</v>
          </cell>
        </row>
        <row r="43">
          <cell r="B43">
            <v>2.0499999999999998</v>
          </cell>
          <cell r="C43">
            <v>0.7</v>
          </cell>
          <cell r="D43">
            <v>1.85</v>
          </cell>
          <cell r="E43">
            <v>0.7</v>
          </cell>
          <cell r="F43">
            <v>1.74</v>
          </cell>
          <cell r="G43">
            <v>0.7</v>
          </cell>
          <cell r="H43">
            <v>1.64</v>
          </cell>
          <cell r="I43">
            <v>0.7</v>
          </cell>
          <cell r="J43">
            <v>1.56</v>
          </cell>
          <cell r="K43">
            <v>0.7</v>
          </cell>
        </row>
        <row r="44">
          <cell r="B44">
            <v>2.13</v>
          </cell>
          <cell r="C44">
            <v>0.8</v>
          </cell>
          <cell r="D44">
            <v>1.93</v>
          </cell>
          <cell r="E44">
            <v>0.8</v>
          </cell>
          <cell r="F44">
            <v>1.82</v>
          </cell>
          <cell r="G44">
            <v>0.8</v>
          </cell>
          <cell r="H44">
            <v>1.71</v>
          </cell>
          <cell r="I44">
            <v>0.8</v>
          </cell>
          <cell r="J44">
            <v>1.62</v>
          </cell>
          <cell r="K44">
            <v>0.8</v>
          </cell>
        </row>
        <row r="45">
          <cell r="B45">
            <v>2.27</v>
          </cell>
          <cell r="C45">
            <v>0.9</v>
          </cell>
          <cell r="D45">
            <v>2.0699999999999998</v>
          </cell>
          <cell r="E45">
            <v>0.9</v>
          </cell>
          <cell r="F45">
            <v>1.92</v>
          </cell>
          <cell r="G45">
            <v>0.9</v>
          </cell>
          <cell r="H45">
            <v>1.8</v>
          </cell>
          <cell r="I45">
            <v>0.9</v>
          </cell>
          <cell r="J45">
            <v>1.73</v>
          </cell>
          <cell r="K45">
            <v>0.9</v>
          </cell>
        </row>
        <row r="46">
          <cell r="B46">
            <v>4</v>
          </cell>
          <cell r="C46">
            <v>1</v>
          </cell>
          <cell r="D46">
            <v>4</v>
          </cell>
          <cell r="E46">
            <v>1</v>
          </cell>
          <cell r="F46">
            <v>3</v>
          </cell>
          <cell r="G46">
            <v>1</v>
          </cell>
          <cell r="H46">
            <v>3</v>
          </cell>
          <cell r="I46">
            <v>1</v>
          </cell>
          <cell r="J46">
            <v>3</v>
          </cell>
          <cell r="K46">
            <v>1</v>
          </cell>
        </row>
        <row r="51">
          <cell r="B51">
            <v>0</v>
          </cell>
          <cell r="C51">
            <v>0.1</v>
          </cell>
          <cell r="D51">
            <v>0</v>
          </cell>
          <cell r="E51">
            <v>0.1</v>
          </cell>
          <cell r="F51">
            <v>0</v>
          </cell>
          <cell r="G51">
            <v>0.1</v>
          </cell>
          <cell r="H51">
            <v>0</v>
          </cell>
          <cell r="I51">
            <v>0.1</v>
          </cell>
          <cell r="J51">
            <v>0</v>
          </cell>
          <cell r="K51">
            <v>0.1</v>
          </cell>
        </row>
        <row r="52">
          <cell r="B52">
            <v>1.1399999999999999</v>
          </cell>
          <cell r="C52">
            <v>0.1</v>
          </cell>
          <cell r="D52">
            <v>1</v>
          </cell>
          <cell r="E52">
            <v>0.1</v>
          </cell>
          <cell r="F52">
            <v>0.94</v>
          </cell>
          <cell r="G52">
            <v>0.1</v>
          </cell>
          <cell r="H52">
            <v>0.78</v>
          </cell>
          <cell r="I52">
            <v>0.1</v>
          </cell>
          <cell r="J52">
            <v>0.72</v>
          </cell>
          <cell r="K52">
            <v>0.1</v>
          </cell>
        </row>
        <row r="53">
          <cell r="B53">
            <v>1.22</v>
          </cell>
          <cell r="C53">
            <v>0.2</v>
          </cell>
          <cell r="D53">
            <v>1.0900000000000001</v>
          </cell>
          <cell r="E53">
            <v>0.2</v>
          </cell>
          <cell r="F53">
            <v>1.02</v>
          </cell>
          <cell r="G53">
            <v>0.2</v>
          </cell>
          <cell r="H53">
            <v>0.88</v>
          </cell>
          <cell r="I53">
            <v>0.2</v>
          </cell>
          <cell r="J53">
            <v>0.85</v>
          </cell>
          <cell r="K53">
            <v>0.2</v>
          </cell>
        </row>
        <row r="54">
          <cell r="B54">
            <v>1.27</v>
          </cell>
          <cell r="C54">
            <v>0.3</v>
          </cell>
          <cell r="D54">
            <v>1.1499999999999999</v>
          </cell>
          <cell r="E54">
            <v>0.3</v>
          </cell>
          <cell r="F54">
            <v>1.08</v>
          </cell>
          <cell r="G54">
            <v>0.3</v>
          </cell>
          <cell r="H54">
            <v>0.95</v>
          </cell>
          <cell r="I54">
            <v>0.3</v>
          </cell>
          <cell r="J54">
            <v>0.88</v>
          </cell>
          <cell r="K54">
            <v>0.3</v>
          </cell>
        </row>
        <row r="55">
          <cell r="B55">
            <v>1.37</v>
          </cell>
          <cell r="C55">
            <v>0.4</v>
          </cell>
          <cell r="D55">
            <v>1.21</v>
          </cell>
          <cell r="E55">
            <v>0.4</v>
          </cell>
          <cell r="F55">
            <v>1.1299999999999999</v>
          </cell>
          <cell r="G55">
            <v>0.4</v>
          </cell>
          <cell r="H55">
            <v>0.99</v>
          </cell>
          <cell r="I55">
            <v>0.4</v>
          </cell>
          <cell r="J55">
            <v>0.93</v>
          </cell>
          <cell r="K55">
            <v>0.4</v>
          </cell>
        </row>
        <row r="56">
          <cell r="B56">
            <v>1.44</v>
          </cell>
          <cell r="C56">
            <v>0.5</v>
          </cell>
          <cell r="D56">
            <v>1.27</v>
          </cell>
          <cell r="E56">
            <v>0.5</v>
          </cell>
          <cell r="F56">
            <v>1.18</v>
          </cell>
          <cell r="G56">
            <v>0.5</v>
          </cell>
          <cell r="H56">
            <v>1.05</v>
          </cell>
          <cell r="I56">
            <v>0.5</v>
          </cell>
          <cell r="J56">
            <v>0.99</v>
          </cell>
          <cell r="K56">
            <v>0.5</v>
          </cell>
        </row>
        <row r="57">
          <cell r="B57">
            <v>1.5</v>
          </cell>
          <cell r="C57">
            <v>0.6</v>
          </cell>
          <cell r="D57">
            <v>1.33</v>
          </cell>
          <cell r="E57">
            <v>0.6</v>
          </cell>
          <cell r="F57">
            <v>1.23</v>
          </cell>
          <cell r="G57">
            <v>0.6</v>
          </cell>
          <cell r="H57">
            <v>1.1000000000000001</v>
          </cell>
          <cell r="I57">
            <v>0.6</v>
          </cell>
          <cell r="J57">
            <v>1.04</v>
          </cell>
          <cell r="K57">
            <v>0.6</v>
          </cell>
        </row>
        <row r="58">
          <cell r="B58">
            <v>1.58</v>
          </cell>
          <cell r="C58">
            <v>0.7</v>
          </cell>
          <cell r="D58">
            <v>1.39</v>
          </cell>
          <cell r="E58">
            <v>0.7</v>
          </cell>
          <cell r="F58">
            <v>1.29</v>
          </cell>
          <cell r="G58">
            <v>0.7</v>
          </cell>
          <cell r="H58">
            <v>1.17</v>
          </cell>
          <cell r="I58">
            <v>0.7</v>
          </cell>
          <cell r="J58">
            <v>1.1299999999999999</v>
          </cell>
          <cell r="K58">
            <v>0.7</v>
          </cell>
        </row>
        <row r="59">
          <cell r="B59">
            <v>1.68</v>
          </cell>
          <cell r="C59">
            <v>0.8</v>
          </cell>
          <cell r="D59">
            <v>1.47</v>
          </cell>
          <cell r="E59">
            <v>0.8</v>
          </cell>
          <cell r="F59">
            <v>1.37</v>
          </cell>
          <cell r="G59">
            <v>0.8</v>
          </cell>
          <cell r="H59">
            <v>1.25</v>
          </cell>
          <cell r="I59">
            <v>0.8</v>
          </cell>
          <cell r="J59">
            <v>1.18</v>
          </cell>
          <cell r="K59">
            <v>0.8</v>
          </cell>
        </row>
        <row r="60">
          <cell r="B60">
            <v>1.82</v>
          </cell>
          <cell r="C60">
            <v>0.9</v>
          </cell>
          <cell r="D60">
            <v>1.61</v>
          </cell>
          <cell r="E60">
            <v>0.9</v>
          </cell>
          <cell r="F60">
            <v>1.48</v>
          </cell>
          <cell r="G60">
            <v>0.9</v>
          </cell>
          <cell r="H60">
            <v>1.37</v>
          </cell>
          <cell r="I60">
            <v>0.9</v>
          </cell>
          <cell r="J60">
            <v>1.32</v>
          </cell>
          <cell r="K60">
            <v>0.9</v>
          </cell>
        </row>
        <row r="61">
          <cell r="B61">
            <v>4</v>
          </cell>
          <cell r="C61">
            <v>1</v>
          </cell>
          <cell r="D61">
            <v>4</v>
          </cell>
          <cell r="E61">
            <v>1</v>
          </cell>
          <cell r="F61">
            <v>3</v>
          </cell>
          <cell r="G61">
            <v>1</v>
          </cell>
          <cell r="H61">
            <v>3</v>
          </cell>
          <cell r="I61">
            <v>1</v>
          </cell>
          <cell r="J61">
            <v>3</v>
          </cell>
          <cell r="K61">
            <v>1</v>
          </cell>
        </row>
        <row r="65">
          <cell r="B65">
            <v>0</v>
          </cell>
          <cell r="C65" t="str">
            <v>Fraco</v>
          </cell>
          <cell r="D65">
            <v>0</v>
          </cell>
          <cell r="E65" t="str">
            <v>Fraco</v>
          </cell>
          <cell r="F65">
            <v>0</v>
          </cell>
          <cell r="G65" t="str">
            <v>Fraco</v>
          </cell>
          <cell r="H65">
            <v>0</v>
          </cell>
          <cell r="I65" t="str">
            <v>Fraco</v>
          </cell>
          <cell r="J65">
            <v>0</v>
          </cell>
          <cell r="K65" t="str">
            <v>Fraco</v>
          </cell>
          <cell r="O65">
            <v>0</v>
          </cell>
          <cell r="P65" t="str">
            <v>Fraco</v>
          </cell>
          <cell r="Q65">
            <v>0</v>
          </cell>
          <cell r="R65" t="str">
            <v>Fraco</v>
          </cell>
          <cell r="S65">
            <v>0</v>
          </cell>
          <cell r="T65" t="str">
            <v>Fraco</v>
          </cell>
          <cell r="U65">
            <v>0</v>
          </cell>
          <cell r="V65" t="str">
            <v>Fraco</v>
          </cell>
          <cell r="W65">
            <v>0</v>
          </cell>
          <cell r="X65" t="str">
            <v>Fraco</v>
          </cell>
        </row>
        <row r="66">
          <cell r="B66">
            <v>16</v>
          </cell>
          <cell r="C66" t="str">
            <v>Fraco</v>
          </cell>
          <cell r="D66">
            <v>11</v>
          </cell>
          <cell r="E66" t="str">
            <v>Fraco</v>
          </cell>
          <cell r="F66">
            <v>9</v>
          </cell>
          <cell r="G66" t="str">
            <v>Fraco</v>
          </cell>
          <cell r="H66">
            <v>6</v>
          </cell>
          <cell r="I66" t="str">
            <v>Fraco</v>
          </cell>
          <cell r="J66">
            <v>4</v>
          </cell>
          <cell r="K66" t="str">
            <v>Fraco</v>
          </cell>
          <cell r="O66">
            <v>9</v>
          </cell>
          <cell r="P66" t="str">
            <v>Fraco</v>
          </cell>
          <cell r="Q66">
            <v>7</v>
          </cell>
          <cell r="R66" t="str">
            <v>Fraco</v>
          </cell>
          <cell r="S66">
            <v>4</v>
          </cell>
          <cell r="T66" t="str">
            <v>Fraco</v>
          </cell>
          <cell r="U66">
            <v>1</v>
          </cell>
          <cell r="V66" t="str">
            <v>Fraco</v>
          </cell>
          <cell r="W66">
            <v>1</v>
          </cell>
          <cell r="X66" t="str">
            <v>Fraco</v>
          </cell>
        </row>
        <row r="67">
          <cell r="B67">
            <v>21</v>
          </cell>
          <cell r="C67" t="str">
            <v>Suficiente</v>
          </cell>
          <cell r="D67">
            <v>16</v>
          </cell>
          <cell r="E67" t="str">
            <v>Suficiente</v>
          </cell>
          <cell r="F67">
            <v>12</v>
          </cell>
          <cell r="G67" t="str">
            <v>Suficiente</v>
          </cell>
          <cell r="H67">
            <v>9</v>
          </cell>
          <cell r="I67" t="str">
            <v>Suficiente</v>
          </cell>
          <cell r="J67">
            <v>7</v>
          </cell>
          <cell r="K67" t="str">
            <v>Suficiente</v>
          </cell>
          <cell r="O67">
            <v>14</v>
          </cell>
          <cell r="P67" t="str">
            <v>Suficiente</v>
          </cell>
          <cell r="Q67">
            <v>12</v>
          </cell>
          <cell r="R67" t="str">
            <v>Suficiente</v>
          </cell>
          <cell r="S67">
            <v>10</v>
          </cell>
          <cell r="T67" t="str">
            <v>Suficiente</v>
          </cell>
          <cell r="U67">
            <v>6</v>
          </cell>
          <cell r="V67" t="str">
            <v>Suficiente</v>
          </cell>
          <cell r="W67">
            <v>4</v>
          </cell>
          <cell r="X67" t="str">
            <v>Suficiente</v>
          </cell>
        </row>
        <row r="68">
          <cell r="B68">
            <v>28</v>
          </cell>
          <cell r="C68" t="str">
            <v>Bom</v>
          </cell>
          <cell r="D68">
            <v>21</v>
          </cell>
          <cell r="E68" t="str">
            <v>Bom</v>
          </cell>
          <cell r="F68">
            <v>16</v>
          </cell>
          <cell r="G68" t="str">
            <v>Bom</v>
          </cell>
          <cell r="H68">
            <v>12</v>
          </cell>
          <cell r="I68" t="str">
            <v>Bom</v>
          </cell>
          <cell r="J68">
            <v>10</v>
          </cell>
          <cell r="K68" t="str">
            <v>Bom</v>
          </cell>
          <cell r="O68">
            <v>20</v>
          </cell>
          <cell r="P68" t="str">
            <v>Bom</v>
          </cell>
          <cell r="Q68">
            <v>19</v>
          </cell>
          <cell r="R68" t="str">
            <v>Bom</v>
          </cell>
          <cell r="S68">
            <v>14</v>
          </cell>
          <cell r="T68" t="str">
            <v>Bom</v>
          </cell>
          <cell r="U68">
            <v>10</v>
          </cell>
          <cell r="V68" t="str">
            <v>Bom</v>
          </cell>
          <cell r="W68">
            <v>11</v>
          </cell>
          <cell r="X68" t="str">
            <v>Bom</v>
          </cell>
        </row>
        <row r="69">
          <cell r="B69">
            <v>35</v>
          </cell>
          <cell r="C69" t="str">
            <v>Muito Bom</v>
          </cell>
          <cell r="D69">
            <v>29</v>
          </cell>
          <cell r="E69" t="str">
            <v>Muito Bom</v>
          </cell>
          <cell r="F69">
            <v>24</v>
          </cell>
          <cell r="G69" t="str">
            <v>Muito Bom</v>
          </cell>
          <cell r="H69">
            <v>20</v>
          </cell>
          <cell r="I69" t="str">
            <v>Muito Bom</v>
          </cell>
          <cell r="J69">
            <v>17</v>
          </cell>
          <cell r="K69" t="str">
            <v>Muito Bom</v>
          </cell>
          <cell r="O69">
            <v>29</v>
          </cell>
          <cell r="P69" t="str">
            <v>Muito Bom</v>
          </cell>
          <cell r="Q69">
            <v>26</v>
          </cell>
          <cell r="R69" t="str">
            <v>Muito Bom</v>
          </cell>
          <cell r="S69">
            <v>23</v>
          </cell>
          <cell r="T69" t="str">
            <v>Muito Bom</v>
          </cell>
          <cell r="U69">
            <v>20</v>
          </cell>
          <cell r="V69" t="str">
            <v>Muito Bom</v>
          </cell>
          <cell r="W69">
            <v>16</v>
          </cell>
          <cell r="X69" t="str">
            <v>Muito Bom</v>
          </cell>
        </row>
        <row r="70">
          <cell r="B70">
            <v>36</v>
          </cell>
          <cell r="C70" t="str">
            <v>Excelente</v>
          </cell>
          <cell r="D70">
            <v>30</v>
          </cell>
          <cell r="E70" t="str">
            <v>Excelente</v>
          </cell>
          <cell r="F70">
            <v>25</v>
          </cell>
          <cell r="G70" t="str">
            <v>Excelente</v>
          </cell>
          <cell r="H70">
            <v>21</v>
          </cell>
          <cell r="I70" t="str">
            <v>Excelente</v>
          </cell>
          <cell r="J70">
            <v>18</v>
          </cell>
          <cell r="K70" t="str">
            <v>Excelente</v>
          </cell>
          <cell r="O70">
            <v>30</v>
          </cell>
          <cell r="P70" t="str">
            <v>Excelente</v>
          </cell>
          <cell r="Q70">
            <v>27</v>
          </cell>
          <cell r="R70" t="str">
            <v>Excelente</v>
          </cell>
          <cell r="S70">
            <v>24</v>
          </cell>
          <cell r="T70" t="str">
            <v>Excelente</v>
          </cell>
          <cell r="U70">
            <v>21</v>
          </cell>
          <cell r="V70" t="str">
            <v>Excelente</v>
          </cell>
          <cell r="W70">
            <v>17</v>
          </cell>
          <cell r="X70" t="str">
            <v>Excelente</v>
          </cell>
        </row>
        <row r="71">
          <cell r="B71">
            <v>100</v>
          </cell>
          <cell r="C71" t="str">
            <v>Excelente</v>
          </cell>
          <cell r="D71">
            <v>100</v>
          </cell>
          <cell r="E71" t="str">
            <v>Excelente</v>
          </cell>
          <cell r="F71">
            <v>100</v>
          </cell>
          <cell r="G71" t="str">
            <v>Excelente</v>
          </cell>
          <cell r="H71">
            <v>100</v>
          </cell>
          <cell r="I71" t="str">
            <v>Excelente</v>
          </cell>
          <cell r="J71">
            <v>100</v>
          </cell>
          <cell r="K71" t="str">
            <v>Excelente</v>
          </cell>
          <cell r="O71">
            <v>100</v>
          </cell>
          <cell r="P71" t="str">
            <v>Excelente</v>
          </cell>
          <cell r="Q71">
            <v>100</v>
          </cell>
          <cell r="R71" t="str">
            <v>Excelente</v>
          </cell>
          <cell r="S71">
            <v>100</v>
          </cell>
          <cell r="T71" t="str">
            <v>Excelente</v>
          </cell>
          <cell r="U71">
            <v>100</v>
          </cell>
          <cell r="V71" t="str">
            <v>Excelente</v>
          </cell>
          <cell r="W71">
            <v>100</v>
          </cell>
          <cell r="X71" t="str">
            <v>Excelente</v>
          </cell>
        </row>
        <row r="75">
          <cell r="B75">
            <v>0</v>
          </cell>
          <cell r="C75" t="str">
            <v>Fraco</v>
          </cell>
          <cell r="D75">
            <v>0</v>
          </cell>
          <cell r="E75" t="str">
            <v>Fraco</v>
          </cell>
          <cell r="F75">
            <v>0</v>
          </cell>
          <cell r="G75" t="str">
            <v>Fraco</v>
          </cell>
          <cell r="J75">
            <v>0</v>
          </cell>
          <cell r="K75" t="str">
            <v>Fraco</v>
          </cell>
          <cell r="O75">
            <v>0</v>
          </cell>
          <cell r="P75" t="str">
            <v>Fraco</v>
          </cell>
          <cell r="Q75">
            <v>0</v>
          </cell>
          <cell r="R75" t="str">
            <v>Fraco</v>
          </cell>
          <cell r="S75">
            <v>0</v>
          </cell>
          <cell r="T75" t="str">
            <v>Fraco</v>
          </cell>
          <cell r="U75">
            <v>0</v>
          </cell>
          <cell r="V75" t="str">
            <v>Fraco</v>
          </cell>
          <cell r="W75">
            <v>0</v>
          </cell>
          <cell r="X75" t="str">
            <v>Fraco</v>
          </cell>
        </row>
        <row r="76">
          <cell r="B76">
            <v>10</v>
          </cell>
          <cell r="C76" t="str">
            <v>Fraco</v>
          </cell>
          <cell r="D76">
            <v>10</v>
          </cell>
          <cell r="E76" t="str">
            <v>Fraco</v>
          </cell>
          <cell r="F76">
            <v>5</v>
          </cell>
          <cell r="G76" t="str">
            <v>Fraco</v>
          </cell>
          <cell r="J76">
            <v>5</v>
          </cell>
          <cell r="K76" t="str">
            <v>Fraco</v>
          </cell>
          <cell r="O76">
            <v>4</v>
          </cell>
          <cell r="P76" t="str">
            <v>Fraco</v>
          </cell>
          <cell r="Q76">
            <v>5</v>
          </cell>
          <cell r="R76" t="str">
            <v>Fraco</v>
          </cell>
          <cell r="S76">
            <v>3</v>
          </cell>
          <cell r="T76" t="str">
            <v>Fraco</v>
          </cell>
          <cell r="U76">
            <v>5</v>
          </cell>
          <cell r="V76" t="str">
            <v>Fraco</v>
          </cell>
          <cell r="W76">
            <v>2</v>
          </cell>
          <cell r="X76" t="str">
            <v>Fraco</v>
          </cell>
        </row>
        <row r="77">
          <cell r="B77">
            <v>15</v>
          </cell>
          <cell r="C77" t="str">
            <v>Suficiente</v>
          </cell>
          <cell r="D77">
            <v>14</v>
          </cell>
          <cell r="E77" t="str">
            <v>Suficiente</v>
          </cell>
          <cell r="F77">
            <v>12</v>
          </cell>
          <cell r="G77" t="str">
            <v>Suficiente</v>
          </cell>
          <cell r="J77">
            <v>10</v>
          </cell>
          <cell r="K77" t="str">
            <v>Suficiente</v>
          </cell>
          <cell r="O77">
            <v>13</v>
          </cell>
          <cell r="P77" t="str">
            <v>Suficiente</v>
          </cell>
          <cell r="Q77">
            <v>9</v>
          </cell>
          <cell r="R77" t="str">
            <v>Suficiente</v>
          </cell>
          <cell r="S77">
            <v>10</v>
          </cell>
          <cell r="T77" t="str">
            <v>Suficiente</v>
          </cell>
          <cell r="U77">
            <v>9</v>
          </cell>
          <cell r="V77" t="str">
            <v>Suficiente</v>
          </cell>
          <cell r="W77">
            <v>7</v>
          </cell>
          <cell r="X77" t="str">
            <v>Suficiente</v>
          </cell>
        </row>
        <row r="78">
          <cell r="B78">
            <v>20</v>
          </cell>
          <cell r="C78" t="str">
            <v>Bom</v>
          </cell>
          <cell r="D78">
            <v>17</v>
          </cell>
          <cell r="E78" t="str">
            <v>Bom</v>
          </cell>
          <cell r="F78">
            <v>17</v>
          </cell>
          <cell r="G78" t="str">
            <v>Bom</v>
          </cell>
          <cell r="J78">
            <v>15</v>
          </cell>
          <cell r="K78" t="str">
            <v>Bom</v>
          </cell>
          <cell r="O78">
            <v>17</v>
          </cell>
          <cell r="P78" t="str">
            <v>Bom</v>
          </cell>
          <cell r="Q78">
            <v>18</v>
          </cell>
          <cell r="R78" t="str">
            <v>Bom</v>
          </cell>
          <cell r="S78">
            <v>18</v>
          </cell>
          <cell r="T78" t="str">
            <v>Bom</v>
          </cell>
          <cell r="U78">
            <v>18</v>
          </cell>
          <cell r="V78" t="str">
            <v>Bom</v>
          </cell>
          <cell r="W78">
            <v>16</v>
          </cell>
          <cell r="X78" t="str">
            <v>Bom</v>
          </cell>
        </row>
        <row r="79">
          <cell r="B79">
            <v>24</v>
          </cell>
          <cell r="C79" t="str">
            <v>Muito Bom</v>
          </cell>
          <cell r="D79">
            <v>24</v>
          </cell>
          <cell r="E79" t="str">
            <v>Muito Bom</v>
          </cell>
          <cell r="F79">
            <v>24</v>
          </cell>
          <cell r="G79" t="str">
            <v>Muito Bom</v>
          </cell>
          <cell r="J79">
            <v>24</v>
          </cell>
          <cell r="K79" t="str">
            <v>Muito Bom</v>
          </cell>
          <cell r="O79">
            <v>24</v>
          </cell>
          <cell r="P79" t="str">
            <v>Muito Bom</v>
          </cell>
          <cell r="Q79">
            <v>24</v>
          </cell>
          <cell r="R79" t="str">
            <v>Muito Bom</v>
          </cell>
          <cell r="S79">
            <v>24</v>
          </cell>
          <cell r="T79" t="str">
            <v>Muito Bom</v>
          </cell>
          <cell r="U79">
            <v>24</v>
          </cell>
          <cell r="V79" t="str">
            <v>Muito Bom</v>
          </cell>
          <cell r="W79">
            <v>24</v>
          </cell>
          <cell r="X79" t="str">
            <v>Muito Bom</v>
          </cell>
        </row>
        <row r="80">
          <cell r="B80">
            <v>25</v>
          </cell>
          <cell r="C80" t="str">
            <v>Excelente</v>
          </cell>
          <cell r="D80">
            <v>25</v>
          </cell>
          <cell r="E80" t="str">
            <v>Excelente</v>
          </cell>
          <cell r="F80">
            <v>25</v>
          </cell>
          <cell r="G80" t="str">
            <v>Excelente</v>
          </cell>
          <cell r="J80">
            <v>25</v>
          </cell>
          <cell r="K80" t="str">
            <v>Excelente</v>
          </cell>
          <cell r="O80">
            <v>25</v>
          </cell>
          <cell r="P80" t="str">
            <v>Excelente</v>
          </cell>
          <cell r="Q80">
            <v>25</v>
          </cell>
          <cell r="R80" t="str">
            <v>Excelente</v>
          </cell>
          <cell r="S80">
            <v>25</v>
          </cell>
          <cell r="T80" t="str">
            <v>Excelente</v>
          </cell>
          <cell r="U80">
            <v>25</v>
          </cell>
          <cell r="V80" t="str">
            <v>Excelente</v>
          </cell>
          <cell r="W80">
            <v>25</v>
          </cell>
          <cell r="X80" t="str">
            <v>Excelente</v>
          </cell>
        </row>
        <row r="81">
          <cell r="B81">
            <v>100</v>
          </cell>
          <cell r="C81" t="str">
            <v>Excelente</v>
          </cell>
          <cell r="D81">
            <v>100</v>
          </cell>
          <cell r="E81" t="str">
            <v>Excelente</v>
          </cell>
          <cell r="F81">
            <v>100</v>
          </cell>
          <cell r="G81" t="str">
            <v>Excelente</v>
          </cell>
          <cell r="J81">
            <v>100</v>
          </cell>
          <cell r="K81" t="str">
            <v>Excelente</v>
          </cell>
          <cell r="O81">
            <v>100</v>
          </cell>
          <cell r="P81" t="str">
            <v>Excelente</v>
          </cell>
          <cell r="Q81">
            <v>100</v>
          </cell>
          <cell r="R81" t="str">
            <v>Excelente</v>
          </cell>
          <cell r="S81">
            <v>100</v>
          </cell>
          <cell r="T81" t="str">
            <v>Excelente</v>
          </cell>
          <cell r="U81">
            <v>100</v>
          </cell>
          <cell r="V81" t="str">
            <v>Excelente</v>
          </cell>
          <cell r="W81">
            <v>100</v>
          </cell>
          <cell r="X81" t="str">
            <v>Excelente</v>
          </cell>
        </row>
        <row r="85">
          <cell r="B85">
            <v>0</v>
          </cell>
          <cell r="C85" t="str">
            <v>Muito Fraco</v>
          </cell>
          <cell r="D85">
            <v>0</v>
          </cell>
          <cell r="E85" t="str">
            <v>Muito Fraco</v>
          </cell>
          <cell r="F85">
            <v>0</v>
          </cell>
          <cell r="G85" t="str">
            <v>Muito Fraco</v>
          </cell>
          <cell r="H85">
            <v>0</v>
          </cell>
          <cell r="I85" t="str">
            <v>Muito Fraco</v>
          </cell>
          <cell r="J85">
            <v>0</v>
          </cell>
          <cell r="K85" t="str">
            <v>Muito Fraco</v>
          </cell>
          <cell r="L85">
            <v>0</v>
          </cell>
          <cell r="M85" t="str">
            <v>Muito Fraco</v>
          </cell>
          <cell r="Q85">
            <v>0</v>
          </cell>
          <cell r="R85" t="str">
            <v>Muito Fraco</v>
          </cell>
          <cell r="S85">
            <v>0</v>
          </cell>
          <cell r="T85" t="str">
            <v>Muito Fraco</v>
          </cell>
          <cell r="V85" t="str">
            <v>Muito Fraco</v>
          </cell>
          <cell r="W85">
            <v>0</v>
          </cell>
          <cell r="Y85">
            <v>0</v>
          </cell>
          <cell r="Z85" t="str">
            <v>Muito Fraco</v>
          </cell>
          <cell r="AA85">
            <v>0</v>
          </cell>
          <cell r="AB85" t="str">
            <v>Muito Fraco</v>
          </cell>
        </row>
        <row r="86">
          <cell r="B86">
            <v>10</v>
          </cell>
          <cell r="C86" t="str">
            <v>Muito Fraco</v>
          </cell>
          <cell r="D86">
            <v>9</v>
          </cell>
          <cell r="E86" t="str">
            <v>Muito Fraco</v>
          </cell>
          <cell r="F86">
            <v>6</v>
          </cell>
          <cell r="G86" t="str">
            <v>Muito Fraco</v>
          </cell>
          <cell r="H86">
            <v>2</v>
          </cell>
          <cell r="I86" t="str">
            <v>Muito Fraco</v>
          </cell>
          <cell r="J86">
            <v>1</v>
          </cell>
          <cell r="K86" t="str">
            <v>Muito Fraco</v>
          </cell>
          <cell r="L86">
            <v>1</v>
          </cell>
          <cell r="M86" t="str">
            <v>Muito Fraco</v>
          </cell>
          <cell r="Q86">
            <v>6</v>
          </cell>
          <cell r="R86" t="str">
            <v>Muito Fraco</v>
          </cell>
          <cell r="S86">
            <v>6</v>
          </cell>
          <cell r="T86" t="str">
            <v>Muito Fraco</v>
          </cell>
          <cell r="V86" t="str">
            <v>Muito Fraco</v>
          </cell>
          <cell r="W86">
            <v>1</v>
          </cell>
          <cell r="Y86">
            <v>1</v>
          </cell>
          <cell r="Z86" t="str">
            <v>Muito Fraco</v>
          </cell>
          <cell r="AA86">
            <v>0</v>
          </cell>
          <cell r="AB86" t="str">
            <v>Muito Fraco</v>
          </cell>
        </row>
        <row r="87">
          <cell r="B87">
            <v>17</v>
          </cell>
          <cell r="C87" t="str">
            <v>Fraco</v>
          </cell>
          <cell r="D87">
            <v>16</v>
          </cell>
          <cell r="E87" t="str">
            <v>Fraco</v>
          </cell>
          <cell r="F87">
            <v>12</v>
          </cell>
          <cell r="G87" t="str">
            <v>Fraco</v>
          </cell>
          <cell r="H87">
            <v>8</v>
          </cell>
          <cell r="I87" t="str">
            <v>Fraco</v>
          </cell>
          <cell r="J87">
            <v>4</v>
          </cell>
          <cell r="K87" t="str">
            <v>Fraco</v>
          </cell>
          <cell r="L87">
            <v>3</v>
          </cell>
          <cell r="M87" t="str">
            <v>Fraco</v>
          </cell>
          <cell r="Q87">
            <v>13</v>
          </cell>
          <cell r="R87" t="str">
            <v>Fraco</v>
          </cell>
          <cell r="S87">
            <v>13</v>
          </cell>
          <cell r="T87" t="str">
            <v>Fraco</v>
          </cell>
          <cell r="V87" t="str">
            <v>Fraco</v>
          </cell>
          <cell r="W87">
            <v>6</v>
          </cell>
          <cell r="Y87">
            <v>4</v>
          </cell>
          <cell r="Z87" t="str">
            <v>Fraco</v>
          </cell>
          <cell r="AA87">
            <v>2</v>
          </cell>
          <cell r="AB87" t="str">
            <v>Fraco</v>
          </cell>
        </row>
        <row r="88">
          <cell r="B88">
            <v>22</v>
          </cell>
          <cell r="C88" t="str">
            <v>Abaixo da Média</v>
          </cell>
          <cell r="D88">
            <v>20</v>
          </cell>
          <cell r="E88" t="str">
            <v>Abaixo da Média</v>
          </cell>
          <cell r="F88">
            <v>17</v>
          </cell>
          <cell r="G88" t="str">
            <v>Abaixo da Média</v>
          </cell>
          <cell r="H88">
            <v>11</v>
          </cell>
          <cell r="I88" t="str">
            <v>Abaixo da Média</v>
          </cell>
          <cell r="J88">
            <v>8</v>
          </cell>
          <cell r="K88" t="str">
            <v>Abaixo da Média</v>
          </cell>
          <cell r="L88">
            <v>6</v>
          </cell>
          <cell r="M88" t="str">
            <v>Abaixo da Média</v>
          </cell>
          <cell r="Q88">
            <v>18</v>
          </cell>
          <cell r="R88" t="str">
            <v>Abaixo da Média</v>
          </cell>
          <cell r="S88">
            <v>17</v>
          </cell>
          <cell r="T88" t="str">
            <v>Abaixo da Média</v>
          </cell>
          <cell r="V88" t="str">
            <v>Abaixo da Média</v>
          </cell>
          <cell r="W88">
            <v>9</v>
          </cell>
          <cell r="Y88">
            <v>6</v>
          </cell>
          <cell r="Z88" t="str">
            <v>Abaixo da Média</v>
          </cell>
          <cell r="AA88">
            <v>4</v>
          </cell>
          <cell r="AB88" t="str">
            <v>Abaixo da Média</v>
          </cell>
        </row>
        <row r="89">
          <cell r="B89">
            <v>28</v>
          </cell>
          <cell r="C89" t="str">
            <v>Média</v>
          </cell>
          <cell r="D89">
            <v>24</v>
          </cell>
          <cell r="E89" t="str">
            <v>Média</v>
          </cell>
          <cell r="F89">
            <v>21</v>
          </cell>
          <cell r="G89" t="str">
            <v>Média</v>
          </cell>
          <cell r="H89">
            <v>14</v>
          </cell>
          <cell r="I89" t="str">
            <v>Média</v>
          </cell>
          <cell r="J89">
            <v>11</v>
          </cell>
          <cell r="K89" t="str">
            <v>Média</v>
          </cell>
          <cell r="L89">
            <v>8</v>
          </cell>
          <cell r="M89" t="str">
            <v>Média</v>
          </cell>
          <cell r="Q89">
            <v>22</v>
          </cell>
          <cell r="R89" t="str">
            <v>Média</v>
          </cell>
          <cell r="S89">
            <v>22</v>
          </cell>
          <cell r="T89" t="str">
            <v>Média</v>
          </cell>
          <cell r="V89" t="str">
            <v>Média</v>
          </cell>
          <cell r="W89">
            <v>13</v>
          </cell>
          <cell r="Y89">
            <v>10</v>
          </cell>
          <cell r="Z89" t="str">
            <v>Média</v>
          </cell>
          <cell r="AA89">
            <v>7</v>
          </cell>
          <cell r="AB89" t="str">
            <v>Média</v>
          </cell>
        </row>
        <row r="90">
          <cell r="B90">
            <v>33</v>
          </cell>
          <cell r="C90" t="str">
            <v>Acima da Média</v>
          </cell>
          <cell r="D90">
            <v>29</v>
          </cell>
          <cell r="E90" t="str">
            <v>Acima da Média</v>
          </cell>
          <cell r="F90">
            <v>25</v>
          </cell>
          <cell r="G90" t="str">
            <v>Acima da Média</v>
          </cell>
          <cell r="H90">
            <v>20</v>
          </cell>
          <cell r="I90" t="str">
            <v>Acima da Média</v>
          </cell>
          <cell r="J90">
            <v>14</v>
          </cell>
          <cell r="K90" t="str">
            <v>Acima da Média</v>
          </cell>
          <cell r="L90">
            <v>10</v>
          </cell>
          <cell r="M90" t="str">
            <v>Acima da Média</v>
          </cell>
          <cell r="Q90">
            <v>28</v>
          </cell>
          <cell r="R90" t="str">
            <v>Acima da Média</v>
          </cell>
          <cell r="S90">
            <v>28</v>
          </cell>
          <cell r="T90" t="str">
            <v>Acima da Média</v>
          </cell>
          <cell r="V90" t="str">
            <v>Acima da Média</v>
          </cell>
          <cell r="W90">
            <v>18</v>
          </cell>
          <cell r="Y90">
            <v>14</v>
          </cell>
          <cell r="Z90" t="str">
            <v>Acima da Média</v>
          </cell>
          <cell r="AA90">
            <v>10</v>
          </cell>
          <cell r="AB90" t="str">
            <v>Acima da Média</v>
          </cell>
        </row>
        <row r="91">
          <cell r="B91">
            <v>41</v>
          </cell>
          <cell r="C91" t="str">
            <v>Bom</v>
          </cell>
          <cell r="D91">
            <v>37</v>
          </cell>
          <cell r="E91" t="str">
            <v>Bom</v>
          </cell>
          <cell r="F91">
            <v>32</v>
          </cell>
          <cell r="G91" t="str">
            <v>Bom</v>
          </cell>
          <cell r="H91">
            <v>25</v>
          </cell>
          <cell r="I91" t="str">
            <v>Bom</v>
          </cell>
          <cell r="J91">
            <v>21</v>
          </cell>
          <cell r="K91" t="str">
            <v>Bom</v>
          </cell>
          <cell r="L91">
            <v>16</v>
          </cell>
          <cell r="M91" t="str">
            <v>Bom</v>
          </cell>
          <cell r="Q91">
            <v>38</v>
          </cell>
          <cell r="R91" t="str">
            <v>Bom</v>
          </cell>
          <cell r="S91">
            <v>34</v>
          </cell>
          <cell r="T91" t="str">
            <v>Bom</v>
          </cell>
          <cell r="V91" t="str">
            <v>Bom</v>
          </cell>
          <cell r="W91">
            <v>24</v>
          </cell>
          <cell r="Y91">
            <v>21</v>
          </cell>
          <cell r="Z91" t="str">
            <v>Bom</v>
          </cell>
          <cell r="AA91">
            <v>16</v>
          </cell>
          <cell r="AB91" t="str">
            <v>Bom</v>
          </cell>
        </row>
        <row r="92">
          <cell r="B92">
            <v>64</v>
          </cell>
          <cell r="C92" t="str">
            <v>Excelente</v>
          </cell>
          <cell r="D92">
            <v>61</v>
          </cell>
          <cell r="E92" t="str">
            <v>Excelente</v>
          </cell>
          <cell r="F92">
            <v>55</v>
          </cell>
          <cell r="G92" t="str">
            <v>Excelente</v>
          </cell>
          <cell r="H92">
            <v>47</v>
          </cell>
          <cell r="I92" t="str">
            <v>Excelente</v>
          </cell>
          <cell r="J92">
            <v>41</v>
          </cell>
          <cell r="K92" t="str">
            <v>Excelente</v>
          </cell>
          <cell r="L92">
            <v>36</v>
          </cell>
          <cell r="M92" t="str">
            <v>Excelente</v>
          </cell>
          <cell r="Q92">
            <v>66</v>
          </cell>
          <cell r="R92" t="str">
            <v>Excelente</v>
          </cell>
          <cell r="S92">
            <v>62</v>
          </cell>
          <cell r="T92" t="str">
            <v>Excelente</v>
          </cell>
          <cell r="V92" t="str">
            <v>Excelente</v>
          </cell>
          <cell r="W92">
            <v>50</v>
          </cell>
          <cell r="Y92">
            <v>42</v>
          </cell>
          <cell r="Z92" t="str">
            <v>Excelente</v>
          </cell>
          <cell r="AA92">
            <v>30</v>
          </cell>
          <cell r="AB92" t="str">
            <v>Excelente</v>
          </cell>
        </row>
        <row r="93">
          <cell r="B93">
            <v>100</v>
          </cell>
          <cell r="C93" t="str">
            <v>Excelente</v>
          </cell>
          <cell r="D93">
            <v>100</v>
          </cell>
          <cell r="E93" t="str">
            <v>Excelente</v>
          </cell>
          <cell r="F93">
            <v>100</v>
          </cell>
          <cell r="G93" t="str">
            <v>Excelente</v>
          </cell>
          <cell r="H93">
            <v>100</v>
          </cell>
          <cell r="I93" t="str">
            <v>Excelente</v>
          </cell>
          <cell r="J93">
            <v>100</v>
          </cell>
          <cell r="K93" t="str">
            <v>Excelente</v>
          </cell>
          <cell r="L93">
            <v>100</v>
          </cell>
          <cell r="M93" t="str">
            <v>Excelente</v>
          </cell>
          <cell r="Q93">
            <v>100</v>
          </cell>
          <cell r="R93" t="str">
            <v>Excelente</v>
          </cell>
          <cell r="S93">
            <v>100</v>
          </cell>
          <cell r="T93" t="str">
            <v>Excelente</v>
          </cell>
          <cell r="V93" t="str">
            <v>Excelente</v>
          </cell>
          <cell r="W93">
            <v>100</v>
          </cell>
          <cell r="Y93">
            <v>100</v>
          </cell>
          <cell r="Z93" t="str">
            <v>Excelente</v>
          </cell>
          <cell r="AA93">
            <v>100</v>
          </cell>
          <cell r="AB93" t="str">
            <v>Excelente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 FIREFIGHTERS"/>
      <sheetName val="STRENGTH"/>
      <sheetName val="BF"/>
      <sheetName val="%FAT vs AGE_ADULTS"/>
      <sheetName val="FM to HEIGHT vs AGE_ADULTS"/>
      <sheetName val="20-m MSRT"/>
      <sheetName val="CRF"/>
      <sheetName val="FLEXIB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_OBERISK"/>
      <sheetName val="REPORTS"/>
      <sheetName val="Hidden data"/>
      <sheetName val="CV_QIMT"/>
      <sheetName val="CV_DIAM"/>
      <sheetName val="CV_PWV"/>
      <sheetName val="%FAT vs AGE_CHILDREN"/>
      <sheetName val="LM to HEIGHT vs AGE_CHILDREN"/>
      <sheetName val="TB BMC vs AGE_CHILDREN"/>
      <sheetName val="TB BMD vs HEIGHT_CHILDREN"/>
      <sheetName val="TB BMD vs AGE_CHILDREN"/>
      <sheetName val="TB BMC vs HEIGHT_CHILDREN"/>
      <sheetName val="TLM vs HEIGHT_CHILDREN"/>
      <sheetName val="SKELETON MUSCLE MASS_CHILDREN"/>
      <sheetName val="Z STATISTICS"/>
    </sheetNames>
    <sheetDataSet>
      <sheetData sheetId="0"/>
      <sheetData sheetId="1">
        <row r="27">
          <cell r="G27">
            <v>120</v>
          </cell>
        </row>
      </sheetData>
      <sheetData sheetId="2">
        <row r="11">
          <cell r="C11">
            <v>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_OBERISK_ADULTS"/>
      <sheetName val="REPORTS"/>
      <sheetName val="%FAT vs AGE_ADULTS"/>
      <sheetName val="FM to HEIGHT vs AGE_ADULTS"/>
      <sheetName val="%TFM to %LFM vs AGE_ADULTS"/>
      <sheetName val="TRUNK to LFM vs AGE_ADULTS"/>
      <sheetName val="LM to HEIGHT vs AGE_ADULTS"/>
      <sheetName val="AP LM to HEIGHT vs AGE_ADULTS"/>
      <sheetName val="TB BMC vs AGE_ADULTS"/>
      <sheetName val="TB BMD vs AGE_ADULTS"/>
      <sheetName val="SKELETON MUSCLE MASS_ADULTS"/>
      <sheetName val="Z STATISTICS"/>
      <sheetName val="IMT_SCORES"/>
      <sheetName val="HEMODYNAMICS"/>
      <sheetName val="PWV"/>
      <sheetName val="BMI"/>
      <sheetName val="STEPS"/>
      <sheetName val="Prog. CR"/>
      <sheetName val="CV_QIMT_CAROT"/>
      <sheetName val="CV_DIAM_CAROT"/>
      <sheetName val="CV_DIST_CAROT "/>
      <sheetName val="CV_PWV_CAROT"/>
      <sheetName val="CV_QIMT_FEM"/>
      <sheetName val="CV_DIAM_FEM"/>
      <sheetName val="CV_DIST_FEM"/>
      <sheetName val="CV_PWV_FEM"/>
      <sheetName val="CV_PWV_CF_COMPLIOR "/>
      <sheetName val="CV_PWV_CR_COMPLIOR  "/>
      <sheetName val="CV_PWV_CD_COMPLIOR"/>
      <sheetName val="Folha3"/>
      <sheetName val="REPORTS ONLY_RAW DATA_OBERISK_A"/>
    </sheetNames>
    <sheetDataSet>
      <sheetData sheetId="0">
        <row r="2">
          <cell r="F2">
            <v>58</v>
          </cell>
        </row>
      </sheetData>
      <sheetData sheetId="1"/>
      <sheetData sheetId="2">
        <row r="5">
          <cell r="C5" t="str">
            <v>Age</v>
          </cell>
        </row>
        <row r="23">
          <cell r="C23" t="str">
            <v>Age</v>
          </cell>
          <cell r="D23" t="str">
            <v>M</v>
          </cell>
          <cell r="E23" t="str">
            <v>σ</v>
          </cell>
          <cell r="F23" t="str">
            <v>L</v>
          </cell>
          <cell r="H23" t="str">
            <v>M</v>
          </cell>
          <cell r="I23" t="str">
            <v>σ</v>
          </cell>
          <cell r="J23" t="str">
            <v>L</v>
          </cell>
          <cell r="L23" t="str">
            <v>M</v>
          </cell>
          <cell r="M23" t="str">
            <v>σ</v>
          </cell>
          <cell r="N23" t="str">
            <v>L</v>
          </cell>
        </row>
        <row r="24">
          <cell r="C24">
            <v>18</v>
          </cell>
          <cell r="D24">
            <v>34.299999999999997</v>
          </cell>
          <cell r="E24">
            <v>7.1</v>
          </cell>
          <cell r="F24">
            <v>0.11799999999999999</v>
          </cell>
          <cell r="H24">
            <v>34.5</v>
          </cell>
          <cell r="I24">
            <v>7.95</v>
          </cell>
          <cell r="J24">
            <v>0.56100000000000005</v>
          </cell>
          <cell r="L24">
            <v>36.799999999999997</v>
          </cell>
          <cell r="M24">
            <v>6.6</v>
          </cell>
          <cell r="N24">
            <v>0.61899999999999999</v>
          </cell>
        </row>
        <row r="25">
          <cell r="C25">
            <v>20</v>
          </cell>
          <cell r="D25">
            <v>35.1</v>
          </cell>
          <cell r="E25">
            <v>7.22</v>
          </cell>
          <cell r="F25">
            <v>0.36099999999999999</v>
          </cell>
          <cell r="H25">
            <v>36</v>
          </cell>
          <cell r="I25">
            <v>7.78</v>
          </cell>
          <cell r="J25">
            <v>0.95499999999999996</v>
          </cell>
          <cell r="L25">
            <v>38</v>
          </cell>
          <cell r="M25">
            <v>6.3</v>
          </cell>
          <cell r="N25">
            <v>1.1259999999999999</v>
          </cell>
        </row>
        <row r="26">
          <cell r="C26">
            <v>25</v>
          </cell>
          <cell r="D26">
            <v>36</v>
          </cell>
          <cell r="E26">
            <v>7.23</v>
          </cell>
          <cell r="F26">
            <v>0.57299999999999995</v>
          </cell>
          <cell r="H26">
            <v>37.799999999999997</v>
          </cell>
          <cell r="I26">
            <v>7.59</v>
          </cell>
          <cell r="J26">
            <v>1.127</v>
          </cell>
          <cell r="L26">
            <v>39.200000000000003</v>
          </cell>
          <cell r="M26">
            <v>6.11</v>
          </cell>
          <cell r="N26">
            <v>1.2370000000000001</v>
          </cell>
        </row>
        <row r="27">
          <cell r="C27">
            <v>30</v>
          </cell>
          <cell r="D27">
            <v>37</v>
          </cell>
          <cell r="E27">
            <v>7.21</v>
          </cell>
          <cell r="F27">
            <v>0.78500000000000003</v>
          </cell>
          <cell r="H27">
            <v>39.200000000000003</v>
          </cell>
          <cell r="I27">
            <v>7.31</v>
          </cell>
          <cell r="J27">
            <v>1.3</v>
          </cell>
          <cell r="L27">
            <v>40</v>
          </cell>
          <cell r="M27">
            <v>5.83</v>
          </cell>
          <cell r="N27">
            <v>1.347</v>
          </cell>
        </row>
        <row r="28">
          <cell r="C28">
            <v>35</v>
          </cell>
          <cell r="D28">
            <v>38</v>
          </cell>
          <cell r="E28">
            <v>7.12</v>
          </cell>
          <cell r="F28">
            <v>0.996</v>
          </cell>
          <cell r="H28">
            <v>40.1</v>
          </cell>
          <cell r="I28">
            <v>6.91</v>
          </cell>
          <cell r="J28">
            <v>1.4710000000000001</v>
          </cell>
          <cell r="L28">
            <v>40.6</v>
          </cell>
          <cell r="M28">
            <v>5.53</v>
          </cell>
          <cell r="N28">
            <v>1.456</v>
          </cell>
        </row>
        <row r="29">
          <cell r="C29">
            <v>40</v>
          </cell>
          <cell r="D29">
            <v>38.9</v>
          </cell>
          <cell r="E29">
            <v>6.96</v>
          </cell>
          <cell r="F29">
            <v>1.2070000000000001</v>
          </cell>
          <cell r="H29">
            <v>41</v>
          </cell>
          <cell r="I29">
            <v>6.48</v>
          </cell>
          <cell r="J29">
            <v>1.641</v>
          </cell>
          <cell r="L29">
            <v>41.2</v>
          </cell>
          <cell r="M29">
            <v>5.29</v>
          </cell>
          <cell r="N29">
            <v>1.5640000000000001</v>
          </cell>
        </row>
        <row r="30">
          <cell r="C30">
            <v>45</v>
          </cell>
          <cell r="D30">
            <v>39.799999999999997</v>
          </cell>
          <cell r="E30">
            <v>6.73</v>
          </cell>
          <cell r="F30">
            <v>1.417</v>
          </cell>
          <cell r="H30">
            <v>41.8</v>
          </cell>
          <cell r="I30">
            <v>6.1</v>
          </cell>
          <cell r="J30">
            <v>1.8109999999999999</v>
          </cell>
          <cell r="L30">
            <v>42.1</v>
          </cell>
          <cell r="M30">
            <v>5.1100000000000003</v>
          </cell>
          <cell r="N30">
            <v>1.6719999999999999</v>
          </cell>
        </row>
        <row r="31">
          <cell r="C31">
            <v>50</v>
          </cell>
          <cell r="D31">
            <v>40.799999999999997</v>
          </cell>
          <cell r="E31">
            <v>6.46</v>
          </cell>
          <cell r="F31">
            <v>1.6259999999999999</v>
          </cell>
          <cell r="H31">
            <v>42.4</v>
          </cell>
          <cell r="I31">
            <v>5.82</v>
          </cell>
          <cell r="J31">
            <v>1.98</v>
          </cell>
          <cell r="L31">
            <v>42.9</v>
          </cell>
          <cell r="M31">
            <v>4.9800000000000004</v>
          </cell>
          <cell r="N31">
            <v>1.7789999999999999</v>
          </cell>
        </row>
        <row r="32">
          <cell r="C32">
            <v>55</v>
          </cell>
          <cell r="D32">
            <v>41.7</v>
          </cell>
          <cell r="E32">
            <v>6.16</v>
          </cell>
          <cell r="F32">
            <v>1.833</v>
          </cell>
          <cell r="H32">
            <v>43</v>
          </cell>
          <cell r="I32">
            <v>5.68</v>
          </cell>
          <cell r="J32">
            <v>2.149</v>
          </cell>
          <cell r="L32">
            <v>43.4</v>
          </cell>
          <cell r="M32">
            <v>4.87</v>
          </cell>
          <cell r="N32">
            <v>1.887</v>
          </cell>
        </row>
        <row r="33">
          <cell r="C33">
            <v>60</v>
          </cell>
          <cell r="D33">
            <v>42.5</v>
          </cell>
          <cell r="E33">
            <v>5.86</v>
          </cell>
          <cell r="F33">
            <v>2.0409999999999999</v>
          </cell>
          <cell r="H33">
            <v>43.3</v>
          </cell>
          <cell r="I33">
            <v>5.63</v>
          </cell>
          <cell r="J33">
            <v>2.3180000000000001</v>
          </cell>
          <cell r="L33">
            <v>43.5</v>
          </cell>
          <cell r="M33">
            <v>4.82</v>
          </cell>
          <cell r="N33">
            <v>1.994</v>
          </cell>
        </row>
        <row r="34">
          <cell r="C34">
            <v>65</v>
          </cell>
          <cell r="D34">
            <v>43</v>
          </cell>
          <cell r="E34">
            <v>5.58</v>
          </cell>
          <cell r="F34">
            <v>2.2469999999999999</v>
          </cell>
          <cell r="H34">
            <v>43.3</v>
          </cell>
          <cell r="I34">
            <v>5.63</v>
          </cell>
          <cell r="J34">
            <v>2.4870000000000001</v>
          </cell>
          <cell r="L34">
            <v>43.6</v>
          </cell>
          <cell r="M34">
            <v>4.8899999999999997</v>
          </cell>
          <cell r="N34">
            <v>2.1019999999999999</v>
          </cell>
        </row>
        <row r="35">
          <cell r="C35">
            <v>70</v>
          </cell>
          <cell r="D35">
            <v>43</v>
          </cell>
          <cell r="E35">
            <v>5.37</v>
          </cell>
          <cell r="F35">
            <v>2.4529999999999998</v>
          </cell>
          <cell r="H35">
            <v>43.1</v>
          </cell>
          <cell r="I35">
            <v>5.65</v>
          </cell>
          <cell r="J35">
            <v>2.6549999999999998</v>
          </cell>
          <cell r="L35">
            <v>43.5</v>
          </cell>
          <cell r="M35">
            <v>5.07</v>
          </cell>
          <cell r="N35">
            <v>2.21</v>
          </cell>
        </row>
        <row r="36">
          <cell r="C36">
            <v>75</v>
          </cell>
          <cell r="D36">
            <v>42.9</v>
          </cell>
          <cell r="E36">
            <v>5.24</v>
          </cell>
          <cell r="F36">
            <v>2.66</v>
          </cell>
          <cell r="H36">
            <v>42.7</v>
          </cell>
          <cell r="I36">
            <v>5.64</v>
          </cell>
          <cell r="J36">
            <v>2.8239999999999998</v>
          </cell>
          <cell r="L36">
            <v>43.3</v>
          </cell>
          <cell r="M36">
            <v>5.31</v>
          </cell>
          <cell r="N36">
            <v>2.319</v>
          </cell>
        </row>
        <row r="37">
          <cell r="C37">
            <v>80</v>
          </cell>
          <cell r="D37">
            <v>42.5</v>
          </cell>
          <cell r="E37">
            <v>5.14</v>
          </cell>
          <cell r="F37">
            <v>2.8660000000000001</v>
          </cell>
          <cell r="H37">
            <v>42</v>
          </cell>
          <cell r="I37">
            <v>5.55</v>
          </cell>
          <cell r="J37">
            <v>2.992</v>
          </cell>
          <cell r="L37">
            <v>43.2</v>
          </cell>
          <cell r="M37">
            <v>5.58</v>
          </cell>
          <cell r="N37">
            <v>2.427</v>
          </cell>
        </row>
        <row r="38">
          <cell r="C38">
            <v>85</v>
          </cell>
          <cell r="D38">
            <v>42.1</v>
          </cell>
          <cell r="E38">
            <v>5.08</v>
          </cell>
          <cell r="F38">
            <v>3.0720000000000001</v>
          </cell>
          <cell r="H38">
            <v>41.1</v>
          </cell>
          <cell r="I38">
            <v>5.43</v>
          </cell>
          <cell r="J38">
            <v>3.153</v>
          </cell>
          <cell r="L38">
            <v>43</v>
          </cell>
          <cell r="M38">
            <v>5.82</v>
          </cell>
          <cell r="N38">
            <v>2.5219999999999998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6">
          <cell r="B36">
            <v>4.4000000000000004</v>
          </cell>
        </row>
      </sheetData>
      <sheetData sheetId="15">
        <row r="6">
          <cell r="E6">
            <v>0</v>
          </cell>
        </row>
      </sheetData>
      <sheetData sheetId="16"/>
      <sheetData sheetId="17">
        <row r="18">
          <cell r="B18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de ID"/>
      <sheetName val="QSAD"/>
      <sheetName val="Composição Corporal"/>
      <sheetName val="VO2 Máx"/>
      <sheetName val="Força "/>
      <sheetName val="Flexibilidade"/>
      <sheetName val="Testes Idosos"/>
      <sheetName val="Taxa Metabólica Repouso"/>
      <sheetName val="TAB_GERAL"/>
      <sheetName val="Relatório"/>
      <sheetName val="Prescrição Cardio"/>
      <sheetName val="Prescrição Estilo vida"/>
      <sheetName val="Métodos Treino Cárdio"/>
      <sheetName val="Prescrição Força"/>
      <sheetName val="Prog. Hemo"/>
      <sheetName val="Prog. CC"/>
      <sheetName val="Prog. Força"/>
      <sheetName val="Prog. Flexib"/>
      <sheetName val="Prog. CR"/>
      <sheetName val="Prescrição Flexibilidade"/>
      <sheetName val="Plano de Treino"/>
      <sheetName val="Treino"/>
      <sheetName val="Contrato de Objectivos"/>
      <sheetName val="Próximas Avaliações"/>
      <sheetName val="Consentimento Médico"/>
      <sheetName val="Susana Mata 18-05-2011"/>
    </sheetNames>
    <sheetDataSet>
      <sheetData sheetId="0">
        <row r="5">
          <cell r="J5" t="str">
            <v>feminino</v>
          </cell>
        </row>
      </sheetData>
      <sheetData sheetId="1">
        <row r="90">
          <cell r="H90" t="str">
            <v>Baixo</v>
          </cell>
        </row>
      </sheetData>
      <sheetData sheetId="2">
        <row r="5">
          <cell r="H5">
            <v>75.900000000000006</v>
          </cell>
        </row>
      </sheetData>
      <sheetData sheetId="3"/>
      <sheetData sheetId="4"/>
      <sheetData sheetId="5"/>
      <sheetData sheetId="6"/>
      <sheetData sheetId="7"/>
      <sheetData sheetId="8">
        <row r="9">
          <cell r="A9">
            <v>1</v>
          </cell>
        </row>
      </sheetData>
      <sheetData sheetId="9"/>
      <sheetData sheetId="10"/>
      <sheetData sheetId="11"/>
      <sheetData sheetId="12"/>
      <sheetData sheetId="13"/>
      <sheetData sheetId="14">
        <row r="3">
          <cell r="A3">
            <v>0</v>
          </cell>
        </row>
      </sheetData>
      <sheetData sheetId="15">
        <row r="18">
          <cell r="B18">
            <v>0</v>
          </cell>
        </row>
      </sheetData>
      <sheetData sheetId="16"/>
      <sheetData sheetId="17">
        <row r="34">
          <cell r="C34">
            <v>0</v>
          </cell>
          <cell r="D34" t="str">
            <v>Fraco</v>
          </cell>
          <cell r="E34">
            <v>0</v>
          </cell>
          <cell r="F34" t="str">
            <v>Fraco</v>
          </cell>
          <cell r="G34">
            <v>0</v>
          </cell>
          <cell r="H34" t="str">
            <v>Fraco</v>
          </cell>
          <cell r="I34">
            <v>0</v>
          </cell>
          <cell r="J34" t="str">
            <v>Fraco</v>
          </cell>
          <cell r="K34">
            <v>0</v>
          </cell>
          <cell r="L34" t="str">
            <v>Fraco</v>
          </cell>
          <cell r="O34">
            <v>0</v>
          </cell>
          <cell r="P34" t="str">
            <v>Fraco</v>
          </cell>
          <cell r="Q34">
            <v>0</v>
          </cell>
          <cell r="R34" t="str">
            <v>Fraco</v>
          </cell>
          <cell r="S34">
            <v>0</v>
          </cell>
          <cell r="T34" t="str">
            <v>Fraco</v>
          </cell>
          <cell r="U34">
            <v>0</v>
          </cell>
          <cell r="V34" t="str">
            <v>Fraco</v>
          </cell>
          <cell r="W34">
            <v>0</v>
          </cell>
          <cell r="X34" t="str">
            <v>Fraco</v>
          </cell>
        </row>
        <row r="35">
          <cell r="C35">
            <v>24</v>
          </cell>
          <cell r="D35" t="str">
            <v>Suficiente</v>
          </cell>
          <cell r="E35">
            <v>22</v>
          </cell>
          <cell r="F35" t="str">
            <v>Fraco</v>
          </cell>
          <cell r="G35">
            <v>17</v>
          </cell>
          <cell r="H35" t="str">
            <v>Fraco</v>
          </cell>
          <cell r="I35">
            <v>15</v>
          </cell>
          <cell r="J35" t="str">
            <v>Fraco</v>
          </cell>
          <cell r="K35">
            <v>14</v>
          </cell>
          <cell r="L35" t="str">
            <v>Fraco</v>
          </cell>
          <cell r="O35">
            <v>32</v>
          </cell>
          <cell r="P35" t="str">
            <v>Suficiente</v>
          </cell>
          <cell r="Q35">
            <v>31</v>
          </cell>
          <cell r="R35" t="str">
            <v>Suficiente</v>
          </cell>
          <cell r="S35">
            <v>29</v>
          </cell>
          <cell r="T35" t="str">
            <v>Suficiente</v>
          </cell>
          <cell r="U35">
            <v>29</v>
          </cell>
          <cell r="V35" t="str">
            <v>Suficiente</v>
          </cell>
          <cell r="W35">
            <v>26</v>
          </cell>
          <cell r="X35" t="str">
            <v>Suficiente</v>
          </cell>
        </row>
        <row r="36">
          <cell r="C36">
            <v>29</v>
          </cell>
          <cell r="D36" t="str">
            <v>Bom</v>
          </cell>
          <cell r="E36">
            <v>27</v>
          </cell>
          <cell r="F36" t="str">
            <v>Suficiente</v>
          </cell>
          <cell r="G36">
            <v>23</v>
          </cell>
          <cell r="H36" t="str">
            <v>Suficiente</v>
          </cell>
          <cell r="I36">
            <v>23</v>
          </cell>
          <cell r="J36" t="str">
            <v>Suficiente</v>
          </cell>
          <cell r="K36">
            <v>19</v>
          </cell>
          <cell r="L36" t="str">
            <v>Suficiente</v>
          </cell>
          <cell r="O36">
            <v>36</v>
          </cell>
          <cell r="P36" t="str">
            <v>Bom</v>
          </cell>
          <cell r="Q36">
            <v>35</v>
          </cell>
          <cell r="R36" t="str">
            <v>Bom</v>
          </cell>
          <cell r="S36">
            <v>33</v>
          </cell>
          <cell r="T36" t="str">
            <v>Bom</v>
          </cell>
          <cell r="U36">
            <v>32</v>
          </cell>
          <cell r="V36" t="str">
            <v>Bom</v>
          </cell>
          <cell r="W36">
            <v>30</v>
          </cell>
          <cell r="X36" t="str">
            <v>Bom</v>
          </cell>
        </row>
        <row r="37">
          <cell r="C37">
            <v>33</v>
          </cell>
          <cell r="D37" t="str">
            <v>Muito Bom</v>
          </cell>
          <cell r="E37">
            <v>32</v>
          </cell>
          <cell r="F37" t="str">
            <v>Bom</v>
          </cell>
          <cell r="G37">
            <v>28</v>
          </cell>
          <cell r="H37" t="str">
            <v>Bom</v>
          </cell>
          <cell r="I37">
            <v>27</v>
          </cell>
          <cell r="J37" t="str">
            <v>Bom</v>
          </cell>
          <cell r="K37">
            <v>24</v>
          </cell>
          <cell r="L37" t="str">
            <v>Bom</v>
          </cell>
          <cell r="O37">
            <v>37</v>
          </cell>
          <cell r="P37" t="str">
            <v>Fraco</v>
          </cell>
          <cell r="Q37">
            <v>26</v>
          </cell>
          <cell r="R37" t="str">
            <v>Fraco</v>
          </cell>
          <cell r="S37">
            <v>24</v>
          </cell>
          <cell r="T37" t="str">
            <v>Fraco</v>
          </cell>
          <cell r="U37">
            <v>24</v>
          </cell>
          <cell r="V37" t="str">
            <v>Fraco</v>
          </cell>
          <cell r="W37">
            <v>22</v>
          </cell>
          <cell r="X37" t="str">
            <v>Fraco</v>
          </cell>
        </row>
        <row r="38">
          <cell r="C38">
            <v>39</v>
          </cell>
          <cell r="D38" t="str">
            <v>Excelente</v>
          </cell>
          <cell r="E38">
            <v>37</v>
          </cell>
          <cell r="F38" t="str">
            <v>Muito Bom</v>
          </cell>
          <cell r="G38">
            <v>34</v>
          </cell>
          <cell r="H38" t="str">
            <v>Muito Bom</v>
          </cell>
          <cell r="I38">
            <v>34</v>
          </cell>
          <cell r="J38" t="str">
            <v>Muito Bom</v>
          </cell>
          <cell r="K38">
            <v>32</v>
          </cell>
          <cell r="L38" t="str">
            <v>Muito Bom</v>
          </cell>
          <cell r="O38">
            <v>40</v>
          </cell>
          <cell r="P38" t="str">
            <v>Muito Bom</v>
          </cell>
          <cell r="Q38">
            <v>40</v>
          </cell>
          <cell r="R38" t="str">
            <v>Muito Bom</v>
          </cell>
          <cell r="S38">
            <v>37</v>
          </cell>
          <cell r="T38" t="str">
            <v>Muito Bom</v>
          </cell>
          <cell r="U38">
            <v>38</v>
          </cell>
          <cell r="V38" t="str">
            <v>Muito Bom</v>
          </cell>
          <cell r="W38">
            <v>34</v>
          </cell>
          <cell r="X38" t="str">
            <v>Muito Bom</v>
          </cell>
        </row>
        <row r="39">
          <cell r="C39">
            <v>40</v>
          </cell>
          <cell r="D39" t="str">
            <v>Excelente</v>
          </cell>
          <cell r="E39">
            <v>38</v>
          </cell>
          <cell r="F39" t="str">
            <v>Excelente</v>
          </cell>
          <cell r="G39">
            <v>35</v>
          </cell>
          <cell r="H39" t="str">
            <v>Excelente</v>
          </cell>
          <cell r="I39">
            <v>35</v>
          </cell>
          <cell r="J39" t="str">
            <v>Excelente</v>
          </cell>
          <cell r="K39">
            <v>33</v>
          </cell>
          <cell r="L39" t="str">
            <v>Excelente</v>
          </cell>
          <cell r="O39">
            <v>41</v>
          </cell>
          <cell r="P39" t="str">
            <v>Excelente</v>
          </cell>
          <cell r="Q39">
            <v>41</v>
          </cell>
          <cell r="R39" t="str">
            <v>Excelente</v>
          </cell>
          <cell r="S39">
            <v>38</v>
          </cell>
          <cell r="T39" t="str">
            <v>Excelente</v>
          </cell>
          <cell r="U39">
            <v>39</v>
          </cell>
          <cell r="V39" t="str">
            <v>Excelente</v>
          </cell>
          <cell r="W39">
            <v>35</v>
          </cell>
          <cell r="X39" t="str">
            <v>Excelente</v>
          </cell>
        </row>
      </sheetData>
      <sheetData sheetId="18">
        <row r="2">
          <cell r="O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Folha1"/>
      <sheetName val="calculos"/>
      <sheetName val="Cole criteri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AT vs AGE_ADULTS"/>
      <sheetName val="FM to HEIGHT vs AGE_ADULTS"/>
      <sheetName val="%TFM to %LFM vs AGE_ADULTS"/>
      <sheetName val="TRUNK to LFM vs AGE_ADULTS"/>
      <sheetName val="LM to HEIGHT vs AGE_ADULTS"/>
      <sheetName val="AP LM to HEIGHT vs AGE_ADULTS"/>
      <sheetName val="TB BMD vs AGE_ADULTS"/>
      <sheetName val="TB BMC vs AGE_ADULTS"/>
      <sheetName val="%FAT vs AGE_CHILDREN"/>
      <sheetName val="LM to HEIGHT vs AGE_CHILDREN"/>
      <sheetName val="TB BMD vs AGE_CHILDREN"/>
      <sheetName val="TB BMC vs AGE_CHILDREN"/>
      <sheetName val="TB BMD vs HEIGHT_CHILDREN"/>
      <sheetName val="TB BMC vs HEIGHT_CHILDREN"/>
      <sheetName val="TLM vs HEIGHT_CHILDREN"/>
      <sheetName val="SKELETON MUSCLE MASS_ADULTS"/>
      <sheetName val="SKELETON MUSCLE MASS_CHILDREN"/>
      <sheetName val="Z STATISTICS"/>
      <sheetName val="BODY COMPOSITION_DX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C3" t="str">
            <v>z</v>
          </cell>
          <cell r="D3">
            <v>0</v>
          </cell>
          <cell r="E3">
            <v>0.01</v>
          </cell>
          <cell r="F3">
            <v>0.02</v>
          </cell>
          <cell r="G3">
            <v>0.03</v>
          </cell>
          <cell r="H3">
            <v>0.04</v>
          </cell>
          <cell r="I3">
            <v>0.05</v>
          </cell>
          <cell r="J3">
            <v>0.06</v>
          </cell>
          <cell r="K3">
            <v>7.0000000000000007E-2</v>
          </cell>
          <cell r="L3">
            <v>0.08</v>
          </cell>
          <cell r="M3">
            <v>0.09</v>
          </cell>
        </row>
        <row r="4">
          <cell r="C4">
            <v>0</v>
          </cell>
          <cell r="D4">
            <v>0.5</v>
          </cell>
          <cell r="E4">
            <v>0.5039893563146316</v>
          </cell>
          <cell r="F4">
            <v>0.50797831371690205</v>
          </cell>
          <cell r="G4">
            <v>0.51196647341411272</v>
          </cell>
          <cell r="H4">
            <v>0.51595343685283068</v>
          </cell>
          <cell r="I4">
            <v>0.51993880583837249</v>
          </cell>
          <cell r="J4">
            <v>0.52392218265410684</v>
          </cell>
          <cell r="K4">
            <v>0.52790317018052113</v>
          </cell>
          <cell r="L4">
            <v>0.53188137201398744</v>
          </cell>
          <cell r="M4">
            <v>0.53585639258517204</v>
          </cell>
        </row>
        <row r="5">
          <cell r="C5">
            <v>0.1</v>
          </cell>
          <cell r="D5">
            <v>0.53982783727702899</v>
          </cell>
          <cell r="E5">
            <v>0.54379531254231672</v>
          </cell>
          <cell r="F5">
            <v>0.54775842602058389</v>
          </cell>
          <cell r="G5">
            <v>0.55171678665456114</v>
          </cell>
          <cell r="H5">
            <v>0.55567000480590645</v>
          </cell>
          <cell r="I5">
            <v>0.5596176923702425</v>
          </cell>
          <cell r="J5">
            <v>0.56355946289143288</v>
          </cell>
          <cell r="K5">
            <v>0.56749493167503839</v>
          </cell>
          <cell r="L5">
            <v>0.5714237159009008</v>
          </cell>
          <cell r="M5">
            <v>0.57534543473479549</v>
          </cell>
        </row>
        <row r="6">
          <cell r="C6">
            <v>0.2</v>
          </cell>
          <cell r="D6">
            <v>0.57925970943910299</v>
          </cell>
          <cell r="E6">
            <v>0.58316616348244232</v>
          </cell>
          <cell r="F6">
            <v>0.58706442264821468</v>
          </cell>
          <cell r="G6">
            <v>0.59095411514200591</v>
          </cell>
          <cell r="H6">
            <v>0.59483487169779581</v>
          </cell>
          <cell r="I6">
            <v>0.5987063256829237</v>
          </cell>
          <cell r="J6">
            <v>0.60256811320176051</v>
          </cell>
          <cell r="K6">
            <v>0.60641987319803947</v>
          </cell>
          <cell r="L6">
            <v>0.61026124755579725</v>
          </cell>
          <cell r="M6">
            <v>0.61409188119887737</v>
          </cell>
        </row>
        <row r="7">
          <cell r="C7">
            <v>0.3</v>
          </cell>
          <cell r="D7">
            <v>0.61791142218895267</v>
          </cell>
          <cell r="E7">
            <v>0.62171952182201928</v>
          </cell>
          <cell r="F7">
            <v>0.62551583472332006</v>
          </cell>
          <cell r="G7">
            <v>0.62930001894065357</v>
          </cell>
          <cell r="H7">
            <v>0.63307173603602807</v>
          </cell>
          <cell r="I7">
            <v>0.6368306511756191</v>
          </cell>
          <cell r="J7">
            <v>0.64057643321799129</v>
          </cell>
          <cell r="K7">
            <v>0.64430875480054683</v>
          </cell>
          <cell r="L7">
            <v>0.64802729242416279</v>
          </cell>
          <cell r="M7">
            <v>0.65173172653598244</v>
          </cell>
        </row>
        <row r="8">
          <cell r="C8">
            <v>0.4</v>
          </cell>
          <cell r="D8">
            <v>0.65542174161032429</v>
          </cell>
          <cell r="E8">
            <v>0.65909702622767741</v>
          </cell>
          <cell r="F8">
            <v>0.66275727315175059</v>
          </cell>
          <cell r="G8">
            <v>0.66640217940454238</v>
          </cell>
          <cell r="H8">
            <v>0.67003144633940637</v>
          </cell>
          <cell r="I8">
            <v>0.67364477971208003</v>
          </cell>
          <cell r="J8">
            <v>0.67724188974965227</v>
          </cell>
          <cell r="K8">
            <v>0.6808224912174442</v>
          </cell>
          <cell r="L8">
            <v>0.68438630348377749</v>
          </cell>
          <cell r="M8">
            <v>0.68793305058260945</v>
          </cell>
        </row>
        <row r="9">
          <cell r="C9">
            <v>0.5</v>
          </cell>
          <cell r="D9">
            <v>0.69146246127401312</v>
          </cell>
          <cell r="E9">
            <v>0.69497426910248061</v>
          </cell>
          <cell r="F9">
            <v>0.69846821245303381</v>
          </cell>
          <cell r="G9">
            <v>0.70194403460512356</v>
          </cell>
          <cell r="H9">
            <v>0.70540148378430201</v>
          </cell>
          <cell r="I9">
            <v>0.70884031321165364</v>
          </cell>
          <cell r="J9">
            <v>0.71226028115097295</v>
          </cell>
          <cell r="K9">
            <v>0.71566115095367588</v>
          </cell>
          <cell r="L9">
            <v>0.7190426911014357</v>
          </cell>
          <cell r="M9">
            <v>0.72240467524653507</v>
          </cell>
        </row>
        <row r="10">
          <cell r="C10">
            <v>0.6</v>
          </cell>
          <cell r="D10">
            <v>0.72574688224992645</v>
          </cell>
          <cell r="E10">
            <v>0.72906909621699434</v>
          </cell>
          <cell r="F10">
            <v>0.732371106531017</v>
          </cell>
          <cell r="G10">
            <v>0.73565270788432247</v>
          </cell>
          <cell r="H10">
            <v>0.73891370030713843</v>
          </cell>
          <cell r="I10">
            <v>0.74215388919413527</v>
          </cell>
          <cell r="J10">
            <v>0.74537308532866398</v>
          </cell>
          <cell r="K10">
            <v>0.74857110490468992</v>
          </cell>
          <cell r="L10">
            <v>0.75174776954642952</v>
          </cell>
          <cell r="M10">
            <v>0.75490290632569057</v>
          </cell>
        </row>
        <row r="11">
          <cell r="C11">
            <v>0.7</v>
          </cell>
          <cell r="D11">
            <v>0.75803634777692697</v>
          </cell>
          <cell r="E11">
            <v>0.76114793191001329</v>
          </cell>
          <cell r="F11">
            <v>0.76423750222074882</v>
          </cell>
          <cell r="G11">
            <v>0.76730490769910253</v>
          </cell>
          <cell r="H11">
            <v>0.77035000283520938</v>
          </cell>
          <cell r="I11">
            <v>0.77337264762313174</v>
          </cell>
          <cell r="J11">
            <v>0.77637270756240062</v>
          </cell>
          <cell r="K11">
            <v>0.77935005365735044</v>
          </cell>
          <cell r="L11">
            <v>0.78230456241426682</v>
          </cell>
          <cell r="M11">
            <v>0.78523611583636277</v>
          </cell>
        </row>
        <row r="12">
          <cell r="C12">
            <v>0.8</v>
          </cell>
          <cell r="D12">
            <v>0.78814460141660336</v>
          </cell>
          <cell r="E12">
            <v>0.79102991212839835</v>
          </cell>
          <cell r="F12">
            <v>0.79389194641418692</v>
          </cell>
          <cell r="G12">
            <v>0.79673060817193153</v>
          </cell>
          <cell r="H12">
            <v>0.79954580673955034</v>
          </cell>
          <cell r="I12">
            <v>0.80233745687730762</v>
          </cell>
          <cell r="J12">
            <v>0.80510547874819172</v>
          </cell>
          <cell r="K12">
            <v>0.80784979789630373</v>
          </cell>
          <cell r="L12">
            <v>0.81057034522328786</v>
          </cell>
          <cell r="M12">
            <v>0.81326705696282731</v>
          </cell>
        </row>
        <row r="13">
          <cell r="C13">
            <v>0.9</v>
          </cell>
          <cell r="D13">
            <v>0.81593987465324047</v>
          </cell>
          <cell r="E13">
            <v>0.81858874510820279</v>
          </cell>
          <cell r="F13">
            <v>0.82121362038562828</v>
          </cell>
          <cell r="G13">
            <v>0.82381445775474205</v>
          </cell>
          <cell r="H13">
            <v>0.82639121966137541</v>
          </cell>
          <cell r="I13">
            <v>0.82894387369151812</v>
          </cell>
          <cell r="J13">
            <v>0.83147239253316219</v>
          </cell>
          <cell r="K13">
            <v>0.83397675393647042</v>
          </cell>
          <cell r="L13">
            <v>0.83645694067230769</v>
          </cell>
          <cell r="M13">
            <v>0.83891294048916909</v>
          </cell>
        </row>
        <row r="14">
          <cell r="C14">
            <v>1</v>
          </cell>
          <cell r="D14">
            <v>0.84134474606854281</v>
          </cell>
          <cell r="E14">
            <v>0.84375235497874534</v>
          </cell>
          <cell r="F14">
            <v>0.84613576962726511</v>
          </cell>
          <cell r="G14">
            <v>0.84849499721165622</v>
          </cell>
          <cell r="H14">
            <v>0.85083004966901854</v>
          </cell>
          <cell r="I14">
            <v>0.85314094362410409</v>
          </cell>
          <cell r="J14">
            <v>0.85542770033609039</v>
          </cell>
          <cell r="K14">
            <v>0.85769034564406077</v>
          </cell>
          <cell r="L14">
            <v>0.85992890991123094</v>
          </cell>
          <cell r="M14">
            <v>0.8621434279679645</v>
          </cell>
        </row>
        <row r="15">
          <cell r="C15">
            <v>1.1000000000000001</v>
          </cell>
          <cell r="D15">
            <v>0.86433393905361733</v>
          </cell>
          <cell r="E15">
            <v>0.86650048675725277</v>
          </cell>
          <cell r="F15">
            <v>0.86864311895726931</v>
          </cell>
          <cell r="G15">
            <v>0.8707618877599822</v>
          </cell>
          <cell r="H15">
            <v>0.87285684943720176</v>
          </cell>
          <cell r="I15">
            <v>0.87492806436284976</v>
          </cell>
          <cell r="J15">
            <v>0.87697559694865657</v>
          </cell>
          <cell r="K15">
            <v>0.87899951557898182</v>
          </cell>
          <cell r="L15">
            <v>0.88099989254479927</v>
          </cell>
          <cell r="M15">
            <v>0.88297680397689138</v>
          </cell>
        </row>
        <row r="16">
          <cell r="C16">
            <v>1.2</v>
          </cell>
          <cell r="D16">
            <v>0.88493032977829178</v>
          </cell>
          <cell r="E16">
            <v>0.88686055355602278</v>
          </cell>
          <cell r="F16">
            <v>0.88876756255216538</v>
          </cell>
          <cell r="G16">
            <v>0.89065144757430814</v>
          </cell>
          <cell r="H16">
            <v>0.89251230292541306</v>
          </cell>
          <cell r="I16">
            <v>0.89435022633314476</v>
          </cell>
          <cell r="J16">
            <v>0.89616531887869966</v>
          </cell>
          <cell r="K16">
            <v>0.89795768492518091</v>
          </cell>
          <cell r="L16">
            <v>0.89972743204555794</v>
          </cell>
          <cell r="M16">
            <v>0.90147467095025213</v>
          </cell>
        </row>
        <row r="17">
          <cell r="C17">
            <v>1.3</v>
          </cell>
          <cell r="D17">
            <v>0.9031995154143897</v>
          </cell>
          <cell r="E17">
            <v>0.90490208220476098</v>
          </cell>
          <cell r="F17">
            <v>0.90658249100652821</v>
          </cell>
          <cell r="G17">
            <v>0.90824086434971918</v>
          </cell>
          <cell r="H17">
            <v>0.90987732753554751</v>
          </cell>
          <cell r="I17">
            <v>0.91149200856259804</v>
          </cell>
          <cell r="J17">
            <v>0.91308503805291497</v>
          </cell>
          <cell r="K17">
            <v>0.91465654917803307</v>
          </cell>
          <cell r="L17">
            <v>0.91620667758498575</v>
          </cell>
          <cell r="M17">
            <v>0.91773556132233114</v>
          </cell>
        </row>
        <row r="18">
          <cell r="C18">
            <v>1.4</v>
          </cell>
          <cell r="D18">
            <v>0.91924334076622893</v>
          </cell>
          <cell r="E18">
            <v>0.92073015854660767</v>
          </cell>
          <cell r="F18">
            <v>0.92219615947345368</v>
          </cell>
          <cell r="G18">
            <v>0.92364149046326094</v>
          </cell>
          <cell r="H18">
            <v>0.92506630046567295</v>
          </cell>
          <cell r="I18">
            <v>0.92647074039035171</v>
          </cell>
          <cell r="J18">
            <v>0.92785496303410619</v>
          </cell>
          <cell r="K18">
            <v>0.92921912300831455</v>
          </cell>
          <cell r="L18">
            <v>0.93056337666666833</v>
          </cell>
          <cell r="M18">
            <v>0.93188788203327455</v>
          </cell>
        </row>
        <row r="19">
          <cell r="C19">
            <v>1.5</v>
          </cell>
          <cell r="D19">
            <v>0.93319279873114191</v>
          </cell>
          <cell r="E19">
            <v>0.93447828791108356</v>
          </cell>
          <cell r="F19">
            <v>0.93574451218106425</v>
          </cell>
          <cell r="G19">
            <v>0.93699163553602161</v>
          </cell>
          <cell r="H19">
            <v>0.9382198232881882</v>
          </cell>
          <cell r="I19">
            <v>0.93942924199794109</v>
          </cell>
          <cell r="J19">
            <v>0.94062005940520699</v>
          </cell>
          <cell r="K19">
            <v>0.94179244436144705</v>
          </cell>
          <cell r="L19">
            <v>0.94294656676224586</v>
          </cell>
          <cell r="M19">
            <v>0.94408259748053058</v>
          </cell>
        </row>
        <row r="20">
          <cell r="C20">
            <v>1.6</v>
          </cell>
          <cell r="D20">
            <v>0.94520070830044201</v>
          </cell>
          <cell r="E20">
            <v>0.94630107185188028</v>
          </cell>
          <cell r="F20">
            <v>0.94738386154574794</v>
          </cell>
          <cell r="G20">
            <v>0.94844925150991066</v>
          </cell>
          <cell r="H20">
            <v>0.94949741652589603</v>
          </cell>
          <cell r="I20">
            <v>0.9505285319663519</v>
          </cell>
          <cell r="J20">
            <v>0.95154277373327723</v>
          </cell>
          <cell r="K20">
            <v>0.95254031819705276</v>
          </cell>
          <cell r="L20">
            <v>0.95352134213628004</v>
          </cell>
          <cell r="M20">
            <v>0.95448602267845017</v>
          </cell>
        </row>
        <row r="21">
          <cell r="C21">
            <v>1.7</v>
          </cell>
          <cell r="D21">
            <v>0.95543453724145699</v>
          </cell>
          <cell r="E21">
            <v>0.95636706347596812</v>
          </cell>
          <cell r="F21">
            <v>0.95728377920867114</v>
          </cell>
          <cell r="G21">
            <v>0.9581848623864051</v>
          </cell>
          <cell r="H21">
            <v>0.95907049102119268</v>
          </cell>
          <cell r="I21">
            <v>0.959940843136183</v>
          </cell>
          <cell r="J21">
            <v>0.96079609671251742</v>
          </cell>
          <cell r="K21">
            <v>0.96163642963712881</v>
          </cell>
          <cell r="L21">
            <v>0.96246201965148326</v>
          </cell>
          <cell r="M21">
            <v>0.9632730443012737</v>
          </cell>
        </row>
        <row r="22">
          <cell r="C22">
            <v>1.8</v>
          </cell>
          <cell r="D22">
            <v>0.96406968088707423</v>
          </cell>
          <cell r="E22">
            <v>0.9648521064159612</v>
          </cell>
          <cell r="F22">
            <v>0.96562049755411006</v>
          </cell>
          <cell r="G22">
            <v>0.96637503058037166</v>
          </cell>
          <cell r="H22">
            <v>0.96711588134083615</v>
          </cell>
          <cell r="I22">
            <v>0.96784322520438637</v>
          </cell>
          <cell r="J22">
            <v>0.96855723701924734</v>
          </cell>
          <cell r="K22">
            <v>0.96925809107053407</v>
          </cell>
          <cell r="L22">
            <v>0.96994596103880026</v>
          </cell>
          <cell r="M22">
            <v>0.9706210199595906</v>
          </cell>
        </row>
        <row r="23">
          <cell r="C23">
            <v>1.9</v>
          </cell>
          <cell r="D23">
            <v>0.97128344018399826</v>
          </cell>
          <cell r="E23">
            <v>0.97193339334022755</v>
          </cell>
          <cell r="F23">
            <v>0.9725710502961632</v>
          </cell>
          <cell r="G23">
            <v>0.97319658112294505</v>
          </cell>
          <cell r="H23">
            <v>0.97381015505954738</v>
          </cell>
          <cell r="I23">
            <v>0.97441194047836144</v>
          </cell>
          <cell r="J23">
            <v>0.97500210485177963</v>
          </cell>
          <cell r="K23">
            <v>0.97558081471977753</v>
          </cell>
          <cell r="L23">
            <v>0.97614823565849151</v>
          </cell>
          <cell r="M23">
            <v>0.97670453224978826</v>
          </cell>
        </row>
        <row r="24">
          <cell r="C24">
            <v>2</v>
          </cell>
          <cell r="D24">
            <v>0.97724986805182079</v>
          </cell>
          <cell r="E24">
            <v>0.97778440557056856</v>
          </cell>
          <cell r="F24">
            <v>0.97830830623235321</v>
          </cell>
          <cell r="G24">
            <v>0.97882173035732778</v>
          </cell>
          <cell r="H24">
            <v>0.97932483713393004</v>
          </cell>
          <cell r="I24">
            <v>0.97981778459429558</v>
          </cell>
          <cell r="J24">
            <v>0.98030072959062309</v>
          </cell>
          <cell r="K24">
            <v>0.98077382777248279</v>
          </cell>
          <cell r="L24">
            <v>0.98123723356506232</v>
          </cell>
          <cell r="M24">
            <v>0.98169110014834104</v>
          </cell>
        </row>
        <row r="25">
          <cell r="C25">
            <v>2.1</v>
          </cell>
          <cell r="D25">
            <v>0.98213557943718344</v>
          </cell>
          <cell r="E25">
            <v>0.98257082206234292</v>
          </cell>
          <cell r="F25">
            <v>0.98299697735236724</v>
          </cell>
          <cell r="G25">
            <v>0.98341419331639501</v>
          </cell>
          <cell r="H25">
            <v>0.98382261662783388</v>
          </cell>
          <cell r="I25">
            <v>0.98422239260890954</v>
          </cell>
          <cell r="J25">
            <v>0.98461366521607463</v>
          </cell>
          <cell r="K25">
            <v>0.98499657702626786</v>
          </cell>
          <cell r="L25">
            <v>0.98537126922401075</v>
          </cell>
          <cell r="M25">
            <v>0.98573788158933118</v>
          </cell>
        </row>
        <row r="26">
          <cell r="C26">
            <v>2.2000000000000002</v>
          </cell>
          <cell r="D26">
            <v>0.98609655248650141</v>
          </cell>
          <cell r="E26">
            <v>0.98644741885358</v>
          </cell>
          <cell r="F26">
            <v>0.98679061619274377</v>
          </cell>
          <cell r="G26">
            <v>0.98712627856139801</v>
          </cell>
          <cell r="H26">
            <v>0.98745453856405341</v>
          </cell>
          <cell r="I26">
            <v>0.98777552734495533</v>
          </cell>
          <cell r="J26">
            <v>0.98808937458145296</v>
          </cell>
          <cell r="K26">
            <v>0.98839620847809651</v>
          </cell>
          <cell r="L26">
            <v>0.9886961557614472</v>
          </cell>
          <cell r="M26">
            <v>0.98898934167558861</v>
          </cell>
        </row>
        <row r="27">
          <cell r="C27">
            <v>2.2999999999999998</v>
          </cell>
          <cell r="D27">
            <v>0.98927588997832416</v>
          </cell>
          <cell r="E27">
            <v>0.98955592293804895</v>
          </cell>
          <cell r="F27">
            <v>0.98982956133128031</v>
          </cell>
          <cell r="G27">
            <v>0.99009692444083575</v>
          </cell>
          <cell r="H27">
            <v>0.99035813005464168</v>
          </cell>
          <cell r="I27">
            <v>0.99061329446516144</v>
          </cell>
          <cell r="J27">
            <v>0.99086253246942735</v>
          </cell>
          <cell r="K27">
            <v>0.99110595736966323</v>
          </cell>
          <cell r="L27">
            <v>0.99134368097448344</v>
          </cell>
          <cell r="M27">
            <v>0.99157581360065428</v>
          </cell>
        </row>
        <row r="28">
          <cell r="C28">
            <v>2.4</v>
          </cell>
          <cell r="D28">
            <v>0.99180246407540384</v>
          </cell>
          <cell r="E28">
            <v>0.99202373973926627</v>
          </cell>
          <cell r="F28">
            <v>0.99223974644944635</v>
          </cell>
          <cell r="G28">
            <v>0.99245058858369084</v>
          </cell>
          <cell r="H28">
            <v>0.99265636904465171</v>
          </cell>
          <cell r="I28">
            <v>0.99285718926472855</v>
          </cell>
          <cell r="J28">
            <v>0.99305314921137566</v>
          </cell>
          <cell r="K28">
            <v>0.99324434739285938</v>
          </cell>
          <cell r="L28">
            <v>0.9934308808644533</v>
          </cell>
          <cell r="M28">
            <v>0.99361284523505689</v>
          </cell>
        </row>
        <row r="29">
          <cell r="C29">
            <v>2.5</v>
          </cell>
          <cell r="D29">
            <v>0.99379033467422384</v>
          </cell>
          <cell r="E29">
            <v>0.99396344191958741</v>
          </cell>
          <cell r="F29">
            <v>0.99413225828466745</v>
          </cell>
          <cell r="G29">
            <v>0.99429687366704933</v>
          </cell>
          <cell r="H29">
            <v>0.99445737655691746</v>
          </cell>
          <cell r="I29">
            <v>0.99461385404593328</v>
          </cell>
          <cell r="J29">
            <v>0.99476639183644422</v>
          </cell>
          <cell r="K29">
            <v>0.994915074251009</v>
          </cell>
          <cell r="L29">
            <v>0.99505998424222941</v>
          </cell>
          <cell r="M29">
            <v>0.99520120340287388</v>
          </cell>
        </row>
        <row r="30">
          <cell r="C30">
            <v>2.6</v>
          </cell>
          <cell r="D30">
            <v>0.99533881197628127</v>
          </cell>
          <cell r="E30">
            <v>0.99547288886703267</v>
          </cell>
          <cell r="F30">
            <v>0.99560351165187866</v>
          </cell>
          <cell r="G30">
            <v>0.9957307565909107</v>
          </cell>
          <cell r="H30">
            <v>0.99585469863896392</v>
          </cell>
          <cell r="I30">
            <v>0.99597541145724167</v>
          </cell>
          <cell r="J30">
            <v>0.99609296742514719</v>
          </cell>
          <cell r="K30">
            <v>0.99620743765231456</v>
          </cell>
          <cell r="L30">
            <v>0.99631889199082502</v>
          </cell>
          <cell r="M30">
            <v>0.99642739904760025</v>
          </cell>
        </row>
        <row r="31">
          <cell r="C31">
            <v>2.7</v>
          </cell>
          <cell r="D31">
            <v>0.99653302619695938</v>
          </cell>
          <cell r="E31">
            <v>0.9966358395933308</v>
          </cell>
          <cell r="F31">
            <v>0.99673590418410873</v>
          </cell>
          <cell r="G31">
            <v>0.99683328372264224</v>
          </cell>
          <cell r="H31">
            <v>0.99692804078134956</v>
          </cell>
          <cell r="I31">
            <v>0.99702023676494544</v>
          </cell>
          <cell r="J31">
            <v>0.99710993192377384</v>
          </cell>
          <cell r="K31">
            <v>0.99719718536723501</v>
          </cell>
          <cell r="L31">
            <v>0.99728205507729872</v>
          </cell>
          <cell r="M31">
            <v>0.99736459792209509</v>
          </cell>
        </row>
        <row r="32">
          <cell r="C32">
            <v>2.8</v>
          </cell>
          <cell r="D32">
            <v>0.99744486966957213</v>
          </cell>
          <cell r="E32">
            <v>0.9975229250012142</v>
          </cell>
          <cell r="F32">
            <v>0.99759881752581081</v>
          </cell>
          <cell r="G32">
            <v>0.9976725997932685</v>
          </cell>
          <cell r="H32">
            <v>0.99774432330845764</v>
          </cell>
          <cell r="I32">
            <v>0.99781403854508677</v>
          </cell>
          <cell r="J32">
            <v>0.99788179495959539</v>
          </cell>
          <cell r="K32">
            <v>0.99794764100506028</v>
          </cell>
          <cell r="L32">
            <v>0.99801162414510569</v>
          </cell>
          <cell r="M32">
            <v>0.99807379086781212</v>
          </cell>
        </row>
        <row r="33">
          <cell r="C33">
            <v>2.9</v>
          </cell>
          <cell r="D33">
            <v>0.99813418669961596</v>
          </cell>
          <cell r="E33">
            <v>0.99819285621919362</v>
          </cell>
          <cell r="F33">
            <v>0.99824984307132392</v>
          </cell>
          <cell r="G33">
            <v>0.99830518998072271</v>
          </cell>
          <cell r="H33">
            <v>0.99835893876584303</v>
          </cell>
          <cell r="I33">
            <v>0.99841113035263518</v>
          </cell>
          <cell r="J33">
            <v>0.99846180478826196</v>
          </cell>
          <cell r="K33">
            <v>0.99851100125476255</v>
          </cell>
          <cell r="L33">
            <v>0.99855875808266004</v>
          </cell>
          <cell r="M33">
            <v>0.99860511276450781</v>
          </cell>
        </row>
        <row r="34">
          <cell r="C34">
            <v>3</v>
          </cell>
          <cell r="D34">
            <v>0.9986501019683699</v>
          </cell>
          <cell r="E34">
            <v>0.99869376155123057</v>
          </cell>
          <cell r="F34">
            <v>0.99873612657232769</v>
          </cell>
          <cell r="G34">
            <v>0.99877723130640772</v>
          </cell>
          <cell r="H34">
            <v>0.9988171092568956</v>
          </cell>
          <cell r="I34">
            <v>0.99885579316897732</v>
          </cell>
          <cell r="J34">
            <v>0.99889331504259071</v>
          </cell>
          <cell r="K34">
            <v>0.99892970614532106</v>
          </cell>
          <cell r="L34">
            <v>0.99896499702519714</v>
          </cell>
          <cell r="M34">
            <v>0.99899921752338594</v>
          </cell>
        </row>
        <row r="35">
          <cell r="C35">
            <v>3.1</v>
          </cell>
          <cell r="D35">
            <v>0.99903239678678168</v>
          </cell>
          <cell r="E35">
            <v>0.99906456328048587</v>
          </cell>
          <cell r="F35">
            <v>0.99909574480017771</v>
          </cell>
          <cell r="G35">
            <v>0.99912596848436841</v>
          </cell>
          <cell r="H35">
            <v>0.99915526082654138</v>
          </cell>
          <cell r="I35">
            <v>0.99918364768717149</v>
          </cell>
          <cell r="J35">
            <v>0.99921115430562446</v>
          </cell>
          <cell r="K35">
            <v>0.99923780531193274</v>
          </cell>
          <cell r="L35">
            <v>0.9992636247384461</v>
          </cell>
          <cell r="M35">
            <v>0.99928863603135465</v>
          </cell>
        </row>
        <row r="36">
          <cell r="C36">
            <v>3.2</v>
          </cell>
          <cell r="D36">
            <v>0.99931286206208414</v>
          </cell>
          <cell r="E36">
            <v>0.99933632513856008</v>
          </cell>
          <cell r="F36">
            <v>0.99935904701633993</v>
          </cell>
          <cell r="G36">
            <v>0.99938104890961321</v>
          </cell>
          <cell r="H36">
            <v>0.99940235150206558</v>
          </cell>
          <cell r="I36">
            <v>0.99942297495760923</v>
          </cell>
          <cell r="J36">
            <v>0.99944293893097536</v>
          </cell>
          <cell r="K36">
            <v>0.99946226257817028</v>
          </cell>
          <cell r="L36">
            <v>0.99948096456679303</v>
          </cell>
          <cell r="M36">
            <v>0.99949906308621428</v>
          </cell>
        </row>
        <row r="37">
          <cell r="C37">
            <v>3.3</v>
          </cell>
          <cell r="D37">
            <v>0.99951657585761622</v>
          </cell>
          <cell r="E37">
            <v>0.99953352014389241</v>
          </cell>
          <cell r="F37">
            <v>0.99954991275940785</v>
          </cell>
          <cell r="G37">
            <v>0.99956577007961833</v>
          </cell>
          <cell r="H37">
            <v>0.99958110805054967</v>
          </cell>
          <cell r="I37">
            <v>0.99959594219813597</v>
          </cell>
          <cell r="J37">
            <v>0.99961028763741799</v>
          </cell>
          <cell r="K37">
            <v>0.99962415908159996</v>
          </cell>
          <cell r="L37">
            <v>0.99963757085096694</v>
          </cell>
          <cell r="M37">
            <v>0.99965053688166206</v>
          </cell>
        </row>
        <row r="38">
          <cell r="C38">
            <v>3.4</v>
          </cell>
          <cell r="D38">
            <v>0.99966307073432314</v>
          </cell>
          <cell r="E38">
            <v>0.99967518560258117</v>
          </cell>
          <cell r="F38">
            <v>0.99968689432141877</v>
          </cell>
          <cell r="G38">
            <v>0.99969820937539133</v>
          </cell>
          <cell r="H38">
            <v>0.99970914290670931</v>
          </cell>
          <cell r="I38">
            <v>0.99971970672318378</v>
          </cell>
          <cell r="J38">
            <v>0.99972991230603647</v>
          </cell>
          <cell r="K38">
            <v>0.99973977081757248</v>
          </cell>
          <cell r="L38">
            <v>0.99974929310871952</v>
          </cell>
          <cell r="M38">
            <v>0.99975848972643222</v>
          </cell>
        </row>
        <row r="39">
          <cell r="C39">
            <v>3.5</v>
          </cell>
          <cell r="D39">
            <v>0.99977000000000005</v>
          </cell>
          <cell r="E39">
            <v>0.99978</v>
          </cell>
          <cell r="F39">
            <v>0.99978</v>
          </cell>
          <cell r="G39">
            <v>0.99978999999999996</v>
          </cell>
          <cell r="H39">
            <v>0.99980000000000002</v>
          </cell>
          <cell r="I39">
            <v>0.99980999999999998</v>
          </cell>
          <cell r="J39">
            <v>0.99980999999999998</v>
          </cell>
          <cell r="K39">
            <v>0.99982000000000004</v>
          </cell>
          <cell r="L39">
            <v>0.99983</v>
          </cell>
          <cell r="M39">
            <v>0.99983</v>
          </cell>
        </row>
        <row r="40">
          <cell r="C40">
            <v>3.6</v>
          </cell>
          <cell r="D40">
            <v>0.99983999999999995</v>
          </cell>
          <cell r="E40">
            <v>0.99985000000000002</v>
          </cell>
          <cell r="F40">
            <v>0.99985000000000002</v>
          </cell>
          <cell r="G40">
            <v>0.99985999999999997</v>
          </cell>
          <cell r="H40">
            <v>0.99985999999999997</v>
          </cell>
          <cell r="I40">
            <v>0.99987000000000004</v>
          </cell>
          <cell r="J40">
            <v>0.99987000000000004</v>
          </cell>
          <cell r="K40">
            <v>0.99987999999999999</v>
          </cell>
          <cell r="L40">
            <v>0.99987999999999999</v>
          </cell>
          <cell r="M40">
            <v>0.99988900000000003</v>
          </cell>
        </row>
        <row r="41">
          <cell r="C41">
            <v>3.7</v>
          </cell>
          <cell r="D41">
            <v>0.99988999999999995</v>
          </cell>
          <cell r="E41">
            <v>0.99990000000000001</v>
          </cell>
          <cell r="F41">
            <v>0.99990000000000001</v>
          </cell>
          <cell r="G41">
            <v>0.99990000000000001</v>
          </cell>
          <cell r="H41">
            <v>0.99990999999999997</v>
          </cell>
          <cell r="I41">
            <v>0.99990999999999997</v>
          </cell>
          <cell r="J41">
            <v>0.99992000000000003</v>
          </cell>
          <cell r="K41">
            <v>0.99992000000000003</v>
          </cell>
          <cell r="L41">
            <v>0.99992000000000003</v>
          </cell>
          <cell r="M41">
            <v>0.99992000000000003</v>
          </cell>
        </row>
        <row r="42">
          <cell r="C42">
            <v>3.8</v>
          </cell>
          <cell r="D42">
            <v>0.99992999999999999</v>
          </cell>
          <cell r="E42">
            <v>0.99992999999999999</v>
          </cell>
          <cell r="F42">
            <v>0.99992999999999999</v>
          </cell>
          <cell r="G42">
            <v>0.99994000000000005</v>
          </cell>
          <cell r="H42">
            <v>0.99994000000000005</v>
          </cell>
          <cell r="I42">
            <v>0.99994000000000005</v>
          </cell>
          <cell r="J42">
            <v>0.99994000000000005</v>
          </cell>
          <cell r="K42">
            <v>0.99995000000000001</v>
          </cell>
          <cell r="L42">
            <v>0.99995000000000001</v>
          </cell>
          <cell r="M42">
            <v>0.99995000000000001</v>
          </cell>
        </row>
        <row r="43">
          <cell r="C43">
            <v>3.9</v>
          </cell>
          <cell r="D43">
            <v>0.99995000000000001</v>
          </cell>
          <cell r="E43">
            <v>0.99995000000000001</v>
          </cell>
          <cell r="F43">
            <v>0.99995999999999996</v>
          </cell>
          <cell r="G43">
            <v>0.99995999999999996</v>
          </cell>
          <cell r="H43">
            <v>0.99995999999999996</v>
          </cell>
          <cell r="I43">
            <v>0.99995999999999996</v>
          </cell>
          <cell r="J43">
            <v>0.99995999999999996</v>
          </cell>
          <cell r="K43">
            <v>0.99995999999999996</v>
          </cell>
          <cell r="L43">
            <v>0.99997000000000003</v>
          </cell>
          <cell r="M43">
            <v>0.99997000000000003</v>
          </cell>
        </row>
      </sheetData>
      <sheetData sheetId="1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uno Simão" id="{573ADE1B-AE37-4C03-BC08-B0A6B9689F30}" userId="2e93f55b14f0ea6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00000000}" name="Table48" displayName="Table48" ref="A1:DD63" totalsRowShown="0" headerRowDxfId="108" dataDxfId="107">
  <autoFilter ref="A1:DD63" xr:uid="{00000000-000C-0000-FFFF-FFFF00000000}"/>
  <sortState xmlns:xlrd2="http://schemas.microsoft.com/office/spreadsheetml/2017/richdata2" ref="A2:DD35">
    <sortCondition ref="C1:C63"/>
  </sortState>
  <tableColumns count="108">
    <tableColumn id="3" xr3:uid="{00000000-0010-0000-0000-000003000000}" name="ID" dataDxfId="106"/>
    <tableColumn id="914" xr3:uid="{A9D51535-C3EA-0F4A-BAB4-7F21E721FA5B}" name="GROUP" dataDxfId="105"/>
    <tableColumn id="16" xr3:uid="{F01655BD-7D0D-3D45-B168-C7D88B3E859C}" name="MOMENT" dataDxfId="104"/>
    <tableColumn id="18" xr3:uid="{00000000-0010-0000-0000-000012000000}" name="IMPAIRMENT" dataDxfId="103"/>
    <tableColumn id="194" xr3:uid="{FFCE156B-7BD0-4B41-B075-B6E10EC0B060}" name="ETIOLOGY" dataDxfId="102"/>
    <tableColumn id="6" xr3:uid="{00000000-0010-0000-0000-000006000000}" name="AGE" dataDxfId="3"/>
    <tableColumn id="7" xr3:uid="{00000000-0010-0000-0000-000007000000}" name="SEX" dataDxfId="101"/>
    <tableColumn id="233" xr3:uid="{00000000-0010-0000-0000-0000E9000000}" name="ETHNICITY" dataDxfId="100"/>
    <tableColumn id="732" xr3:uid="{00000000-0010-0000-0000-0000DC020000}" name="BMI" dataDxfId="99">
      <calculatedColumnFormula>IF(Table48[[#This Row],[WEIGHT]]="","",Table48[[#This Row],[WEIGHT]]/((Table48[[#This Row],[HEIGHT]])^2))</calculatedColumnFormula>
    </tableColumn>
    <tableColumn id="226" xr3:uid="{00000000-0010-0000-0000-0000E2000000}" name="WC" dataDxfId="98"/>
    <tableColumn id="720" xr3:uid="{00000000-0010-0000-0000-0000D0020000}" name="WEIGHT" dataDxfId="97"/>
    <tableColumn id="717" xr3:uid="{00000000-0010-0000-0000-0000CD020000}" name="HEIGHT" dataDxfId="96"/>
    <tableColumn id="712" xr3:uid="{00000000-0010-0000-0000-0000C8020000}" name="FFMI" dataDxfId="95"/>
    <tableColumn id="711" xr3:uid="{00000000-0010-0000-0000-0000C7020000}" name="FMI" dataDxfId="94"/>
    <tableColumn id="80" xr3:uid="{36A66FFC-C517-4CCA-AEB2-689B0DC9EB11}" name="HR_MAX_EST" dataDxfId="93">
      <calculatedColumnFormula>IF(Table48[[#This Row],[IMPAIRMENT]]="","",IF(Table48[[#This Row],[IMPAIRMENT]]="DS",210-0.56*Table48[[#This Row],[AGE]]-15.5*2,IF(Table48[[#This Row],[IMPAIRMENT]]="ID",210-0.56*Table48[[#This Row],[AGE]]-15.5,208-0.7*Table48[[#This Row],[AGE]])))</calculatedColumnFormula>
    </tableColumn>
    <tableColumn id="847" xr3:uid="{A3022E5C-67E5-5A49-AE0D-E4FE0E8D4304}" name="VO2_PEAK" dataDxfId="92"/>
    <tableColumn id="845" xr3:uid="{E1FBEAA3-B390-E84A-BB56-B75098C797B6}" name="RQ_PEAK" dataDxfId="91"/>
    <tableColumn id="843" xr3:uid="{FD311821-1B1D-C944-92C7-0539E0954FCF}" name="VO2_KG_PEAK" dataDxfId="90"/>
    <tableColumn id="842" xr3:uid="{959DFEA0-C14C-5A4F-B4B7-A74449C87B9D}" name="METS_PEAK" dataDxfId="89"/>
    <tableColumn id="841" xr3:uid="{D20F1707-7758-D444-A421-5FC8A66940CF}" name="HR_PEAK" dataDxfId="88"/>
    <tableColumn id="208" xr3:uid="{C624773A-8DBD-444B-8197-B3E7E5162731}" name="AT_HRR"/>
    <tableColumn id="364" xr3:uid="{D044CCBF-C113-4F7F-8E83-A1F9469B8CEC}" name="RC_HRR"/>
    <tableColumn id="365" xr3:uid="{AED4D182-948D-4EC1-A9F9-60BB3BA843B5}" name="AT_VO2R"/>
    <tableColumn id="366" xr3:uid="{17D64C3B-66DE-4ABF-AB1F-34B2C31806CE}" name="RC_VO2R"/>
    <tableColumn id="875" xr3:uid="{48FF4DF7-EF31-9C42-9134-81D2BF8B30CE}" name="HANDGRIP_RIGHT" dataDxfId="87"/>
    <tableColumn id="40" xr3:uid="{00000000-0010-0000-0000-000028000000}" name="HANDGRIP_LEFT" dataDxfId="86">
      <calculatedColumnFormula>IF(#REF!="","",IF(#REF!="Bem Acima da Média",5,IF(#REF!="Acima da Média",4,IF(OR(#REF!="Média",#REF!="Média"),3,IF(#REF!="Abaixo da Média",2,IF(#REF!="Bem Abaixo da Média",1,))))))</calculatedColumnFormula>
    </tableColumn>
    <tableColumn id="753" xr3:uid="{00000000-0010-0000-0000-0000F1020000}" name="COMPLIOR_bSBP" dataDxfId="85"/>
    <tableColumn id="752" xr3:uid="{00000000-0010-0000-0000-0000F0020000}" name="COMPLIOR_bDBP" dataDxfId="84"/>
    <tableColumn id="751" xr3:uid="{00000000-0010-0000-0000-0000EF020000}" name="COMPLIOR_bPP" dataDxfId="83"/>
    <tableColumn id="750" xr3:uid="{00000000-0010-0000-0000-0000EE020000}" name="COMPLIOR_bMAP" dataDxfId="82"/>
    <tableColumn id="749" xr3:uid="{00000000-0010-0000-0000-0000ED020000}" name="COMPLIOR_HR" dataDxfId="81"/>
    <tableColumn id="741" xr3:uid="{00000000-0010-0000-0000-0000E5020000}" name="CF_PWV" dataDxfId="80"/>
    <tableColumn id="27" xr3:uid="{388AB3F1-5AD8-784F-86FA-5A46AF75BC87}" name="CD_PWV" dataDxfId="79"/>
    <tableColumn id="400" xr3:uid="{00000000-0010-0000-0000-000090010000}" name="COMPLIOR_cSBP" dataDxfId="78"/>
    <tableColumn id="378" xr3:uid="{00000000-0010-0000-0000-00007A010000}" name="COMPLIOR_cDBP" dataDxfId="77"/>
    <tableColumn id="358" xr3:uid="{00000000-0010-0000-0000-000066010000}" name="COMPLIOR_cMAP" dataDxfId="76"/>
    <tableColumn id="341" xr3:uid="{00000000-0010-0000-0000-000055010000}" name="COMPLIOR_cPP" dataDxfId="75">
      <calculatedColumnFormula>Table48[[#This Row],[COMPLIOR_cSBP]]-Table48[[#This Row],[COMPLIOR_cDBP]]</calculatedColumnFormula>
    </tableColumn>
    <tableColumn id="223" xr3:uid="{00000000-0010-0000-0000-0000DF000000}" name="QOF_P1 " dataDxfId="74"/>
    <tableColumn id="229" xr3:uid="{00000000-0010-0000-0000-0000E5000000}" name="QOF_P2 " dataDxfId="73"/>
    <tableColumn id="230" xr3:uid="{00000000-0010-0000-0000-0000E6000000}" name="QOF_P3" dataDxfId="72"/>
    <tableColumn id="231" xr3:uid="{00000000-0010-0000-0000-0000E7000000}" name="QOF_P4" dataDxfId="71"/>
    <tableColumn id="232" xr3:uid="{00000000-0010-0000-0000-0000E8000000}" name="QOF_P5" dataDxfId="70"/>
    <tableColumn id="234" xr3:uid="{00000000-0010-0000-0000-0000EA000000}" name="QOF_P6" dataDxfId="69"/>
    <tableColumn id="235" xr3:uid="{00000000-0010-0000-0000-0000EB000000}" name="QOF_P7" dataDxfId="68"/>
    <tableColumn id="236" xr3:uid="{00000000-0010-0000-0000-0000EC000000}" name="QOF_P8" dataDxfId="67"/>
    <tableColumn id="237" xr3:uid="{00000000-0010-0000-0000-0000ED000000}" name="QOF_P9" dataDxfId="66"/>
    <tableColumn id="238" xr3:uid="{00000000-0010-0000-0000-0000EE000000}" name="QOF_P10" dataDxfId="65"/>
    <tableColumn id="240" xr3:uid="{00000000-0010-0000-0000-0000F0000000}" name="QOF_P11" dataDxfId="64"/>
    <tableColumn id="244" xr3:uid="{00000000-0010-0000-0000-0000F4000000}" name="QOF_P12" dataDxfId="63"/>
    <tableColumn id="245" xr3:uid="{00000000-0010-0000-0000-0000F5000000}" name="QOF_P13" dataDxfId="62"/>
    <tableColumn id="247" xr3:uid="{00000000-0010-0000-0000-0000F7000000}" name="QOF_P14" dataDxfId="61"/>
    <tableColumn id="248" xr3:uid="{00000000-0010-0000-0000-0000F8000000}" name="QOF_P15" dataDxfId="60"/>
    <tableColumn id="249" xr3:uid="{00000000-0010-0000-0000-0000F9000000}" name="QOF_P16" dataDxfId="59"/>
    <tableColumn id="251" xr3:uid="{00000000-0010-0000-0000-0000FB000000}" name="QOF_P17" dataDxfId="58"/>
    <tableColumn id="252" xr3:uid="{00000000-0010-0000-0000-0000FC000000}" name="QOF_P18" dataDxfId="57"/>
    <tableColumn id="253" xr3:uid="{00000000-0010-0000-0000-0000FD000000}" name="QOF_P19" dataDxfId="56"/>
    <tableColumn id="258" xr3:uid="{00000000-0010-0000-0000-000002010000}" name="QOF_P20" dataDxfId="55"/>
    <tableColumn id="259" xr3:uid="{00000000-0010-0000-0000-000003010000}" name="QOF_P21" dataDxfId="54"/>
    <tableColumn id="260" xr3:uid="{00000000-0010-0000-0000-000004010000}" name="QOF_P22" dataDxfId="53"/>
    <tableColumn id="262" xr3:uid="{00000000-0010-0000-0000-000006010000}" name="QOF_P23" dataDxfId="52"/>
    <tableColumn id="263" xr3:uid="{00000000-0010-0000-0000-000007010000}" name="QOF_P24" dataDxfId="51"/>
    <tableColumn id="264" xr3:uid="{00000000-0010-0000-0000-000008010000}" name="QOF_P25" dataDxfId="50"/>
    <tableColumn id="265" xr3:uid="{00000000-0010-0000-0000-000009010000}" name="QOF_P26" dataDxfId="49"/>
    <tableColumn id="266" xr3:uid="{00000000-0010-0000-0000-00000A010000}" name="QOF_P27" dataDxfId="48"/>
    <tableColumn id="267" xr3:uid="{00000000-0010-0000-0000-00000B010000}" name="QOF_P28" dataDxfId="47"/>
    <tableColumn id="268" xr3:uid="{00000000-0010-0000-0000-00000C010000}" name="QOF_P29" dataDxfId="46"/>
    <tableColumn id="269" xr3:uid="{00000000-0010-0000-0000-00000D010000}" name="QOF_P30" dataDxfId="45"/>
    <tableColumn id="270" xr3:uid="{00000000-0010-0000-0000-00000E010000}" name="QOF_P31" dataDxfId="44"/>
    <tableColumn id="271" xr3:uid="{00000000-0010-0000-0000-00000F010000}" name="QOF_P32" dataDxfId="43"/>
    <tableColumn id="272" xr3:uid="{00000000-0010-0000-0000-000010010000}" name="QOF_P33" dataDxfId="42"/>
    <tableColumn id="273" xr3:uid="{00000000-0010-0000-0000-000011010000}" name="QOF_P34" dataDxfId="41"/>
    <tableColumn id="274" xr3:uid="{00000000-0010-0000-0000-000012010000}" name="QOF_P35" dataDxfId="40"/>
    <tableColumn id="275" xr3:uid="{00000000-0010-0000-0000-000013010000}" name="QOF_P36" dataDxfId="39"/>
    <tableColumn id="276" xr3:uid="{00000000-0010-0000-0000-000014010000}" name="QOF_P37" dataDxfId="38"/>
    <tableColumn id="278" xr3:uid="{00000000-0010-0000-0000-000016010000}" name="QOF_P38" dataDxfId="37"/>
    <tableColumn id="279" xr3:uid="{00000000-0010-0000-0000-000017010000}" name="QOF_P39" dataDxfId="36"/>
    <tableColumn id="280" xr3:uid="{00000000-0010-0000-0000-000018010000}" name="QOF_P40" dataDxfId="35"/>
    <tableColumn id="138" xr3:uid="{57422EB2-F76E-4AB7-8A9B-EDBC090B0372}" name="WD_WALKING_MINUTES" dataDxfId="34"/>
    <tableColumn id="224" xr3:uid="{EA044477-0E5F-450C-8088-0DDA7AE03C3A}" name="WD_WALKING_DAYS" dataDxfId="33"/>
    <tableColumn id="225" xr3:uid="{84D208D5-BC7B-4606-A26C-325260CAC608}" name="WD_MODERATE_MINUTES" dataDxfId="32"/>
    <tableColumn id="242" xr3:uid="{FA25DE4D-2495-46FB-A8F2-A9AAA2AB89B3}" name="WD_MODERATE_DAYS" dataDxfId="31"/>
    <tableColumn id="243" xr3:uid="{BD5F0AAC-1761-4FE7-8F50-5AE5C740175E}" name="WD_VIGOROUS_MINUTES" dataDxfId="30"/>
    <tableColumn id="294" xr3:uid="{5B627F0C-916B-458A-B941-3220D725DBCE}" name="WD_VIGOROUS_DAYS" dataDxfId="29"/>
    <tableColumn id="306" xr3:uid="{725A05F9-C2BF-40AF-BDE9-13EA9D049601}" name="TD_WALKING_MINUTES" dataDxfId="28"/>
    <tableColumn id="307" xr3:uid="{273D70E9-AD4F-49B1-A6ED-FEC41CF575ED}" name="TD_WALKING_DAYS" dataDxfId="27"/>
    <tableColumn id="313" xr3:uid="{B804AF76-A87A-44A6-851E-A8C6B1AEBB5C}" name="TD_CYCLE_MINUTES" dataDxfId="26"/>
    <tableColumn id="314" xr3:uid="{3DAEF7C8-4BC9-465B-902F-F222C226705F}" name="TD_CYCLE_DAYS" dataDxfId="25"/>
    <tableColumn id="318" xr3:uid="{950CD5C1-18F9-4F13-9689-5241B1F25CD6}" name="DGD_VIGOROUS_MINUTES" dataDxfId="24"/>
    <tableColumn id="319" xr3:uid="{6BBFBC13-8F4E-427E-A30C-B64DD0234EDB}" name="DGD_VIGOROUS_DAYS" dataDxfId="23">
      <calculatedColumnFormula>8*Table48[[#This Row],[WD_VIGOROUS_MINUTES]]</calculatedColumnFormula>
    </tableColumn>
    <tableColumn id="321" xr3:uid="{EF55F69B-752F-4480-B23A-2A472FA4EC10}" name="DGD_YMODERATE_MINUTES" dataDxfId="22">
      <calculatedColumnFormula>#REF!+#REF!+#REF!</calculatedColumnFormula>
    </tableColumn>
    <tableColumn id="295" xr3:uid="{88277544-7532-46C9-A471-4242EC558B81}" name="DGD_YMODERATE_DAYS" dataDxfId="21"/>
    <tableColumn id="326" xr3:uid="{16B44829-5205-4B62-B62A-2EEAF6A630B8}" name="DGD_DMODERATE_MINUTES" dataDxfId="20"/>
    <tableColumn id="327" xr3:uid="{4C9BB911-84A8-4FD0-97AD-CA4ABBA26112}" name="DGD_DMODERATE_DAYS" dataDxfId="19"/>
    <tableColumn id="331" xr3:uid="{FE045B2A-BC5F-4206-8AB7-673F2CE953BC}" name="LTD_WALKING_MINUTES" dataDxfId="18"/>
    <tableColumn id="332" xr3:uid="{7CBA6977-FB44-4A8D-BCD0-7F260DE82D7B}" name="LTD_WALKING_DAYS" dataDxfId="17"/>
    <tableColumn id="335" xr3:uid="{B34E537C-D676-4312-B464-CD7201D3F030}" name="LTD_MODERATE_MINUTES" dataDxfId="16"/>
    <tableColumn id="336" xr3:uid="{64CBE63C-66EC-4D1F-9B19-64C2A8D31BD7}" name="LTD_MODERATE_DAYS" dataDxfId="15"/>
    <tableColumn id="339" xr3:uid="{CC344D41-A020-4078-B7BC-0CE0704A1E6D}" name="LTD_VIGOROUS_MINUTES" dataDxfId="14"/>
    <tableColumn id="340" xr3:uid="{A4D2FEF9-A50E-4C03-AA21-C03624DBCF40}" name="LTD_VIGOROUS_DAYS" dataDxfId="13"/>
    <tableColumn id="345" xr3:uid="{9C860DA8-C8A7-4479-8EF2-DEF4E73279E6}" name="SIT_WEEK_MINUTES" dataDxfId="12"/>
    <tableColumn id="346" xr3:uid="{F8A78D22-3F35-4BFD-9BCB-3599CC72AD9C}" name="SIT_WKEND_MINUTES" dataDxfId="11"/>
    <tableColumn id="153" xr3:uid="{5307CEDB-E985-4A0D-A630-B2B43B6FA531}" name="IMT_D_MAX" dataDxfId="10"/>
    <tableColumn id="154" xr3:uid="{7B4FF7F6-705D-4A7E-A058-6EE8EEF4E4CC}" name="IMT_D_MIN" dataDxfId="9"/>
    <tableColumn id="155" xr3:uid="{7D955E6F-143C-42B7-A904-E8BF6C80B4B9}" name="IMT_AVG_D" dataDxfId="8"/>
    <tableColumn id="203" xr3:uid="{18BE66D4-CADB-401E-991F-D423878A960D}" name="IMT_AVG_Micro" dataDxfId="7">
      <calculatedColumnFormula>Table48[[#This Row],[IMT_AVG_D]]/0.001</calculatedColumnFormula>
    </tableColumn>
    <tableColumn id="156" xr3:uid="{D682E8B2-DEB4-4E0D-A999-6CDD07A41A6C}" name="IMT_SD_D" dataDxfId="6"/>
    <tableColumn id="157" xr3:uid="{FF78B90D-36CA-42A6-AE68-94988BB77E95}" name="IMT_POINTS_D" dataDxfId="5"/>
    <tableColumn id="158" xr3:uid="{F04E6BAF-4947-4900-AA52-4D65F44228CB}" name="IMT_WIDTH_D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1-08-10T17:31:53.80" personId="{573ADE1B-AE37-4C03-BC08-B0A6B9689F30}" id="{419944E5-8A66-40B8-92D8-4F109C3462F8}">
    <text>GDD - Global Development Delay (IDD)
ASD - Autism Spectrum Disorder
WS - Williams Syndrome
Reference: Diagnostic and Statistical Manual of Mental Disorders - Fifht Edition - DSM-5</text>
  </threadedComment>
  <threadedComment ref="BZ1" dT="2021-02-10T09:02:28.18" personId="{573ADE1B-AE37-4C03-BC08-B0A6B9689F30}" id="{D0EFFD6E-6C58-4EBC-9965-D64CB9CB4A38}">
    <text>IPAQ PRÉ CONFINAMENTO</text>
  </threadedComment>
  <threadedComment ref="Y4" dT="2021-04-08T08:57:15.04" personId="{573ADE1B-AE37-4C03-BC08-B0A6B9689F30}" id="{C4E435F4-46F5-45EC-A16F-B3ABCE1239F2}">
    <text>Não consegue realizar com o braço direito devido a limitações físicas</text>
  </threadedComment>
  <threadedComment ref="R13" dT="2021-07-31T11:35:42.63" personId="{573ADE1B-AE37-4C03-BC08-B0A6B9689F30}" id="{D245EBD3-004D-4FEB-B2A4-9CBC19226D96}">
    <text>10.24</text>
  </threadedComment>
  <threadedComment ref="R16" dT="2021-07-31T08:36:32.27" personId="{573ADE1B-AE37-4C03-BC08-B0A6B9689F30}" id="{79F8A5C2-BE2A-4252-AA24-03545B2484A8}">
    <text>32.90 na passadeira
Valor nas células é uma redução de 11% do VO2 peak que representa a diferença entre passadeira e cicloergometro</text>
  </threadedComment>
  <threadedComment ref="Y21" dT="2021-04-27T14:49:02.10" personId="{573ADE1B-AE37-4C03-BC08-B0A6B9689F30}" id="{A7955661-F976-4737-AAA4-9E3A080A74B7}">
    <text>Não consegue realizar com o braço direito devido a limitações físicas</text>
  </threadedComment>
  <threadedComment ref="AL32" dT="2021-04-27T18:47:15.22" personId="{573ADE1B-AE37-4C03-BC08-B0A6B9689F30}" id="{E55CFFC2-4FA8-44EB-99BB-C4AF37AA5F28}">
    <text>M3 EPR - Final sessões online</text>
  </threadedComment>
  <threadedComment ref="BZ32" dT="2021-04-28T17:39:45.72" personId="{573ADE1B-AE37-4C03-BC08-B0A6B9689F30}" id="{6AF35BBC-510E-4A9C-A505-A1ACE3BD76D1}">
    <text>IPAQ M3 - FINAL SESSÕES ONLINE</text>
  </threadedComment>
  <threadedComment ref="R33" dT="2021-07-31T08:36:41.80" personId="{573ADE1B-AE37-4C03-BC08-B0A6B9689F30}" id="{01F2024E-C166-46F3-B262-93E95C4565D8}">
    <text>27.8 na passadeira</text>
  </threadedComment>
  <threadedComment ref="R49" dT="2021-07-31T08:36:54.96" personId="{573ADE1B-AE37-4C03-BC08-B0A6B9689F30}" id="{5AB6C6C2-3BC4-4919-8EF5-DDF6A121583D}">
    <text>29.38 na passadeira</text>
  </threadedComment>
  <threadedComment ref="R55" dT="2021-07-31T08:37:04.86" personId="{573ADE1B-AE37-4C03-BC08-B0A6B9689F30}" id="{0086E235-06D4-4873-ACB1-559277BCB1E0}">
    <text>31.42 na passadeira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63"/>
  <sheetViews>
    <sheetView tabSelected="1" zoomScaleNormal="100" workbookViewId="0">
      <pane xSplit="3" ySplit="1" topLeftCell="D2" activePane="bottomRight" state="frozen"/>
      <selection pane="topRight" activeCell="H1" sqref="H1"/>
      <selection pane="bottomLeft" activeCell="A2" sqref="A2"/>
      <selection pane="bottomRight" activeCell="F1" sqref="F1:H1048576"/>
    </sheetView>
  </sheetViews>
  <sheetFormatPr baseColWidth="10" defaultColWidth="14.6640625" defaultRowHeight="15"/>
  <cols>
    <col min="1" max="1" width="13.83203125" style="2" bestFit="1" customWidth="1"/>
    <col min="2" max="2" width="13.83203125" style="81" customWidth="1"/>
    <col min="3" max="3" width="11.6640625" style="99" customWidth="1"/>
    <col min="4" max="5" width="14.5" style="81" customWidth="1"/>
    <col min="6" max="6" width="14" bestFit="1" customWidth="1"/>
    <col min="7" max="7" width="10.6640625" style="24" customWidth="1"/>
    <col min="8" max="8" width="17.33203125" style="2" customWidth="1"/>
    <col min="9" max="9" width="14.33203125" customWidth="1"/>
    <col min="10" max="14" width="14.33203125" style="2" customWidth="1"/>
    <col min="15" max="15" width="23.5" bestFit="1" customWidth="1"/>
    <col min="16" max="16" width="19.6640625" style="88" customWidth="1"/>
    <col min="17" max="20" width="19.6640625" style="2" customWidth="1"/>
    <col min="21" max="22" width="19.6640625" style="24" customWidth="1"/>
    <col min="23" max="24" width="19.6640625" style="88" customWidth="1"/>
    <col min="25" max="25" width="21" style="2" customWidth="1"/>
    <col min="26" max="26" width="25.5" style="2" customWidth="1"/>
    <col min="27" max="35" width="36.83203125" customWidth="1"/>
    <col min="36" max="36" width="36.83203125" style="9" customWidth="1"/>
    <col min="37" max="37" width="36.83203125" customWidth="1"/>
    <col min="38" max="38" width="16.6640625" style="2" bestFit="1" customWidth="1"/>
    <col min="39" max="77" width="14.6640625" style="2"/>
    <col min="78" max="78" width="35.33203125" style="78" bestFit="1" customWidth="1"/>
    <col min="79" max="81" width="36.5" style="78" bestFit="1" customWidth="1"/>
    <col min="82" max="82" width="39" style="78" bestFit="1" customWidth="1"/>
    <col min="83" max="83" width="34.5" style="78" bestFit="1" customWidth="1"/>
    <col min="84" max="84" width="36.5" style="78" bestFit="1" customWidth="1"/>
    <col min="85" max="85" width="32" style="78" bestFit="1" customWidth="1"/>
    <col min="86" max="86" width="39" style="78" bestFit="1" customWidth="1"/>
    <col min="87" max="87" width="34.5" style="78" bestFit="1" customWidth="1"/>
    <col min="88" max="88" width="38" style="78" bestFit="1" customWidth="1"/>
    <col min="89" max="89" width="39.33203125" style="78" bestFit="1" customWidth="1"/>
    <col min="90" max="90" width="39" style="78" bestFit="1" customWidth="1"/>
    <col min="91" max="91" width="34.33203125" style="78" bestFit="1" customWidth="1"/>
    <col min="92" max="92" width="42" style="78" bestFit="1" customWidth="1"/>
    <col min="93" max="93" width="37.5" style="78" bestFit="1" customWidth="1"/>
    <col min="94" max="94" width="36" style="78" bestFit="1" customWidth="1"/>
    <col min="95" max="95" width="37.5" style="78" bestFit="1" customWidth="1"/>
    <col min="96" max="96" width="38.6640625" style="78" bestFit="1" customWidth="1"/>
    <col min="97" max="97" width="34" style="78" bestFit="1" customWidth="1"/>
    <col min="98" max="98" width="37.6640625" style="78" bestFit="1" customWidth="1"/>
    <col min="99" max="99" width="33" style="78" bestFit="1" customWidth="1"/>
    <col min="100" max="100" width="29" style="78" bestFit="1" customWidth="1"/>
    <col min="101" max="101" width="32" style="78" bestFit="1" customWidth="1"/>
    <col min="102" max="102" width="19.5" bestFit="1" customWidth="1"/>
    <col min="105" max="105" width="21.33203125" style="9" customWidth="1"/>
    <col min="107" max="107" width="15" customWidth="1"/>
  </cols>
  <sheetData>
    <row r="1" spans="1:108" s="4" customFormat="1" ht="15.5" customHeight="1">
      <c r="A1" s="12" t="s">
        <v>32</v>
      </c>
      <c r="B1" s="79" t="s">
        <v>14</v>
      </c>
      <c r="C1" s="84" t="s">
        <v>13</v>
      </c>
      <c r="D1" s="84" t="s">
        <v>4</v>
      </c>
      <c r="E1" s="84" t="s">
        <v>121</v>
      </c>
      <c r="F1" s="6" t="s">
        <v>1</v>
      </c>
      <c r="G1" s="14" t="s">
        <v>2</v>
      </c>
      <c r="H1" s="14" t="s">
        <v>3</v>
      </c>
      <c r="I1" t="s">
        <v>58</v>
      </c>
      <c r="J1" s="2" t="s">
        <v>7</v>
      </c>
      <c r="K1" s="2" t="s">
        <v>9</v>
      </c>
      <c r="L1" s="2" t="s">
        <v>8</v>
      </c>
      <c r="M1" s="2" t="s">
        <v>6</v>
      </c>
      <c r="N1" s="2" t="s">
        <v>5</v>
      </c>
      <c r="O1" s="5" t="s">
        <v>10</v>
      </c>
      <c r="P1" t="s">
        <v>59</v>
      </c>
      <c r="Q1" t="s">
        <v>60</v>
      </c>
      <c r="R1" t="s">
        <v>62</v>
      </c>
      <c r="S1" t="s">
        <v>61</v>
      </c>
      <c r="T1" t="s">
        <v>63</v>
      </c>
      <c r="U1" t="s">
        <v>132</v>
      </c>
      <c r="V1" t="s">
        <v>133</v>
      </c>
      <c r="W1" t="s">
        <v>134</v>
      </c>
      <c r="X1" t="s">
        <v>135</v>
      </c>
      <c r="Y1" s="15" t="s">
        <v>11</v>
      </c>
      <c r="Z1" s="15" t="s">
        <v>12</v>
      </c>
      <c r="AA1" s="19" t="s">
        <v>65</v>
      </c>
      <c r="AB1" s="20" t="s">
        <v>66</v>
      </c>
      <c r="AC1" s="20" t="s">
        <v>67</v>
      </c>
      <c r="AD1" s="20" t="s">
        <v>68</v>
      </c>
      <c r="AE1" s="20" t="s">
        <v>64</v>
      </c>
      <c r="AF1" s="20" t="s">
        <v>69</v>
      </c>
      <c r="AG1" s="20" t="s">
        <v>70</v>
      </c>
      <c r="AH1" s="20" t="s">
        <v>71</v>
      </c>
      <c r="AI1" s="20" t="s">
        <v>72</v>
      </c>
      <c r="AJ1" s="70" t="s">
        <v>73</v>
      </c>
      <c r="AK1" s="20" t="s">
        <v>74</v>
      </c>
      <c r="AL1" s="37" t="s">
        <v>75</v>
      </c>
      <c r="AM1" s="37" t="s">
        <v>76</v>
      </c>
      <c r="AN1" s="37" t="s">
        <v>77</v>
      </c>
      <c r="AO1" s="37" t="s">
        <v>78</v>
      </c>
      <c r="AP1" s="37" t="s">
        <v>79</v>
      </c>
      <c r="AQ1" s="37" t="s">
        <v>80</v>
      </c>
      <c r="AR1" s="37" t="s">
        <v>81</v>
      </c>
      <c r="AS1" s="37" t="s">
        <v>82</v>
      </c>
      <c r="AT1" s="37" t="s">
        <v>83</v>
      </c>
      <c r="AU1" s="37" t="s">
        <v>84</v>
      </c>
      <c r="AV1" s="37" t="s">
        <v>85</v>
      </c>
      <c r="AW1" s="37" t="s">
        <v>86</v>
      </c>
      <c r="AX1" s="37" t="s">
        <v>87</v>
      </c>
      <c r="AY1" s="37" t="s">
        <v>88</v>
      </c>
      <c r="AZ1" s="37" t="s">
        <v>89</v>
      </c>
      <c r="BA1" s="37" t="s">
        <v>90</v>
      </c>
      <c r="BB1" s="37" t="s">
        <v>91</v>
      </c>
      <c r="BC1" s="37" t="s">
        <v>92</v>
      </c>
      <c r="BD1" s="37" t="s">
        <v>93</v>
      </c>
      <c r="BE1" s="37" t="s">
        <v>94</v>
      </c>
      <c r="BF1" s="37" t="s">
        <v>95</v>
      </c>
      <c r="BG1" s="37" t="s">
        <v>96</v>
      </c>
      <c r="BH1" s="37" t="s">
        <v>97</v>
      </c>
      <c r="BI1" s="37" t="s">
        <v>98</v>
      </c>
      <c r="BJ1" s="37" t="s">
        <v>99</v>
      </c>
      <c r="BK1" s="37" t="s">
        <v>100</v>
      </c>
      <c r="BL1" s="37" t="s">
        <v>101</v>
      </c>
      <c r="BM1" s="37" t="s">
        <v>102</v>
      </c>
      <c r="BN1" s="37" t="s">
        <v>103</v>
      </c>
      <c r="BO1" s="37" t="s">
        <v>104</v>
      </c>
      <c r="BP1" s="37" t="s">
        <v>105</v>
      </c>
      <c r="BQ1" s="37" t="s">
        <v>106</v>
      </c>
      <c r="BR1" s="37" t="s">
        <v>107</v>
      </c>
      <c r="BS1" s="37" t="s">
        <v>108</v>
      </c>
      <c r="BT1" s="37" t="s">
        <v>109</v>
      </c>
      <c r="BU1" s="37" t="s">
        <v>110</v>
      </c>
      <c r="BV1" s="37" t="s">
        <v>111</v>
      </c>
      <c r="BW1" s="37" t="s">
        <v>112</v>
      </c>
      <c r="BX1" s="37" t="s">
        <v>113</v>
      </c>
      <c r="BY1" s="37" t="s">
        <v>114</v>
      </c>
      <c r="BZ1" s="71" t="s">
        <v>34</v>
      </c>
      <c r="CA1" s="71" t="s">
        <v>35</v>
      </c>
      <c r="CB1" s="71" t="s">
        <v>36</v>
      </c>
      <c r="CC1" s="71" t="s">
        <v>37</v>
      </c>
      <c r="CD1" s="71" t="s">
        <v>38</v>
      </c>
      <c r="CE1" s="71" t="s">
        <v>39</v>
      </c>
      <c r="CF1" s="72" t="s">
        <v>40</v>
      </c>
      <c r="CG1" s="72" t="s">
        <v>41</v>
      </c>
      <c r="CH1" s="72" t="s">
        <v>42</v>
      </c>
      <c r="CI1" s="72" t="s">
        <v>43</v>
      </c>
      <c r="CJ1" s="73" t="s">
        <v>44</v>
      </c>
      <c r="CK1" s="73" t="s">
        <v>45</v>
      </c>
      <c r="CL1" s="73" t="s">
        <v>46</v>
      </c>
      <c r="CM1" s="74" t="s">
        <v>47</v>
      </c>
      <c r="CN1" s="75" t="s">
        <v>48</v>
      </c>
      <c r="CO1" s="75" t="s">
        <v>49</v>
      </c>
      <c r="CP1" s="76" t="s">
        <v>50</v>
      </c>
      <c r="CQ1" s="76" t="s">
        <v>51</v>
      </c>
      <c r="CR1" s="76" t="s">
        <v>52</v>
      </c>
      <c r="CS1" s="76" t="s">
        <v>53</v>
      </c>
      <c r="CT1" s="76" t="s">
        <v>54</v>
      </c>
      <c r="CU1" s="76" t="s">
        <v>55</v>
      </c>
      <c r="CV1" s="77" t="s">
        <v>56</v>
      </c>
      <c r="CW1" s="77" t="s">
        <v>57</v>
      </c>
      <c r="CX1" s="97" t="s">
        <v>115</v>
      </c>
      <c r="CY1" s="97" t="s">
        <v>116</v>
      </c>
      <c r="CZ1" s="97" t="s">
        <v>117</v>
      </c>
      <c r="DA1" s="97" t="s">
        <v>130</v>
      </c>
      <c r="DB1" s="97" t="s">
        <v>118</v>
      </c>
      <c r="DC1" s="97" t="s">
        <v>119</v>
      </c>
      <c r="DD1" s="97" t="s">
        <v>120</v>
      </c>
    </row>
    <row r="2" spans="1:108" s="3" customFormat="1" ht="32.5" customHeight="1">
      <c r="A2" s="10" t="s">
        <v>21</v>
      </c>
      <c r="B2" s="82" t="s">
        <v>131</v>
      </c>
      <c r="C2" s="87" t="s">
        <v>126</v>
      </c>
      <c r="D2" s="87" t="s">
        <v>32</v>
      </c>
      <c r="E2" s="87" t="s">
        <v>122</v>
      </c>
      <c r="F2" s="36">
        <v>33</v>
      </c>
      <c r="G2" s="23">
        <v>1</v>
      </c>
      <c r="H2" s="10" t="s">
        <v>0</v>
      </c>
      <c r="I2" s="8">
        <f>IF(Table48[[#This Row],[WEIGHT]]="","",Table48[[#This Row],[WEIGHT]]/((Table48[[#This Row],[HEIGHT]])^2))</f>
        <v>24.374717066545951</v>
      </c>
      <c r="J2" s="88">
        <v>1.05</v>
      </c>
      <c r="K2" s="88">
        <v>86.15</v>
      </c>
      <c r="L2" s="88">
        <v>1.88</v>
      </c>
      <c r="M2" s="88">
        <v>17.53</v>
      </c>
      <c r="N2" s="88">
        <v>6.97</v>
      </c>
      <c r="O2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176.02</v>
      </c>
      <c r="P2" s="1">
        <v>2017.6904380999999</v>
      </c>
      <c r="Q2" s="16">
        <v>1.08</v>
      </c>
      <c r="R2" s="16">
        <v>23.42</v>
      </c>
      <c r="S2" s="16">
        <v>6.7</v>
      </c>
      <c r="T2" s="16">
        <v>154</v>
      </c>
      <c r="U2" s="17">
        <v>95</v>
      </c>
      <c r="V2" s="17">
        <v>132</v>
      </c>
      <c r="W2" s="106">
        <v>14</v>
      </c>
      <c r="X2" s="106">
        <v>17.899999999999999</v>
      </c>
      <c r="Y2" s="13">
        <v>42</v>
      </c>
      <c r="Z2" s="28">
        <v>42</v>
      </c>
      <c r="AA2" s="39">
        <v>127</v>
      </c>
      <c r="AB2" s="39">
        <v>80</v>
      </c>
      <c r="AC2" s="39">
        <v>47</v>
      </c>
      <c r="AD2" s="39">
        <v>96</v>
      </c>
      <c r="AE2" s="39">
        <v>82</v>
      </c>
      <c r="AF2" s="39">
        <v>7.5</v>
      </c>
      <c r="AG2" s="39">
        <v>9.6</v>
      </c>
      <c r="AH2" s="39">
        <v>128</v>
      </c>
      <c r="AI2" s="39">
        <v>80</v>
      </c>
      <c r="AJ2" s="55">
        <f>2/3*Table48[[#This Row],[COMPLIOR_cDBP]]+1/3*Table48[[#This Row],[COMPLIOR_cSBP]]</f>
        <v>96</v>
      </c>
      <c r="AK2" s="39">
        <f>Table48[[#This Row],[COMPLIOR_cSBP]]-Table48[[#This Row],[COMPLIOR_cDBP]]</f>
        <v>48</v>
      </c>
      <c r="AL2" s="43">
        <v>3</v>
      </c>
      <c r="AM2" s="43">
        <v>2</v>
      </c>
      <c r="AN2" s="43">
        <v>1</v>
      </c>
      <c r="AO2" s="43">
        <v>3</v>
      </c>
      <c r="AP2" s="43">
        <v>3</v>
      </c>
      <c r="AQ2" s="43">
        <v>2</v>
      </c>
      <c r="AR2" s="43">
        <v>2</v>
      </c>
      <c r="AS2" s="43">
        <v>2</v>
      </c>
      <c r="AT2" s="43">
        <v>2</v>
      </c>
      <c r="AU2" s="43">
        <v>2</v>
      </c>
      <c r="AV2" s="43">
        <v>2</v>
      </c>
      <c r="AW2" s="43">
        <v>1</v>
      </c>
      <c r="AX2" s="43">
        <v>3</v>
      </c>
      <c r="AY2" s="43">
        <v>2</v>
      </c>
      <c r="AZ2" s="43">
        <v>3</v>
      </c>
      <c r="BA2" s="43">
        <v>2</v>
      </c>
      <c r="BB2" s="43">
        <v>2</v>
      </c>
      <c r="BC2" s="43">
        <v>1</v>
      </c>
      <c r="BD2" s="43">
        <v>1</v>
      </c>
      <c r="BE2" s="43">
        <v>1</v>
      </c>
      <c r="BF2" s="43">
        <v>3</v>
      </c>
      <c r="BG2" s="43">
        <v>2</v>
      </c>
      <c r="BH2" s="43">
        <v>3</v>
      </c>
      <c r="BI2" s="43">
        <v>3</v>
      </c>
      <c r="BJ2" s="43">
        <v>2</v>
      </c>
      <c r="BK2" s="41">
        <v>3</v>
      </c>
      <c r="BL2" s="41">
        <v>2</v>
      </c>
      <c r="BM2" s="41">
        <v>3</v>
      </c>
      <c r="BN2" s="41">
        <v>2</v>
      </c>
      <c r="BO2" s="41">
        <v>2</v>
      </c>
      <c r="BP2" s="43">
        <v>3</v>
      </c>
      <c r="BQ2" s="43">
        <v>3</v>
      </c>
      <c r="BR2" s="43">
        <v>3</v>
      </c>
      <c r="BS2" s="43">
        <v>2</v>
      </c>
      <c r="BT2" s="43">
        <v>1</v>
      </c>
      <c r="BU2" s="43">
        <v>1</v>
      </c>
      <c r="BV2" s="43">
        <v>3</v>
      </c>
      <c r="BW2" s="43">
        <v>2</v>
      </c>
      <c r="BX2" s="43">
        <v>1</v>
      </c>
      <c r="BY2" s="43">
        <v>1</v>
      </c>
      <c r="BZ2" s="100">
        <v>10</v>
      </c>
      <c r="CA2" s="100">
        <v>5</v>
      </c>
      <c r="CB2" s="60">
        <v>30</v>
      </c>
      <c r="CC2" s="60">
        <v>5</v>
      </c>
      <c r="CD2" s="65">
        <v>0</v>
      </c>
      <c r="CE2" s="65">
        <v>0</v>
      </c>
      <c r="CF2" s="100">
        <v>30</v>
      </c>
      <c r="CG2" s="100">
        <v>7</v>
      </c>
      <c r="CH2" s="66">
        <v>0</v>
      </c>
      <c r="CI2" s="66">
        <v>0</v>
      </c>
      <c r="CJ2" s="65">
        <v>0</v>
      </c>
      <c r="CK2" s="66">
        <v>0</v>
      </c>
      <c r="CL2" s="66">
        <v>0</v>
      </c>
      <c r="CM2" s="65">
        <v>0</v>
      </c>
      <c r="CN2" s="65">
        <v>10</v>
      </c>
      <c r="CO2" s="65">
        <v>2</v>
      </c>
      <c r="CP2" s="69">
        <v>30</v>
      </c>
      <c r="CQ2" s="65">
        <v>4</v>
      </c>
      <c r="CR2" s="65">
        <v>30</v>
      </c>
      <c r="CS2" s="65">
        <v>2</v>
      </c>
      <c r="CT2" s="65">
        <v>0</v>
      </c>
      <c r="CU2" s="65">
        <v>0</v>
      </c>
      <c r="CV2" s="103">
        <v>180</v>
      </c>
      <c r="CW2" s="103">
        <v>60</v>
      </c>
      <c r="CX2" s="95">
        <v>0.49</v>
      </c>
      <c r="CY2" s="95">
        <v>0.35</v>
      </c>
      <c r="CZ2" s="95">
        <v>0.37</v>
      </c>
      <c r="DA2" s="96">
        <f>Table48[[#This Row],[IMT_AVG_D]]/0.001</f>
        <v>370</v>
      </c>
      <c r="DB2" s="95">
        <v>0.04</v>
      </c>
      <c r="DC2" s="95">
        <v>214</v>
      </c>
      <c r="DD2" s="95">
        <v>15</v>
      </c>
    </row>
    <row r="3" spans="1:108" s="3" customFormat="1" ht="28" customHeight="1">
      <c r="A3" s="10" t="s">
        <v>27</v>
      </c>
      <c r="B3" s="82" t="s">
        <v>131</v>
      </c>
      <c r="C3" s="87" t="s">
        <v>126</v>
      </c>
      <c r="D3" s="87" t="s">
        <v>32</v>
      </c>
      <c r="E3" s="87" t="s">
        <v>122</v>
      </c>
      <c r="F3" s="36">
        <v>18</v>
      </c>
      <c r="G3" s="23">
        <v>0</v>
      </c>
      <c r="H3" s="10" t="s">
        <v>0</v>
      </c>
      <c r="I3" s="8">
        <f>IF(Table48[[#This Row],[WEIGHT]]="","",Table48[[#This Row],[WEIGHT]]/((Table48[[#This Row],[HEIGHT]])^2))</f>
        <v>24.557752341311129</v>
      </c>
      <c r="J3" s="88">
        <v>0.73</v>
      </c>
      <c r="K3" s="88">
        <v>59</v>
      </c>
      <c r="L3" s="88">
        <v>1.55</v>
      </c>
      <c r="M3" s="88">
        <v>16.16</v>
      </c>
      <c r="N3" s="88">
        <v>8.24</v>
      </c>
      <c r="O3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184.42</v>
      </c>
      <c r="P3" s="1">
        <v>1602.9783221</v>
      </c>
      <c r="Q3" s="16">
        <v>1.03</v>
      </c>
      <c r="R3" s="16">
        <v>27.17</v>
      </c>
      <c r="S3" s="16">
        <v>7.8</v>
      </c>
      <c r="T3" s="16">
        <v>148</v>
      </c>
      <c r="U3" s="17">
        <v>135</v>
      </c>
      <c r="V3" s="17">
        <v>144</v>
      </c>
      <c r="W3" s="106">
        <v>22.8</v>
      </c>
      <c r="X3" s="106">
        <v>26.7</v>
      </c>
      <c r="Y3" s="13">
        <v>12</v>
      </c>
      <c r="Z3" s="28">
        <v>18</v>
      </c>
      <c r="AA3" s="39">
        <v>99</v>
      </c>
      <c r="AB3" s="39">
        <v>68</v>
      </c>
      <c r="AC3" s="39">
        <v>31</v>
      </c>
      <c r="AD3" s="39">
        <v>78</v>
      </c>
      <c r="AE3" s="39">
        <v>80</v>
      </c>
      <c r="AF3" s="39">
        <v>6.1</v>
      </c>
      <c r="AG3" s="39">
        <v>6.3</v>
      </c>
      <c r="AH3" s="39">
        <v>90</v>
      </c>
      <c r="AI3" s="39">
        <v>68</v>
      </c>
      <c r="AJ3" s="55">
        <f>2/3*Table48[[#This Row],[COMPLIOR_cDBP]]+1/3*Table48[[#This Row],[COMPLIOR_cSBP]]</f>
        <v>75.333333333333329</v>
      </c>
      <c r="AK3" s="39">
        <f>Table48[[#This Row],[COMPLIOR_cSBP]]-Table48[[#This Row],[COMPLIOR_cDBP]]</f>
        <v>22</v>
      </c>
      <c r="AL3" s="43">
        <v>2</v>
      </c>
      <c r="AM3" s="43">
        <v>2</v>
      </c>
      <c r="AN3" s="43">
        <v>3</v>
      </c>
      <c r="AO3" s="43">
        <v>3</v>
      </c>
      <c r="AP3" s="43">
        <v>3</v>
      </c>
      <c r="AQ3" s="43">
        <v>2</v>
      </c>
      <c r="AR3" s="43">
        <v>3</v>
      </c>
      <c r="AS3" s="43">
        <v>2</v>
      </c>
      <c r="AT3" s="43">
        <v>2</v>
      </c>
      <c r="AU3" s="43">
        <v>3</v>
      </c>
      <c r="AV3" s="43">
        <v>3</v>
      </c>
      <c r="AW3" s="43">
        <v>1</v>
      </c>
      <c r="AX3" s="43">
        <v>1</v>
      </c>
      <c r="AY3" s="43">
        <v>3</v>
      </c>
      <c r="AZ3" s="43">
        <v>3</v>
      </c>
      <c r="BA3" s="43">
        <v>1</v>
      </c>
      <c r="BB3" s="43">
        <v>1</v>
      </c>
      <c r="BC3" s="43">
        <v>1</v>
      </c>
      <c r="BD3" s="43">
        <v>1</v>
      </c>
      <c r="BE3" s="43">
        <v>1</v>
      </c>
      <c r="BF3" s="43">
        <v>3</v>
      </c>
      <c r="BG3" s="43">
        <v>1</v>
      </c>
      <c r="BH3" s="43">
        <v>3</v>
      </c>
      <c r="BI3" s="43">
        <v>3</v>
      </c>
      <c r="BJ3" s="43">
        <v>1</v>
      </c>
      <c r="BK3" s="43">
        <v>3</v>
      </c>
      <c r="BL3" s="43">
        <v>2</v>
      </c>
      <c r="BM3" s="43">
        <v>3</v>
      </c>
      <c r="BN3" s="43">
        <v>3</v>
      </c>
      <c r="BO3" s="43">
        <v>3</v>
      </c>
      <c r="BP3" s="43">
        <v>1</v>
      </c>
      <c r="BQ3" s="43">
        <v>2</v>
      </c>
      <c r="BR3" s="43">
        <v>3</v>
      </c>
      <c r="BS3" s="43">
        <v>3</v>
      </c>
      <c r="BT3" s="43">
        <v>2</v>
      </c>
      <c r="BU3" s="43">
        <v>1</v>
      </c>
      <c r="BV3" s="43">
        <v>3</v>
      </c>
      <c r="BW3" s="43">
        <v>3</v>
      </c>
      <c r="BX3" s="43">
        <v>1</v>
      </c>
      <c r="BY3" s="43">
        <v>1</v>
      </c>
      <c r="BZ3" s="100">
        <v>0</v>
      </c>
      <c r="CA3" s="100">
        <v>0</v>
      </c>
      <c r="CB3" s="60">
        <v>0</v>
      </c>
      <c r="CC3" s="60">
        <v>0</v>
      </c>
      <c r="CD3" s="100">
        <v>0</v>
      </c>
      <c r="CE3" s="100">
        <v>0</v>
      </c>
      <c r="CF3" s="100">
        <v>10</v>
      </c>
      <c r="CG3" s="100">
        <v>3</v>
      </c>
      <c r="CH3" s="66">
        <v>0</v>
      </c>
      <c r="CI3" s="66">
        <v>0</v>
      </c>
      <c r="CJ3" s="65">
        <v>0</v>
      </c>
      <c r="CK3" s="66">
        <v>0</v>
      </c>
      <c r="CL3" s="66">
        <v>0</v>
      </c>
      <c r="CM3" s="65">
        <v>0</v>
      </c>
      <c r="CN3" s="65">
        <v>30</v>
      </c>
      <c r="CO3" s="65">
        <v>7</v>
      </c>
      <c r="CP3" s="69">
        <v>15</v>
      </c>
      <c r="CQ3" s="65">
        <v>2</v>
      </c>
      <c r="CR3" s="65">
        <v>0</v>
      </c>
      <c r="CS3" s="65">
        <v>0</v>
      </c>
      <c r="CT3" s="65">
        <v>45</v>
      </c>
      <c r="CU3" s="65">
        <v>2</v>
      </c>
      <c r="CV3" s="103">
        <v>720</v>
      </c>
      <c r="CW3" s="103">
        <v>480</v>
      </c>
      <c r="CX3" s="95">
        <v>0.55000000000000004</v>
      </c>
      <c r="CY3" s="95">
        <v>0.43</v>
      </c>
      <c r="CZ3" s="95">
        <v>0.5</v>
      </c>
      <c r="DA3" s="96">
        <f>Table48[[#This Row],[IMT_AVG_D]]/0.001</f>
        <v>500</v>
      </c>
      <c r="DB3" s="95">
        <v>0.04</v>
      </c>
      <c r="DC3" s="95">
        <v>243</v>
      </c>
      <c r="DD3" s="95">
        <v>44453</v>
      </c>
    </row>
    <row r="4" spans="1:108" s="3" customFormat="1" ht="28" customHeight="1">
      <c r="A4" s="10" t="s">
        <v>33</v>
      </c>
      <c r="B4" s="82" t="s">
        <v>131</v>
      </c>
      <c r="C4" s="87" t="s">
        <v>126</v>
      </c>
      <c r="D4" s="87" t="s">
        <v>32</v>
      </c>
      <c r="E4" s="87" t="s">
        <v>32</v>
      </c>
      <c r="F4" s="36">
        <v>17</v>
      </c>
      <c r="G4" s="17">
        <v>0</v>
      </c>
      <c r="H4" s="10" t="s">
        <v>0</v>
      </c>
      <c r="I4" s="8">
        <f>IF(Table48[[#This Row],[WEIGHT]]="","",Table48[[#This Row],[WEIGHT]]/((Table48[[#This Row],[HEIGHT]])^2))</f>
        <v>42.52510387811634</v>
      </c>
      <c r="J4" s="88">
        <v>1.1000000000000001</v>
      </c>
      <c r="K4" s="1">
        <v>98.25</v>
      </c>
      <c r="L4" s="1">
        <v>1.52</v>
      </c>
      <c r="M4" s="1"/>
      <c r="N4" s="1"/>
      <c r="O4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184.98</v>
      </c>
      <c r="P4" s="1">
        <v>2124.1910677000001</v>
      </c>
      <c r="Q4">
        <v>0.96</v>
      </c>
      <c r="R4">
        <v>21.62</v>
      </c>
      <c r="S4">
        <v>6.2</v>
      </c>
      <c r="T4">
        <v>191</v>
      </c>
      <c r="U4" s="9">
        <v>147</v>
      </c>
      <c r="V4" s="9">
        <v>190</v>
      </c>
      <c r="W4" s="27">
        <v>7.3</v>
      </c>
      <c r="X4" s="27">
        <v>18.3</v>
      </c>
      <c r="Y4" s="46"/>
      <c r="Z4" s="28">
        <v>22</v>
      </c>
      <c r="AA4" s="39">
        <v>97</v>
      </c>
      <c r="AB4" s="39">
        <v>80</v>
      </c>
      <c r="AC4" s="39">
        <v>17</v>
      </c>
      <c r="AD4" s="39">
        <v>86</v>
      </c>
      <c r="AE4" s="39">
        <v>94</v>
      </c>
      <c r="AF4" s="39">
        <v>5.3</v>
      </c>
      <c r="AG4" s="39">
        <v>6.7</v>
      </c>
      <c r="AH4" s="39">
        <v>93</v>
      </c>
      <c r="AI4" s="39">
        <v>80</v>
      </c>
      <c r="AJ4" s="55">
        <f>2/3*Table48[[#This Row],[COMPLIOR_cDBP]]+1/3*Table48[[#This Row],[COMPLIOR_cSBP]]</f>
        <v>84.333333333333329</v>
      </c>
      <c r="AK4" s="39">
        <f>Table48[[#This Row],[COMPLIOR_cSBP]]-Table48[[#This Row],[COMPLIOR_cDBP]]</f>
        <v>13</v>
      </c>
      <c r="AL4" s="43">
        <v>3</v>
      </c>
      <c r="AM4" s="43">
        <v>3</v>
      </c>
      <c r="AN4" s="43">
        <v>2</v>
      </c>
      <c r="AO4" s="43">
        <v>3</v>
      </c>
      <c r="AP4" s="43">
        <v>3</v>
      </c>
      <c r="AQ4" s="43">
        <v>3</v>
      </c>
      <c r="AR4" s="43">
        <v>2</v>
      </c>
      <c r="AS4" s="43">
        <v>2</v>
      </c>
      <c r="AT4" s="43">
        <v>2</v>
      </c>
      <c r="AU4" s="43">
        <v>3</v>
      </c>
      <c r="AV4" s="43">
        <v>2</v>
      </c>
      <c r="AW4" s="43">
        <v>2</v>
      </c>
      <c r="AX4" s="43">
        <v>2</v>
      </c>
      <c r="AY4" s="43">
        <v>2</v>
      </c>
      <c r="AZ4" s="43">
        <v>3</v>
      </c>
      <c r="BA4" s="43">
        <v>2</v>
      </c>
      <c r="BB4" s="43">
        <v>2</v>
      </c>
      <c r="BC4" s="43">
        <v>2</v>
      </c>
      <c r="BD4" s="43">
        <v>1</v>
      </c>
      <c r="BE4" s="43">
        <v>2</v>
      </c>
      <c r="BF4" s="43">
        <v>3</v>
      </c>
      <c r="BG4" s="43">
        <v>2</v>
      </c>
      <c r="BH4" s="43">
        <v>3</v>
      </c>
      <c r="BI4" s="43">
        <v>3</v>
      </c>
      <c r="BJ4" s="43">
        <v>3</v>
      </c>
      <c r="BK4" s="41">
        <v>2</v>
      </c>
      <c r="BL4" s="41">
        <v>2</v>
      </c>
      <c r="BM4" s="41">
        <v>2</v>
      </c>
      <c r="BN4" s="41">
        <v>2</v>
      </c>
      <c r="BO4" s="41">
        <v>2</v>
      </c>
      <c r="BP4" s="43">
        <v>3</v>
      </c>
      <c r="BQ4" s="43">
        <v>2</v>
      </c>
      <c r="BR4" s="43">
        <v>3</v>
      </c>
      <c r="BS4" s="43">
        <v>2</v>
      </c>
      <c r="BT4" s="43">
        <v>3</v>
      </c>
      <c r="BU4" s="43">
        <v>1</v>
      </c>
      <c r="BV4" s="43">
        <v>1</v>
      </c>
      <c r="BW4" s="43">
        <v>2</v>
      </c>
      <c r="BX4" s="43">
        <v>1</v>
      </c>
      <c r="BY4" s="43">
        <v>1</v>
      </c>
      <c r="BZ4" s="100">
        <v>30</v>
      </c>
      <c r="CA4" s="100">
        <v>4</v>
      </c>
      <c r="CB4" s="60">
        <v>60</v>
      </c>
      <c r="CC4" s="60">
        <v>4</v>
      </c>
      <c r="CD4" s="100">
        <v>60</v>
      </c>
      <c r="CE4" s="100">
        <v>4</v>
      </c>
      <c r="CF4" s="100">
        <v>30</v>
      </c>
      <c r="CG4" s="100">
        <v>2</v>
      </c>
      <c r="CH4" s="66">
        <v>0</v>
      </c>
      <c r="CI4" s="66">
        <v>0</v>
      </c>
      <c r="CJ4" s="65">
        <v>0</v>
      </c>
      <c r="CK4" s="66">
        <v>0</v>
      </c>
      <c r="CL4" s="66">
        <v>0</v>
      </c>
      <c r="CM4" s="65">
        <v>0</v>
      </c>
      <c r="CN4" s="65">
        <v>0</v>
      </c>
      <c r="CO4" s="65">
        <v>0</v>
      </c>
      <c r="CP4" s="69">
        <v>0</v>
      </c>
      <c r="CQ4" s="65">
        <v>0</v>
      </c>
      <c r="CR4" s="65">
        <v>0</v>
      </c>
      <c r="CS4" s="65">
        <v>0</v>
      </c>
      <c r="CT4" s="65">
        <v>0</v>
      </c>
      <c r="CU4" s="65">
        <v>0</v>
      </c>
      <c r="CV4" s="103">
        <v>180</v>
      </c>
      <c r="CW4" s="103">
        <v>420</v>
      </c>
      <c r="CX4" s="95">
        <v>0.63</v>
      </c>
      <c r="CY4" s="95">
        <v>0.42</v>
      </c>
      <c r="CZ4" s="95">
        <v>0.51</v>
      </c>
      <c r="DA4" s="96">
        <f>Table48[[#This Row],[IMT_AVG_D]]/0.001</f>
        <v>510</v>
      </c>
      <c r="DB4" s="95">
        <v>0.05</v>
      </c>
      <c r="DC4" s="95">
        <v>221</v>
      </c>
      <c r="DD4" s="95">
        <v>44331</v>
      </c>
    </row>
    <row r="5" spans="1:108" s="3" customFormat="1" ht="28" customHeight="1">
      <c r="A5" s="10" t="s">
        <v>28</v>
      </c>
      <c r="B5" s="82" t="s">
        <v>125</v>
      </c>
      <c r="C5" s="87" t="s">
        <v>126</v>
      </c>
      <c r="D5" s="87" t="s">
        <v>32</v>
      </c>
      <c r="E5" s="87" t="s">
        <v>123</v>
      </c>
      <c r="F5" s="36">
        <v>33</v>
      </c>
      <c r="G5" s="23">
        <v>1</v>
      </c>
      <c r="H5" s="10" t="s">
        <v>0</v>
      </c>
      <c r="I5" s="8">
        <f>IF(Table48[[#This Row],[WEIGHT]]="","",Table48[[#This Row],[WEIGHT]]/((Table48[[#This Row],[HEIGHT]])^2))</f>
        <v>33.216411564625858</v>
      </c>
      <c r="J5" s="88">
        <v>1.01</v>
      </c>
      <c r="K5" s="88">
        <v>93.75</v>
      </c>
      <c r="L5" s="88">
        <v>1.68</v>
      </c>
      <c r="M5" s="88">
        <v>20.89</v>
      </c>
      <c r="N5" s="88">
        <v>12.41</v>
      </c>
      <c r="O5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176.02</v>
      </c>
      <c r="P5" s="1">
        <v>2305.9974698000001</v>
      </c>
      <c r="Q5" s="16">
        <v>1.25</v>
      </c>
      <c r="R5" s="16">
        <v>24.6</v>
      </c>
      <c r="S5" s="16">
        <v>7</v>
      </c>
      <c r="T5" s="16">
        <v>161</v>
      </c>
      <c r="U5" s="17">
        <v>134</v>
      </c>
      <c r="V5" s="17">
        <v>145</v>
      </c>
      <c r="W5" s="106">
        <v>15.9</v>
      </c>
      <c r="X5" s="106">
        <v>19.600000000000001</v>
      </c>
      <c r="Y5" s="13">
        <v>20</v>
      </c>
      <c r="Z5" s="28">
        <v>20</v>
      </c>
      <c r="AA5" s="39">
        <v>125</v>
      </c>
      <c r="AB5" s="39">
        <v>80</v>
      </c>
      <c r="AC5" s="39">
        <v>45</v>
      </c>
      <c r="AD5" s="39">
        <v>95</v>
      </c>
      <c r="AE5" s="39">
        <v>93</v>
      </c>
      <c r="AF5" s="39">
        <v>7.1</v>
      </c>
      <c r="AG5" s="39">
        <v>7.2</v>
      </c>
      <c r="AH5" s="39">
        <v>168</v>
      </c>
      <c r="AI5" s="39">
        <v>80</v>
      </c>
      <c r="AJ5" s="55">
        <f>2/3*Table48[[#This Row],[COMPLIOR_cDBP]]+1/3*Table48[[#This Row],[COMPLIOR_cSBP]]</f>
        <v>109.33333333333333</v>
      </c>
      <c r="AK5" s="39">
        <f>Table48[[#This Row],[COMPLIOR_cSBP]]-Table48[[#This Row],[COMPLIOR_cDBP]]</f>
        <v>88</v>
      </c>
      <c r="AL5" s="43">
        <v>3</v>
      </c>
      <c r="AM5" s="43">
        <v>3</v>
      </c>
      <c r="AN5" s="43">
        <v>3</v>
      </c>
      <c r="AO5" s="43">
        <v>3</v>
      </c>
      <c r="AP5" s="43">
        <v>3</v>
      </c>
      <c r="AQ5" s="43">
        <v>3</v>
      </c>
      <c r="AR5" s="43">
        <v>2</v>
      </c>
      <c r="AS5" s="43">
        <v>2</v>
      </c>
      <c r="AT5" s="43">
        <v>2</v>
      </c>
      <c r="AU5" s="43">
        <v>3</v>
      </c>
      <c r="AV5" s="43">
        <v>2</v>
      </c>
      <c r="AW5" s="43">
        <v>2</v>
      </c>
      <c r="AX5" s="43">
        <v>3</v>
      </c>
      <c r="AY5" s="43">
        <v>3</v>
      </c>
      <c r="AZ5" s="43">
        <v>3</v>
      </c>
      <c r="BA5" s="43">
        <v>3</v>
      </c>
      <c r="BB5" s="43">
        <v>3</v>
      </c>
      <c r="BC5" s="43">
        <v>3</v>
      </c>
      <c r="BD5" s="43">
        <v>3</v>
      </c>
      <c r="BE5" s="43">
        <v>3</v>
      </c>
      <c r="BF5" s="43">
        <v>3</v>
      </c>
      <c r="BG5" s="43">
        <v>3</v>
      </c>
      <c r="BH5" s="43">
        <v>3</v>
      </c>
      <c r="BI5" s="43">
        <v>3</v>
      </c>
      <c r="BJ5" s="43">
        <v>2</v>
      </c>
      <c r="BK5" s="41">
        <v>3</v>
      </c>
      <c r="BL5" s="41">
        <v>3</v>
      </c>
      <c r="BM5" s="41">
        <v>3</v>
      </c>
      <c r="BN5" s="41">
        <v>3</v>
      </c>
      <c r="BO5" s="41">
        <v>3</v>
      </c>
      <c r="BP5" s="43">
        <v>3</v>
      </c>
      <c r="BQ5" s="43">
        <v>2</v>
      </c>
      <c r="BR5" s="43">
        <v>3</v>
      </c>
      <c r="BS5" s="43">
        <v>3</v>
      </c>
      <c r="BT5" s="43">
        <v>3</v>
      </c>
      <c r="BU5" s="43">
        <v>1</v>
      </c>
      <c r="BV5" s="43">
        <v>1</v>
      </c>
      <c r="BW5" s="43">
        <v>2</v>
      </c>
      <c r="BX5" s="43">
        <v>1</v>
      </c>
      <c r="BY5" s="43">
        <v>1</v>
      </c>
      <c r="BZ5" s="100">
        <v>10</v>
      </c>
      <c r="CA5" s="100">
        <v>5</v>
      </c>
      <c r="CB5" s="60">
        <v>60</v>
      </c>
      <c r="CC5" s="60">
        <v>5</v>
      </c>
      <c r="CD5" s="100">
        <v>300</v>
      </c>
      <c r="CE5" s="100">
        <v>5</v>
      </c>
      <c r="CF5" s="100">
        <v>30</v>
      </c>
      <c r="CG5" s="100">
        <v>5</v>
      </c>
      <c r="CH5" s="66">
        <v>0</v>
      </c>
      <c r="CI5" s="66">
        <v>0</v>
      </c>
      <c r="CJ5" s="65">
        <v>0</v>
      </c>
      <c r="CK5" s="66">
        <v>0</v>
      </c>
      <c r="CL5" s="66">
        <v>0</v>
      </c>
      <c r="CM5" s="65">
        <v>0</v>
      </c>
      <c r="CN5" s="65">
        <v>30</v>
      </c>
      <c r="CO5" s="65">
        <v>1</v>
      </c>
      <c r="CP5" s="69">
        <v>60</v>
      </c>
      <c r="CQ5" s="65">
        <v>5</v>
      </c>
      <c r="CR5" s="65">
        <v>0</v>
      </c>
      <c r="CS5" s="65">
        <v>0</v>
      </c>
      <c r="CT5" s="65">
        <v>0</v>
      </c>
      <c r="CU5" s="65">
        <v>0</v>
      </c>
      <c r="CV5" s="103">
        <v>240</v>
      </c>
      <c r="CW5" s="103">
        <v>240</v>
      </c>
      <c r="CX5" s="95">
        <v>0.57999999999999996</v>
      </c>
      <c r="CY5" s="95">
        <v>0.42</v>
      </c>
      <c r="CZ5" s="95">
        <v>0.5</v>
      </c>
      <c r="DA5" s="96">
        <f>Table48[[#This Row],[IMT_AVG_D]]/0.001</f>
        <v>500</v>
      </c>
      <c r="DB5" s="95">
        <v>0.03</v>
      </c>
      <c r="DC5" s="95">
        <v>285</v>
      </c>
      <c r="DD5" s="95">
        <v>15</v>
      </c>
    </row>
    <row r="6" spans="1:108" s="3" customFormat="1" ht="28" customHeight="1">
      <c r="A6" s="10" t="s">
        <v>20</v>
      </c>
      <c r="B6" s="82" t="s">
        <v>125</v>
      </c>
      <c r="C6" s="87" t="s">
        <v>126</v>
      </c>
      <c r="D6" s="87" t="s">
        <v>31</v>
      </c>
      <c r="E6" s="87" t="s">
        <v>31</v>
      </c>
      <c r="F6" s="36">
        <v>23</v>
      </c>
      <c r="G6" s="23">
        <v>1</v>
      </c>
      <c r="H6" s="10" t="s">
        <v>0</v>
      </c>
      <c r="I6" s="8">
        <f>IF(Table48[[#This Row],[WEIGHT]]="","",Table48[[#This Row],[WEIGHT]]/((Table48[[#This Row],[HEIGHT]])^2))</f>
        <v>28.895217752462319</v>
      </c>
      <c r="J6" s="88">
        <v>0.94</v>
      </c>
      <c r="K6" s="88">
        <v>73.05</v>
      </c>
      <c r="L6" s="88">
        <v>1.59</v>
      </c>
      <c r="M6" s="88">
        <v>21.54</v>
      </c>
      <c r="N6" s="88">
        <v>7.53</v>
      </c>
      <c r="O6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166.12</v>
      </c>
      <c r="P6" s="1">
        <v>2016.4853724</v>
      </c>
      <c r="Q6" s="16">
        <v>1.05</v>
      </c>
      <c r="R6" s="16">
        <v>27.6</v>
      </c>
      <c r="S6" s="16">
        <v>7.9</v>
      </c>
      <c r="T6" s="16">
        <v>151</v>
      </c>
      <c r="U6" s="17">
        <v>117</v>
      </c>
      <c r="V6" s="17">
        <v>144</v>
      </c>
      <c r="W6" s="106">
        <v>23.3</v>
      </c>
      <c r="X6" s="106">
        <v>28.2</v>
      </c>
      <c r="Y6" s="13">
        <v>32</v>
      </c>
      <c r="Z6" s="28">
        <v>28</v>
      </c>
      <c r="AA6" s="39">
        <v>140</v>
      </c>
      <c r="AB6" s="39">
        <v>76</v>
      </c>
      <c r="AC6" s="39">
        <v>64</v>
      </c>
      <c r="AD6" s="39">
        <v>97</v>
      </c>
      <c r="AE6" s="39">
        <v>59</v>
      </c>
      <c r="AF6" s="39">
        <v>6</v>
      </c>
      <c r="AG6" s="39">
        <v>8.1999999999999993</v>
      </c>
      <c r="AH6" s="39">
        <v>197</v>
      </c>
      <c r="AI6" s="39">
        <v>76</v>
      </c>
      <c r="AJ6" s="55">
        <f>2/3*Table48[[#This Row],[COMPLIOR_cDBP]]+1/3*Table48[[#This Row],[COMPLIOR_cSBP]]</f>
        <v>116.33333333333331</v>
      </c>
      <c r="AK6" s="39">
        <f>Table48[[#This Row],[COMPLIOR_cSBP]]-Table48[[#This Row],[COMPLIOR_cDBP]]</f>
        <v>121</v>
      </c>
      <c r="AL6" s="43">
        <v>3</v>
      </c>
      <c r="AM6" s="43">
        <v>3</v>
      </c>
      <c r="AN6" s="43">
        <v>1</v>
      </c>
      <c r="AO6" s="43">
        <v>3</v>
      </c>
      <c r="AP6" s="43">
        <v>3</v>
      </c>
      <c r="AQ6" s="43">
        <v>3</v>
      </c>
      <c r="AR6" s="43">
        <v>3</v>
      </c>
      <c r="AS6" s="43">
        <v>2</v>
      </c>
      <c r="AT6" s="43">
        <v>3</v>
      </c>
      <c r="AU6" s="43">
        <v>3</v>
      </c>
      <c r="AV6" s="43">
        <v>3</v>
      </c>
      <c r="AW6" s="43">
        <v>2</v>
      </c>
      <c r="AX6" s="43">
        <v>3</v>
      </c>
      <c r="AY6" s="43">
        <v>2</v>
      </c>
      <c r="AZ6" s="43">
        <v>3</v>
      </c>
      <c r="BA6" s="43">
        <v>2</v>
      </c>
      <c r="BB6" s="43">
        <v>2</v>
      </c>
      <c r="BC6" s="43">
        <v>1</v>
      </c>
      <c r="BD6" s="43">
        <v>2</v>
      </c>
      <c r="BE6" s="43">
        <v>1</v>
      </c>
      <c r="BF6" s="43">
        <v>3</v>
      </c>
      <c r="BG6" s="43">
        <v>3</v>
      </c>
      <c r="BH6" s="43">
        <v>2</v>
      </c>
      <c r="BI6" s="43">
        <v>3</v>
      </c>
      <c r="BJ6" s="43">
        <v>3</v>
      </c>
      <c r="BK6" s="41">
        <v>2</v>
      </c>
      <c r="BL6" s="41">
        <v>2</v>
      </c>
      <c r="BM6" s="41">
        <v>2</v>
      </c>
      <c r="BN6" s="41">
        <v>2</v>
      </c>
      <c r="BO6" s="41">
        <v>2</v>
      </c>
      <c r="BP6" s="44">
        <v>3</v>
      </c>
      <c r="BQ6" s="44">
        <v>3</v>
      </c>
      <c r="BR6" s="44">
        <v>2</v>
      </c>
      <c r="BS6" s="44">
        <v>3</v>
      </c>
      <c r="BT6" s="44">
        <v>3</v>
      </c>
      <c r="BU6" s="43">
        <v>3</v>
      </c>
      <c r="BV6" s="43">
        <v>3</v>
      </c>
      <c r="BW6" s="43">
        <v>2</v>
      </c>
      <c r="BX6" s="43">
        <v>3</v>
      </c>
      <c r="BY6" s="43">
        <v>2</v>
      </c>
      <c r="BZ6" s="100">
        <v>0</v>
      </c>
      <c r="CA6" s="100">
        <v>0</v>
      </c>
      <c r="CB6" s="60">
        <v>240</v>
      </c>
      <c r="CC6" s="60">
        <v>6</v>
      </c>
      <c r="CD6" s="65">
        <v>0</v>
      </c>
      <c r="CE6" s="65">
        <v>0</v>
      </c>
      <c r="CF6" s="100">
        <v>30</v>
      </c>
      <c r="CG6" s="100">
        <v>5</v>
      </c>
      <c r="CH6" s="66">
        <v>0</v>
      </c>
      <c r="CI6" s="66">
        <v>0</v>
      </c>
      <c r="CJ6" s="65">
        <v>0</v>
      </c>
      <c r="CK6" s="66">
        <v>0</v>
      </c>
      <c r="CL6" s="66">
        <v>0</v>
      </c>
      <c r="CM6" s="65">
        <v>0</v>
      </c>
      <c r="CN6" s="65">
        <v>30</v>
      </c>
      <c r="CO6" s="65">
        <v>7</v>
      </c>
      <c r="CP6" s="69">
        <v>30</v>
      </c>
      <c r="CQ6" s="65">
        <v>2</v>
      </c>
      <c r="CR6" s="104">
        <v>0</v>
      </c>
      <c r="CS6" s="104">
        <v>0</v>
      </c>
      <c r="CT6" s="65">
        <v>180</v>
      </c>
      <c r="CU6" s="65">
        <v>3</v>
      </c>
      <c r="CV6" s="103">
        <v>120</v>
      </c>
      <c r="CW6" s="103">
        <v>240</v>
      </c>
      <c r="CX6" s="95">
        <v>0.52</v>
      </c>
      <c r="CY6" s="95">
        <v>0.35</v>
      </c>
      <c r="CZ6" s="95">
        <v>0.45</v>
      </c>
      <c r="DA6" s="96">
        <f>Table48[[#This Row],[IMT_AVG_D]]/0.001</f>
        <v>450</v>
      </c>
      <c r="DB6" s="95">
        <v>0.05</v>
      </c>
      <c r="DC6" s="95">
        <v>44</v>
      </c>
      <c r="DD6" s="95">
        <v>15</v>
      </c>
    </row>
    <row r="7" spans="1:108" s="3" customFormat="1" ht="28" customHeight="1">
      <c r="A7" s="10" t="s">
        <v>25</v>
      </c>
      <c r="B7" s="82" t="s">
        <v>125</v>
      </c>
      <c r="C7" s="87" t="s">
        <v>126</v>
      </c>
      <c r="D7" s="87" t="s">
        <v>32</v>
      </c>
      <c r="E7" s="87" t="s">
        <v>32</v>
      </c>
      <c r="F7" s="36">
        <v>37</v>
      </c>
      <c r="G7" s="23">
        <v>1</v>
      </c>
      <c r="H7" s="10" t="s">
        <v>0</v>
      </c>
      <c r="I7" s="8">
        <f>IF(Table48[[#This Row],[WEIGHT]]="","",Table48[[#This Row],[WEIGHT]]/((Table48[[#This Row],[HEIGHT]])^2))</f>
        <v>29.27257977285019</v>
      </c>
      <c r="J7" s="88">
        <v>1.01</v>
      </c>
      <c r="K7" s="88">
        <v>86.6</v>
      </c>
      <c r="L7" s="88">
        <v>1.72</v>
      </c>
      <c r="M7" s="88">
        <v>17.61</v>
      </c>
      <c r="N7" s="88">
        <v>11.76</v>
      </c>
      <c r="O7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173.78</v>
      </c>
      <c r="P7" s="1">
        <v>1807.4452125</v>
      </c>
      <c r="Q7" s="16">
        <v>1.37</v>
      </c>
      <c r="R7" s="16">
        <v>20.87</v>
      </c>
      <c r="S7" s="16">
        <v>6</v>
      </c>
      <c r="T7" s="16">
        <v>179</v>
      </c>
      <c r="U7" s="17">
        <v>122</v>
      </c>
      <c r="V7" s="17">
        <v>162</v>
      </c>
      <c r="W7" s="106">
        <v>8.4</v>
      </c>
      <c r="X7" s="106">
        <v>16.8</v>
      </c>
      <c r="Y7" s="13">
        <v>12</v>
      </c>
      <c r="Z7" s="28">
        <v>14</v>
      </c>
      <c r="AA7" s="39">
        <v>141</v>
      </c>
      <c r="AB7" s="39">
        <v>81</v>
      </c>
      <c r="AC7" s="39">
        <v>60</v>
      </c>
      <c r="AD7" s="39">
        <v>101</v>
      </c>
      <c r="AE7" s="39">
        <v>94</v>
      </c>
      <c r="AF7" s="39">
        <v>8.1999999999999993</v>
      </c>
      <c r="AG7" s="39">
        <v>10.6</v>
      </c>
      <c r="AH7" s="39">
        <v>127</v>
      </c>
      <c r="AI7" s="39">
        <v>81</v>
      </c>
      <c r="AJ7" s="55">
        <f>2/3*Table48[[#This Row],[COMPLIOR_cDBP]]+1/3*Table48[[#This Row],[COMPLIOR_cSBP]]</f>
        <v>96.333333333333329</v>
      </c>
      <c r="AK7" s="39">
        <f>Table48[[#This Row],[COMPLIOR_cSBP]]-Table48[[#This Row],[COMPLIOR_cDBP]]</f>
        <v>46</v>
      </c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100">
        <v>30</v>
      </c>
      <c r="CA7" s="100">
        <v>2</v>
      </c>
      <c r="CB7" s="60">
        <v>0</v>
      </c>
      <c r="CC7" s="60">
        <v>0</v>
      </c>
      <c r="CD7" s="100">
        <v>120</v>
      </c>
      <c r="CE7" s="100">
        <v>2</v>
      </c>
      <c r="CF7" s="100">
        <v>120</v>
      </c>
      <c r="CG7" s="100">
        <v>3</v>
      </c>
      <c r="CH7" s="66">
        <v>0</v>
      </c>
      <c r="CI7" s="66">
        <v>0</v>
      </c>
      <c r="CJ7" s="65">
        <v>0</v>
      </c>
      <c r="CK7" s="66">
        <v>0</v>
      </c>
      <c r="CL7" s="104">
        <v>30</v>
      </c>
      <c r="CM7" s="65">
        <v>3</v>
      </c>
      <c r="CN7" s="65">
        <v>0</v>
      </c>
      <c r="CO7" s="65">
        <v>0</v>
      </c>
      <c r="CP7" s="69">
        <v>20</v>
      </c>
      <c r="CQ7" s="65">
        <v>2</v>
      </c>
      <c r="CR7" s="65">
        <v>0</v>
      </c>
      <c r="CS7" s="65">
        <v>0</v>
      </c>
      <c r="CT7" s="65">
        <v>0</v>
      </c>
      <c r="CU7" s="65">
        <v>0</v>
      </c>
      <c r="CV7" s="103">
        <v>480</v>
      </c>
      <c r="CW7" s="103">
        <v>240</v>
      </c>
      <c r="CX7" s="95">
        <v>0.55000000000000004</v>
      </c>
      <c r="CY7" s="95">
        <v>0.31</v>
      </c>
      <c r="CZ7" s="95">
        <v>0.45</v>
      </c>
      <c r="DA7" s="96">
        <f>Table48[[#This Row],[IMT_AVG_D]]/0.001</f>
        <v>450</v>
      </c>
      <c r="DB7" s="95">
        <v>0.05</v>
      </c>
      <c r="DC7" s="95">
        <v>269</v>
      </c>
      <c r="DD7" s="95">
        <v>44332</v>
      </c>
    </row>
    <row r="8" spans="1:108" s="3" customFormat="1" ht="28" customHeight="1">
      <c r="A8" s="10" t="s">
        <v>19</v>
      </c>
      <c r="B8" s="82" t="s">
        <v>125</v>
      </c>
      <c r="C8" s="87" t="s">
        <v>126</v>
      </c>
      <c r="D8" s="87" t="s">
        <v>32</v>
      </c>
      <c r="E8" s="87" t="s">
        <v>123</v>
      </c>
      <c r="F8" s="36">
        <v>25</v>
      </c>
      <c r="G8" s="23">
        <v>1</v>
      </c>
      <c r="H8" s="10" t="s">
        <v>0</v>
      </c>
      <c r="I8" s="8">
        <f>IF(Table48[[#This Row],[WEIGHT]]="","",Table48[[#This Row],[WEIGHT]]/((Table48[[#This Row],[HEIGHT]])^2))</f>
        <v>20.657414170927684</v>
      </c>
      <c r="J8" s="88">
        <v>0.95</v>
      </c>
      <c r="K8" s="88">
        <v>70.7</v>
      </c>
      <c r="L8" s="88">
        <v>1.85</v>
      </c>
      <c r="M8" s="88">
        <v>16.14</v>
      </c>
      <c r="N8" s="88">
        <v>4.5</v>
      </c>
      <c r="O8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180.5</v>
      </c>
      <c r="P8" s="1">
        <v>1926.8012004</v>
      </c>
      <c r="Q8" s="16">
        <v>1.1299999999999999</v>
      </c>
      <c r="R8" s="16">
        <v>27.25</v>
      </c>
      <c r="S8" s="16">
        <v>7.8</v>
      </c>
      <c r="T8" s="16">
        <v>156</v>
      </c>
      <c r="U8" s="17">
        <v>94</v>
      </c>
      <c r="V8" s="17">
        <v>137</v>
      </c>
      <c r="W8" s="106">
        <v>15.7</v>
      </c>
      <c r="X8" s="106">
        <v>25.8</v>
      </c>
      <c r="Y8" s="13">
        <v>14</v>
      </c>
      <c r="Z8" s="28">
        <v>20</v>
      </c>
      <c r="AA8" s="39">
        <v>118</v>
      </c>
      <c r="AB8" s="39">
        <v>76</v>
      </c>
      <c r="AC8" s="39">
        <v>42</v>
      </c>
      <c r="AD8" s="39">
        <v>90</v>
      </c>
      <c r="AE8" s="39">
        <v>78</v>
      </c>
      <c r="AF8" s="39">
        <v>7</v>
      </c>
      <c r="AG8" s="39">
        <v>8.8000000000000007</v>
      </c>
      <c r="AH8" s="39">
        <v>147</v>
      </c>
      <c r="AI8" s="39">
        <v>76</v>
      </c>
      <c r="AJ8" s="55">
        <f>2/3*Table48[[#This Row],[COMPLIOR_cDBP]]+1/3*Table48[[#This Row],[COMPLIOR_cSBP]]</f>
        <v>99.666666666666657</v>
      </c>
      <c r="AK8" s="39">
        <f>Table48[[#This Row],[COMPLIOR_cSBP]]-Table48[[#This Row],[COMPLIOR_cDBP]]</f>
        <v>71</v>
      </c>
      <c r="AL8" s="43">
        <v>3</v>
      </c>
      <c r="AM8" s="43">
        <v>2</v>
      </c>
      <c r="AN8" s="43">
        <v>3</v>
      </c>
      <c r="AO8" s="43">
        <v>3</v>
      </c>
      <c r="AP8" s="43">
        <v>3</v>
      </c>
      <c r="AQ8" s="43">
        <v>3</v>
      </c>
      <c r="AR8" s="43">
        <v>2</v>
      </c>
      <c r="AS8" s="43">
        <v>2</v>
      </c>
      <c r="AT8" s="43">
        <v>3</v>
      </c>
      <c r="AU8" s="43">
        <v>3</v>
      </c>
      <c r="AV8" s="43">
        <v>2</v>
      </c>
      <c r="AW8" s="43">
        <v>1</v>
      </c>
      <c r="AX8" s="43">
        <v>2</v>
      </c>
      <c r="AY8" s="43">
        <v>2</v>
      </c>
      <c r="AZ8" s="43">
        <v>3</v>
      </c>
      <c r="BA8" s="43">
        <v>2</v>
      </c>
      <c r="BB8" s="43">
        <v>1</v>
      </c>
      <c r="BC8" s="43">
        <v>1</v>
      </c>
      <c r="BD8" s="43">
        <v>1</v>
      </c>
      <c r="BE8" s="43">
        <v>2</v>
      </c>
      <c r="BF8" s="43">
        <v>3</v>
      </c>
      <c r="BG8" s="43">
        <v>3</v>
      </c>
      <c r="BH8" s="43">
        <v>3</v>
      </c>
      <c r="BI8" s="43">
        <v>3</v>
      </c>
      <c r="BJ8" s="43">
        <v>3</v>
      </c>
      <c r="BK8" s="41">
        <v>2</v>
      </c>
      <c r="BL8" s="41">
        <v>2</v>
      </c>
      <c r="BM8" s="41">
        <v>2</v>
      </c>
      <c r="BN8" s="41">
        <v>2</v>
      </c>
      <c r="BO8" s="41">
        <v>2</v>
      </c>
      <c r="BP8" s="43">
        <v>3</v>
      </c>
      <c r="BQ8" s="43">
        <v>3</v>
      </c>
      <c r="BR8" s="43">
        <v>3</v>
      </c>
      <c r="BS8" s="43">
        <v>3</v>
      </c>
      <c r="BT8" s="43">
        <v>3</v>
      </c>
      <c r="BU8" s="43">
        <v>3</v>
      </c>
      <c r="BV8" s="43">
        <v>3</v>
      </c>
      <c r="BW8" s="43">
        <v>3</v>
      </c>
      <c r="BX8" s="43">
        <v>1</v>
      </c>
      <c r="BY8" s="43">
        <v>3</v>
      </c>
      <c r="BZ8" s="100">
        <v>10</v>
      </c>
      <c r="CA8" s="101">
        <v>2</v>
      </c>
      <c r="CB8" s="60">
        <v>0</v>
      </c>
      <c r="CC8" s="61">
        <v>0</v>
      </c>
      <c r="CD8" s="65">
        <v>0</v>
      </c>
      <c r="CE8" s="68">
        <v>0</v>
      </c>
      <c r="CF8" s="100">
        <v>20</v>
      </c>
      <c r="CG8" s="101">
        <v>7</v>
      </c>
      <c r="CH8" s="66">
        <v>0</v>
      </c>
      <c r="CI8" s="66">
        <v>0</v>
      </c>
      <c r="CJ8" s="68">
        <v>0</v>
      </c>
      <c r="CK8" s="66">
        <v>0</v>
      </c>
      <c r="CL8" s="104">
        <v>5</v>
      </c>
      <c r="CM8" s="104">
        <v>1</v>
      </c>
      <c r="CN8" s="104">
        <v>5</v>
      </c>
      <c r="CO8" s="104">
        <v>1</v>
      </c>
      <c r="CP8" s="69">
        <v>0</v>
      </c>
      <c r="CQ8" s="104">
        <v>0</v>
      </c>
      <c r="CR8" s="104">
        <v>0</v>
      </c>
      <c r="CS8" s="104">
        <v>0</v>
      </c>
      <c r="CT8" s="104">
        <v>60</v>
      </c>
      <c r="CU8" s="104">
        <v>2</v>
      </c>
      <c r="CV8" s="102">
        <v>420</v>
      </c>
      <c r="CW8" s="102">
        <v>600</v>
      </c>
      <c r="CX8" s="95">
        <v>0.47</v>
      </c>
      <c r="CY8" s="95">
        <v>0.36</v>
      </c>
      <c r="CZ8" s="95">
        <v>0.43</v>
      </c>
      <c r="DA8" s="96">
        <f>Table48[[#This Row],[IMT_AVG_D]]/0.001</f>
        <v>430</v>
      </c>
      <c r="DB8" s="95">
        <v>0.04</v>
      </c>
      <c r="DC8" s="95">
        <v>284</v>
      </c>
      <c r="DD8" s="95">
        <v>44453</v>
      </c>
    </row>
    <row r="9" spans="1:108" s="3" customFormat="1" ht="28" customHeight="1">
      <c r="A9" s="10" t="s">
        <v>22</v>
      </c>
      <c r="B9" s="18" t="s">
        <v>125</v>
      </c>
      <c r="C9" s="87" t="s">
        <v>126</v>
      </c>
      <c r="D9" s="87" t="s">
        <v>31</v>
      </c>
      <c r="E9" s="87" t="s">
        <v>31</v>
      </c>
      <c r="F9" s="36">
        <v>18</v>
      </c>
      <c r="G9" s="23">
        <v>1</v>
      </c>
      <c r="H9" s="10" t="s">
        <v>0</v>
      </c>
      <c r="I9" s="8">
        <f>IF(Table48[[#This Row],[WEIGHT]]="","",Table48[[#This Row],[WEIGHT]]/((Table48[[#This Row],[HEIGHT]])^2))</f>
        <v>21.948152054850095</v>
      </c>
      <c r="J9" s="88">
        <v>0.8</v>
      </c>
      <c r="K9" s="88">
        <v>54.1</v>
      </c>
      <c r="L9" s="88">
        <v>1.57</v>
      </c>
      <c r="M9" s="88">
        <v>18.010000000000002</v>
      </c>
      <c r="N9" s="88">
        <v>3.88</v>
      </c>
      <c r="O9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168.92</v>
      </c>
      <c r="P9" s="1">
        <v>1380.2801254000001</v>
      </c>
      <c r="Q9" s="16">
        <v>1.07</v>
      </c>
      <c r="R9" s="16">
        <v>25.51</v>
      </c>
      <c r="S9" s="16">
        <v>7.3</v>
      </c>
      <c r="T9" s="16">
        <v>159</v>
      </c>
      <c r="U9" s="17">
        <v>137</v>
      </c>
      <c r="V9" s="17">
        <v>156</v>
      </c>
      <c r="W9" s="106">
        <v>17</v>
      </c>
      <c r="X9" s="106">
        <v>29.1</v>
      </c>
      <c r="Y9" s="13">
        <v>20</v>
      </c>
      <c r="Z9" s="28">
        <v>20</v>
      </c>
      <c r="AA9" s="39">
        <v>111</v>
      </c>
      <c r="AB9" s="39">
        <v>73</v>
      </c>
      <c r="AC9" s="39">
        <v>38</v>
      </c>
      <c r="AD9" s="39">
        <v>86</v>
      </c>
      <c r="AE9" s="39">
        <v>76</v>
      </c>
      <c r="AF9" s="39">
        <v>6.2</v>
      </c>
      <c r="AG9" s="39">
        <v>7</v>
      </c>
      <c r="AH9" s="39">
        <v>129</v>
      </c>
      <c r="AI9" s="39">
        <v>73</v>
      </c>
      <c r="AJ9" s="55">
        <f>2/3*Table48[[#This Row],[COMPLIOR_cDBP]]+1/3*Table48[[#This Row],[COMPLIOR_cSBP]]</f>
        <v>91.666666666666657</v>
      </c>
      <c r="AK9" s="39">
        <f>Table48[[#This Row],[COMPLIOR_cSBP]]-Table48[[#This Row],[COMPLIOR_cDBP]]</f>
        <v>56</v>
      </c>
      <c r="AL9" s="43">
        <v>3</v>
      </c>
      <c r="AM9" s="43">
        <v>2</v>
      </c>
      <c r="AN9" s="43">
        <v>1</v>
      </c>
      <c r="AO9" s="43">
        <v>2</v>
      </c>
      <c r="AP9" s="43">
        <v>2</v>
      </c>
      <c r="AQ9" s="43">
        <v>2</v>
      </c>
      <c r="AR9" s="43">
        <v>2</v>
      </c>
      <c r="AS9" s="43">
        <v>2</v>
      </c>
      <c r="AT9" s="43">
        <v>2</v>
      </c>
      <c r="AU9" s="43">
        <v>3</v>
      </c>
      <c r="AV9" s="43">
        <v>2</v>
      </c>
      <c r="AW9" s="43">
        <v>1</v>
      </c>
      <c r="AX9" s="43">
        <v>3</v>
      </c>
      <c r="AY9" s="43">
        <v>2</v>
      </c>
      <c r="AZ9" s="43">
        <v>3</v>
      </c>
      <c r="BA9" s="43">
        <v>1</v>
      </c>
      <c r="BB9" s="43">
        <v>1</v>
      </c>
      <c r="BC9" s="43">
        <v>1</v>
      </c>
      <c r="BD9" s="43">
        <v>1</v>
      </c>
      <c r="BE9" s="43">
        <v>1</v>
      </c>
      <c r="BF9" s="43">
        <v>3</v>
      </c>
      <c r="BG9" s="43">
        <v>2</v>
      </c>
      <c r="BH9" s="43">
        <v>3</v>
      </c>
      <c r="BI9" s="43">
        <v>2</v>
      </c>
      <c r="BJ9" s="43">
        <v>3</v>
      </c>
      <c r="BK9" s="41">
        <v>3</v>
      </c>
      <c r="BL9" s="41">
        <v>3</v>
      </c>
      <c r="BM9" s="41">
        <v>3</v>
      </c>
      <c r="BN9" s="41">
        <v>3</v>
      </c>
      <c r="BO9" s="41">
        <v>3</v>
      </c>
      <c r="BP9" s="44">
        <v>3</v>
      </c>
      <c r="BQ9" s="44">
        <v>1</v>
      </c>
      <c r="BR9" s="44">
        <v>3</v>
      </c>
      <c r="BS9" s="44">
        <v>3</v>
      </c>
      <c r="BT9" s="44">
        <v>3</v>
      </c>
      <c r="BU9" s="43">
        <v>2</v>
      </c>
      <c r="BV9" s="43">
        <v>3</v>
      </c>
      <c r="BW9" s="43">
        <v>2</v>
      </c>
      <c r="BX9" s="43">
        <v>1</v>
      </c>
      <c r="BY9" s="43">
        <v>2</v>
      </c>
      <c r="BZ9" s="100">
        <v>0</v>
      </c>
      <c r="CA9" s="100">
        <v>0</v>
      </c>
      <c r="CB9" s="60">
        <v>0</v>
      </c>
      <c r="CC9" s="60">
        <v>0</v>
      </c>
      <c r="CD9" s="65">
        <v>0</v>
      </c>
      <c r="CE9" s="65">
        <v>0</v>
      </c>
      <c r="CF9" s="100">
        <v>0</v>
      </c>
      <c r="CG9" s="100">
        <v>0</v>
      </c>
      <c r="CH9" s="66">
        <v>0</v>
      </c>
      <c r="CI9" s="66">
        <v>0</v>
      </c>
      <c r="CJ9" s="65">
        <v>0</v>
      </c>
      <c r="CK9" s="66">
        <v>0</v>
      </c>
      <c r="CL9" s="104">
        <v>15</v>
      </c>
      <c r="CM9" s="65">
        <v>2</v>
      </c>
      <c r="CN9" s="65">
        <v>50</v>
      </c>
      <c r="CO9" s="65">
        <v>5</v>
      </c>
      <c r="CP9" s="69">
        <v>30</v>
      </c>
      <c r="CQ9" s="65">
        <v>1</v>
      </c>
      <c r="CR9" s="65">
        <v>0</v>
      </c>
      <c r="CS9" s="65">
        <v>0</v>
      </c>
      <c r="CT9" s="65">
        <v>160</v>
      </c>
      <c r="CU9" s="65">
        <v>4</v>
      </c>
      <c r="CV9" s="103">
        <v>420</v>
      </c>
      <c r="CW9" s="103">
        <v>420</v>
      </c>
      <c r="CX9" s="95">
        <v>0.49</v>
      </c>
      <c r="CY9" s="95">
        <v>0.28000000000000003</v>
      </c>
      <c r="CZ9" s="95">
        <v>0.36</v>
      </c>
      <c r="DA9" s="96">
        <f>Table48[[#This Row],[IMT_AVG_D]]/0.001</f>
        <v>360</v>
      </c>
      <c r="DB9" s="95">
        <v>0.05</v>
      </c>
      <c r="DC9" s="95">
        <v>212</v>
      </c>
      <c r="DD9" s="95">
        <v>44453</v>
      </c>
    </row>
    <row r="10" spans="1:108" s="3" customFormat="1" ht="28" customHeight="1">
      <c r="A10" s="10" t="s">
        <v>29</v>
      </c>
      <c r="B10" s="82" t="s">
        <v>131</v>
      </c>
      <c r="C10" s="87" t="s">
        <v>126</v>
      </c>
      <c r="D10" s="87" t="s">
        <v>31</v>
      </c>
      <c r="E10" s="87" t="s">
        <v>31</v>
      </c>
      <c r="F10" s="36">
        <v>22</v>
      </c>
      <c r="G10" s="17">
        <v>1</v>
      </c>
      <c r="H10" s="10" t="s">
        <v>0</v>
      </c>
      <c r="I10" s="8">
        <f>IF(Table48[[#This Row],[WEIGHT]]="","",Table48[[#This Row],[WEIGHT]]/((Table48[[#This Row],[HEIGHT]])^2))</f>
        <v>21.591091171286649</v>
      </c>
      <c r="J10" s="88">
        <v>0.8</v>
      </c>
      <c r="K10" s="1">
        <v>53.9</v>
      </c>
      <c r="L10" s="1">
        <v>1.58</v>
      </c>
      <c r="M10" s="1">
        <v>18.78</v>
      </c>
      <c r="N10" s="1">
        <v>2.73</v>
      </c>
      <c r="O10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166.68</v>
      </c>
      <c r="P10" s="1">
        <v>1271.7332504000001</v>
      </c>
      <c r="Q10" s="16">
        <v>1.07</v>
      </c>
      <c r="R10" s="16">
        <v>23.59</v>
      </c>
      <c r="S10" s="16">
        <v>6.7</v>
      </c>
      <c r="T10" s="16">
        <v>156</v>
      </c>
      <c r="U10" s="17">
        <v>106</v>
      </c>
      <c r="V10" s="17">
        <v>149</v>
      </c>
      <c r="W10" s="106">
        <v>12.1</v>
      </c>
      <c r="X10" s="106">
        <v>23.9</v>
      </c>
      <c r="Y10" s="13">
        <v>22</v>
      </c>
      <c r="Z10" s="28">
        <v>24</v>
      </c>
      <c r="AA10" s="39">
        <v>107</v>
      </c>
      <c r="AB10" s="39">
        <v>68</v>
      </c>
      <c r="AC10" s="39">
        <v>39</v>
      </c>
      <c r="AD10" s="39">
        <v>81</v>
      </c>
      <c r="AE10" s="39">
        <v>76</v>
      </c>
      <c r="AF10" s="39">
        <v>6.4</v>
      </c>
      <c r="AG10" s="39">
        <v>6.9</v>
      </c>
      <c r="AH10" s="39">
        <v>106</v>
      </c>
      <c r="AI10" s="39">
        <v>68</v>
      </c>
      <c r="AJ10" s="55">
        <f>2/3*Table48[[#This Row],[COMPLIOR_cDBP]]+1/3*Table48[[#This Row],[COMPLIOR_cSBP]]</f>
        <v>80.666666666666657</v>
      </c>
      <c r="AK10" s="39">
        <f>Table48[[#This Row],[COMPLIOR_cSBP]]-Table48[[#This Row],[COMPLIOR_cDBP]]</f>
        <v>38</v>
      </c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100">
        <v>15</v>
      </c>
      <c r="CA10" s="100">
        <v>3</v>
      </c>
      <c r="CB10" s="60">
        <v>60</v>
      </c>
      <c r="CC10" s="60">
        <v>3</v>
      </c>
      <c r="CD10" s="100">
        <v>60</v>
      </c>
      <c r="CE10" s="100">
        <v>3</v>
      </c>
      <c r="CF10" s="100">
        <v>10</v>
      </c>
      <c r="CG10" s="100">
        <v>3</v>
      </c>
      <c r="CH10" s="66">
        <v>0</v>
      </c>
      <c r="CI10" s="66">
        <v>0</v>
      </c>
      <c r="CJ10" s="65">
        <v>0</v>
      </c>
      <c r="CK10" s="66">
        <v>0</v>
      </c>
      <c r="CL10" s="66">
        <v>0</v>
      </c>
      <c r="CM10" s="65">
        <v>0</v>
      </c>
      <c r="CN10" s="65">
        <v>15</v>
      </c>
      <c r="CO10" s="65">
        <v>3</v>
      </c>
      <c r="CP10" s="69">
        <v>15</v>
      </c>
      <c r="CQ10" s="65">
        <v>1</v>
      </c>
      <c r="CR10" s="65">
        <v>0</v>
      </c>
      <c r="CS10" s="65">
        <v>0</v>
      </c>
      <c r="CT10" s="65">
        <v>0</v>
      </c>
      <c r="CU10" s="65">
        <v>0</v>
      </c>
      <c r="CV10" s="103">
        <v>360</v>
      </c>
      <c r="CW10" s="103">
        <v>360</v>
      </c>
      <c r="CX10" s="95">
        <v>0.61</v>
      </c>
      <c r="CY10" s="95">
        <v>0.43</v>
      </c>
      <c r="CZ10" s="95">
        <v>0.53</v>
      </c>
      <c r="DA10" s="96">
        <f>Table48[[#This Row],[IMT_AVG_D]]/0.001</f>
        <v>530</v>
      </c>
      <c r="DB10" s="95">
        <v>0.04</v>
      </c>
      <c r="DC10" s="95">
        <v>342</v>
      </c>
      <c r="DD10" s="95">
        <v>44211</v>
      </c>
    </row>
    <row r="11" spans="1:108" s="3" customFormat="1" ht="28" customHeight="1">
      <c r="A11" s="10" t="s">
        <v>24</v>
      </c>
      <c r="B11" s="82" t="s">
        <v>125</v>
      </c>
      <c r="C11" s="87" t="s">
        <v>126</v>
      </c>
      <c r="D11" s="87" t="s">
        <v>32</v>
      </c>
      <c r="E11" s="87" t="s">
        <v>123</v>
      </c>
      <c r="F11" s="36">
        <v>25</v>
      </c>
      <c r="G11" s="23">
        <v>0</v>
      </c>
      <c r="H11" s="10" t="s">
        <v>0</v>
      </c>
      <c r="I11" s="8">
        <f>IF(Table48[[#This Row],[WEIGHT]]="","",Table48[[#This Row],[WEIGHT]]/((Table48[[#This Row],[HEIGHT]])^2))</f>
        <v>28.236439612154648</v>
      </c>
      <c r="J11" s="88">
        <v>0.93</v>
      </c>
      <c r="K11" s="88">
        <v>69.599999999999994</v>
      </c>
      <c r="L11" s="88">
        <v>1.57</v>
      </c>
      <c r="M11" s="88">
        <v>19.02</v>
      </c>
      <c r="N11" s="88">
        <v>9.14</v>
      </c>
      <c r="O11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180.5</v>
      </c>
      <c r="P11" s="1">
        <v>1782.6091022999999</v>
      </c>
      <c r="Q11" s="16">
        <v>1.32</v>
      </c>
      <c r="R11" s="16">
        <v>25.61</v>
      </c>
      <c r="S11" s="16">
        <v>7.3</v>
      </c>
      <c r="T11" s="16">
        <v>155</v>
      </c>
      <c r="U11" s="17">
        <v>128</v>
      </c>
      <c r="V11" s="17">
        <v>143</v>
      </c>
      <c r="W11" s="106">
        <v>15.8</v>
      </c>
      <c r="X11" s="106">
        <v>22.3</v>
      </c>
      <c r="Y11" s="13">
        <v>24</v>
      </c>
      <c r="Z11" s="28">
        <v>28</v>
      </c>
      <c r="AA11" s="39">
        <v>108</v>
      </c>
      <c r="AB11" s="39">
        <v>76</v>
      </c>
      <c r="AC11" s="39">
        <v>32</v>
      </c>
      <c r="AD11" s="39">
        <v>87</v>
      </c>
      <c r="AE11" s="39">
        <v>81</v>
      </c>
      <c r="AF11" s="39">
        <v>7.1</v>
      </c>
      <c r="AG11" s="39">
        <v>5.9</v>
      </c>
      <c r="AH11" s="39">
        <v>102</v>
      </c>
      <c r="AI11" s="39">
        <v>76</v>
      </c>
      <c r="AJ11" s="55">
        <f>2/3*Table48[[#This Row],[COMPLIOR_cDBP]]+1/3*Table48[[#This Row],[COMPLIOR_cSBP]]</f>
        <v>84.666666666666657</v>
      </c>
      <c r="AK11" s="39">
        <f>Table48[[#This Row],[COMPLIOR_cSBP]]-Table48[[#This Row],[COMPLIOR_cDBP]]</f>
        <v>26</v>
      </c>
      <c r="AL11" s="43">
        <v>3</v>
      </c>
      <c r="AM11" s="43">
        <v>3</v>
      </c>
      <c r="AN11" s="43">
        <v>3</v>
      </c>
      <c r="AO11" s="43">
        <v>3</v>
      </c>
      <c r="AP11" s="43">
        <v>3</v>
      </c>
      <c r="AQ11" s="43">
        <v>3</v>
      </c>
      <c r="AR11" s="43">
        <v>2</v>
      </c>
      <c r="AS11" s="43">
        <v>2</v>
      </c>
      <c r="AT11" s="43">
        <v>2</v>
      </c>
      <c r="AU11" s="43">
        <v>3</v>
      </c>
      <c r="AV11" s="43">
        <v>1</v>
      </c>
      <c r="AW11" s="43">
        <v>2</v>
      </c>
      <c r="AX11" s="43">
        <v>2</v>
      </c>
      <c r="AY11" s="43">
        <v>1</v>
      </c>
      <c r="AZ11" s="43">
        <v>3</v>
      </c>
      <c r="BA11" s="43">
        <v>1</v>
      </c>
      <c r="BB11" s="43">
        <v>3</v>
      </c>
      <c r="BC11" s="43">
        <v>3</v>
      </c>
      <c r="BD11" s="43">
        <v>1</v>
      </c>
      <c r="BE11" s="43">
        <v>2</v>
      </c>
      <c r="BF11" s="43">
        <v>3</v>
      </c>
      <c r="BG11" s="43">
        <v>3</v>
      </c>
      <c r="BH11" s="43">
        <v>1</v>
      </c>
      <c r="BI11" s="43">
        <v>3</v>
      </c>
      <c r="BJ11" s="43">
        <v>3</v>
      </c>
      <c r="BK11" s="43">
        <v>3</v>
      </c>
      <c r="BL11" s="43">
        <v>2</v>
      </c>
      <c r="BM11" s="43">
        <v>2</v>
      </c>
      <c r="BN11" s="43">
        <v>3</v>
      </c>
      <c r="BO11" s="43">
        <v>2</v>
      </c>
      <c r="BP11" s="43">
        <v>3</v>
      </c>
      <c r="BQ11" s="43">
        <v>2</v>
      </c>
      <c r="BR11" s="43">
        <v>3</v>
      </c>
      <c r="BS11" s="43">
        <v>3</v>
      </c>
      <c r="BT11" s="43">
        <v>3</v>
      </c>
      <c r="BU11" s="43">
        <v>2</v>
      </c>
      <c r="BV11" s="43">
        <v>1</v>
      </c>
      <c r="BW11" s="43">
        <v>2</v>
      </c>
      <c r="BX11" s="43">
        <v>1</v>
      </c>
      <c r="BY11" s="43">
        <v>2</v>
      </c>
      <c r="BZ11" s="100">
        <v>0</v>
      </c>
      <c r="CA11" s="100">
        <v>0</v>
      </c>
      <c r="CB11" s="60">
        <v>0</v>
      </c>
      <c r="CC11" s="60">
        <v>0</v>
      </c>
      <c r="CD11" s="65">
        <v>0</v>
      </c>
      <c r="CE11" s="65">
        <v>0</v>
      </c>
      <c r="CF11" s="100">
        <v>0</v>
      </c>
      <c r="CG11" s="100">
        <v>0</v>
      </c>
      <c r="CH11" s="66">
        <v>0</v>
      </c>
      <c r="CI11" s="66">
        <v>0</v>
      </c>
      <c r="CJ11" s="65">
        <v>0</v>
      </c>
      <c r="CK11" s="66">
        <v>0</v>
      </c>
      <c r="CL11" s="66">
        <v>0</v>
      </c>
      <c r="CM11" s="65">
        <v>0</v>
      </c>
      <c r="CN11" s="65">
        <v>0</v>
      </c>
      <c r="CO11" s="65">
        <v>0</v>
      </c>
      <c r="CP11" s="65">
        <v>0</v>
      </c>
      <c r="CQ11" s="65">
        <v>0</v>
      </c>
      <c r="CR11" s="65">
        <v>0</v>
      </c>
      <c r="CS11" s="65">
        <v>0</v>
      </c>
      <c r="CT11" s="65">
        <v>0</v>
      </c>
      <c r="CU11" s="65">
        <v>0</v>
      </c>
      <c r="CV11" s="103">
        <v>300</v>
      </c>
      <c r="CW11" s="103">
        <v>300</v>
      </c>
      <c r="CX11" s="95">
        <v>0.65</v>
      </c>
      <c r="CY11" s="95">
        <v>0.39</v>
      </c>
      <c r="CZ11" s="95">
        <v>0.51</v>
      </c>
      <c r="DA11" s="96">
        <f>Table48[[#This Row],[IMT_AVG_D]]/0.001</f>
        <v>510</v>
      </c>
      <c r="DB11" s="95">
        <v>0.06</v>
      </c>
      <c r="DC11" s="95">
        <v>343</v>
      </c>
      <c r="DD11" s="95">
        <v>15</v>
      </c>
    </row>
    <row r="12" spans="1:108" s="3" customFormat="1" ht="28" customHeight="1">
      <c r="A12" s="10" t="s">
        <v>26</v>
      </c>
      <c r="B12" s="82" t="s">
        <v>131</v>
      </c>
      <c r="C12" s="87" t="s">
        <v>126</v>
      </c>
      <c r="D12" s="87" t="s">
        <v>32</v>
      </c>
      <c r="E12" s="87" t="s">
        <v>122</v>
      </c>
      <c r="F12" s="36">
        <v>19</v>
      </c>
      <c r="G12" s="23">
        <v>0</v>
      </c>
      <c r="H12" s="10" t="s">
        <v>0</v>
      </c>
      <c r="I12" s="8">
        <f>IF(Table48[[#This Row],[WEIGHT]]="","",Table48[[#This Row],[WEIGHT]]/((Table48[[#This Row],[HEIGHT]])^2))</f>
        <v>28.089678762641288</v>
      </c>
      <c r="J12" s="88">
        <v>0.99</v>
      </c>
      <c r="K12" s="88">
        <v>75.55</v>
      </c>
      <c r="L12" s="88">
        <v>1.64</v>
      </c>
      <c r="M12" s="88">
        <v>16.82</v>
      </c>
      <c r="N12" s="88">
        <v>11.34</v>
      </c>
      <c r="O12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183.86</v>
      </c>
      <c r="P12" s="1">
        <v>1429.0995648000001</v>
      </c>
      <c r="Q12" s="16">
        <v>1.05</v>
      </c>
      <c r="R12" s="16">
        <v>18.93</v>
      </c>
      <c r="S12" s="16">
        <v>5.4</v>
      </c>
      <c r="T12" s="16">
        <v>172</v>
      </c>
      <c r="U12" s="17">
        <v>171</v>
      </c>
      <c r="V12" s="17">
        <v>177</v>
      </c>
      <c r="W12" s="106">
        <v>14.8</v>
      </c>
      <c r="X12" s="106">
        <v>19.899999999999999</v>
      </c>
      <c r="Y12" s="13">
        <v>8</v>
      </c>
      <c r="Z12" s="28">
        <v>4</v>
      </c>
      <c r="AA12" s="39">
        <v>148</v>
      </c>
      <c r="AB12" s="39">
        <v>78</v>
      </c>
      <c r="AC12" s="39">
        <v>70</v>
      </c>
      <c r="AD12" s="39">
        <v>101</v>
      </c>
      <c r="AE12" s="39">
        <v>95</v>
      </c>
      <c r="AF12" s="39">
        <v>6.5</v>
      </c>
      <c r="AG12" s="39">
        <v>8.6</v>
      </c>
      <c r="AH12" s="39">
        <v>136</v>
      </c>
      <c r="AI12" s="39">
        <v>78</v>
      </c>
      <c r="AJ12" s="55">
        <f>2/3*Table48[[#This Row],[COMPLIOR_cDBP]]+1/3*Table48[[#This Row],[COMPLIOR_cSBP]]</f>
        <v>97.333333333333329</v>
      </c>
      <c r="AK12" s="39">
        <f>Table48[[#This Row],[COMPLIOR_cSBP]]-Table48[[#This Row],[COMPLIOR_cDBP]]</f>
        <v>58</v>
      </c>
      <c r="AL12" s="43">
        <v>3</v>
      </c>
      <c r="AM12" s="43">
        <v>3</v>
      </c>
      <c r="AN12" s="43">
        <v>3</v>
      </c>
      <c r="AO12" s="43">
        <v>3</v>
      </c>
      <c r="AP12" s="43">
        <v>3</v>
      </c>
      <c r="AQ12" s="43">
        <v>3</v>
      </c>
      <c r="AR12" s="43">
        <v>2</v>
      </c>
      <c r="AS12" s="43">
        <v>2</v>
      </c>
      <c r="AT12" s="43">
        <v>2</v>
      </c>
      <c r="AU12" s="43">
        <v>3</v>
      </c>
      <c r="AV12" s="43">
        <v>1</v>
      </c>
      <c r="AW12" s="43">
        <v>2</v>
      </c>
      <c r="AX12" s="43">
        <v>2</v>
      </c>
      <c r="AY12" s="43">
        <v>1</v>
      </c>
      <c r="AZ12" s="43">
        <v>3</v>
      </c>
      <c r="BA12" s="43">
        <v>1</v>
      </c>
      <c r="BB12" s="43">
        <v>3</v>
      </c>
      <c r="BC12" s="43">
        <v>3</v>
      </c>
      <c r="BD12" s="43">
        <v>1</v>
      </c>
      <c r="BE12" s="43">
        <v>2</v>
      </c>
      <c r="BF12" s="43">
        <v>3</v>
      </c>
      <c r="BG12" s="43">
        <v>3</v>
      </c>
      <c r="BH12" s="43">
        <v>1</v>
      </c>
      <c r="BI12" s="43">
        <v>3</v>
      </c>
      <c r="BJ12" s="43">
        <v>3</v>
      </c>
      <c r="BK12" s="45">
        <v>3</v>
      </c>
      <c r="BL12" s="45">
        <v>2</v>
      </c>
      <c r="BM12" s="45">
        <v>2</v>
      </c>
      <c r="BN12" s="45">
        <v>3</v>
      </c>
      <c r="BO12" s="45">
        <v>2</v>
      </c>
      <c r="BP12" s="43">
        <v>3</v>
      </c>
      <c r="BQ12" s="43">
        <v>2</v>
      </c>
      <c r="BR12" s="43">
        <v>3</v>
      </c>
      <c r="BS12" s="43">
        <v>3</v>
      </c>
      <c r="BT12" s="43">
        <v>3</v>
      </c>
      <c r="BU12" s="43">
        <v>2</v>
      </c>
      <c r="BV12" s="43">
        <v>1</v>
      </c>
      <c r="BW12" s="43">
        <v>2</v>
      </c>
      <c r="BX12" s="43">
        <v>1</v>
      </c>
      <c r="BY12" s="43">
        <v>2</v>
      </c>
      <c r="BZ12" s="100">
        <v>0</v>
      </c>
      <c r="CA12" s="100">
        <v>0</v>
      </c>
      <c r="CB12" s="60">
        <v>0</v>
      </c>
      <c r="CC12" s="60">
        <v>0</v>
      </c>
      <c r="CD12" s="100">
        <v>0</v>
      </c>
      <c r="CE12" s="100">
        <v>0</v>
      </c>
      <c r="CF12" s="100">
        <v>30</v>
      </c>
      <c r="CG12" s="100">
        <v>2</v>
      </c>
      <c r="CH12" s="66">
        <v>0</v>
      </c>
      <c r="CI12" s="66">
        <v>0</v>
      </c>
      <c r="CJ12" s="65">
        <v>0</v>
      </c>
      <c r="CK12" s="66">
        <v>0</v>
      </c>
      <c r="CL12" s="66">
        <v>0</v>
      </c>
      <c r="CM12" s="65">
        <v>0</v>
      </c>
      <c r="CN12" s="65">
        <v>0</v>
      </c>
      <c r="CO12" s="65">
        <v>0</v>
      </c>
      <c r="CP12" s="69">
        <v>30</v>
      </c>
      <c r="CQ12" s="65">
        <v>2</v>
      </c>
      <c r="CR12" s="65">
        <v>0</v>
      </c>
      <c r="CS12" s="65">
        <v>0</v>
      </c>
      <c r="CT12" s="65">
        <v>0</v>
      </c>
      <c r="CU12" s="65">
        <v>0</v>
      </c>
      <c r="CV12" s="103">
        <v>180</v>
      </c>
      <c r="CW12" s="103">
        <v>360</v>
      </c>
      <c r="CX12" s="95">
        <v>0.63</v>
      </c>
      <c r="CY12" s="95">
        <v>0.14000000000000001</v>
      </c>
      <c r="CZ12" s="95">
        <v>0.42</v>
      </c>
      <c r="DA12" s="96">
        <f>Table48[[#This Row],[IMT_AVG_D]]/0.001</f>
        <v>420</v>
      </c>
      <c r="DB12" s="95">
        <v>0.1</v>
      </c>
      <c r="DC12" s="95">
        <v>192</v>
      </c>
      <c r="DD12" s="95">
        <v>44302</v>
      </c>
    </row>
    <row r="13" spans="1:108" s="3" customFormat="1" ht="28" customHeight="1">
      <c r="A13" s="10" t="s">
        <v>17</v>
      </c>
      <c r="B13" s="82" t="s">
        <v>131</v>
      </c>
      <c r="C13" s="87" t="s">
        <v>126</v>
      </c>
      <c r="D13" s="90" t="s">
        <v>32</v>
      </c>
      <c r="E13" s="85" t="s">
        <v>122</v>
      </c>
      <c r="F13" s="36">
        <v>21</v>
      </c>
      <c r="G13" s="23">
        <v>0</v>
      </c>
      <c r="H13" s="10" t="s">
        <v>0</v>
      </c>
      <c r="I13" s="8">
        <f>IF(Table48[[#This Row],[WEIGHT]]="","",Table48[[#This Row],[WEIGHT]]/((Table48[[#This Row],[HEIGHT]])^2))</f>
        <v>23.962874884396882</v>
      </c>
      <c r="J13" s="88">
        <v>0.95</v>
      </c>
      <c r="K13" s="88">
        <v>72.55</v>
      </c>
      <c r="L13" s="88">
        <v>1.74</v>
      </c>
      <c r="M13" s="88">
        <v>15.23</v>
      </c>
      <c r="N13" s="88">
        <v>8.73</v>
      </c>
      <c r="O13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182.74</v>
      </c>
      <c r="P13" s="1">
        <v>742.7770577</v>
      </c>
      <c r="Q13" s="16">
        <v>1.03</v>
      </c>
      <c r="R13" s="16">
        <v>15</v>
      </c>
      <c r="S13" s="16">
        <v>2.9</v>
      </c>
      <c r="T13" s="16">
        <v>149</v>
      </c>
      <c r="U13" s="17">
        <v>125</v>
      </c>
      <c r="V13" s="17">
        <v>132</v>
      </c>
      <c r="W13" s="106">
        <v>10.6</v>
      </c>
      <c r="X13" s="106">
        <v>10.199999999999999</v>
      </c>
      <c r="Y13" s="13">
        <v>14</v>
      </c>
      <c r="Z13" s="28">
        <v>10</v>
      </c>
      <c r="AA13" s="39">
        <v>120</v>
      </c>
      <c r="AB13" s="39">
        <v>83</v>
      </c>
      <c r="AC13" s="39">
        <v>37</v>
      </c>
      <c r="AD13" s="39">
        <v>95</v>
      </c>
      <c r="AE13" s="39">
        <v>77</v>
      </c>
      <c r="AF13" s="39">
        <v>7</v>
      </c>
      <c r="AG13" s="39">
        <v>7.4</v>
      </c>
      <c r="AH13" s="39">
        <v>118</v>
      </c>
      <c r="AI13" s="39">
        <v>83</v>
      </c>
      <c r="AJ13" s="55">
        <f>2/3*Table48[[#This Row],[COMPLIOR_cDBP]]+1/3*Table48[[#This Row],[COMPLIOR_cSBP]]</f>
        <v>94.666666666666657</v>
      </c>
      <c r="AK13" s="39">
        <f>Table48[[#This Row],[COMPLIOR_cSBP]]-Table48[[#This Row],[COMPLIOR_cDBP]]</f>
        <v>35</v>
      </c>
      <c r="AL13" s="43">
        <v>2</v>
      </c>
      <c r="AM13" s="43">
        <v>1</v>
      </c>
      <c r="AN13" s="43">
        <v>3</v>
      </c>
      <c r="AO13" s="43">
        <v>3</v>
      </c>
      <c r="AP13" s="43">
        <v>3</v>
      </c>
      <c r="AQ13" s="43">
        <v>1</v>
      </c>
      <c r="AR13" s="43">
        <v>2</v>
      </c>
      <c r="AS13" s="43">
        <v>2</v>
      </c>
      <c r="AT13" s="43">
        <v>2</v>
      </c>
      <c r="AU13" s="43">
        <v>2</v>
      </c>
      <c r="AV13" s="43">
        <v>2</v>
      </c>
      <c r="AW13" s="43">
        <v>2</v>
      </c>
      <c r="AX13" s="43">
        <v>3</v>
      </c>
      <c r="AY13" s="43">
        <v>3</v>
      </c>
      <c r="AZ13" s="43">
        <v>3</v>
      </c>
      <c r="BA13" s="43">
        <v>2</v>
      </c>
      <c r="BB13" s="43">
        <v>1</v>
      </c>
      <c r="BC13" s="43">
        <v>1</v>
      </c>
      <c r="BD13" s="43">
        <v>1</v>
      </c>
      <c r="BE13" s="43">
        <v>2</v>
      </c>
      <c r="BF13" s="43">
        <v>3</v>
      </c>
      <c r="BG13" s="43">
        <v>3</v>
      </c>
      <c r="BH13" s="43">
        <v>3</v>
      </c>
      <c r="BI13" s="43">
        <v>3</v>
      </c>
      <c r="BJ13" s="43">
        <v>2</v>
      </c>
      <c r="BK13" s="41">
        <v>3</v>
      </c>
      <c r="BL13" s="41">
        <v>2</v>
      </c>
      <c r="BM13" s="41">
        <v>3</v>
      </c>
      <c r="BN13" s="41">
        <v>3</v>
      </c>
      <c r="BO13" s="41">
        <v>3</v>
      </c>
      <c r="BP13" s="43">
        <v>3</v>
      </c>
      <c r="BQ13" s="43">
        <v>2</v>
      </c>
      <c r="BR13" s="43">
        <v>3</v>
      </c>
      <c r="BS13" s="43">
        <v>3</v>
      </c>
      <c r="BT13" s="43">
        <v>3</v>
      </c>
      <c r="BU13" s="43">
        <v>1</v>
      </c>
      <c r="BV13" s="43">
        <v>3</v>
      </c>
      <c r="BW13" s="43">
        <v>2</v>
      </c>
      <c r="BX13" s="43">
        <v>1</v>
      </c>
      <c r="BY13" s="43">
        <v>1</v>
      </c>
      <c r="BZ13" s="100">
        <v>20</v>
      </c>
      <c r="CA13" s="101">
        <v>4</v>
      </c>
      <c r="CB13" s="61">
        <v>30</v>
      </c>
      <c r="CC13" s="62">
        <v>1</v>
      </c>
      <c r="CD13" s="66">
        <v>0</v>
      </c>
      <c r="CE13" s="66">
        <v>0</v>
      </c>
      <c r="CF13" s="100">
        <v>0</v>
      </c>
      <c r="CG13" s="101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104">
        <v>0</v>
      </c>
      <c r="CO13" s="104">
        <v>0</v>
      </c>
      <c r="CP13" s="105">
        <v>30</v>
      </c>
      <c r="CQ13" s="102">
        <v>1</v>
      </c>
      <c r="CR13" s="104">
        <v>30</v>
      </c>
      <c r="CS13" s="104">
        <v>1</v>
      </c>
      <c r="CT13" s="104">
        <v>0</v>
      </c>
      <c r="CU13" s="104">
        <v>0</v>
      </c>
      <c r="CV13" s="102">
        <v>360</v>
      </c>
      <c r="CW13" s="102">
        <v>420</v>
      </c>
      <c r="CX13" s="95">
        <v>0.61</v>
      </c>
      <c r="CY13" s="95">
        <v>0.36</v>
      </c>
      <c r="CZ13" s="95">
        <v>0.51</v>
      </c>
      <c r="DA13" s="96">
        <f>Table48[[#This Row],[IMT_AVG_D]]/0.001</f>
        <v>510</v>
      </c>
      <c r="DB13" s="95">
        <v>0.05</v>
      </c>
      <c r="DC13" s="95">
        <v>250</v>
      </c>
      <c r="DD13" s="95">
        <v>44454</v>
      </c>
    </row>
    <row r="14" spans="1:108" s="3" customFormat="1" ht="28" customHeight="1">
      <c r="A14" s="10" t="s">
        <v>18</v>
      </c>
      <c r="B14" s="82" t="s">
        <v>131</v>
      </c>
      <c r="C14" s="87" t="s">
        <v>126</v>
      </c>
      <c r="D14" s="87" t="s">
        <v>32</v>
      </c>
      <c r="E14" s="87" t="s">
        <v>124</v>
      </c>
      <c r="F14" s="36">
        <v>44</v>
      </c>
      <c r="G14" s="23">
        <v>1</v>
      </c>
      <c r="H14" s="10" t="s">
        <v>0</v>
      </c>
      <c r="I14" s="8">
        <f>IF(Table48[[#This Row],[WEIGHT]]="","",Table48[[#This Row],[WEIGHT]]/((Table48[[#This Row],[HEIGHT]])^2))</f>
        <v>26.244260789715341</v>
      </c>
      <c r="J14" s="88">
        <v>0.95</v>
      </c>
      <c r="K14" s="88">
        <v>71.45</v>
      </c>
      <c r="L14" s="88">
        <v>1.65</v>
      </c>
      <c r="M14" s="88">
        <v>18.690000000000001</v>
      </c>
      <c r="N14" s="88">
        <v>7.61</v>
      </c>
      <c r="O14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169.86</v>
      </c>
      <c r="P14" s="1">
        <v>2109.2707730000002</v>
      </c>
      <c r="Q14" s="16">
        <v>1.23</v>
      </c>
      <c r="R14" s="16">
        <v>29.52</v>
      </c>
      <c r="S14" s="16">
        <v>8.4</v>
      </c>
      <c r="T14" s="16">
        <v>175</v>
      </c>
      <c r="U14" s="17">
        <v>131</v>
      </c>
      <c r="V14" s="17">
        <v>169</v>
      </c>
      <c r="W14" s="106">
        <v>19.7</v>
      </c>
      <c r="X14" s="106">
        <v>27</v>
      </c>
      <c r="Y14" s="13">
        <v>34</v>
      </c>
      <c r="Z14" s="28">
        <v>32</v>
      </c>
      <c r="AA14" s="39">
        <v>150</v>
      </c>
      <c r="AB14" s="39">
        <v>109</v>
      </c>
      <c r="AC14" s="39">
        <v>41</v>
      </c>
      <c r="AD14" s="39">
        <v>123</v>
      </c>
      <c r="AE14" s="39">
        <v>85</v>
      </c>
      <c r="AF14" s="39">
        <v>11.7</v>
      </c>
      <c r="AG14" s="39">
        <v>11.6</v>
      </c>
      <c r="AH14" s="39">
        <v>151</v>
      </c>
      <c r="AI14" s="39">
        <v>101</v>
      </c>
      <c r="AJ14" s="55">
        <f>2/3*Table48[[#This Row],[COMPLIOR_cDBP]]+1/3*Table48[[#This Row],[COMPLIOR_cSBP]]</f>
        <v>117.66666666666666</v>
      </c>
      <c r="AK14" s="39">
        <f>Table48[[#This Row],[COMPLIOR_cSBP]]-Table48[[#This Row],[COMPLIOR_cDBP]]</f>
        <v>50</v>
      </c>
      <c r="AL14" s="43">
        <v>2</v>
      </c>
      <c r="AM14" s="43">
        <v>2</v>
      </c>
      <c r="AN14" s="43">
        <v>1</v>
      </c>
      <c r="AO14" s="43">
        <v>3</v>
      </c>
      <c r="AP14" s="43">
        <v>3</v>
      </c>
      <c r="AQ14" s="43">
        <v>2</v>
      </c>
      <c r="AR14" s="43">
        <v>3</v>
      </c>
      <c r="AS14" s="43">
        <v>2</v>
      </c>
      <c r="AT14" s="43">
        <v>2</v>
      </c>
      <c r="AU14" s="43">
        <v>3</v>
      </c>
      <c r="AV14" s="43">
        <v>3</v>
      </c>
      <c r="AW14" s="43">
        <v>1</v>
      </c>
      <c r="AX14" s="43">
        <v>2</v>
      </c>
      <c r="AY14" s="43">
        <v>2</v>
      </c>
      <c r="AZ14" s="43">
        <v>3</v>
      </c>
      <c r="BA14" s="43">
        <v>2</v>
      </c>
      <c r="BB14" s="43">
        <v>1</v>
      </c>
      <c r="BC14" s="43">
        <v>1</v>
      </c>
      <c r="BD14" s="43">
        <v>2</v>
      </c>
      <c r="BE14" s="43">
        <v>2</v>
      </c>
      <c r="BF14" s="43">
        <v>3</v>
      </c>
      <c r="BG14" s="43">
        <v>3</v>
      </c>
      <c r="BH14" s="43">
        <v>2</v>
      </c>
      <c r="BI14" s="43">
        <v>2</v>
      </c>
      <c r="BJ14" s="43">
        <v>3</v>
      </c>
      <c r="BK14" s="43">
        <v>3</v>
      </c>
      <c r="BL14" s="43">
        <v>2</v>
      </c>
      <c r="BM14" s="43">
        <v>2</v>
      </c>
      <c r="BN14" s="43">
        <v>2</v>
      </c>
      <c r="BO14" s="43">
        <v>2</v>
      </c>
      <c r="BP14" s="43">
        <v>2</v>
      </c>
      <c r="BQ14" s="43">
        <v>1</v>
      </c>
      <c r="BR14" s="43">
        <v>3</v>
      </c>
      <c r="BS14" s="43">
        <v>2</v>
      </c>
      <c r="BT14" s="43">
        <v>2</v>
      </c>
      <c r="BU14" s="43">
        <v>3</v>
      </c>
      <c r="BV14" s="43">
        <v>3</v>
      </c>
      <c r="BW14" s="43">
        <v>3</v>
      </c>
      <c r="BX14" s="43">
        <v>3</v>
      </c>
      <c r="BY14" s="43">
        <v>3</v>
      </c>
      <c r="BZ14" s="100">
        <v>60</v>
      </c>
      <c r="CA14" s="101">
        <v>5</v>
      </c>
      <c r="CB14" s="61">
        <v>300</v>
      </c>
      <c r="CC14" s="61">
        <v>5</v>
      </c>
      <c r="CD14" s="68">
        <v>60</v>
      </c>
      <c r="CE14" s="68">
        <v>5</v>
      </c>
      <c r="CF14" s="100">
        <v>10</v>
      </c>
      <c r="CG14" s="101">
        <v>5</v>
      </c>
      <c r="CH14" s="66">
        <v>0</v>
      </c>
      <c r="CI14" s="66">
        <v>0</v>
      </c>
      <c r="CJ14" s="68">
        <v>0</v>
      </c>
      <c r="CK14" s="66">
        <v>0</v>
      </c>
      <c r="CL14" s="104">
        <v>5</v>
      </c>
      <c r="CM14" s="104">
        <v>4</v>
      </c>
      <c r="CN14" s="104">
        <v>0</v>
      </c>
      <c r="CO14" s="104">
        <v>0</v>
      </c>
      <c r="CP14" s="105">
        <v>30</v>
      </c>
      <c r="CQ14" s="104">
        <v>2</v>
      </c>
      <c r="CR14" s="104">
        <v>0</v>
      </c>
      <c r="CS14" s="104">
        <v>0</v>
      </c>
      <c r="CT14" s="104">
        <v>0</v>
      </c>
      <c r="CU14" s="104">
        <v>0</v>
      </c>
      <c r="CV14" s="102">
        <v>360</v>
      </c>
      <c r="CW14" s="102">
        <v>600</v>
      </c>
      <c r="CX14" s="95">
        <v>0.94</v>
      </c>
      <c r="CY14" s="95">
        <v>0.7</v>
      </c>
      <c r="CZ14" s="95">
        <v>0.8</v>
      </c>
      <c r="DA14" s="96">
        <f>Table48[[#This Row],[IMT_AVG_D]]/0.001</f>
        <v>800</v>
      </c>
      <c r="DB14" s="95">
        <v>0.06</v>
      </c>
      <c r="DC14" s="95">
        <v>217</v>
      </c>
      <c r="DD14" s="95">
        <v>44425</v>
      </c>
    </row>
    <row r="15" spans="1:108" s="3" customFormat="1" ht="28" customHeight="1">
      <c r="A15" s="10" t="s">
        <v>15</v>
      </c>
      <c r="B15" s="82" t="s">
        <v>131</v>
      </c>
      <c r="C15" s="87" t="s">
        <v>126</v>
      </c>
      <c r="D15" s="90" t="s">
        <v>31</v>
      </c>
      <c r="E15" s="85" t="s">
        <v>31</v>
      </c>
      <c r="F15" s="36">
        <v>45</v>
      </c>
      <c r="G15" s="23">
        <v>1</v>
      </c>
      <c r="H15" s="10" t="s">
        <v>0</v>
      </c>
      <c r="I15" s="8">
        <f>IF(Table48[[#This Row],[WEIGHT]]="","",Table48[[#This Row],[WEIGHT]]/((Table48[[#This Row],[HEIGHT]])^2))</f>
        <v>24.712717330941093</v>
      </c>
      <c r="J15" s="1">
        <v>0.82</v>
      </c>
      <c r="K15" s="1">
        <v>57.85</v>
      </c>
      <c r="L15" s="1">
        <v>1.53</v>
      </c>
      <c r="M15" s="1">
        <v>17.68</v>
      </c>
      <c r="N15" s="1">
        <v>7.13</v>
      </c>
      <c r="O15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153.80000000000001</v>
      </c>
      <c r="P15" s="1">
        <v>1004.9581813</v>
      </c>
      <c r="Q15" s="16">
        <v>0.88</v>
      </c>
      <c r="R15" s="16">
        <v>17.37</v>
      </c>
      <c r="S15" s="16">
        <v>5</v>
      </c>
      <c r="T15" s="16">
        <v>104</v>
      </c>
      <c r="U15" s="17">
        <v>96</v>
      </c>
      <c r="V15" s="17">
        <v>107</v>
      </c>
      <c r="W15" s="106">
        <v>12.9</v>
      </c>
      <c r="X15" s="106">
        <v>9.6999999999999993</v>
      </c>
      <c r="Y15" s="13">
        <v>15</v>
      </c>
      <c r="Z15" s="28">
        <v>20</v>
      </c>
      <c r="AA15" s="39">
        <v>127</v>
      </c>
      <c r="AB15" s="39">
        <v>80</v>
      </c>
      <c r="AC15" s="39">
        <v>47</v>
      </c>
      <c r="AD15" s="39">
        <v>96</v>
      </c>
      <c r="AE15" s="39">
        <v>76</v>
      </c>
      <c r="AF15" s="39">
        <v>3.8</v>
      </c>
      <c r="AG15" s="39">
        <v>7.2</v>
      </c>
      <c r="AH15" s="39">
        <v>118</v>
      </c>
      <c r="AI15" s="39">
        <v>80</v>
      </c>
      <c r="AJ15" s="55">
        <f>2/3*Table48[[#This Row],[COMPLIOR_cDBP]]+1/3*Table48[[#This Row],[COMPLIOR_cSBP]]</f>
        <v>92.666666666666657</v>
      </c>
      <c r="AK15" s="39">
        <f>Table48[[#This Row],[COMPLIOR_cSBP]]-Table48[[#This Row],[COMPLIOR_cDBP]]</f>
        <v>38</v>
      </c>
      <c r="AL15" s="43">
        <v>3</v>
      </c>
      <c r="AM15" s="43">
        <v>2</v>
      </c>
      <c r="AN15" s="43">
        <v>1</v>
      </c>
      <c r="AO15" s="43">
        <v>3</v>
      </c>
      <c r="AP15" s="43">
        <v>3</v>
      </c>
      <c r="AQ15" s="43">
        <v>3</v>
      </c>
      <c r="AR15" s="43">
        <v>3</v>
      </c>
      <c r="AS15" s="43">
        <v>2</v>
      </c>
      <c r="AT15" s="43">
        <v>3</v>
      </c>
      <c r="AU15" s="43">
        <v>3</v>
      </c>
      <c r="AV15" s="43">
        <v>3</v>
      </c>
      <c r="AW15" s="43">
        <v>1</v>
      </c>
      <c r="AX15" s="43">
        <v>3</v>
      </c>
      <c r="AY15" s="43">
        <v>3</v>
      </c>
      <c r="AZ15" s="43">
        <v>3</v>
      </c>
      <c r="BA15" s="43">
        <v>2</v>
      </c>
      <c r="BB15" s="43">
        <v>1</v>
      </c>
      <c r="BC15" s="43">
        <v>3</v>
      </c>
      <c r="BD15" s="43">
        <v>1</v>
      </c>
      <c r="BE15" s="43">
        <v>2</v>
      </c>
      <c r="BF15" s="43">
        <v>3</v>
      </c>
      <c r="BG15" s="43">
        <v>3</v>
      </c>
      <c r="BH15" s="43">
        <v>2</v>
      </c>
      <c r="BI15" s="43">
        <v>3</v>
      </c>
      <c r="BJ15" s="43">
        <v>1</v>
      </c>
      <c r="BK15" s="43">
        <v>3</v>
      </c>
      <c r="BL15" s="43">
        <v>3</v>
      </c>
      <c r="BM15" s="43">
        <v>3</v>
      </c>
      <c r="BN15" s="43">
        <v>3</v>
      </c>
      <c r="BO15" s="43">
        <v>2</v>
      </c>
      <c r="BP15" s="43">
        <v>2</v>
      </c>
      <c r="BQ15" s="43">
        <v>2</v>
      </c>
      <c r="BR15" s="43">
        <v>3</v>
      </c>
      <c r="BS15" s="43">
        <v>3</v>
      </c>
      <c r="BT15" s="43">
        <v>3</v>
      </c>
      <c r="BU15" s="43">
        <v>3</v>
      </c>
      <c r="BV15" s="43">
        <v>3</v>
      </c>
      <c r="BW15" s="43">
        <v>3</v>
      </c>
      <c r="BX15" s="43">
        <v>1</v>
      </c>
      <c r="BY15" s="43">
        <v>3</v>
      </c>
      <c r="BZ15" s="100">
        <v>0</v>
      </c>
      <c r="CA15" s="101">
        <v>0</v>
      </c>
      <c r="CB15" s="61">
        <v>10</v>
      </c>
      <c r="CC15" s="61">
        <v>1</v>
      </c>
      <c r="CD15" s="66">
        <v>0</v>
      </c>
      <c r="CE15" s="66">
        <v>0</v>
      </c>
      <c r="CF15" s="100">
        <v>0</v>
      </c>
      <c r="CG15" s="101">
        <v>0</v>
      </c>
      <c r="CH15" s="66">
        <v>0</v>
      </c>
      <c r="CI15" s="66">
        <v>0</v>
      </c>
      <c r="CJ15" s="66">
        <v>0</v>
      </c>
      <c r="CK15" s="66">
        <v>0</v>
      </c>
      <c r="CL15" s="66">
        <v>0</v>
      </c>
      <c r="CM15" s="68">
        <v>0</v>
      </c>
      <c r="CN15" s="104">
        <v>30</v>
      </c>
      <c r="CO15" s="104">
        <v>7</v>
      </c>
      <c r="CP15" s="105">
        <v>0</v>
      </c>
      <c r="CQ15" s="104">
        <v>0</v>
      </c>
      <c r="CR15" s="104">
        <v>45</v>
      </c>
      <c r="CS15" s="104">
        <v>2</v>
      </c>
      <c r="CT15" s="104">
        <v>0</v>
      </c>
      <c r="CU15" s="104">
        <v>0</v>
      </c>
      <c r="CV15" s="102">
        <v>600</v>
      </c>
      <c r="CW15" s="102">
        <v>600</v>
      </c>
      <c r="CX15" s="95">
        <v>0.86</v>
      </c>
      <c r="CY15" s="95">
        <v>0.42</v>
      </c>
      <c r="CZ15" s="95">
        <v>0.62</v>
      </c>
      <c r="DA15" s="96">
        <f>Table48[[#This Row],[IMT_AVG_D]]/0.001</f>
        <v>620</v>
      </c>
      <c r="DB15" s="95">
        <v>0.11</v>
      </c>
      <c r="DC15" s="95">
        <v>255</v>
      </c>
      <c r="DD15" s="95">
        <v>44273</v>
      </c>
    </row>
    <row r="16" spans="1:108" s="3" customFormat="1" ht="28" customHeight="1">
      <c r="A16" s="10" t="s">
        <v>23</v>
      </c>
      <c r="B16" s="82" t="s">
        <v>125</v>
      </c>
      <c r="C16" s="87" t="s">
        <v>126</v>
      </c>
      <c r="D16" s="87" t="s">
        <v>32</v>
      </c>
      <c r="E16" s="87" t="s">
        <v>32</v>
      </c>
      <c r="F16" s="36">
        <v>30</v>
      </c>
      <c r="G16" s="23">
        <v>0</v>
      </c>
      <c r="H16" s="10" t="s">
        <v>0</v>
      </c>
      <c r="I16" s="8">
        <f>IF(Table48[[#This Row],[WEIGHT]]="","",Table48[[#This Row],[WEIGHT]]/((Table48[[#This Row],[HEIGHT]])^2))</f>
        <v>25.185143309401319</v>
      </c>
      <c r="J16" s="88">
        <v>0.76</v>
      </c>
      <c r="K16" s="88">
        <v>44.55</v>
      </c>
      <c r="L16" s="88">
        <v>1.33</v>
      </c>
      <c r="M16" s="88">
        <v>17.03</v>
      </c>
      <c r="N16" s="88">
        <v>8.19</v>
      </c>
      <c r="O16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177.7</v>
      </c>
      <c r="P16" s="1">
        <v>1465.7608256999999</v>
      </c>
      <c r="Q16" s="16">
        <v>1.08</v>
      </c>
      <c r="R16" s="94">
        <f>32.9-(32.9*11/100)</f>
        <v>29.280999999999999</v>
      </c>
      <c r="S16" s="16">
        <v>9.4</v>
      </c>
      <c r="T16" s="16">
        <v>136</v>
      </c>
      <c r="U16" s="17">
        <v>130</v>
      </c>
      <c r="V16" s="17">
        <v>140</v>
      </c>
      <c r="W16" s="106">
        <v>14</v>
      </c>
      <c r="X16" s="106">
        <v>33.200000000000003</v>
      </c>
      <c r="Y16" s="13">
        <v>10</v>
      </c>
      <c r="Z16" s="28">
        <v>12</v>
      </c>
      <c r="AA16" s="39">
        <v>122</v>
      </c>
      <c r="AB16" s="39">
        <v>76</v>
      </c>
      <c r="AC16" s="39">
        <v>46</v>
      </c>
      <c r="AD16" s="39">
        <v>91</v>
      </c>
      <c r="AE16" s="39">
        <v>79</v>
      </c>
      <c r="AF16" s="39">
        <v>5.9</v>
      </c>
      <c r="AG16" s="39">
        <v>7.5</v>
      </c>
      <c r="AH16" s="39">
        <v>133</v>
      </c>
      <c r="AI16" s="39">
        <v>76</v>
      </c>
      <c r="AJ16" s="55">
        <f>2/3*Table48[[#This Row],[COMPLIOR_cDBP]]+1/3*Table48[[#This Row],[COMPLIOR_cSBP]]</f>
        <v>95</v>
      </c>
      <c r="AK16" s="39">
        <f>Table48[[#This Row],[COMPLIOR_cSBP]]-Table48[[#This Row],[COMPLIOR_cDBP]]</f>
        <v>57</v>
      </c>
      <c r="AL16" s="43">
        <v>3</v>
      </c>
      <c r="AM16" s="43">
        <v>3</v>
      </c>
      <c r="AN16" s="43">
        <v>1</v>
      </c>
      <c r="AO16" s="43">
        <v>3</v>
      </c>
      <c r="AP16" s="43">
        <v>3</v>
      </c>
      <c r="AQ16" s="43">
        <v>3</v>
      </c>
      <c r="AR16" s="43">
        <v>3</v>
      </c>
      <c r="AS16" s="43">
        <v>2</v>
      </c>
      <c r="AT16" s="43">
        <v>3</v>
      </c>
      <c r="AU16" s="43">
        <v>3</v>
      </c>
      <c r="AV16" s="43">
        <v>1</v>
      </c>
      <c r="AW16" s="43">
        <v>2</v>
      </c>
      <c r="AX16" s="43">
        <v>3</v>
      </c>
      <c r="AY16" s="43">
        <v>2</v>
      </c>
      <c r="AZ16" s="43">
        <v>3</v>
      </c>
      <c r="BA16" s="43">
        <v>3</v>
      </c>
      <c r="BB16" s="43">
        <v>3</v>
      </c>
      <c r="BC16" s="43">
        <v>1</v>
      </c>
      <c r="BD16" s="43">
        <v>2</v>
      </c>
      <c r="BE16" s="43">
        <v>3</v>
      </c>
      <c r="BF16" s="43">
        <v>3</v>
      </c>
      <c r="BG16" s="43">
        <v>3</v>
      </c>
      <c r="BH16" s="43">
        <v>1</v>
      </c>
      <c r="BI16" s="43">
        <v>3</v>
      </c>
      <c r="BJ16" s="43">
        <v>3</v>
      </c>
      <c r="BK16" s="43">
        <v>3</v>
      </c>
      <c r="BL16" s="43">
        <v>3</v>
      </c>
      <c r="BM16" s="43">
        <v>3</v>
      </c>
      <c r="BN16" s="43">
        <v>3</v>
      </c>
      <c r="BO16" s="43">
        <v>3</v>
      </c>
      <c r="BP16" s="43">
        <v>3</v>
      </c>
      <c r="BQ16" s="43">
        <v>2</v>
      </c>
      <c r="BR16" s="43">
        <v>3</v>
      </c>
      <c r="BS16" s="43">
        <v>3</v>
      </c>
      <c r="BT16" s="43">
        <v>3</v>
      </c>
      <c r="BU16" s="43">
        <v>3</v>
      </c>
      <c r="BV16" s="43">
        <v>3</v>
      </c>
      <c r="BW16" s="43">
        <v>3</v>
      </c>
      <c r="BX16" s="43">
        <v>3</v>
      </c>
      <c r="BY16" s="43">
        <v>3</v>
      </c>
      <c r="BZ16" s="100">
        <v>0</v>
      </c>
      <c r="CA16" s="100">
        <v>0</v>
      </c>
      <c r="CB16" s="63">
        <v>15</v>
      </c>
      <c r="CC16" s="60">
        <v>5</v>
      </c>
      <c r="CD16" s="65">
        <v>0</v>
      </c>
      <c r="CE16" s="65">
        <v>0</v>
      </c>
      <c r="CF16" s="100">
        <v>20</v>
      </c>
      <c r="CG16" s="100">
        <v>4</v>
      </c>
      <c r="CH16" s="66">
        <v>0</v>
      </c>
      <c r="CI16" s="66">
        <v>0</v>
      </c>
      <c r="CJ16" s="65">
        <v>0</v>
      </c>
      <c r="CK16" s="66">
        <v>0</v>
      </c>
      <c r="CL16" s="66">
        <v>0</v>
      </c>
      <c r="CM16" s="65">
        <v>0</v>
      </c>
      <c r="CN16" s="65">
        <v>0</v>
      </c>
      <c r="CO16" s="65">
        <v>0</v>
      </c>
      <c r="CP16" s="69">
        <v>20</v>
      </c>
      <c r="CQ16" s="65">
        <v>1</v>
      </c>
      <c r="CR16" s="65">
        <v>0</v>
      </c>
      <c r="CS16" s="65">
        <v>0</v>
      </c>
      <c r="CT16" s="65">
        <v>0</v>
      </c>
      <c r="CU16" s="65">
        <v>0</v>
      </c>
      <c r="CV16" s="103">
        <v>360</v>
      </c>
      <c r="CW16" s="103">
        <v>360</v>
      </c>
      <c r="CX16" s="95">
        <v>0.78</v>
      </c>
      <c r="CY16" s="95">
        <v>0.56999999999999995</v>
      </c>
      <c r="CZ16" s="95">
        <v>0.65</v>
      </c>
      <c r="DA16" s="96">
        <f>Table48[[#This Row],[IMT_AVG_D]]/0.001</f>
        <v>650</v>
      </c>
      <c r="DB16" s="95">
        <v>0.05</v>
      </c>
      <c r="DC16" s="95">
        <v>273</v>
      </c>
      <c r="DD16" s="95">
        <v>44269</v>
      </c>
    </row>
    <row r="17" spans="1:108" s="3" customFormat="1" ht="28" customHeight="1">
      <c r="A17" s="10" t="s">
        <v>16</v>
      </c>
      <c r="B17" s="82" t="s">
        <v>131</v>
      </c>
      <c r="C17" s="87" t="s">
        <v>126</v>
      </c>
      <c r="D17" s="90" t="s">
        <v>31</v>
      </c>
      <c r="E17" s="85" t="s">
        <v>31</v>
      </c>
      <c r="F17" s="36">
        <v>46</v>
      </c>
      <c r="G17" s="23">
        <v>1</v>
      </c>
      <c r="H17" s="10" t="s">
        <v>0</v>
      </c>
      <c r="I17" s="8">
        <f>IF(Table48[[#This Row],[WEIGHT]]="","",Table48[[#This Row],[WEIGHT]]/((Table48[[#This Row],[HEIGHT]])^2))</f>
        <v>26.938791860278798</v>
      </c>
      <c r="J17" s="88">
        <v>1.01</v>
      </c>
      <c r="K17" s="88">
        <v>67.25</v>
      </c>
      <c r="L17" s="88">
        <v>1.58</v>
      </c>
      <c r="M17" s="88">
        <v>17.59</v>
      </c>
      <c r="N17" s="88">
        <v>9.24</v>
      </c>
      <c r="O17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153.24</v>
      </c>
      <c r="P17" s="1">
        <v>1035.5113454</v>
      </c>
      <c r="Q17" s="16">
        <v>1.17</v>
      </c>
      <c r="R17" s="16">
        <v>15.4</v>
      </c>
      <c r="S17" s="16">
        <v>4.4000000000000004</v>
      </c>
      <c r="T17" s="16">
        <v>107</v>
      </c>
      <c r="U17" s="17">
        <v>84</v>
      </c>
      <c r="V17" s="17">
        <v>98</v>
      </c>
      <c r="W17" s="106">
        <v>9.1999999999999993</v>
      </c>
      <c r="X17" s="106">
        <v>13.9</v>
      </c>
      <c r="Y17" s="13">
        <v>12</v>
      </c>
      <c r="Z17" s="28">
        <v>12</v>
      </c>
      <c r="AA17" s="39">
        <v>121</v>
      </c>
      <c r="AB17" s="39">
        <v>72</v>
      </c>
      <c r="AC17" s="39">
        <v>49</v>
      </c>
      <c r="AD17" s="39">
        <v>88</v>
      </c>
      <c r="AE17" s="39">
        <v>48</v>
      </c>
      <c r="AF17" s="39">
        <v>7.1</v>
      </c>
      <c r="AG17" s="39">
        <v>8.6999999999999993</v>
      </c>
      <c r="AH17" s="39">
        <v>120</v>
      </c>
      <c r="AI17" s="39">
        <v>72</v>
      </c>
      <c r="AJ17" s="55">
        <f>2/3*Table48[[#This Row],[COMPLIOR_cDBP]]+1/3*Table48[[#This Row],[COMPLIOR_cSBP]]</f>
        <v>88</v>
      </c>
      <c r="AK17" s="39">
        <f>Table48[[#This Row],[COMPLIOR_cSBP]]-Table48[[#This Row],[COMPLIOR_cDBP]]</f>
        <v>48</v>
      </c>
      <c r="AL17" s="43">
        <v>3</v>
      </c>
      <c r="AM17" s="43">
        <v>2</v>
      </c>
      <c r="AN17" s="43">
        <v>1</v>
      </c>
      <c r="AO17" s="43">
        <v>1</v>
      </c>
      <c r="AP17" s="43">
        <v>2</v>
      </c>
      <c r="AQ17" s="43">
        <v>3</v>
      </c>
      <c r="AR17" s="43">
        <v>2</v>
      </c>
      <c r="AS17" s="43">
        <v>2</v>
      </c>
      <c r="AT17" s="43">
        <v>3</v>
      </c>
      <c r="AU17" s="43">
        <v>3</v>
      </c>
      <c r="AV17" s="43">
        <v>2</v>
      </c>
      <c r="AW17" s="43">
        <v>1</v>
      </c>
      <c r="AX17" s="43">
        <v>2</v>
      </c>
      <c r="AY17" s="43">
        <v>2</v>
      </c>
      <c r="AZ17" s="43">
        <v>3</v>
      </c>
      <c r="BA17" s="43">
        <v>2</v>
      </c>
      <c r="BB17" s="43">
        <v>1</v>
      </c>
      <c r="BC17" s="43">
        <v>1</v>
      </c>
      <c r="BD17" s="43">
        <v>2</v>
      </c>
      <c r="BE17" s="43">
        <v>1</v>
      </c>
      <c r="BF17" s="43">
        <v>3</v>
      </c>
      <c r="BG17" s="43">
        <v>2</v>
      </c>
      <c r="BH17" s="43">
        <v>3</v>
      </c>
      <c r="BI17" s="43">
        <v>3</v>
      </c>
      <c r="BJ17" s="43">
        <v>3</v>
      </c>
      <c r="BK17" s="41">
        <v>2</v>
      </c>
      <c r="BL17" s="41">
        <v>2</v>
      </c>
      <c r="BM17" s="41">
        <v>2</v>
      </c>
      <c r="BN17" s="41">
        <v>2</v>
      </c>
      <c r="BO17" s="41">
        <v>2</v>
      </c>
      <c r="BP17" s="43">
        <v>3</v>
      </c>
      <c r="BQ17" s="43">
        <v>1</v>
      </c>
      <c r="BR17" s="43">
        <v>3</v>
      </c>
      <c r="BS17" s="43">
        <v>3</v>
      </c>
      <c r="BT17" s="43">
        <v>3</v>
      </c>
      <c r="BU17" s="43">
        <v>2</v>
      </c>
      <c r="BV17" s="43">
        <v>1</v>
      </c>
      <c r="BW17" s="43">
        <v>2</v>
      </c>
      <c r="BX17" s="43">
        <v>1</v>
      </c>
      <c r="BY17" s="43">
        <v>2</v>
      </c>
      <c r="BZ17" s="100">
        <v>0</v>
      </c>
      <c r="CA17" s="101">
        <v>0</v>
      </c>
      <c r="CB17" s="61">
        <v>0</v>
      </c>
      <c r="CC17" s="61">
        <v>0</v>
      </c>
      <c r="CD17" s="66">
        <v>0</v>
      </c>
      <c r="CE17" s="66">
        <v>0</v>
      </c>
      <c r="CF17" s="100">
        <v>10</v>
      </c>
      <c r="CG17" s="101">
        <v>5</v>
      </c>
      <c r="CH17" s="66">
        <v>0</v>
      </c>
      <c r="CI17" s="66">
        <v>0</v>
      </c>
      <c r="CJ17" s="66">
        <v>0</v>
      </c>
      <c r="CK17" s="66">
        <v>0</v>
      </c>
      <c r="CL17" s="66">
        <v>0</v>
      </c>
      <c r="CM17" s="68">
        <v>0</v>
      </c>
      <c r="CN17" s="104">
        <v>0</v>
      </c>
      <c r="CO17" s="104">
        <v>0</v>
      </c>
      <c r="CP17" s="105">
        <v>15</v>
      </c>
      <c r="CQ17" s="104">
        <v>7</v>
      </c>
      <c r="CR17" s="104">
        <v>0</v>
      </c>
      <c r="CS17" s="104">
        <v>0</v>
      </c>
      <c r="CT17" s="104">
        <v>0</v>
      </c>
      <c r="CU17" s="104">
        <v>0</v>
      </c>
      <c r="CV17" s="102">
        <v>240</v>
      </c>
      <c r="CW17" s="102">
        <v>300</v>
      </c>
      <c r="CX17" s="95">
        <v>0.99</v>
      </c>
      <c r="CY17" s="95">
        <v>0.63</v>
      </c>
      <c r="CZ17" s="95">
        <v>0.8</v>
      </c>
      <c r="DA17" s="96">
        <f>Table48[[#This Row],[IMT_AVG_D]]/0.001</f>
        <v>800</v>
      </c>
      <c r="DB17" s="95">
        <v>0.1</v>
      </c>
      <c r="DC17" s="95">
        <v>259</v>
      </c>
      <c r="DD17" s="95">
        <v>44360</v>
      </c>
    </row>
    <row r="18" spans="1:108" ht="28" customHeight="1">
      <c r="A18" s="3" t="s">
        <v>30</v>
      </c>
      <c r="B18" s="83" t="s">
        <v>125</v>
      </c>
      <c r="C18" s="87" t="s">
        <v>126</v>
      </c>
      <c r="D18" s="85" t="s">
        <v>32</v>
      </c>
      <c r="E18" s="85" t="s">
        <v>122</v>
      </c>
      <c r="F18" s="36">
        <v>14</v>
      </c>
      <c r="G18" s="17">
        <v>1</v>
      </c>
      <c r="H18" s="10" t="s">
        <v>0</v>
      </c>
      <c r="I18" s="8">
        <f>IF(Table48[[#This Row],[WEIGHT]]="","",Table48[[#This Row],[WEIGHT]]/((Table48[[#This Row],[HEIGHT]])^2))</f>
        <v>23.865744644965424</v>
      </c>
      <c r="J18" s="88">
        <v>0.79</v>
      </c>
      <c r="K18" s="1">
        <v>56.6</v>
      </c>
      <c r="L18" s="1">
        <v>1.54</v>
      </c>
      <c r="M18" s="1">
        <v>21.02</v>
      </c>
      <c r="N18" s="1">
        <v>2.91</v>
      </c>
      <c r="O18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186.66</v>
      </c>
      <c r="P18" s="1">
        <v>2458.7545994000002</v>
      </c>
      <c r="Q18" s="16">
        <v>1.01</v>
      </c>
      <c r="R18" s="16">
        <v>36</v>
      </c>
      <c r="S18" s="16">
        <v>12.4</v>
      </c>
      <c r="T18" s="16">
        <v>173</v>
      </c>
      <c r="U18" s="17">
        <v>126</v>
      </c>
      <c r="V18" s="17">
        <v>168</v>
      </c>
      <c r="W18" s="106">
        <v>24.2</v>
      </c>
      <c r="X18" s="106">
        <v>34.200000000000003</v>
      </c>
      <c r="Y18" s="13">
        <v>24</v>
      </c>
      <c r="Z18" s="28">
        <v>22</v>
      </c>
      <c r="AA18" s="39">
        <v>136</v>
      </c>
      <c r="AB18" s="39">
        <v>68</v>
      </c>
      <c r="AC18" s="39">
        <v>68</v>
      </c>
      <c r="AD18" s="39">
        <v>90</v>
      </c>
      <c r="AE18" s="39">
        <v>81</v>
      </c>
      <c r="AF18" s="39">
        <v>7.8</v>
      </c>
      <c r="AG18" s="39">
        <v>6.6</v>
      </c>
      <c r="AH18" s="40">
        <v>116</v>
      </c>
      <c r="AI18" s="39">
        <v>68</v>
      </c>
      <c r="AJ18" s="55">
        <f>2/3*Table48[[#This Row],[COMPLIOR_cDBP]]+1/3*Table48[[#This Row],[COMPLIOR_cSBP]]</f>
        <v>84</v>
      </c>
      <c r="AK18" s="39">
        <f>Table48[[#This Row],[COMPLIOR_cSBP]]-Table48[[#This Row],[COMPLIOR_cDBP]]</f>
        <v>48</v>
      </c>
      <c r="AL18" s="43">
        <v>3</v>
      </c>
      <c r="AM18" s="43">
        <v>2</v>
      </c>
      <c r="AN18" s="43">
        <v>1</v>
      </c>
      <c r="AO18" s="43">
        <v>3</v>
      </c>
      <c r="AP18" s="43">
        <v>3</v>
      </c>
      <c r="AQ18" s="43">
        <v>3</v>
      </c>
      <c r="AR18" s="43">
        <v>2</v>
      </c>
      <c r="AS18" s="43">
        <v>1</v>
      </c>
      <c r="AT18" s="43">
        <v>2</v>
      </c>
      <c r="AU18" s="43">
        <v>3</v>
      </c>
      <c r="AV18" s="43">
        <v>2</v>
      </c>
      <c r="AW18" s="43">
        <v>1</v>
      </c>
      <c r="AX18" s="43">
        <v>3</v>
      </c>
      <c r="AY18" s="43">
        <v>1</v>
      </c>
      <c r="AZ18" s="43">
        <v>3</v>
      </c>
      <c r="BA18" s="43">
        <v>2</v>
      </c>
      <c r="BB18" s="43">
        <v>2</v>
      </c>
      <c r="BC18" s="43">
        <v>2</v>
      </c>
      <c r="BD18" s="43">
        <v>1</v>
      </c>
      <c r="BE18" s="43">
        <v>2</v>
      </c>
      <c r="BF18" s="43">
        <v>3</v>
      </c>
      <c r="BG18" s="43">
        <v>2</v>
      </c>
      <c r="BH18" s="43">
        <v>3</v>
      </c>
      <c r="BI18" s="43">
        <v>3</v>
      </c>
      <c r="BJ18" s="43">
        <v>3</v>
      </c>
      <c r="BK18" s="41">
        <v>3</v>
      </c>
      <c r="BL18" s="41">
        <v>3</v>
      </c>
      <c r="BM18" s="41">
        <v>3</v>
      </c>
      <c r="BN18" s="41">
        <v>3</v>
      </c>
      <c r="BO18" s="41">
        <v>3</v>
      </c>
      <c r="BP18" s="43">
        <v>3</v>
      </c>
      <c r="BQ18" s="43">
        <v>3</v>
      </c>
      <c r="BR18" s="43">
        <v>3</v>
      </c>
      <c r="BS18" s="43">
        <v>3</v>
      </c>
      <c r="BT18" s="43">
        <v>3</v>
      </c>
      <c r="BU18" s="43">
        <v>2</v>
      </c>
      <c r="BV18" s="43">
        <v>3</v>
      </c>
      <c r="BW18" s="43">
        <v>3</v>
      </c>
      <c r="BX18" s="43">
        <v>1</v>
      </c>
      <c r="BY18" s="43">
        <v>1</v>
      </c>
      <c r="BZ18" s="100">
        <v>5</v>
      </c>
      <c r="CA18" s="100">
        <v>3</v>
      </c>
      <c r="CB18" s="60">
        <v>20</v>
      </c>
      <c r="CC18" s="60">
        <v>2</v>
      </c>
      <c r="CD18" s="100">
        <v>0</v>
      </c>
      <c r="CE18" s="100">
        <v>0</v>
      </c>
      <c r="CF18" s="100">
        <v>15</v>
      </c>
      <c r="CG18" s="100">
        <v>3</v>
      </c>
      <c r="CH18" s="66">
        <v>0</v>
      </c>
      <c r="CI18" s="66">
        <v>0</v>
      </c>
      <c r="CJ18" s="65">
        <v>0</v>
      </c>
      <c r="CK18" s="66">
        <v>0</v>
      </c>
      <c r="CL18" s="66">
        <v>0</v>
      </c>
      <c r="CM18" s="65">
        <v>0</v>
      </c>
      <c r="CN18" s="65">
        <v>10</v>
      </c>
      <c r="CO18" s="65">
        <v>3</v>
      </c>
      <c r="CP18" s="69">
        <v>15</v>
      </c>
      <c r="CQ18" s="65">
        <v>3</v>
      </c>
      <c r="CR18" s="65">
        <v>0</v>
      </c>
      <c r="CS18" s="65">
        <v>0</v>
      </c>
      <c r="CT18" s="65">
        <v>50</v>
      </c>
      <c r="CU18" s="65">
        <v>3</v>
      </c>
      <c r="CV18" s="103">
        <v>300</v>
      </c>
      <c r="CW18" s="103">
        <v>300</v>
      </c>
      <c r="CX18" s="95">
        <v>0.61</v>
      </c>
      <c r="CY18" s="95">
        <v>0.43</v>
      </c>
      <c r="CZ18" s="95">
        <v>0.5</v>
      </c>
      <c r="DA18" s="96">
        <f>Table48[[#This Row],[IMT_AVG_D]]/0.001</f>
        <v>500</v>
      </c>
      <c r="DB18" s="95">
        <v>0.05</v>
      </c>
      <c r="DC18" s="95">
        <v>245</v>
      </c>
      <c r="DD18" s="95">
        <v>15</v>
      </c>
    </row>
    <row r="19" spans="1:108" ht="28" customHeight="1">
      <c r="A19" s="10" t="s">
        <v>21</v>
      </c>
      <c r="B19" s="82" t="s">
        <v>131</v>
      </c>
      <c r="C19" s="87" t="s">
        <v>127</v>
      </c>
      <c r="D19" s="87" t="s">
        <v>32</v>
      </c>
      <c r="E19" s="87" t="s">
        <v>122</v>
      </c>
      <c r="F19" s="36">
        <v>33</v>
      </c>
      <c r="G19" s="23">
        <v>1</v>
      </c>
      <c r="H19" s="10" t="s">
        <v>0</v>
      </c>
      <c r="I19" s="8">
        <f>IF(Table48[[#This Row],[WEIGHT]]="","",Table48[[#This Row],[WEIGHT]]/((Table48[[#This Row],[HEIGHT]])^2))</f>
        <v>25.379621950870767</v>
      </c>
      <c r="J19" s="1">
        <v>1.03</v>
      </c>
      <c r="K19" s="1">
        <v>88.75</v>
      </c>
      <c r="L19" s="1">
        <v>1.87</v>
      </c>
      <c r="M19" s="1">
        <v>18.329999999999998</v>
      </c>
      <c r="N19" s="1">
        <v>7.11</v>
      </c>
      <c r="O19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176.02</v>
      </c>
      <c r="P19" s="1">
        <v>2206.7827004999999</v>
      </c>
      <c r="Q19">
        <v>0.96</v>
      </c>
      <c r="R19">
        <v>24.87</v>
      </c>
      <c r="S19">
        <v>7.1</v>
      </c>
      <c r="T19">
        <v>140</v>
      </c>
      <c r="U19">
        <v>109</v>
      </c>
      <c r="V19">
        <v>123</v>
      </c>
      <c r="W19">
        <v>11</v>
      </c>
      <c r="X19">
        <v>22.2</v>
      </c>
      <c r="Y19" s="13">
        <v>21</v>
      </c>
      <c r="Z19" s="28">
        <v>40</v>
      </c>
      <c r="AA19" s="39">
        <v>124</v>
      </c>
      <c r="AB19" s="39">
        <v>78</v>
      </c>
      <c r="AC19" s="39">
        <v>46</v>
      </c>
      <c r="AD19" s="39">
        <v>93</v>
      </c>
      <c r="AE19" s="39">
        <v>83</v>
      </c>
      <c r="AF19" s="39">
        <v>7.1</v>
      </c>
      <c r="AG19" s="39">
        <v>10.9</v>
      </c>
      <c r="AH19" s="39">
        <v>104</v>
      </c>
      <c r="AI19" s="39">
        <v>78</v>
      </c>
      <c r="AJ19" s="55">
        <f>2/3*Table48[[#This Row],[COMPLIOR_cDBP]]+1/3*Table48[[#This Row],[COMPLIOR_cSBP]]</f>
        <v>86.666666666666657</v>
      </c>
      <c r="AK19" s="39">
        <f>Table48[[#This Row],[COMPLIOR_cSBP]]-Table48[[#This Row],[COMPLIOR_cDBP]]</f>
        <v>26</v>
      </c>
      <c r="AL19" s="42">
        <v>3</v>
      </c>
      <c r="AM19" s="42">
        <v>1</v>
      </c>
      <c r="AN19" s="42">
        <v>1</v>
      </c>
      <c r="AO19" s="42">
        <v>3</v>
      </c>
      <c r="AP19" s="42">
        <v>3</v>
      </c>
      <c r="AQ19" s="42">
        <v>3</v>
      </c>
      <c r="AR19" s="42">
        <v>3</v>
      </c>
      <c r="AS19" s="42">
        <v>3</v>
      </c>
      <c r="AT19" s="42">
        <v>3</v>
      </c>
      <c r="AU19" s="42">
        <v>3</v>
      </c>
      <c r="AV19" s="42">
        <v>2</v>
      </c>
      <c r="AW19" s="42">
        <v>2</v>
      </c>
      <c r="AX19" s="42">
        <v>3</v>
      </c>
      <c r="AY19" s="42">
        <v>2</v>
      </c>
      <c r="AZ19" s="42">
        <v>3</v>
      </c>
      <c r="BA19" s="42">
        <v>3</v>
      </c>
      <c r="BB19" s="42">
        <v>2</v>
      </c>
      <c r="BC19" s="42">
        <v>2</v>
      </c>
      <c r="BD19" s="42">
        <v>1</v>
      </c>
      <c r="BE19" s="42">
        <v>1</v>
      </c>
      <c r="BF19" s="42">
        <v>3</v>
      </c>
      <c r="BG19" s="42">
        <v>1</v>
      </c>
      <c r="BH19" s="42">
        <v>1</v>
      </c>
      <c r="BI19" s="42">
        <v>2</v>
      </c>
      <c r="BJ19" s="42">
        <v>3</v>
      </c>
      <c r="BK19" s="42">
        <v>3</v>
      </c>
      <c r="BL19" s="42">
        <v>2</v>
      </c>
      <c r="BM19" s="42">
        <v>3</v>
      </c>
      <c r="BN19" s="42">
        <v>2</v>
      </c>
      <c r="BO19" s="42">
        <v>2</v>
      </c>
      <c r="BP19" s="42">
        <v>3</v>
      </c>
      <c r="BQ19" s="42">
        <v>3</v>
      </c>
      <c r="BR19" s="42">
        <v>3</v>
      </c>
      <c r="BS19" s="42">
        <v>2</v>
      </c>
      <c r="BT19" s="42">
        <v>3</v>
      </c>
      <c r="BU19" s="42">
        <v>1</v>
      </c>
      <c r="BV19" s="42">
        <v>3</v>
      </c>
      <c r="BW19" s="42">
        <v>2</v>
      </c>
      <c r="BX19" s="42">
        <v>1</v>
      </c>
      <c r="BY19" s="42">
        <v>1</v>
      </c>
      <c r="BZ19" s="65">
        <v>100</v>
      </c>
      <c r="CA19" s="65">
        <v>5</v>
      </c>
      <c r="CB19" s="60">
        <v>60</v>
      </c>
      <c r="CC19" s="65">
        <v>2</v>
      </c>
      <c r="CD19" s="65">
        <v>90</v>
      </c>
      <c r="CE19" s="65">
        <v>2</v>
      </c>
      <c r="CF19" s="65">
        <v>15</v>
      </c>
      <c r="CG19" s="65">
        <v>7</v>
      </c>
      <c r="CH19" s="65">
        <v>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r="CN19" s="65">
        <v>0</v>
      </c>
      <c r="CO19" s="65">
        <v>0</v>
      </c>
      <c r="CP19" s="69">
        <v>60</v>
      </c>
      <c r="CQ19" s="65">
        <v>2</v>
      </c>
      <c r="CR19" s="65">
        <v>100</v>
      </c>
      <c r="CS19" s="65">
        <v>2</v>
      </c>
      <c r="CT19" s="65">
        <v>100</v>
      </c>
      <c r="CU19" s="65">
        <v>4</v>
      </c>
      <c r="CV19" s="65">
        <v>360</v>
      </c>
      <c r="CW19" s="65">
        <v>120</v>
      </c>
      <c r="CX19" s="95">
        <v>0.42</v>
      </c>
      <c r="CY19" s="95">
        <v>0.26</v>
      </c>
      <c r="CZ19" s="95">
        <v>0.36</v>
      </c>
      <c r="DA19" s="96">
        <f>Table48[[#This Row],[IMT_AVG_D]]/0.001</f>
        <v>360</v>
      </c>
      <c r="DB19" s="95">
        <v>0.04</v>
      </c>
      <c r="DC19" s="95">
        <v>127</v>
      </c>
      <c r="DD19" s="95">
        <v>10</v>
      </c>
    </row>
    <row r="20" spans="1:108" ht="28" customHeight="1">
      <c r="A20" s="10" t="s">
        <v>27</v>
      </c>
      <c r="B20" s="82" t="s">
        <v>131</v>
      </c>
      <c r="C20" s="87" t="s">
        <v>127</v>
      </c>
      <c r="D20" s="87" t="s">
        <v>32</v>
      </c>
      <c r="E20" s="87" t="s">
        <v>122</v>
      </c>
      <c r="F20" s="36">
        <v>18</v>
      </c>
      <c r="G20" s="23">
        <v>0</v>
      </c>
      <c r="H20" s="10" t="s">
        <v>0</v>
      </c>
      <c r="I20" s="8">
        <f>IF(Table48[[#This Row],[WEIGHT]]="","",Table48[[#This Row],[WEIGHT]]/((Table48[[#This Row],[HEIGHT]])^2))</f>
        <v>23.992241524709058</v>
      </c>
      <c r="J20" s="1">
        <v>0.8</v>
      </c>
      <c r="K20" s="1">
        <v>56.9</v>
      </c>
      <c r="L20" s="1">
        <v>1.54</v>
      </c>
      <c r="M20" s="1">
        <v>16.149999999999999</v>
      </c>
      <c r="N20" s="1">
        <v>7.78</v>
      </c>
      <c r="O20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184.42</v>
      </c>
      <c r="P20" s="1">
        <v>1633.6438393000001</v>
      </c>
      <c r="Q20">
        <v>1.1299999999999999</v>
      </c>
      <c r="R20">
        <v>28.71</v>
      </c>
      <c r="S20">
        <v>8.1999999999999993</v>
      </c>
      <c r="T20">
        <v>152</v>
      </c>
      <c r="U20">
        <v>99</v>
      </c>
      <c r="V20">
        <v>151</v>
      </c>
      <c r="W20">
        <v>7.2</v>
      </c>
      <c r="X20">
        <v>17</v>
      </c>
      <c r="Y20" s="29">
        <v>14</v>
      </c>
      <c r="Z20" s="29">
        <v>14</v>
      </c>
      <c r="AA20" s="39">
        <v>118</v>
      </c>
      <c r="AB20" s="39">
        <v>59</v>
      </c>
      <c r="AC20" s="39">
        <v>59</v>
      </c>
      <c r="AD20" s="39">
        <v>78</v>
      </c>
      <c r="AE20" s="39">
        <v>85</v>
      </c>
      <c r="AF20" s="39">
        <v>5.8</v>
      </c>
      <c r="AG20" s="39">
        <v>6.8</v>
      </c>
      <c r="AH20" s="39">
        <v>118</v>
      </c>
      <c r="AI20" s="39">
        <v>59</v>
      </c>
      <c r="AJ20" s="55">
        <f>2/3*Table48[[#This Row],[COMPLIOR_cDBP]]+1/3*Table48[[#This Row],[COMPLIOR_cSBP]]</f>
        <v>78.666666666666657</v>
      </c>
      <c r="AK20" s="39">
        <f>Table48[[#This Row],[COMPLIOR_cSBP]]-Table48[[#This Row],[COMPLIOR_cDBP]]</f>
        <v>59</v>
      </c>
      <c r="AL20" s="42">
        <v>2</v>
      </c>
      <c r="AM20" s="42">
        <v>2</v>
      </c>
      <c r="AN20" s="42">
        <v>1</v>
      </c>
      <c r="AO20" s="42">
        <v>3</v>
      </c>
      <c r="AP20" s="42">
        <v>3</v>
      </c>
      <c r="AQ20" s="42">
        <v>2</v>
      </c>
      <c r="AR20" s="42">
        <v>3</v>
      </c>
      <c r="AS20" s="42">
        <v>2</v>
      </c>
      <c r="AT20" s="42">
        <v>3</v>
      </c>
      <c r="AU20" s="42">
        <v>3</v>
      </c>
      <c r="AV20" s="42">
        <v>3</v>
      </c>
      <c r="AW20" s="42">
        <v>2</v>
      </c>
      <c r="AX20" s="42">
        <v>3</v>
      </c>
      <c r="AY20" s="42">
        <v>2</v>
      </c>
      <c r="AZ20" s="42">
        <v>3</v>
      </c>
      <c r="BA20" s="42">
        <v>2</v>
      </c>
      <c r="BB20" s="42">
        <v>2</v>
      </c>
      <c r="BC20" s="42">
        <v>2</v>
      </c>
      <c r="BD20" s="42">
        <v>2</v>
      </c>
      <c r="BE20" s="42">
        <v>2</v>
      </c>
      <c r="BF20" s="42">
        <v>3</v>
      </c>
      <c r="BG20" s="42">
        <v>1</v>
      </c>
      <c r="BH20" s="42">
        <v>3</v>
      </c>
      <c r="BI20" s="42">
        <v>3</v>
      </c>
      <c r="BJ20" s="42">
        <v>1</v>
      </c>
      <c r="BK20" s="42">
        <v>3</v>
      </c>
      <c r="BL20" s="42">
        <v>2</v>
      </c>
      <c r="BM20" s="42">
        <v>3</v>
      </c>
      <c r="BN20" s="42">
        <v>3</v>
      </c>
      <c r="BO20" s="42">
        <v>3</v>
      </c>
      <c r="BP20" s="42">
        <v>1</v>
      </c>
      <c r="BQ20" s="42">
        <v>2</v>
      </c>
      <c r="BR20" s="42">
        <v>3</v>
      </c>
      <c r="BS20" s="42">
        <v>3</v>
      </c>
      <c r="BT20" s="42">
        <v>2</v>
      </c>
      <c r="BU20" s="42">
        <v>1</v>
      </c>
      <c r="BV20" s="42">
        <v>3</v>
      </c>
      <c r="BW20" s="42">
        <v>3</v>
      </c>
      <c r="BX20" s="42">
        <v>1</v>
      </c>
      <c r="BY20" s="42">
        <v>2</v>
      </c>
      <c r="BZ20" s="65">
        <v>0</v>
      </c>
      <c r="CA20" s="65">
        <v>0</v>
      </c>
      <c r="CB20" s="65">
        <v>60</v>
      </c>
      <c r="CC20" s="65">
        <v>2</v>
      </c>
      <c r="CD20" s="65">
        <v>60</v>
      </c>
      <c r="CE20" s="65">
        <v>3</v>
      </c>
      <c r="CF20" s="65">
        <v>20</v>
      </c>
      <c r="CG20" s="65">
        <v>2</v>
      </c>
      <c r="CH20" s="65">
        <v>0</v>
      </c>
      <c r="CI20" s="65">
        <v>0</v>
      </c>
      <c r="CJ20" s="65">
        <v>0</v>
      </c>
      <c r="CK20" s="65">
        <v>0</v>
      </c>
      <c r="CL20" s="65">
        <v>0</v>
      </c>
      <c r="CM20" s="65">
        <v>0</v>
      </c>
      <c r="CN20" s="65">
        <v>0</v>
      </c>
      <c r="CO20" s="65">
        <v>0</v>
      </c>
      <c r="CP20" s="69">
        <v>120</v>
      </c>
      <c r="CQ20" s="65">
        <v>1</v>
      </c>
      <c r="CR20" s="65">
        <v>0</v>
      </c>
      <c r="CS20" s="65">
        <v>0</v>
      </c>
      <c r="CT20" s="65">
        <v>0</v>
      </c>
      <c r="CU20" s="65">
        <v>0</v>
      </c>
      <c r="CV20" s="65">
        <v>360</v>
      </c>
      <c r="CW20" s="65">
        <v>240</v>
      </c>
      <c r="CX20" s="95">
        <v>0.52</v>
      </c>
      <c r="CY20" s="95">
        <v>0.42</v>
      </c>
      <c r="CZ20" s="95">
        <v>0.48</v>
      </c>
      <c r="DA20" s="96">
        <f>Table48[[#This Row],[IMT_AVG_D]]/0.001</f>
        <v>480</v>
      </c>
      <c r="DB20" s="95">
        <v>0.03</v>
      </c>
      <c r="DC20" s="95">
        <v>189</v>
      </c>
      <c r="DD20" s="95">
        <v>10</v>
      </c>
    </row>
    <row r="21" spans="1:108" ht="28" customHeight="1">
      <c r="A21" s="10" t="s">
        <v>33</v>
      </c>
      <c r="B21" s="82" t="s">
        <v>131</v>
      </c>
      <c r="C21" s="87" t="s">
        <v>127</v>
      </c>
      <c r="D21" s="87" t="s">
        <v>32</v>
      </c>
      <c r="E21" s="87" t="s">
        <v>32</v>
      </c>
      <c r="F21" s="36">
        <v>17</v>
      </c>
      <c r="G21" s="17">
        <v>0</v>
      </c>
      <c r="H21" s="10" t="s">
        <v>0</v>
      </c>
      <c r="I21" s="8">
        <f>IF(Table48[[#This Row],[WEIGHT]]="","",Table48[[#This Row],[WEIGHT]]/((Table48[[#This Row],[HEIGHT]])^2))</f>
        <v>42.633310249307478</v>
      </c>
      <c r="J21" s="1">
        <v>1.45</v>
      </c>
      <c r="K21" s="1">
        <v>98.5</v>
      </c>
      <c r="L21" s="1">
        <v>1.52</v>
      </c>
      <c r="M21" s="1">
        <v>20.239999999999998</v>
      </c>
      <c r="N21" s="1">
        <v>22.57</v>
      </c>
      <c r="O21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184.98</v>
      </c>
      <c r="P21" s="1">
        <v>1372.5380622</v>
      </c>
      <c r="Q21">
        <v>1.1299999999999999</v>
      </c>
      <c r="R21">
        <v>13.93</v>
      </c>
      <c r="S21">
        <v>4</v>
      </c>
      <c r="T21">
        <v>174</v>
      </c>
      <c r="U21">
        <v>89</v>
      </c>
      <c r="V21">
        <v>172</v>
      </c>
      <c r="W21">
        <v>5.3</v>
      </c>
      <c r="X21">
        <v>12.2</v>
      </c>
      <c r="Y21" s="48"/>
      <c r="Z21" s="29">
        <v>22</v>
      </c>
      <c r="AA21" s="39">
        <v>109</v>
      </c>
      <c r="AB21" s="39">
        <v>83</v>
      </c>
      <c r="AC21" s="39">
        <v>26</v>
      </c>
      <c r="AD21" s="39">
        <v>92</v>
      </c>
      <c r="AE21" s="39">
        <v>82</v>
      </c>
      <c r="AF21" s="39">
        <v>5</v>
      </c>
      <c r="AG21" s="39">
        <v>6.6</v>
      </c>
      <c r="AH21" s="39">
        <v>132</v>
      </c>
      <c r="AI21" s="39">
        <v>83</v>
      </c>
      <c r="AJ21" s="55">
        <f>2/3*Table48[[#This Row],[COMPLIOR_cDBP]]+1/3*Table48[[#This Row],[COMPLIOR_cSBP]]</f>
        <v>99.333333333333329</v>
      </c>
      <c r="AK21" s="39">
        <f>Table48[[#This Row],[COMPLIOR_cSBP]]-Table48[[#This Row],[COMPLIOR_cDBP]]</f>
        <v>49</v>
      </c>
      <c r="AL21" s="42">
        <v>3</v>
      </c>
      <c r="AM21" s="42">
        <v>3</v>
      </c>
      <c r="AN21" s="42">
        <v>1</v>
      </c>
      <c r="AO21" s="42">
        <v>3</v>
      </c>
      <c r="AP21" s="42">
        <v>3</v>
      </c>
      <c r="AQ21" s="42">
        <v>3</v>
      </c>
      <c r="AR21" s="42">
        <v>3</v>
      </c>
      <c r="AS21" s="42">
        <v>2</v>
      </c>
      <c r="AT21" s="42">
        <v>3</v>
      </c>
      <c r="AU21" s="42">
        <v>3</v>
      </c>
      <c r="AV21" s="42">
        <v>3</v>
      </c>
      <c r="AW21" s="42">
        <v>3</v>
      </c>
      <c r="AX21" s="42">
        <v>3</v>
      </c>
      <c r="AY21" s="42">
        <v>2</v>
      </c>
      <c r="AZ21" s="42">
        <v>3</v>
      </c>
      <c r="BA21" s="42">
        <v>2</v>
      </c>
      <c r="BB21" s="42">
        <v>3</v>
      </c>
      <c r="BC21" s="42">
        <v>3</v>
      </c>
      <c r="BD21" s="42">
        <v>2</v>
      </c>
      <c r="BE21" s="42">
        <v>2</v>
      </c>
      <c r="BF21" s="42">
        <v>3</v>
      </c>
      <c r="BG21" s="42">
        <v>3</v>
      </c>
      <c r="BH21" s="42">
        <v>3</v>
      </c>
      <c r="BI21" s="42">
        <v>3</v>
      </c>
      <c r="BJ21" s="42">
        <v>1</v>
      </c>
      <c r="BK21" s="42">
        <v>3</v>
      </c>
      <c r="BL21" s="42">
        <v>2</v>
      </c>
      <c r="BM21" s="42">
        <v>3</v>
      </c>
      <c r="BN21" s="42">
        <v>3</v>
      </c>
      <c r="BO21" s="42">
        <v>3</v>
      </c>
      <c r="BP21" s="42">
        <v>2</v>
      </c>
      <c r="BQ21" s="42">
        <v>2</v>
      </c>
      <c r="BR21" s="42">
        <v>3</v>
      </c>
      <c r="BS21" s="42">
        <v>3</v>
      </c>
      <c r="BT21" s="42">
        <v>3</v>
      </c>
      <c r="BU21" s="42">
        <v>2</v>
      </c>
      <c r="BV21" s="42">
        <v>1</v>
      </c>
      <c r="BW21" s="42">
        <v>2</v>
      </c>
      <c r="BX21" s="42">
        <v>1</v>
      </c>
      <c r="BY21" s="42">
        <v>2</v>
      </c>
      <c r="BZ21" s="65">
        <v>60</v>
      </c>
      <c r="CA21" s="65">
        <v>7</v>
      </c>
      <c r="CB21" s="65">
        <v>60</v>
      </c>
      <c r="CC21" s="65">
        <v>2</v>
      </c>
      <c r="CD21" s="65">
        <v>60</v>
      </c>
      <c r="CE21" s="65">
        <v>2</v>
      </c>
      <c r="CF21" s="65">
        <v>0</v>
      </c>
      <c r="CG21" s="65">
        <v>0</v>
      </c>
      <c r="CH21" s="65">
        <v>0</v>
      </c>
      <c r="CI21" s="65">
        <v>0</v>
      </c>
      <c r="CJ21" s="65">
        <v>0</v>
      </c>
      <c r="CK21" s="65">
        <v>0</v>
      </c>
      <c r="CL21" s="65">
        <v>0</v>
      </c>
      <c r="CM21" s="65">
        <v>0</v>
      </c>
      <c r="CN21" s="65">
        <v>0</v>
      </c>
      <c r="CO21" s="65">
        <v>0</v>
      </c>
      <c r="CP21" s="69">
        <v>60</v>
      </c>
      <c r="CQ21" s="65">
        <v>7</v>
      </c>
      <c r="CR21" s="65">
        <v>0</v>
      </c>
      <c r="CS21" s="65">
        <v>0</v>
      </c>
      <c r="CT21" s="65">
        <v>60</v>
      </c>
      <c r="CU21" s="65">
        <v>2</v>
      </c>
      <c r="CV21" s="65">
        <v>420</v>
      </c>
      <c r="CW21" s="65">
        <v>420</v>
      </c>
      <c r="CX21" s="95">
        <v>0.57999999999999996</v>
      </c>
      <c r="CY21" s="95">
        <v>0.42</v>
      </c>
      <c r="CZ21" s="95">
        <v>0.49</v>
      </c>
      <c r="DA21" s="96">
        <f>Table48[[#This Row],[IMT_AVG_D]]/0.001</f>
        <v>490</v>
      </c>
      <c r="DB21" s="95">
        <v>0.04</v>
      </c>
      <c r="DC21" s="95">
        <v>189</v>
      </c>
      <c r="DD21" s="95">
        <v>10</v>
      </c>
    </row>
    <row r="22" spans="1:108" ht="28" customHeight="1">
      <c r="A22" s="10" t="s">
        <v>28</v>
      </c>
      <c r="B22" s="82" t="s">
        <v>125</v>
      </c>
      <c r="C22" s="87" t="s">
        <v>127</v>
      </c>
      <c r="D22" s="87" t="s">
        <v>32</v>
      </c>
      <c r="E22" s="87" t="s">
        <v>123</v>
      </c>
      <c r="F22" s="36">
        <v>33</v>
      </c>
      <c r="G22" s="23">
        <v>1</v>
      </c>
      <c r="H22" s="10" t="s">
        <v>0</v>
      </c>
      <c r="I22" s="8">
        <f>IF(Table48[[#This Row],[WEIGHT]]="","",Table48[[#This Row],[WEIGHT]]/((Table48[[#This Row],[HEIGHT]])^2))</f>
        <v>35.382493830744664</v>
      </c>
      <c r="J22" s="1">
        <v>1.21</v>
      </c>
      <c r="K22" s="1">
        <v>97.5</v>
      </c>
      <c r="L22" s="1">
        <v>1.66</v>
      </c>
      <c r="M22" s="1">
        <v>21.14</v>
      </c>
      <c r="N22" s="1">
        <v>14.16</v>
      </c>
      <c r="O22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176.02</v>
      </c>
      <c r="P22" s="1">
        <v>1811.0919108000001</v>
      </c>
      <c r="Q22">
        <v>1.19</v>
      </c>
      <c r="R22">
        <v>18.579999999999998</v>
      </c>
      <c r="S22">
        <v>5.3</v>
      </c>
      <c r="T22">
        <v>167</v>
      </c>
      <c r="U22">
        <v>112</v>
      </c>
      <c r="V22">
        <v>151</v>
      </c>
      <c r="W22">
        <v>6.3</v>
      </c>
      <c r="X22">
        <v>16.399999999999999</v>
      </c>
      <c r="Y22" s="29">
        <v>16</v>
      </c>
      <c r="Z22" s="29">
        <v>12</v>
      </c>
      <c r="AA22" s="39">
        <v>125</v>
      </c>
      <c r="AB22" s="39">
        <v>80</v>
      </c>
      <c r="AC22" s="39">
        <v>45</v>
      </c>
      <c r="AD22" s="39">
        <v>95</v>
      </c>
      <c r="AE22" s="39">
        <v>96</v>
      </c>
      <c r="AF22" s="39">
        <v>6.3</v>
      </c>
      <c r="AG22" s="39">
        <v>9.1999999999999993</v>
      </c>
      <c r="AH22" s="39">
        <v>126</v>
      </c>
      <c r="AI22" s="39">
        <v>80</v>
      </c>
      <c r="AJ22" s="55">
        <f>2/3*Table48[[#This Row],[COMPLIOR_cDBP]]+1/3*Table48[[#This Row],[COMPLIOR_cSBP]]</f>
        <v>95.333333333333329</v>
      </c>
      <c r="AK22" s="39">
        <f>Table48[[#This Row],[COMPLIOR_cSBP]]-Table48[[#This Row],[COMPLIOR_cDBP]]</f>
        <v>46</v>
      </c>
      <c r="AL22" s="42">
        <v>3</v>
      </c>
      <c r="AM22" s="42">
        <v>2</v>
      </c>
      <c r="AN22" s="42">
        <v>3</v>
      </c>
      <c r="AO22" s="42">
        <v>3</v>
      </c>
      <c r="AP22" s="42">
        <v>3</v>
      </c>
      <c r="AQ22" s="42">
        <v>2</v>
      </c>
      <c r="AR22" s="42">
        <v>2</v>
      </c>
      <c r="AS22" s="42">
        <v>2</v>
      </c>
      <c r="AT22" s="42">
        <v>2</v>
      </c>
      <c r="AU22" s="42">
        <v>2</v>
      </c>
      <c r="AV22" s="42">
        <v>3</v>
      </c>
      <c r="AW22" s="42">
        <v>1</v>
      </c>
      <c r="AX22" s="42">
        <v>3</v>
      </c>
      <c r="AY22" s="42">
        <v>1</v>
      </c>
      <c r="AZ22" s="42">
        <v>3</v>
      </c>
      <c r="BA22" s="42">
        <v>3</v>
      </c>
      <c r="BB22" s="42">
        <v>3</v>
      </c>
      <c r="BC22" s="42">
        <v>3</v>
      </c>
      <c r="BD22" s="42">
        <v>2</v>
      </c>
      <c r="BE22" s="42">
        <v>2</v>
      </c>
      <c r="BF22" s="42">
        <v>3</v>
      </c>
      <c r="BG22" s="42">
        <v>1</v>
      </c>
      <c r="BH22" s="42">
        <v>1</v>
      </c>
      <c r="BI22" s="42">
        <v>1</v>
      </c>
      <c r="BJ22" s="42">
        <v>3</v>
      </c>
      <c r="BK22" s="42">
        <v>3</v>
      </c>
      <c r="BL22" s="42">
        <v>3</v>
      </c>
      <c r="BM22" s="42">
        <v>3</v>
      </c>
      <c r="BN22" s="42">
        <v>3</v>
      </c>
      <c r="BO22" s="42">
        <v>3</v>
      </c>
      <c r="BP22" s="42">
        <v>3</v>
      </c>
      <c r="BQ22" s="42">
        <v>2</v>
      </c>
      <c r="BR22" s="42">
        <v>2</v>
      </c>
      <c r="BS22" s="42">
        <v>3</v>
      </c>
      <c r="BT22" s="42">
        <v>3</v>
      </c>
      <c r="BU22" s="42">
        <v>1</v>
      </c>
      <c r="BV22" s="42">
        <v>1</v>
      </c>
      <c r="BW22" s="42">
        <v>2</v>
      </c>
      <c r="BX22" s="42">
        <v>1</v>
      </c>
      <c r="BY22" s="42">
        <v>1</v>
      </c>
      <c r="BZ22" s="65">
        <v>60</v>
      </c>
      <c r="CA22" s="65">
        <v>5</v>
      </c>
      <c r="CB22" s="65">
        <v>0</v>
      </c>
      <c r="CC22" s="65">
        <v>0</v>
      </c>
      <c r="CD22" s="65">
        <v>0</v>
      </c>
      <c r="CE22" s="65">
        <v>0</v>
      </c>
      <c r="CF22" s="65">
        <v>30</v>
      </c>
      <c r="CG22" s="65">
        <v>5</v>
      </c>
      <c r="CH22" s="65">
        <v>0</v>
      </c>
      <c r="CI22" s="65">
        <v>0</v>
      </c>
      <c r="CJ22" s="65">
        <v>0</v>
      </c>
      <c r="CK22" s="65">
        <v>0</v>
      </c>
      <c r="CL22" s="65">
        <v>0</v>
      </c>
      <c r="CM22" s="65">
        <v>0</v>
      </c>
      <c r="CN22" s="65">
        <v>30</v>
      </c>
      <c r="CO22" s="65">
        <v>1</v>
      </c>
      <c r="CP22" s="69">
        <v>30</v>
      </c>
      <c r="CQ22" s="65">
        <v>5</v>
      </c>
      <c r="CR22" s="65">
        <v>0</v>
      </c>
      <c r="CS22" s="65">
        <v>0</v>
      </c>
      <c r="CT22" s="65">
        <v>0</v>
      </c>
      <c r="CU22" s="65">
        <v>0</v>
      </c>
      <c r="CV22" s="65">
        <v>120</v>
      </c>
      <c r="CW22" s="65">
        <v>120</v>
      </c>
      <c r="CX22" s="95">
        <v>0.52</v>
      </c>
      <c r="CY22" s="95">
        <v>0.42</v>
      </c>
      <c r="CZ22" s="95">
        <v>0.5</v>
      </c>
      <c r="DA22" s="96">
        <f>Table48[[#This Row],[IMT_AVG_D]]/0.001</f>
        <v>500</v>
      </c>
      <c r="DB22" s="95">
        <v>0.04</v>
      </c>
      <c r="DC22" s="95">
        <v>190</v>
      </c>
      <c r="DD22" s="95">
        <v>10</v>
      </c>
    </row>
    <row r="23" spans="1:108" ht="28" customHeight="1">
      <c r="A23" s="10" t="s">
        <v>20</v>
      </c>
      <c r="B23" s="82" t="s">
        <v>125</v>
      </c>
      <c r="C23" s="87" t="s">
        <v>127</v>
      </c>
      <c r="D23" s="87" t="s">
        <v>31</v>
      </c>
      <c r="E23" s="87" t="s">
        <v>31</v>
      </c>
      <c r="F23" s="36">
        <v>24</v>
      </c>
      <c r="G23" s="23">
        <v>1</v>
      </c>
      <c r="H23" s="10" t="s">
        <v>0</v>
      </c>
      <c r="I23" s="8">
        <f>IF(Table48[[#This Row],[WEIGHT]]="","",Table48[[#This Row],[WEIGHT]]/((Table48[[#This Row],[HEIGHT]])^2))</f>
        <v>28.697440765792489</v>
      </c>
      <c r="J23" s="1">
        <v>0.96</v>
      </c>
      <c r="K23" s="1">
        <v>72.55</v>
      </c>
      <c r="L23" s="1">
        <v>1.59</v>
      </c>
      <c r="M23" s="1">
        <v>21.17</v>
      </c>
      <c r="N23" s="1">
        <v>7.6</v>
      </c>
      <c r="O23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165.56</v>
      </c>
      <c r="P23" s="1">
        <v>1954.6642491</v>
      </c>
      <c r="Q23">
        <v>1</v>
      </c>
      <c r="R23">
        <v>26.94</v>
      </c>
      <c r="S23">
        <v>7.7</v>
      </c>
      <c r="T23">
        <v>137</v>
      </c>
      <c r="U23">
        <v>86</v>
      </c>
      <c r="V23">
        <v>126</v>
      </c>
      <c r="W23">
        <v>12.4</v>
      </c>
      <c r="X23">
        <v>22.2</v>
      </c>
      <c r="Y23" s="13">
        <v>24</v>
      </c>
      <c r="Z23" s="28">
        <v>26</v>
      </c>
      <c r="AA23" s="39">
        <v>130</v>
      </c>
      <c r="AB23" s="39">
        <v>75</v>
      </c>
      <c r="AC23" s="39">
        <v>55</v>
      </c>
      <c r="AD23" s="39">
        <v>93</v>
      </c>
      <c r="AE23" s="39">
        <v>59</v>
      </c>
      <c r="AF23" s="39">
        <v>5.8</v>
      </c>
      <c r="AG23" s="39">
        <v>6.8</v>
      </c>
      <c r="AH23" s="39">
        <v>167</v>
      </c>
      <c r="AI23" s="39">
        <v>75</v>
      </c>
      <c r="AJ23" s="55">
        <f>2/3*Table48[[#This Row],[COMPLIOR_cDBP]]+1/3*Table48[[#This Row],[COMPLIOR_cSBP]]</f>
        <v>105.66666666666666</v>
      </c>
      <c r="AK23" s="39">
        <f>Table48[[#This Row],[COMPLIOR_cSBP]]-Table48[[#This Row],[COMPLIOR_cDBP]]</f>
        <v>92</v>
      </c>
      <c r="AL23" s="42">
        <v>3</v>
      </c>
      <c r="AM23" s="42">
        <v>3</v>
      </c>
      <c r="AN23" s="42">
        <v>1</v>
      </c>
      <c r="AO23" s="42">
        <v>3</v>
      </c>
      <c r="AP23" s="42">
        <v>3</v>
      </c>
      <c r="AQ23" s="42">
        <v>3</v>
      </c>
      <c r="AR23" s="42">
        <v>3</v>
      </c>
      <c r="AS23" s="42">
        <v>2</v>
      </c>
      <c r="AT23" s="42">
        <v>3</v>
      </c>
      <c r="AU23" s="42">
        <v>3</v>
      </c>
      <c r="AV23" s="42">
        <v>2</v>
      </c>
      <c r="AW23" s="42">
        <v>2</v>
      </c>
      <c r="AX23" s="42">
        <v>3</v>
      </c>
      <c r="AY23" s="42">
        <v>2</v>
      </c>
      <c r="AZ23" s="42">
        <v>3</v>
      </c>
      <c r="BA23" s="42">
        <v>2</v>
      </c>
      <c r="BB23" s="42">
        <v>2</v>
      </c>
      <c r="BC23" s="42">
        <v>1</v>
      </c>
      <c r="BD23" s="42">
        <v>1</v>
      </c>
      <c r="BE23" s="42">
        <v>2</v>
      </c>
      <c r="BF23" s="42">
        <v>3</v>
      </c>
      <c r="BG23" s="42">
        <v>3</v>
      </c>
      <c r="BH23" s="42">
        <v>1</v>
      </c>
      <c r="BI23" s="42">
        <v>3</v>
      </c>
      <c r="BJ23" s="42">
        <v>3</v>
      </c>
      <c r="BK23" s="42">
        <v>3</v>
      </c>
      <c r="BL23" s="42">
        <v>2</v>
      </c>
      <c r="BM23" s="42">
        <v>2</v>
      </c>
      <c r="BN23" s="42">
        <v>3</v>
      </c>
      <c r="BO23" s="42">
        <v>2</v>
      </c>
      <c r="BP23" s="42">
        <v>3</v>
      </c>
      <c r="BQ23" s="42">
        <v>3</v>
      </c>
      <c r="BR23" s="42">
        <v>3</v>
      </c>
      <c r="BS23" s="42">
        <v>3</v>
      </c>
      <c r="BT23" s="42">
        <v>3</v>
      </c>
      <c r="BU23" s="42">
        <v>3</v>
      </c>
      <c r="BV23" s="42">
        <v>3</v>
      </c>
      <c r="BW23" s="42">
        <v>2</v>
      </c>
      <c r="BX23" s="42">
        <v>3</v>
      </c>
      <c r="BY23" s="42">
        <v>2</v>
      </c>
      <c r="BZ23" s="65">
        <v>0</v>
      </c>
      <c r="CA23" s="65">
        <v>0</v>
      </c>
      <c r="CB23" s="60">
        <v>0</v>
      </c>
      <c r="CC23" s="65">
        <v>0</v>
      </c>
      <c r="CD23" s="65">
        <v>0</v>
      </c>
      <c r="CE23" s="65">
        <v>0</v>
      </c>
      <c r="CF23" s="65">
        <v>30</v>
      </c>
      <c r="CG23" s="65">
        <v>5</v>
      </c>
      <c r="CH23" s="65">
        <v>0</v>
      </c>
      <c r="CI23" s="65">
        <v>0</v>
      </c>
      <c r="CJ23" s="65">
        <v>0</v>
      </c>
      <c r="CK23" s="65">
        <v>0</v>
      </c>
      <c r="CL23" s="65">
        <v>0</v>
      </c>
      <c r="CM23" s="65">
        <v>0</v>
      </c>
      <c r="CN23" s="65">
        <v>30</v>
      </c>
      <c r="CO23" s="65">
        <v>7</v>
      </c>
      <c r="CP23" s="69">
        <v>0</v>
      </c>
      <c r="CQ23" s="65">
        <v>0</v>
      </c>
      <c r="CR23" s="65">
        <v>60</v>
      </c>
      <c r="CS23" s="65">
        <v>4</v>
      </c>
      <c r="CT23" s="65">
        <v>0</v>
      </c>
      <c r="CU23" s="65">
        <v>0</v>
      </c>
      <c r="CV23" s="65">
        <v>120</v>
      </c>
      <c r="CW23" s="65">
        <v>240</v>
      </c>
      <c r="CX23" s="95">
        <v>0.49</v>
      </c>
      <c r="CY23" s="95">
        <v>0.43</v>
      </c>
      <c r="CZ23" s="95">
        <v>0.45</v>
      </c>
      <c r="DA23" s="96">
        <f>Table48[[#This Row],[IMT_AVG_D]]/0.001</f>
        <v>450</v>
      </c>
      <c r="DB23" s="95">
        <v>0.03</v>
      </c>
      <c r="DC23" s="95">
        <v>162</v>
      </c>
      <c r="DD23" s="95">
        <v>10</v>
      </c>
    </row>
    <row r="24" spans="1:108" ht="28" customHeight="1">
      <c r="A24" s="10" t="s">
        <v>25</v>
      </c>
      <c r="B24" s="82" t="s">
        <v>125</v>
      </c>
      <c r="C24" s="87" t="s">
        <v>127</v>
      </c>
      <c r="D24" s="87" t="s">
        <v>32</v>
      </c>
      <c r="E24" s="87" t="s">
        <v>32</v>
      </c>
      <c r="F24" s="36">
        <v>37</v>
      </c>
      <c r="G24" s="23">
        <v>1</v>
      </c>
      <c r="H24" s="10" t="s">
        <v>0</v>
      </c>
      <c r="I24" s="8">
        <f>IF(Table48[[#This Row],[WEIGHT]]="","",Table48[[#This Row],[WEIGHT]]/((Table48[[#This Row],[HEIGHT]])^2))</f>
        <v>28.10640886965928</v>
      </c>
      <c r="J24" s="1">
        <v>1.06</v>
      </c>
      <c r="K24" s="1">
        <v>83.15</v>
      </c>
      <c r="L24" s="1">
        <v>1.72</v>
      </c>
      <c r="M24" s="1">
        <v>16.93</v>
      </c>
      <c r="N24" s="1">
        <v>11.24</v>
      </c>
      <c r="O24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173.78</v>
      </c>
      <c r="P24" s="1">
        <v>1233.4896385</v>
      </c>
      <c r="Q24">
        <v>1.34</v>
      </c>
      <c r="R24">
        <v>14.83</v>
      </c>
      <c r="S24">
        <v>4.2</v>
      </c>
      <c r="T24">
        <v>167</v>
      </c>
      <c r="U24">
        <v>106</v>
      </c>
      <c r="V24">
        <v>160</v>
      </c>
      <c r="W24">
        <v>7.5</v>
      </c>
      <c r="X24">
        <v>12.5</v>
      </c>
      <c r="Y24" s="29">
        <v>16</v>
      </c>
      <c r="Z24" s="29">
        <v>14</v>
      </c>
      <c r="AA24" s="39">
        <v>141</v>
      </c>
      <c r="AB24" s="39">
        <v>81</v>
      </c>
      <c r="AC24" s="39">
        <v>60</v>
      </c>
      <c r="AD24" s="39">
        <v>101</v>
      </c>
      <c r="AE24" s="39">
        <v>85</v>
      </c>
      <c r="AF24" s="39">
        <v>7.7</v>
      </c>
      <c r="AG24" s="39">
        <v>9.9</v>
      </c>
      <c r="AH24" s="39">
        <v>128</v>
      </c>
      <c r="AI24" s="39">
        <v>81</v>
      </c>
      <c r="AJ24" s="55">
        <f>2/3*Table48[[#This Row],[COMPLIOR_cDBP]]+1/3*Table48[[#This Row],[COMPLIOR_cSBP]]</f>
        <v>96.666666666666657</v>
      </c>
      <c r="AK24" s="39">
        <f>Table48[[#This Row],[COMPLIOR_cSBP]]-Table48[[#This Row],[COMPLIOR_cDBP]]</f>
        <v>47</v>
      </c>
      <c r="AL24" s="42">
        <v>3</v>
      </c>
      <c r="AM24" s="42">
        <v>3</v>
      </c>
      <c r="AN24" s="42">
        <v>1</v>
      </c>
      <c r="AO24" s="42">
        <v>3</v>
      </c>
      <c r="AP24" s="42">
        <v>3</v>
      </c>
      <c r="AQ24" s="42">
        <v>3</v>
      </c>
      <c r="AR24" s="42">
        <v>2</v>
      </c>
      <c r="AS24" s="42">
        <v>2</v>
      </c>
      <c r="AT24" s="42">
        <v>3</v>
      </c>
      <c r="AU24" s="42">
        <v>3</v>
      </c>
      <c r="AV24" s="42">
        <v>3</v>
      </c>
      <c r="AW24" s="42">
        <v>3</v>
      </c>
      <c r="AX24" s="42">
        <v>3</v>
      </c>
      <c r="AY24" s="42">
        <v>2</v>
      </c>
      <c r="AZ24" s="42">
        <v>3</v>
      </c>
      <c r="BA24" s="42">
        <v>3</v>
      </c>
      <c r="BB24" s="42">
        <v>3</v>
      </c>
      <c r="BC24" s="42">
        <v>2</v>
      </c>
      <c r="BD24" s="42">
        <v>2</v>
      </c>
      <c r="BE24" s="42">
        <v>3</v>
      </c>
      <c r="BF24" s="42">
        <v>3</v>
      </c>
      <c r="BG24" s="42">
        <v>3</v>
      </c>
      <c r="BH24" s="42">
        <v>1</v>
      </c>
      <c r="BI24" s="42">
        <v>2</v>
      </c>
      <c r="BJ24" s="42">
        <v>1</v>
      </c>
      <c r="BK24" s="42">
        <v>3</v>
      </c>
      <c r="BL24" s="42">
        <v>2</v>
      </c>
      <c r="BM24" s="42">
        <v>3</v>
      </c>
      <c r="BN24" s="42">
        <v>3</v>
      </c>
      <c r="BO24" s="42">
        <v>3</v>
      </c>
      <c r="BP24" s="42">
        <v>3</v>
      </c>
      <c r="BQ24" s="42">
        <v>2</v>
      </c>
      <c r="BR24" s="42">
        <v>3</v>
      </c>
      <c r="BS24" s="42">
        <v>2</v>
      </c>
      <c r="BT24" s="42">
        <v>3</v>
      </c>
      <c r="BU24" s="42">
        <v>2</v>
      </c>
      <c r="BV24" s="42">
        <v>3</v>
      </c>
      <c r="BW24" s="42">
        <v>3</v>
      </c>
      <c r="BX24" s="42">
        <v>1</v>
      </c>
      <c r="BY24" s="42">
        <v>3</v>
      </c>
      <c r="BZ24" s="65">
        <v>20</v>
      </c>
      <c r="CA24" s="65">
        <v>5</v>
      </c>
      <c r="CB24" s="65">
        <v>180</v>
      </c>
      <c r="CC24" s="65">
        <v>3</v>
      </c>
      <c r="CD24" s="65">
        <v>60</v>
      </c>
      <c r="CE24" s="65">
        <v>3</v>
      </c>
      <c r="CF24" s="65">
        <v>20</v>
      </c>
      <c r="CG24" s="65">
        <v>7</v>
      </c>
      <c r="CH24" s="65">
        <v>0</v>
      </c>
      <c r="CI24" s="65">
        <v>0</v>
      </c>
      <c r="CJ24" s="67">
        <v>0</v>
      </c>
      <c r="CK24" s="67">
        <v>0</v>
      </c>
      <c r="CL24" s="67">
        <v>0</v>
      </c>
      <c r="CM24" s="67">
        <v>0</v>
      </c>
      <c r="CN24" s="67">
        <v>0</v>
      </c>
      <c r="CO24" s="67">
        <v>0</v>
      </c>
      <c r="CP24" s="69">
        <v>15</v>
      </c>
      <c r="CQ24" s="65">
        <v>4</v>
      </c>
      <c r="CR24" s="67">
        <v>0</v>
      </c>
      <c r="CS24" s="67">
        <v>0</v>
      </c>
      <c r="CT24" s="67">
        <v>0</v>
      </c>
      <c r="CU24" s="67">
        <v>0</v>
      </c>
      <c r="CV24" s="65">
        <v>120</v>
      </c>
      <c r="CW24" s="65">
        <v>480</v>
      </c>
      <c r="CX24" s="95">
        <v>0.49</v>
      </c>
      <c r="CY24" s="95">
        <v>0.36</v>
      </c>
      <c r="CZ24" s="95">
        <v>0.43</v>
      </c>
      <c r="DA24" s="96">
        <f>Table48[[#This Row],[IMT_AVG_D]]/0.001</f>
        <v>430</v>
      </c>
      <c r="DB24" s="95">
        <v>0.04</v>
      </c>
      <c r="DC24" s="95">
        <v>162</v>
      </c>
      <c r="DD24" s="95">
        <v>10</v>
      </c>
    </row>
    <row r="25" spans="1:108" ht="28" customHeight="1">
      <c r="A25" s="10" t="s">
        <v>19</v>
      </c>
      <c r="B25" s="82" t="s">
        <v>125</v>
      </c>
      <c r="C25" s="87" t="s">
        <v>127</v>
      </c>
      <c r="D25" s="87" t="s">
        <v>32</v>
      </c>
      <c r="E25" s="87" t="s">
        <v>123</v>
      </c>
      <c r="F25" s="36">
        <v>25</v>
      </c>
      <c r="G25" s="91">
        <v>1</v>
      </c>
      <c r="H25" s="92" t="s">
        <v>0</v>
      </c>
      <c r="I25" s="93">
        <f>IF(Table48[[#This Row],[WEIGHT]]="","",Table48[[#This Row],[WEIGHT]]/((Table48[[#This Row],[HEIGHT]])^2))</f>
        <v>20.438276113951787</v>
      </c>
      <c r="J25" s="1">
        <v>0.84</v>
      </c>
      <c r="K25" s="1">
        <v>69.95</v>
      </c>
      <c r="L25" s="1">
        <v>1.85</v>
      </c>
      <c r="M25" s="1">
        <v>16.32</v>
      </c>
      <c r="N25" s="1">
        <v>4.05</v>
      </c>
      <c r="O25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180.5</v>
      </c>
      <c r="P25" s="1">
        <v>1876.0811566</v>
      </c>
      <c r="Q25">
        <v>1.1200000000000001</v>
      </c>
      <c r="R25">
        <v>26.82</v>
      </c>
      <c r="S25">
        <v>7.7</v>
      </c>
      <c r="T25">
        <v>131</v>
      </c>
      <c r="U25">
        <v>82</v>
      </c>
      <c r="V25">
        <v>122</v>
      </c>
      <c r="W25">
        <v>10.3</v>
      </c>
      <c r="X25">
        <v>20</v>
      </c>
      <c r="Y25" s="13">
        <v>16</v>
      </c>
      <c r="Z25" s="28">
        <v>20</v>
      </c>
      <c r="AA25" s="39">
        <v>118</v>
      </c>
      <c r="AB25" s="39">
        <v>76</v>
      </c>
      <c r="AC25" s="39">
        <v>42</v>
      </c>
      <c r="AD25" s="39">
        <v>90</v>
      </c>
      <c r="AE25" s="39">
        <v>70</v>
      </c>
      <c r="AF25" s="39">
        <v>7.4</v>
      </c>
      <c r="AG25" s="39">
        <v>7.7</v>
      </c>
      <c r="AH25" s="39">
        <v>118</v>
      </c>
      <c r="AI25" s="39">
        <v>76</v>
      </c>
      <c r="AJ25" s="55">
        <f>2/3*Table48[[#This Row],[COMPLIOR_cDBP]]+1/3*Table48[[#This Row],[COMPLIOR_cSBP]]</f>
        <v>90</v>
      </c>
      <c r="AK25" s="39">
        <f>Table48[[#This Row],[COMPLIOR_cSBP]]-Table48[[#This Row],[COMPLIOR_cDBP]]</f>
        <v>42</v>
      </c>
      <c r="AL25" s="42">
        <v>3</v>
      </c>
      <c r="AM25" s="42">
        <v>3</v>
      </c>
      <c r="AN25" s="42">
        <v>3</v>
      </c>
      <c r="AO25" s="42">
        <v>3</v>
      </c>
      <c r="AP25" s="42">
        <v>3</v>
      </c>
      <c r="AQ25" s="42">
        <v>2</v>
      </c>
      <c r="AR25" s="42">
        <v>3</v>
      </c>
      <c r="AS25" s="42">
        <v>2</v>
      </c>
      <c r="AT25" s="42">
        <v>3</v>
      </c>
      <c r="AU25" s="42">
        <v>3</v>
      </c>
      <c r="AV25" s="42">
        <v>1</v>
      </c>
      <c r="AW25" s="42">
        <v>2</v>
      </c>
      <c r="AX25" s="42">
        <v>3</v>
      </c>
      <c r="AY25" s="42">
        <v>3</v>
      </c>
      <c r="AZ25" s="42">
        <v>3</v>
      </c>
      <c r="BA25" s="42">
        <v>3</v>
      </c>
      <c r="BB25" s="42">
        <v>3</v>
      </c>
      <c r="BC25" s="42">
        <v>1</v>
      </c>
      <c r="BD25" s="42">
        <v>2</v>
      </c>
      <c r="BE25" s="42">
        <v>3</v>
      </c>
      <c r="BF25" s="42">
        <v>3</v>
      </c>
      <c r="BG25" s="42">
        <v>3</v>
      </c>
      <c r="BH25" s="42">
        <v>3</v>
      </c>
      <c r="BI25" s="42">
        <v>3</v>
      </c>
      <c r="BJ25" s="42">
        <v>3</v>
      </c>
      <c r="BK25" s="42">
        <v>3</v>
      </c>
      <c r="BL25" s="42">
        <v>3</v>
      </c>
      <c r="BM25" s="42">
        <v>3</v>
      </c>
      <c r="BN25" s="42">
        <v>3</v>
      </c>
      <c r="BO25" s="42">
        <v>2</v>
      </c>
      <c r="BP25" s="42">
        <v>3</v>
      </c>
      <c r="BQ25" s="42">
        <v>3</v>
      </c>
      <c r="BR25" s="42">
        <v>3</v>
      </c>
      <c r="BS25" s="42">
        <v>3</v>
      </c>
      <c r="BT25" s="42">
        <v>3</v>
      </c>
      <c r="BU25" s="42">
        <v>3</v>
      </c>
      <c r="BV25" s="42">
        <v>2</v>
      </c>
      <c r="BW25" s="42">
        <v>2</v>
      </c>
      <c r="BX25" s="42">
        <v>1</v>
      </c>
      <c r="BY25" s="42">
        <v>2</v>
      </c>
      <c r="BZ25" s="65">
        <v>0</v>
      </c>
      <c r="CA25" s="65">
        <v>0</v>
      </c>
      <c r="CB25" s="60">
        <v>240</v>
      </c>
      <c r="CC25" s="65">
        <v>0</v>
      </c>
      <c r="CD25" s="65">
        <v>0</v>
      </c>
      <c r="CE25" s="65">
        <v>0</v>
      </c>
      <c r="CF25" s="65">
        <v>15</v>
      </c>
      <c r="CG25" s="65">
        <v>7</v>
      </c>
      <c r="CH25" s="65">
        <v>0</v>
      </c>
      <c r="CI25" s="65">
        <v>0</v>
      </c>
      <c r="CJ25" s="65">
        <v>0</v>
      </c>
      <c r="CK25" s="65">
        <v>0</v>
      </c>
      <c r="CL25" s="65">
        <v>15</v>
      </c>
      <c r="CM25" s="65">
        <v>3</v>
      </c>
      <c r="CN25" s="65">
        <v>15</v>
      </c>
      <c r="CO25" s="65">
        <v>3</v>
      </c>
      <c r="CP25" s="69">
        <v>15</v>
      </c>
      <c r="CQ25" s="65">
        <v>7</v>
      </c>
      <c r="CR25" s="65">
        <v>60</v>
      </c>
      <c r="CS25" s="65">
        <v>3</v>
      </c>
      <c r="CT25" s="65">
        <v>60</v>
      </c>
      <c r="CU25" s="65">
        <v>3</v>
      </c>
      <c r="CV25" s="65">
        <v>300</v>
      </c>
      <c r="CW25" s="65">
        <v>360</v>
      </c>
      <c r="CX25" s="95">
        <v>0.47</v>
      </c>
      <c r="CY25" s="95">
        <v>0.42</v>
      </c>
      <c r="CZ25" s="95">
        <v>0.45</v>
      </c>
      <c r="DA25" s="96">
        <f>Table48[[#This Row],[IMT_AVG_D]]/0.001</f>
        <v>450</v>
      </c>
      <c r="DB25" s="95">
        <v>0.03</v>
      </c>
      <c r="DC25" s="95">
        <v>190</v>
      </c>
      <c r="DD25" s="95">
        <v>10</v>
      </c>
    </row>
    <row r="26" spans="1:108" ht="28" customHeight="1">
      <c r="A26" s="10" t="s">
        <v>22</v>
      </c>
      <c r="B26" s="82" t="s">
        <v>125</v>
      </c>
      <c r="C26" s="87" t="s">
        <v>127</v>
      </c>
      <c r="D26" s="87" t="s">
        <v>31</v>
      </c>
      <c r="E26" s="87" t="s">
        <v>31</v>
      </c>
      <c r="F26" s="36">
        <v>18</v>
      </c>
      <c r="G26" s="23">
        <v>1</v>
      </c>
      <c r="H26" s="10" t="s">
        <v>0</v>
      </c>
      <c r="I26" s="8">
        <f>IF(Table48[[#This Row],[WEIGHT]]="","",Table48[[#This Row],[WEIGHT]]/((Table48[[#This Row],[HEIGHT]])^2))</f>
        <v>22.333168967784353</v>
      </c>
      <c r="J26" s="1">
        <v>0.8</v>
      </c>
      <c r="K26" s="1">
        <v>54.35</v>
      </c>
      <c r="L26" s="1">
        <v>1.56</v>
      </c>
      <c r="M26" s="1">
        <v>18.829999999999998</v>
      </c>
      <c r="N26" s="1">
        <v>3.45</v>
      </c>
      <c r="O26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168.92</v>
      </c>
      <c r="P26" s="1">
        <v>1123.7761473</v>
      </c>
      <c r="Q26">
        <v>1.1100000000000001</v>
      </c>
      <c r="R26">
        <v>20.68</v>
      </c>
      <c r="S26">
        <v>5.9</v>
      </c>
      <c r="T26">
        <v>175</v>
      </c>
      <c r="U26">
        <v>140</v>
      </c>
      <c r="V26">
        <v>169</v>
      </c>
      <c r="W26">
        <v>17.399999999999999</v>
      </c>
      <c r="X26">
        <v>18.7</v>
      </c>
      <c r="Y26" s="13">
        <v>16</v>
      </c>
      <c r="Z26" s="28">
        <v>16</v>
      </c>
      <c r="AA26" s="39">
        <v>111</v>
      </c>
      <c r="AB26" s="39">
        <v>73</v>
      </c>
      <c r="AC26" s="39">
        <v>38</v>
      </c>
      <c r="AD26" s="39">
        <v>86</v>
      </c>
      <c r="AE26" s="39">
        <v>65</v>
      </c>
      <c r="AF26" s="39">
        <v>4.5</v>
      </c>
      <c r="AG26" s="39">
        <v>6.3</v>
      </c>
      <c r="AH26" s="39">
        <v>114</v>
      </c>
      <c r="AI26" s="39">
        <v>73</v>
      </c>
      <c r="AJ26" s="55">
        <f>2/3*Table48[[#This Row],[COMPLIOR_cDBP]]+1/3*Table48[[#This Row],[COMPLIOR_cSBP]]</f>
        <v>86.666666666666657</v>
      </c>
      <c r="AK26" s="39">
        <f>Table48[[#This Row],[COMPLIOR_cSBP]]-Table48[[#This Row],[COMPLIOR_cDBP]]</f>
        <v>41</v>
      </c>
      <c r="AL26" s="42">
        <v>3</v>
      </c>
      <c r="AM26" s="42">
        <v>2</v>
      </c>
      <c r="AN26" s="42">
        <v>3</v>
      </c>
      <c r="AO26" s="42">
        <v>2</v>
      </c>
      <c r="AP26" s="42">
        <v>2</v>
      </c>
      <c r="AQ26" s="42">
        <v>2</v>
      </c>
      <c r="AR26" s="42">
        <v>2</v>
      </c>
      <c r="AS26" s="42">
        <v>2</v>
      </c>
      <c r="AT26" s="42">
        <v>2</v>
      </c>
      <c r="AU26" s="42">
        <v>3</v>
      </c>
      <c r="AV26" s="42">
        <v>2</v>
      </c>
      <c r="AW26" s="42">
        <v>2</v>
      </c>
      <c r="AX26" s="42">
        <v>3</v>
      </c>
      <c r="AY26" s="42">
        <v>2</v>
      </c>
      <c r="AZ26" s="42">
        <v>3</v>
      </c>
      <c r="BA26" s="42">
        <v>3</v>
      </c>
      <c r="BB26" s="42">
        <v>2</v>
      </c>
      <c r="BC26" s="42">
        <v>1</v>
      </c>
      <c r="BD26" s="42">
        <v>1</v>
      </c>
      <c r="BE26" s="42">
        <v>2</v>
      </c>
      <c r="BF26" s="42">
        <v>3</v>
      </c>
      <c r="BG26" s="42">
        <v>1</v>
      </c>
      <c r="BH26" s="42">
        <v>2</v>
      </c>
      <c r="BI26" s="42">
        <v>3</v>
      </c>
      <c r="BJ26" s="42">
        <v>3</v>
      </c>
      <c r="BK26" s="42">
        <v>3</v>
      </c>
      <c r="BL26" s="42">
        <v>3</v>
      </c>
      <c r="BM26" s="42">
        <v>3</v>
      </c>
      <c r="BN26" s="42">
        <v>3</v>
      </c>
      <c r="BO26" s="42">
        <v>3</v>
      </c>
      <c r="BP26" s="42">
        <v>3</v>
      </c>
      <c r="BQ26" s="42">
        <v>2</v>
      </c>
      <c r="BR26" s="42">
        <v>3</v>
      </c>
      <c r="BS26" s="42">
        <v>3</v>
      </c>
      <c r="BT26" s="42">
        <v>3</v>
      </c>
      <c r="BU26" s="42">
        <v>2</v>
      </c>
      <c r="BV26" s="42">
        <v>3</v>
      </c>
      <c r="BW26" s="42">
        <v>2</v>
      </c>
      <c r="BX26" s="42">
        <v>1</v>
      </c>
      <c r="BY26" s="42">
        <v>2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r="CF26" s="65">
        <v>10</v>
      </c>
      <c r="CG26" s="65">
        <v>3</v>
      </c>
      <c r="CH26" s="65">
        <v>0</v>
      </c>
      <c r="CI26" s="65">
        <v>0</v>
      </c>
      <c r="CJ26" s="65">
        <v>0</v>
      </c>
      <c r="CK26" s="65">
        <v>0</v>
      </c>
      <c r="CL26" s="65">
        <v>15</v>
      </c>
      <c r="CM26" s="65">
        <v>4</v>
      </c>
      <c r="CN26" s="65">
        <v>15</v>
      </c>
      <c r="CO26" s="65">
        <v>4</v>
      </c>
      <c r="CP26" s="69">
        <v>0</v>
      </c>
      <c r="CQ26" s="65">
        <v>0</v>
      </c>
      <c r="CR26" s="65">
        <v>0</v>
      </c>
      <c r="CS26" s="65">
        <v>0</v>
      </c>
      <c r="CT26" s="65">
        <v>0</v>
      </c>
      <c r="CU26" s="65">
        <v>0</v>
      </c>
      <c r="CV26" s="65">
        <v>360</v>
      </c>
      <c r="CW26" s="65">
        <v>360</v>
      </c>
      <c r="CX26" s="95">
        <v>0.42</v>
      </c>
      <c r="CY26" s="95">
        <v>0.28000000000000003</v>
      </c>
      <c r="CZ26" s="95">
        <v>0.35</v>
      </c>
      <c r="DA26" s="96">
        <f>Table48[[#This Row],[IMT_AVG_D]]/0.001</f>
        <v>349.99999999999994</v>
      </c>
      <c r="DB26" s="95">
        <v>0.04</v>
      </c>
      <c r="DC26" s="95">
        <v>125</v>
      </c>
      <c r="DD26" s="95">
        <v>10.4</v>
      </c>
    </row>
    <row r="27" spans="1:108" ht="28" customHeight="1">
      <c r="A27" s="10" t="s">
        <v>29</v>
      </c>
      <c r="B27" s="82" t="s">
        <v>131</v>
      </c>
      <c r="C27" s="87" t="s">
        <v>127</v>
      </c>
      <c r="D27" s="87" t="s">
        <v>31</v>
      </c>
      <c r="E27" s="87" t="s">
        <v>31</v>
      </c>
      <c r="F27" s="36">
        <v>22</v>
      </c>
      <c r="G27" s="23">
        <v>1</v>
      </c>
      <c r="H27" s="10" t="s">
        <v>0</v>
      </c>
      <c r="I27" s="8">
        <f>IF(Table48[[#This Row],[WEIGHT]]="","",Table48[[#This Row],[WEIGHT]]/((Table48[[#This Row],[HEIGHT]])^2))</f>
        <v>21.461316889123289</v>
      </c>
      <c r="J27" s="1">
        <v>0.72</v>
      </c>
      <c r="K27" s="1">
        <v>52.9</v>
      </c>
      <c r="L27" s="1">
        <v>1.57</v>
      </c>
      <c r="M27" s="1">
        <v>17.48</v>
      </c>
      <c r="N27" s="1">
        <v>4.0599999999999996</v>
      </c>
      <c r="O27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166.68</v>
      </c>
      <c r="P27" s="1">
        <v>1282.0169438999999</v>
      </c>
      <c r="Q27">
        <v>1.1000000000000001</v>
      </c>
      <c r="R27">
        <v>24.23</v>
      </c>
      <c r="S27">
        <v>6.9</v>
      </c>
      <c r="T27">
        <v>147</v>
      </c>
      <c r="U27">
        <v>125</v>
      </c>
      <c r="V27">
        <v>149</v>
      </c>
      <c r="W27">
        <v>23.3</v>
      </c>
      <c r="X27">
        <v>23.1</v>
      </c>
      <c r="Y27" s="29">
        <v>22</v>
      </c>
      <c r="Z27" s="29">
        <v>30</v>
      </c>
      <c r="AA27" s="39">
        <v>107</v>
      </c>
      <c r="AB27" s="39">
        <v>68</v>
      </c>
      <c r="AC27" s="39">
        <v>39</v>
      </c>
      <c r="AD27" s="39">
        <v>81</v>
      </c>
      <c r="AE27" s="39">
        <v>70</v>
      </c>
      <c r="AF27" s="39">
        <v>4.9000000000000004</v>
      </c>
      <c r="AG27" s="39">
        <v>5.6</v>
      </c>
      <c r="AH27" s="39">
        <v>111</v>
      </c>
      <c r="AI27" s="39">
        <v>68</v>
      </c>
      <c r="AJ27" s="55">
        <f>2/3*Table48[[#This Row],[COMPLIOR_cDBP]]+1/3*Table48[[#This Row],[COMPLIOR_cSBP]]</f>
        <v>82.333333333333329</v>
      </c>
      <c r="AK27" s="39">
        <f>Table48[[#This Row],[COMPLIOR_cSBP]]-Table48[[#This Row],[COMPLIOR_cDBP]]</f>
        <v>43</v>
      </c>
      <c r="AL27" s="42">
        <v>3</v>
      </c>
      <c r="AM27" s="42">
        <v>2</v>
      </c>
      <c r="AN27" s="42">
        <v>2</v>
      </c>
      <c r="AO27" s="42">
        <v>2</v>
      </c>
      <c r="AP27" s="42">
        <v>2</v>
      </c>
      <c r="AQ27" s="42">
        <v>2</v>
      </c>
      <c r="AR27" s="42">
        <v>2</v>
      </c>
      <c r="AS27" s="42">
        <v>2</v>
      </c>
      <c r="AT27" s="42">
        <v>2</v>
      </c>
      <c r="AU27" s="42">
        <v>3</v>
      </c>
      <c r="AV27" s="42">
        <v>2</v>
      </c>
      <c r="AW27" s="42">
        <v>2</v>
      </c>
      <c r="AX27" s="42">
        <v>3</v>
      </c>
      <c r="AY27" s="42">
        <v>3</v>
      </c>
      <c r="AZ27" s="42">
        <v>3</v>
      </c>
      <c r="BA27" s="42">
        <v>3</v>
      </c>
      <c r="BB27" s="42">
        <v>3</v>
      </c>
      <c r="BC27" s="42">
        <v>2</v>
      </c>
      <c r="BD27" s="42">
        <v>3</v>
      </c>
      <c r="BE27" s="42">
        <v>2</v>
      </c>
      <c r="BF27" s="42">
        <v>3</v>
      </c>
      <c r="BG27" s="42">
        <v>2</v>
      </c>
      <c r="BH27" s="42">
        <v>3</v>
      </c>
      <c r="BI27" s="42">
        <v>3</v>
      </c>
      <c r="BJ27" s="42">
        <v>1</v>
      </c>
      <c r="BK27" s="42">
        <v>3</v>
      </c>
      <c r="BL27" s="42">
        <v>2</v>
      </c>
      <c r="BM27" s="42">
        <v>2</v>
      </c>
      <c r="BN27" s="42">
        <v>2</v>
      </c>
      <c r="BO27" s="42">
        <v>2</v>
      </c>
      <c r="BP27" s="42">
        <v>3</v>
      </c>
      <c r="BQ27" s="42">
        <v>2</v>
      </c>
      <c r="BR27" s="42">
        <v>3</v>
      </c>
      <c r="BS27" s="42">
        <v>3</v>
      </c>
      <c r="BT27" s="42">
        <v>2</v>
      </c>
      <c r="BU27" s="42">
        <v>2</v>
      </c>
      <c r="BV27" s="42">
        <v>1</v>
      </c>
      <c r="BW27" s="42">
        <v>1</v>
      </c>
      <c r="BX27" s="42">
        <v>1</v>
      </c>
      <c r="BY27" s="42">
        <v>2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r="CF27" s="65">
        <v>20</v>
      </c>
      <c r="CG27" s="65">
        <v>2</v>
      </c>
      <c r="CH27" s="65">
        <v>0</v>
      </c>
      <c r="CI27" s="65">
        <v>0</v>
      </c>
      <c r="CJ27" s="65">
        <v>0</v>
      </c>
      <c r="CK27" s="65">
        <v>0</v>
      </c>
      <c r="CL27" s="65">
        <v>0</v>
      </c>
      <c r="CM27" s="65">
        <v>0</v>
      </c>
      <c r="CN27" s="65">
        <v>0</v>
      </c>
      <c r="CO27" s="65">
        <v>0</v>
      </c>
      <c r="CP27" s="69">
        <v>2</v>
      </c>
      <c r="CQ27" s="65">
        <v>2</v>
      </c>
      <c r="CR27" s="65">
        <v>0</v>
      </c>
      <c r="CS27" s="65">
        <v>0</v>
      </c>
      <c r="CT27" s="65">
        <v>0</v>
      </c>
      <c r="CU27" s="65">
        <v>0</v>
      </c>
      <c r="CV27" s="65">
        <v>240</v>
      </c>
      <c r="CW27" s="65">
        <v>240</v>
      </c>
      <c r="CX27" s="95">
        <v>0.56999999999999995</v>
      </c>
      <c r="CY27" s="95">
        <v>0.47</v>
      </c>
      <c r="CZ27" s="95">
        <v>0.5</v>
      </c>
      <c r="DA27" s="96">
        <f>Table48[[#This Row],[IMT_AVG_D]]/0.001</f>
        <v>500</v>
      </c>
      <c r="DB27" s="95">
        <v>0.03</v>
      </c>
      <c r="DC27" s="95">
        <v>190</v>
      </c>
      <c r="DD27" s="95">
        <v>10</v>
      </c>
    </row>
    <row r="28" spans="1:108" ht="28" customHeight="1">
      <c r="A28" s="10" t="s">
        <v>24</v>
      </c>
      <c r="B28" s="82" t="s">
        <v>125</v>
      </c>
      <c r="C28" s="87" t="s">
        <v>127</v>
      </c>
      <c r="D28" s="87" t="s">
        <v>32</v>
      </c>
      <c r="E28" s="87" t="s">
        <v>123</v>
      </c>
      <c r="F28" s="36">
        <v>25</v>
      </c>
      <c r="G28" s="23">
        <v>0</v>
      </c>
      <c r="H28" s="10" t="s">
        <v>0</v>
      </c>
      <c r="I28" s="8">
        <f>IF(Table48[[#This Row],[WEIGHT]]="","",Table48[[#This Row],[WEIGHT]]/((Table48[[#This Row],[HEIGHT]])^2))</f>
        <v>30.756903353057194</v>
      </c>
      <c r="J28" s="1">
        <v>0.97</v>
      </c>
      <c r="K28" s="1">
        <v>74.849999999999994</v>
      </c>
      <c r="L28" s="1">
        <v>1.56</v>
      </c>
      <c r="M28" s="1">
        <v>19.62</v>
      </c>
      <c r="N28" s="1">
        <v>11.13</v>
      </c>
      <c r="O28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180.5</v>
      </c>
      <c r="P28" s="1">
        <v>2069.5452049</v>
      </c>
      <c r="Q28">
        <v>1.28</v>
      </c>
      <c r="R28">
        <v>27.65</v>
      </c>
      <c r="S28">
        <v>7.9</v>
      </c>
      <c r="T28">
        <v>164</v>
      </c>
      <c r="U28">
        <v>111</v>
      </c>
      <c r="V28">
        <v>155</v>
      </c>
      <c r="W28">
        <v>12.4</v>
      </c>
      <c r="X28">
        <v>23.2</v>
      </c>
      <c r="Y28" s="29">
        <v>20</v>
      </c>
      <c r="Z28" s="29">
        <v>24</v>
      </c>
      <c r="AA28" s="39">
        <v>111</v>
      </c>
      <c r="AB28" s="39">
        <v>73</v>
      </c>
      <c r="AC28" s="39">
        <v>38</v>
      </c>
      <c r="AD28" s="39">
        <v>86</v>
      </c>
      <c r="AE28" s="39">
        <v>81</v>
      </c>
      <c r="AF28" s="39">
        <v>6.3</v>
      </c>
      <c r="AG28" s="39">
        <v>7.8</v>
      </c>
      <c r="AH28" s="39">
        <v>102</v>
      </c>
      <c r="AI28" s="39">
        <v>73</v>
      </c>
      <c r="AJ28" s="55">
        <f>2/3*Table48[[#This Row],[COMPLIOR_cDBP]]+1/3*Table48[[#This Row],[COMPLIOR_cSBP]]</f>
        <v>82.666666666666657</v>
      </c>
      <c r="AK28" s="39">
        <f>Table48[[#This Row],[COMPLIOR_cSBP]]-Table48[[#This Row],[COMPLIOR_cDBP]]</f>
        <v>29</v>
      </c>
      <c r="AL28" s="42">
        <v>3</v>
      </c>
      <c r="AM28" s="42">
        <v>3</v>
      </c>
      <c r="AN28" s="42">
        <v>3</v>
      </c>
      <c r="AO28" s="42">
        <v>3</v>
      </c>
      <c r="AP28" s="42">
        <v>3</v>
      </c>
      <c r="AQ28" s="42">
        <v>3</v>
      </c>
      <c r="AR28" s="42">
        <v>3</v>
      </c>
      <c r="AS28" s="42">
        <v>3</v>
      </c>
      <c r="AT28" s="42">
        <v>3</v>
      </c>
      <c r="AU28" s="42">
        <v>3</v>
      </c>
      <c r="AV28" s="42">
        <v>2</v>
      </c>
      <c r="AW28" s="42">
        <v>2</v>
      </c>
      <c r="AX28" s="42">
        <v>2</v>
      </c>
      <c r="AY28" s="42">
        <v>3</v>
      </c>
      <c r="AZ28" s="42">
        <v>2</v>
      </c>
      <c r="BA28" s="42">
        <v>1</v>
      </c>
      <c r="BB28" s="42">
        <v>3</v>
      </c>
      <c r="BC28" s="42">
        <v>3</v>
      </c>
      <c r="BD28" s="42">
        <v>1</v>
      </c>
      <c r="BE28" s="42">
        <v>2</v>
      </c>
      <c r="BF28" s="42">
        <v>3</v>
      </c>
      <c r="BG28" s="42">
        <v>3</v>
      </c>
      <c r="BH28" s="42">
        <v>1</v>
      </c>
      <c r="BI28" s="42">
        <v>3</v>
      </c>
      <c r="BJ28" s="42">
        <v>3</v>
      </c>
      <c r="BK28" s="42">
        <v>3</v>
      </c>
      <c r="BL28" s="42">
        <v>2</v>
      </c>
      <c r="BM28" s="42">
        <v>3</v>
      </c>
      <c r="BN28" s="42">
        <v>2</v>
      </c>
      <c r="BO28" s="42">
        <v>2</v>
      </c>
      <c r="BP28" s="42">
        <v>2</v>
      </c>
      <c r="BQ28" s="42">
        <v>1</v>
      </c>
      <c r="BR28" s="42">
        <v>2</v>
      </c>
      <c r="BS28" s="42">
        <v>3</v>
      </c>
      <c r="BT28" s="42">
        <v>2</v>
      </c>
      <c r="BU28" s="42">
        <v>3</v>
      </c>
      <c r="BV28" s="42">
        <v>3</v>
      </c>
      <c r="BW28" s="42">
        <v>1</v>
      </c>
      <c r="BX28" s="42">
        <v>1</v>
      </c>
      <c r="BY28" s="42">
        <v>3</v>
      </c>
      <c r="BZ28" s="65">
        <v>10</v>
      </c>
      <c r="CA28" s="65">
        <v>4</v>
      </c>
      <c r="CB28" s="65">
        <v>10</v>
      </c>
      <c r="CC28" s="65">
        <v>1</v>
      </c>
      <c r="CD28" s="65">
        <v>10</v>
      </c>
      <c r="CE28" s="65">
        <v>1</v>
      </c>
      <c r="CF28" s="65">
        <v>20</v>
      </c>
      <c r="CG28" s="65">
        <v>7</v>
      </c>
      <c r="CH28" s="65">
        <v>0</v>
      </c>
      <c r="CI28" s="65">
        <v>0</v>
      </c>
      <c r="CJ28" s="65">
        <v>0</v>
      </c>
      <c r="CK28" s="65">
        <v>0</v>
      </c>
      <c r="CL28" s="65">
        <v>0</v>
      </c>
      <c r="CM28" s="65">
        <v>0</v>
      </c>
      <c r="CN28" s="65">
        <v>0</v>
      </c>
      <c r="CO28" s="65">
        <v>0</v>
      </c>
      <c r="CP28" s="69">
        <v>5</v>
      </c>
      <c r="CQ28" s="65">
        <v>7</v>
      </c>
      <c r="CR28" s="65">
        <v>0</v>
      </c>
      <c r="CS28" s="65">
        <v>0</v>
      </c>
      <c r="CT28" s="65">
        <v>0</v>
      </c>
      <c r="CU28" s="65">
        <v>0</v>
      </c>
      <c r="CV28" s="67">
        <v>300</v>
      </c>
      <c r="CW28" s="67">
        <v>300</v>
      </c>
      <c r="CX28" s="95">
        <v>0.49</v>
      </c>
      <c r="CY28" s="95">
        <v>0.28999999999999998</v>
      </c>
      <c r="CZ28" s="95">
        <v>0.36</v>
      </c>
      <c r="DA28" s="96">
        <f>Table48[[#This Row],[IMT_AVG_D]]/0.001</f>
        <v>360</v>
      </c>
      <c r="DB28" s="95">
        <v>0.03</v>
      </c>
      <c r="DC28" s="95">
        <v>141</v>
      </c>
      <c r="DD28" s="95">
        <v>10</v>
      </c>
    </row>
    <row r="29" spans="1:108" ht="28" customHeight="1">
      <c r="A29" s="10" t="s">
        <v>26</v>
      </c>
      <c r="B29" s="82" t="s">
        <v>131</v>
      </c>
      <c r="C29" s="87" t="s">
        <v>127</v>
      </c>
      <c r="D29" s="87" t="s">
        <v>32</v>
      </c>
      <c r="E29" s="87" t="s">
        <v>122</v>
      </c>
      <c r="F29" s="36">
        <v>19</v>
      </c>
      <c r="G29" s="23">
        <v>0</v>
      </c>
      <c r="H29" s="10" t="s">
        <v>0</v>
      </c>
      <c r="I29" s="8">
        <f>IF(Table48[[#This Row],[WEIGHT]]="","",Table48[[#This Row],[WEIGHT]]/((Table48[[#This Row],[HEIGHT]])^2))</f>
        <v>29.744199881023206</v>
      </c>
      <c r="J29" s="1">
        <v>1.1499999999999999</v>
      </c>
      <c r="K29" s="1">
        <v>80</v>
      </c>
      <c r="L29" s="1">
        <v>1.64</v>
      </c>
      <c r="M29" s="1">
        <v>17.649999999999999</v>
      </c>
      <c r="N29" s="1">
        <v>12.13</v>
      </c>
      <c r="O29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183.86</v>
      </c>
      <c r="P29" s="1">
        <v>1495.6142818999999</v>
      </c>
      <c r="Q29">
        <v>1.1200000000000001</v>
      </c>
      <c r="R29">
        <v>18.7</v>
      </c>
      <c r="S29">
        <v>5.3</v>
      </c>
      <c r="T29">
        <v>157</v>
      </c>
      <c r="U29">
        <v>98</v>
      </c>
      <c r="V29">
        <v>159</v>
      </c>
      <c r="W29">
        <v>6.8</v>
      </c>
      <c r="X29">
        <v>16.8</v>
      </c>
      <c r="Y29" s="29">
        <v>16</v>
      </c>
      <c r="Z29" s="29">
        <v>12</v>
      </c>
      <c r="AA29" s="39">
        <v>148</v>
      </c>
      <c r="AB29" s="39">
        <v>78</v>
      </c>
      <c r="AC29" s="39">
        <v>70</v>
      </c>
      <c r="AD29" s="39">
        <v>101</v>
      </c>
      <c r="AE29" s="39">
        <v>74</v>
      </c>
      <c r="AF29" s="39">
        <v>4.8</v>
      </c>
      <c r="AG29" s="39">
        <v>7.4</v>
      </c>
      <c r="AH29" s="39">
        <v>139</v>
      </c>
      <c r="AI29" s="39">
        <v>78</v>
      </c>
      <c r="AJ29" s="55">
        <f>2/3*Table48[[#This Row],[COMPLIOR_cDBP]]+1/3*Table48[[#This Row],[COMPLIOR_cSBP]]</f>
        <v>98.333333333333329</v>
      </c>
      <c r="AK29" s="39">
        <f>Table48[[#This Row],[COMPLIOR_cSBP]]-Table48[[#This Row],[COMPLIOR_cDBP]]</f>
        <v>61</v>
      </c>
      <c r="AL29" s="42">
        <v>3</v>
      </c>
      <c r="AM29" s="42">
        <v>2</v>
      </c>
      <c r="AN29" s="42">
        <v>3</v>
      </c>
      <c r="AO29" s="42">
        <v>3</v>
      </c>
      <c r="AP29" s="42">
        <v>3</v>
      </c>
      <c r="AQ29" s="42">
        <v>3</v>
      </c>
      <c r="AR29" s="42">
        <v>3</v>
      </c>
      <c r="AS29" s="42">
        <v>3</v>
      </c>
      <c r="AT29" s="42">
        <v>2</v>
      </c>
      <c r="AU29" s="42">
        <v>3</v>
      </c>
      <c r="AV29" s="42">
        <v>1</v>
      </c>
      <c r="AW29" s="42">
        <v>2</v>
      </c>
      <c r="AX29" s="42">
        <v>3</v>
      </c>
      <c r="AY29" s="42">
        <v>2</v>
      </c>
      <c r="AZ29" s="42">
        <v>3</v>
      </c>
      <c r="BA29" s="42">
        <v>3</v>
      </c>
      <c r="BB29" s="42">
        <v>3</v>
      </c>
      <c r="BC29" s="42">
        <v>3</v>
      </c>
      <c r="BD29" s="42">
        <v>1</v>
      </c>
      <c r="BE29" s="42">
        <v>3</v>
      </c>
      <c r="BF29" s="42">
        <v>3</v>
      </c>
      <c r="BG29" s="42">
        <v>1</v>
      </c>
      <c r="BH29" s="42">
        <v>2</v>
      </c>
      <c r="BI29" s="42">
        <v>2</v>
      </c>
      <c r="BJ29" s="42">
        <v>2</v>
      </c>
      <c r="BK29" s="42">
        <v>3</v>
      </c>
      <c r="BL29" s="42">
        <v>3</v>
      </c>
      <c r="BM29" s="42">
        <v>3</v>
      </c>
      <c r="BN29" s="42">
        <v>3</v>
      </c>
      <c r="BO29" s="42">
        <v>3</v>
      </c>
      <c r="BP29" s="42">
        <v>3</v>
      </c>
      <c r="BQ29" s="42">
        <v>3</v>
      </c>
      <c r="BR29" s="42">
        <v>3</v>
      </c>
      <c r="BS29" s="42">
        <v>3</v>
      </c>
      <c r="BT29" s="42">
        <v>3</v>
      </c>
      <c r="BU29" s="42">
        <v>3</v>
      </c>
      <c r="BV29" s="42">
        <v>3</v>
      </c>
      <c r="BW29" s="42">
        <v>3</v>
      </c>
      <c r="BX29" s="42">
        <v>3</v>
      </c>
      <c r="BY29" s="42">
        <v>3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r="CF29" s="65">
        <v>0</v>
      </c>
      <c r="CG29" s="65">
        <v>0</v>
      </c>
      <c r="CH29" s="65">
        <v>0</v>
      </c>
      <c r="CI29" s="65">
        <v>0</v>
      </c>
      <c r="CJ29" s="65">
        <v>0</v>
      </c>
      <c r="CK29" s="65">
        <v>0</v>
      </c>
      <c r="CL29" s="65">
        <v>0</v>
      </c>
      <c r="CM29" s="65">
        <v>0</v>
      </c>
      <c r="CN29" s="65">
        <v>10</v>
      </c>
      <c r="CO29" s="65">
        <v>7</v>
      </c>
      <c r="CP29" s="69">
        <v>30</v>
      </c>
      <c r="CQ29" s="65">
        <v>2</v>
      </c>
      <c r="CR29" s="65">
        <v>0</v>
      </c>
      <c r="CS29" s="65">
        <v>0</v>
      </c>
      <c r="CT29" s="65">
        <v>45</v>
      </c>
      <c r="CU29" s="65">
        <v>1</v>
      </c>
      <c r="CV29" s="65">
        <v>120</v>
      </c>
      <c r="CW29" s="65">
        <v>240</v>
      </c>
      <c r="CX29" s="95">
        <v>0.42</v>
      </c>
      <c r="CY29" s="95">
        <v>0.14000000000000001</v>
      </c>
      <c r="CZ29" s="95">
        <v>0.33</v>
      </c>
      <c r="DA29" s="96">
        <f>Table48[[#This Row],[IMT_AVG_D]]/0.001</f>
        <v>330</v>
      </c>
      <c r="DB29" s="95">
        <v>0.04</v>
      </c>
      <c r="DC29" s="95">
        <v>134</v>
      </c>
      <c r="DD29" s="95">
        <v>10</v>
      </c>
    </row>
    <row r="30" spans="1:108" ht="28" customHeight="1">
      <c r="A30" s="10" t="s">
        <v>17</v>
      </c>
      <c r="B30" s="82" t="s">
        <v>131</v>
      </c>
      <c r="C30" s="87" t="s">
        <v>127</v>
      </c>
      <c r="D30" s="90" t="s">
        <v>32</v>
      </c>
      <c r="E30" s="85" t="s">
        <v>122</v>
      </c>
      <c r="F30" s="36">
        <v>21</v>
      </c>
      <c r="G30" s="23">
        <v>0</v>
      </c>
      <c r="H30" s="10" t="s">
        <v>0</v>
      </c>
      <c r="I30" s="8">
        <f>IF(Table48[[#This Row],[WEIGHT]]="","",Table48[[#This Row],[WEIGHT]]/((Table48[[#This Row],[HEIGHT]])^2))</f>
        <v>24.061963271237943</v>
      </c>
      <c r="J30" s="1">
        <v>0.97</v>
      </c>
      <c r="K30" s="1">
        <v>72.849999999999994</v>
      </c>
      <c r="L30" s="1">
        <v>1.74</v>
      </c>
      <c r="M30" s="1">
        <v>15.15</v>
      </c>
      <c r="N30" s="1">
        <v>9</v>
      </c>
      <c r="O30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182.74</v>
      </c>
      <c r="P30" s="1">
        <v>1222.4057915000001</v>
      </c>
      <c r="Q30">
        <v>1.18</v>
      </c>
      <c r="R30">
        <v>16.78</v>
      </c>
      <c r="S30">
        <v>4.8</v>
      </c>
      <c r="T30">
        <v>147</v>
      </c>
      <c r="U30">
        <v>102</v>
      </c>
      <c r="V30">
        <v>141</v>
      </c>
      <c r="W30">
        <v>5.6</v>
      </c>
      <c r="X30">
        <v>14.6</v>
      </c>
      <c r="Y30" s="13">
        <v>12</v>
      </c>
      <c r="Z30" s="28">
        <v>14</v>
      </c>
      <c r="AA30" s="39">
        <v>123</v>
      </c>
      <c r="AB30" s="39">
        <v>82</v>
      </c>
      <c r="AC30" s="39">
        <v>41</v>
      </c>
      <c r="AD30" s="39">
        <v>96</v>
      </c>
      <c r="AE30" s="39">
        <v>79</v>
      </c>
      <c r="AF30" s="39">
        <v>5.9</v>
      </c>
      <c r="AG30" s="39">
        <v>7.1</v>
      </c>
      <c r="AH30" s="39">
        <v>131</v>
      </c>
      <c r="AI30" s="39">
        <v>82</v>
      </c>
      <c r="AJ30" s="55">
        <f>2/3*Table48[[#This Row],[COMPLIOR_cDBP]]+1/3*Table48[[#This Row],[COMPLIOR_cSBP]]</f>
        <v>98.333333333333329</v>
      </c>
      <c r="AK30" s="39">
        <f>Table48[[#This Row],[COMPLIOR_cSBP]]-Table48[[#This Row],[COMPLIOR_cDBP]]</f>
        <v>49</v>
      </c>
      <c r="AL30" s="42">
        <v>2</v>
      </c>
      <c r="AM30" s="42">
        <v>2</v>
      </c>
      <c r="AN30" s="42">
        <v>3</v>
      </c>
      <c r="AO30" s="42">
        <v>3</v>
      </c>
      <c r="AP30" s="42">
        <v>3</v>
      </c>
      <c r="AQ30" s="42">
        <v>2</v>
      </c>
      <c r="AR30" s="42">
        <v>3</v>
      </c>
      <c r="AS30" s="42">
        <v>2</v>
      </c>
      <c r="AT30" s="42">
        <v>2</v>
      </c>
      <c r="AU30" s="42">
        <v>3</v>
      </c>
      <c r="AV30" s="42">
        <v>2</v>
      </c>
      <c r="AW30" s="42">
        <v>2</v>
      </c>
      <c r="AX30" s="42">
        <v>2</v>
      </c>
      <c r="AY30" s="42">
        <v>2</v>
      </c>
      <c r="AZ30" s="42">
        <v>3</v>
      </c>
      <c r="BA30" s="42">
        <v>2</v>
      </c>
      <c r="BB30" s="42">
        <v>1</v>
      </c>
      <c r="BC30" s="42">
        <v>1</v>
      </c>
      <c r="BD30" s="42">
        <v>1</v>
      </c>
      <c r="BE30" s="42">
        <v>2</v>
      </c>
      <c r="BF30" s="42">
        <v>3</v>
      </c>
      <c r="BG30" s="42">
        <v>1</v>
      </c>
      <c r="BH30" s="42">
        <v>3</v>
      </c>
      <c r="BI30" s="42">
        <v>2</v>
      </c>
      <c r="BJ30" s="42">
        <v>1</v>
      </c>
      <c r="BK30" s="42">
        <v>3</v>
      </c>
      <c r="BL30" s="42">
        <v>3</v>
      </c>
      <c r="BM30" s="42">
        <v>3</v>
      </c>
      <c r="BN30" s="42">
        <v>3</v>
      </c>
      <c r="BO30" s="42">
        <v>3</v>
      </c>
      <c r="BP30" s="42">
        <v>3</v>
      </c>
      <c r="BQ30" s="42">
        <v>3</v>
      </c>
      <c r="BR30" s="42">
        <v>3</v>
      </c>
      <c r="BS30" s="42">
        <v>3</v>
      </c>
      <c r="BT30" s="42">
        <v>3</v>
      </c>
      <c r="BU30" s="42">
        <v>2</v>
      </c>
      <c r="BV30" s="42">
        <v>3</v>
      </c>
      <c r="BW30" s="42">
        <v>2</v>
      </c>
      <c r="BX30" s="42">
        <v>1</v>
      </c>
      <c r="BY30" s="42">
        <v>1</v>
      </c>
      <c r="BZ30" s="65">
        <v>20</v>
      </c>
      <c r="CA30" s="65">
        <v>4</v>
      </c>
      <c r="CB30" s="65">
        <v>60</v>
      </c>
      <c r="CC30" s="65">
        <v>3</v>
      </c>
      <c r="CD30" s="65">
        <v>10</v>
      </c>
      <c r="CE30" s="65">
        <v>1</v>
      </c>
      <c r="CF30" s="65">
        <v>15</v>
      </c>
      <c r="CG30" s="65">
        <v>5</v>
      </c>
      <c r="CH30" s="65">
        <v>40</v>
      </c>
      <c r="CI30" s="65">
        <v>1</v>
      </c>
      <c r="CJ30" s="65">
        <v>0</v>
      </c>
      <c r="CK30" s="65">
        <v>0</v>
      </c>
      <c r="CL30" s="65">
        <v>20</v>
      </c>
      <c r="CM30" s="65">
        <v>4</v>
      </c>
      <c r="CN30" s="65">
        <v>20</v>
      </c>
      <c r="CO30" s="65">
        <v>4</v>
      </c>
      <c r="CP30" s="69">
        <v>15</v>
      </c>
      <c r="CQ30" s="65">
        <v>5</v>
      </c>
      <c r="CR30" s="65">
        <v>40</v>
      </c>
      <c r="CS30" s="65">
        <v>2</v>
      </c>
      <c r="CT30" s="65">
        <v>15</v>
      </c>
      <c r="CU30" s="65">
        <v>1</v>
      </c>
      <c r="CV30" s="65">
        <v>360</v>
      </c>
      <c r="CW30" s="65">
        <v>360</v>
      </c>
      <c r="CX30" s="95">
        <v>0.56000000000000005</v>
      </c>
      <c r="CY30" s="95">
        <v>0.35</v>
      </c>
      <c r="CZ30" s="95">
        <v>0.46</v>
      </c>
      <c r="DA30" s="96">
        <f>Table48[[#This Row],[IMT_AVG_D]]/0.001</f>
        <v>460</v>
      </c>
      <c r="DB30" s="95">
        <v>0.05</v>
      </c>
      <c r="DC30" s="95">
        <v>142</v>
      </c>
      <c r="DD30" s="95">
        <v>10</v>
      </c>
    </row>
    <row r="31" spans="1:108" ht="28" customHeight="1">
      <c r="A31" s="10" t="s">
        <v>18</v>
      </c>
      <c r="B31" s="82" t="s">
        <v>131</v>
      </c>
      <c r="C31" s="87" t="s">
        <v>127</v>
      </c>
      <c r="D31" s="87" t="s">
        <v>32</v>
      </c>
      <c r="E31" s="87" t="s">
        <v>124</v>
      </c>
      <c r="F31" s="36">
        <v>45</v>
      </c>
      <c r="G31" s="23">
        <v>1</v>
      </c>
      <c r="H31" s="10" t="s">
        <v>0</v>
      </c>
      <c r="I31" s="8">
        <f>IF(Table48[[#This Row],[WEIGHT]]="","",Table48[[#This Row],[WEIGHT]]/((Table48[[#This Row],[HEIGHT]])^2))</f>
        <v>26.354453627180902</v>
      </c>
      <c r="J31" s="1">
        <v>0.94</v>
      </c>
      <c r="K31" s="1">
        <v>71.75</v>
      </c>
      <c r="L31" s="1">
        <v>1.65</v>
      </c>
      <c r="M31" s="1">
        <v>18.52</v>
      </c>
      <c r="N31" s="1">
        <v>7.93</v>
      </c>
      <c r="O31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169.3</v>
      </c>
      <c r="P31" s="1">
        <v>2010.0045527</v>
      </c>
      <c r="Q31">
        <v>1.1599999999999999</v>
      </c>
      <c r="R31">
        <v>28.01</v>
      </c>
      <c r="S31">
        <v>8</v>
      </c>
      <c r="T31">
        <v>167</v>
      </c>
      <c r="U31">
        <v>135</v>
      </c>
      <c r="V31">
        <v>157</v>
      </c>
      <c r="W31">
        <v>16.7</v>
      </c>
      <c r="X31">
        <v>24.1</v>
      </c>
      <c r="Y31" s="13">
        <v>34</v>
      </c>
      <c r="Z31" s="28">
        <v>32</v>
      </c>
      <c r="AA31" s="39">
        <v>157</v>
      </c>
      <c r="AB31" s="39">
        <v>101</v>
      </c>
      <c r="AC31" s="39">
        <v>56</v>
      </c>
      <c r="AD31" s="39">
        <v>119</v>
      </c>
      <c r="AE31" s="39">
        <v>88</v>
      </c>
      <c r="AF31" s="39">
        <v>11.8</v>
      </c>
      <c r="AG31" s="39">
        <v>12</v>
      </c>
      <c r="AH31" s="39">
        <v>148</v>
      </c>
      <c r="AI31" s="39">
        <v>101</v>
      </c>
      <c r="AJ31" s="55">
        <f>2/3*Table48[[#This Row],[COMPLIOR_cDBP]]+1/3*Table48[[#This Row],[COMPLIOR_cSBP]]</f>
        <v>116.66666666666666</v>
      </c>
      <c r="AK31" s="39">
        <f>Table48[[#This Row],[COMPLIOR_cSBP]]-Table48[[#This Row],[COMPLIOR_cDBP]]</f>
        <v>47</v>
      </c>
      <c r="AL31" s="42">
        <v>2</v>
      </c>
      <c r="AM31" s="42">
        <v>2</v>
      </c>
      <c r="AN31" s="42">
        <v>1</v>
      </c>
      <c r="AO31" s="42">
        <v>3</v>
      </c>
      <c r="AP31" s="42">
        <v>3</v>
      </c>
      <c r="AQ31" s="42">
        <v>3</v>
      </c>
      <c r="AR31" s="42">
        <v>3</v>
      </c>
      <c r="AS31" s="42">
        <v>3</v>
      </c>
      <c r="AT31" s="42">
        <v>2</v>
      </c>
      <c r="AU31" s="42">
        <v>3</v>
      </c>
      <c r="AV31" s="42">
        <v>3</v>
      </c>
      <c r="AW31" s="42">
        <v>2</v>
      </c>
      <c r="AX31" s="42">
        <v>2</v>
      </c>
      <c r="AY31" s="42">
        <v>2</v>
      </c>
      <c r="AZ31" s="42">
        <v>3</v>
      </c>
      <c r="BA31" s="42">
        <v>3</v>
      </c>
      <c r="BB31" s="42">
        <v>3</v>
      </c>
      <c r="BC31" s="42">
        <v>2</v>
      </c>
      <c r="BD31" s="42">
        <v>1</v>
      </c>
      <c r="BE31" s="42">
        <v>3</v>
      </c>
      <c r="BF31" s="42">
        <v>3</v>
      </c>
      <c r="BG31" s="42">
        <v>3</v>
      </c>
      <c r="BH31" s="42">
        <v>2</v>
      </c>
      <c r="BI31" s="42">
        <v>3</v>
      </c>
      <c r="BJ31" s="42">
        <v>3</v>
      </c>
      <c r="BK31" s="42">
        <v>2</v>
      </c>
      <c r="BL31" s="42">
        <v>2</v>
      </c>
      <c r="BM31" s="42">
        <v>2</v>
      </c>
      <c r="BN31" s="42">
        <v>2</v>
      </c>
      <c r="BO31" s="42">
        <v>2</v>
      </c>
      <c r="BP31" s="42">
        <v>2</v>
      </c>
      <c r="BQ31" s="42">
        <v>1</v>
      </c>
      <c r="BR31" s="42">
        <v>3</v>
      </c>
      <c r="BS31" s="42">
        <v>2</v>
      </c>
      <c r="BT31" s="42">
        <v>2</v>
      </c>
      <c r="BU31" s="42">
        <v>3</v>
      </c>
      <c r="BV31" s="42">
        <v>3</v>
      </c>
      <c r="BW31" s="42">
        <v>3</v>
      </c>
      <c r="BX31" s="42">
        <v>3</v>
      </c>
      <c r="BY31" s="42">
        <v>3</v>
      </c>
      <c r="BZ31" s="65">
        <v>15</v>
      </c>
      <c r="CA31" s="65">
        <v>5</v>
      </c>
      <c r="CB31" s="65">
        <v>30</v>
      </c>
      <c r="CC31" s="65">
        <v>5</v>
      </c>
      <c r="CD31" s="65">
        <v>30</v>
      </c>
      <c r="CE31" s="65">
        <v>5</v>
      </c>
      <c r="CF31" s="65">
        <v>30</v>
      </c>
      <c r="CG31" s="65">
        <v>7</v>
      </c>
      <c r="CH31" s="65">
        <v>0</v>
      </c>
      <c r="CI31" s="65">
        <v>0</v>
      </c>
      <c r="CJ31" s="65">
        <v>0</v>
      </c>
      <c r="CK31" s="65">
        <v>0</v>
      </c>
      <c r="CL31" s="65">
        <v>10</v>
      </c>
      <c r="CM31" s="65">
        <v>2</v>
      </c>
      <c r="CN31" s="65">
        <v>10</v>
      </c>
      <c r="CO31" s="65">
        <v>1</v>
      </c>
      <c r="CP31" s="69">
        <v>30</v>
      </c>
      <c r="CQ31" s="65">
        <v>2</v>
      </c>
      <c r="CR31" s="65">
        <v>0</v>
      </c>
      <c r="CS31" s="65">
        <v>0</v>
      </c>
      <c r="CT31" s="65">
        <v>0</v>
      </c>
      <c r="CU31" s="65">
        <v>0</v>
      </c>
      <c r="CV31" s="67">
        <v>360</v>
      </c>
      <c r="CW31" s="67">
        <v>600</v>
      </c>
      <c r="CX31" s="95">
        <v>1.03</v>
      </c>
      <c r="CY31" s="95">
        <v>0.85</v>
      </c>
      <c r="CZ31" s="95">
        <v>0.94</v>
      </c>
      <c r="DA31" s="96">
        <f>Table48[[#This Row],[IMT_AVG_D]]/0.001</f>
        <v>939.99999999999989</v>
      </c>
      <c r="DB31" s="95">
        <v>0.05</v>
      </c>
      <c r="DC31" s="95">
        <v>157</v>
      </c>
      <c r="DD31" s="95">
        <v>10</v>
      </c>
    </row>
    <row r="32" spans="1:108" ht="28" customHeight="1">
      <c r="A32" s="10" t="s">
        <v>15</v>
      </c>
      <c r="B32" s="82" t="s">
        <v>131</v>
      </c>
      <c r="C32" s="87" t="s">
        <v>127</v>
      </c>
      <c r="D32" s="90" t="s">
        <v>31</v>
      </c>
      <c r="E32" s="85" t="s">
        <v>31</v>
      </c>
      <c r="F32" s="36">
        <v>46</v>
      </c>
      <c r="G32" s="17">
        <v>1</v>
      </c>
      <c r="H32" s="10" t="s">
        <v>0</v>
      </c>
      <c r="I32" s="8">
        <f>IF(Table48[[#This Row],[WEIGHT]]="","",Table48[[#This Row],[WEIGHT]]/((Table48[[#This Row],[HEIGHT]])^2))</f>
        <v>24.990388312187619</v>
      </c>
      <c r="J32" s="1">
        <v>0.81</v>
      </c>
      <c r="K32" s="1">
        <v>58.5</v>
      </c>
      <c r="L32" s="1">
        <v>1.53</v>
      </c>
      <c r="M32" s="1">
        <v>17.899999999999999</v>
      </c>
      <c r="N32" s="1">
        <v>7.16</v>
      </c>
      <c r="O32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153.24</v>
      </c>
      <c r="P32" s="1">
        <v>990.27142730000003</v>
      </c>
      <c r="Q32">
        <v>0.89</v>
      </c>
      <c r="R32">
        <v>16.93</v>
      </c>
      <c r="S32">
        <v>4.8</v>
      </c>
      <c r="T32">
        <v>106</v>
      </c>
      <c r="U32">
        <v>84</v>
      </c>
      <c r="V32">
        <v>100</v>
      </c>
      <c r="W32">
        <v>8.1</v>
      </c>
      <c r="X32">
        <v>10.199999999999999</v>
      </c>
      <c r="Y32" s="13">
        <v>10</v>
      </c>
      <c r="Z32" s="28">
        <v>18</v>
      </c>
      <c r="AA32" s="39">
        <v>116</v>
      </c>
      <c r="AB32" s="39">
        <v>71</v>
      </c>
      <c r="AC32" s="39">
        <v>45</v>
      </c>
      <c r="AD32" s="39">
        <v>86</v>
      </c>
      <c r="AE32" s="39">
        <v>73</v>
      </c>
      <c r="AF32" s="39">
        <v>3.7</v>
      </c>
      <c r="AG32" s="39">
        <v>5.7</v>
      </c>
      <c r="AH32" s="39">
        <v>114</v>
      </c>
      <c r="AI32" s="39">
        <v>71</v>
      </c>
      <c r="AJ32" s="55">
        <f>2/3*Table48[[#This Row],[COMPLIOR_cDBP]]+1/3*Table48[[#This Row],[COMPLIOR_cSBP]]</f>
        <v>85.333333333333329</v>
      </c>
      <c r="AK32" s="39">
        <f>Table48[[#This Row],[COMPLIOR_cSBP]]-Table48[[#This Row],[COMPLIOR_cDBP]]</f>
        <v>43</v>
      </c>
      <c r="AL32" s="42">
        <v>3</v>
      </c>
      <c r="AM32" s="42">
        <v>2</v>
      </c>
      <c r="AN32" s="42">
        <v>3</v>
      </c>
      <c r="AO32" s="42">
        <v>3</v>
      </c>
      <c r="AP32" s="42">
        <v>3</v>
      </c>
      <c r="AQ32" s="42">
        <v>3</v>
      </c>
      <c r="AR32" s="42">
        <v>2</v>
      </c>
      <c r="AS32" s="42">
        <v>2</v>
      </c>
      <c r="AT32" s="42">
        <v>3</v>
      </c>
      <c r="AU32" s="42">
        <v>3</v>
      </c>
      <c r="AV32" s="42">
        <v>3</v>
      </c>
      <c r="AW32" s="42">
        <v>3</v>
      </c>
      <c r="AX32" s="42">
        <v>3</v>
      </c>
      <c r="AY32" s="42">
        <v>3</v>
      </c>
      <c r="AZ32" s="42">
        <v>3</v>
      </c>
      <c r="BA32" s="42">
        <v>2</v>
      </c>
      <c r="BB32" s="42">
        <v>2</v>
      </c>
      <c r="BC32" s="42">
        <v>3</v>
      </c>
      <c r="BD32" s="42">
        <v>3</v>
      </c>
      <c r="BE32" s="42">
        <v>3</v>
      </c>
      <c r="BF32" s="42">
        <v>3</v>
      </c>
      <c r="BG32" s="42">
        <v>3</v>
      </c>
      <c r="BH32" s="42">
        <v>2</v>
      </c>
      <c r="BI32" s="42">
        <v>2</v>
      </c>
      <c r="BJ32" s="42">
        <v>1</v>
      </c>
      <c r="BK32" s="42">
        <v>3</v>
      </c>
      <c r="BL32" s="42">
        <v>3</v>
      </c>
      <c r="BM32" s="42">
        <v>3</v>
      </c>
      <c r="BN32" s="42">
        <v>3</v>
      </c>
      <c r="BO32" s="42">
        <v>2</v>
      </c>
      <c r="BP32" s="42">
        <v>3</v>
      </c>
      <c r="BQ32" s="42">
        <v>2</v>
      </c>
      <c r="BR32" s="42">
        <v>3</v>
      </c>
      <c r="BS32" s="42">
        <v>3</v>
      </c>
      <c r="BT32" s="42">
        <v>3</v>
      </c>
      <c r="BU32" s="42">
        <v>3</v>
      </c>
      <c r="BV32" s="42">
        <v>3</v>
      </c>
      <c r="BW32" s="42">
        <v>3</v>
      </c>
      <c r="BX32" s="42">
        <v>1</v>
      </c>
      <c r="BY32" s="42">
        <v>2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r="CF32" s="65">
        <v>10</v>
      </c>
      <c r="CG32" s="65">
        <v>3</v>
      </c>
      <c r="CH32" s="65">
        <v>0</v>
      </c>
      <c r="CI32" s="65">
        <v>0</v>
      </c>
      <c r="CJ32" s="65">
        <v>0</v>
      </c>
      <c r="CK32" s="65">
        <v>0</v>
      </c>
      <c r="CL32" s="65">
        <v>0</v>
      </c>
      <c r="CM32" s="65">
        <v>0</v>
      </c>
      <c r="CN32" s="65">
        <v>0</v>
      </c>
      <c r="CO32" s="65">
        <v>0</v>
      </c>
      <c r="CP32" s="69">
        <v>30</v>
      </c>
      <c r="CQ32" s="65">
        <v>3</v>
      </c>
      <c r="CR32" s="65">
        <v>45</v>
      </c>
      <c r="CS32" s="65">
        <v>2</v>
      </c>
      <c r="CT32" s="65">
        <v>0</v>
      </c>
      <c r="CU32" s="65">
        <v>0</v>
      </c>
      <c r="CV32" s="65">
        <v>480</v>
      </c>
      <c r="CW32" s="65">
        <v>480</v>
      </c>
      <c r="CX32" s="95">
        <v>0.71</v>
      </c>
      <c r="CY32" s="95">
        <v>0.56000000000000005</v>
      </c>
      <c r="CZ32" s="95">
        <v>0.64</v>
      </c>
      <c r="DA32" s="96">
        <f>Table48[[#This Row],[IMT_AVG_D]]/0.001</f>
        <v>640</v>
      </c>
      <c r="DB32" s="95">
        <v>0.03</v>
      </c>
      <c r="DC32" s="95">
        <v>141</v>
      </c>
      <c r="DD32" s="95">
        <v>10</v>
      </c>
    </row>
    <row r="33" spans="1:108" ht="28" customHeight="1">
      <c r="A33" s="10" t="s">
        <v>23</v>
      </c>
      <c r="B33" s="82" t="s">
        <v>125</v>
      </c>
      <c r="C33" s="87" t="s">
        <v>127</v>
      </c>
      <c r="D33" s="87" t="s">
        <v>32</v>
      </c>
      <c r="E33" s="87" t="s">
        <v>32</v>
      </c>
      <c r="F33" s="36">
        <v>30</v>
      </c>
      <c r="G33" s="23">
        <v>0</v>
      </c>
      <c r="H33" s="10" t="s">
        <v>0</v>
      </c>
      <c r="I33" s="8">
        <f>IF(Table48[[#This Row],[WEIGHT]]="","",Table48[[#This Row],[WEIGHT]]/((Table48[[#This Row],[HEIGHT]])^2))</f>
        <v>24.309423034083309</v>
      </c>
      <c r="J33" s="1">
        <v>0.76</v>
      </c>
      <c r="K33" s="1">
        <v>43.65</v>
      </c>
      <c r="L33" s="1">
        <v>1.34</v>
      </c>
      <c r="M33" s="1">
        <v>16.82</v>
      </c>
      <c r="N33" s="1">
        <v>7.67</v>
      </c>
      <c r="O33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177.7</v>
      </c>
      <c r="P33" s="1">
        <v>1213.3364653000001</v>
      </c>
      <c r="Q33">
        <v>0.82</v>
      </c>
      <c r="R33" s="1">
        <f>27.8-(27.8*11/100)</f>
        <v>24.742000000000001</v>
      </c>
      <c r="S33">
        <v>7.9</v>
      </c>
      <c r="T33">
        <v>151</v>
      </c>
      <c r="U33">
        <v>94</v>
      </c>
      <c r="V33">
        <v>150</v>
      </c>
      <c r="W33">
        <v>15.4</v>
      </c>
      <c r="X33">
        <v>23.3</v>
      </c>
      <c r="Y33" s="29">
        <v>10</v>
      </c>
      <c r="Z33" s="29">
        <v>12</v>
      </c>
      <c r="AA33" s="39">
        <v>105</v>
      </c>
      <c r="AB33" s="39">
        <v>68</v>
      </c>
      <c r="AC33" s="39">
        <v>37</v>
      </c>
      <c r="AD33" s="39">
        <v>80</v>
      </c>
      <c r="AE33" s="39">
        <v>61</v>
      </c>
      <c r="AF33" s="39">
        <v>5.9</v>
      </c>
      <c r="AG33" s="50">
        <v>7.6</v>
      </c>
      <c r="AH33" s="39">
        <v>102</v>
      </c>
      <c r="AI33" s="39">
        <v>68</v>
      </c>
      <c r="AJ33" s="55">
        <f>2/3*Table48[[#This Row],[COMPLIOR_cDBP]]+1/3*Table48[[#This Row],[COMPLIOR_cSBP]]</f>
        <v>79.333333333333329</v>
      </c>
      <c r="AK33" s="39">
        <f>Table48[[#This Row],[COMPLIOR_cSBP]]-Table48[[#This Row],[COMPLIOR_cDBP]]</f>
        <v>34</v>
      </c>
      <c r="AL33" s="42">
        <v>3</v>
      </c>
      <c r="AM33" s="42">
        <v>2</v>
      </c>
      <c r="AN33" s="42">
        <v>1</v>
      </c>
      <c r="AO33" s="42">
        <v>2</v>
      </c>
      <c r="AP33" s="42">
        <v>3</v>
      </c>
      <c r="AQ33" s="42">
        <v>3</v>
      </c>
      <c r="AR33" s="42">
        <v>2</v>
      </c>
      <c r="AS33" s="42">
        <v>3</v>
      </c>
      <c r="AT33" s="42">
        <v>3</v>
      </c>
      <c r="AU33" s="42">
        <v>3</v>
      </c>
      <c r="AV33" s="42">
        <v>2</v>
      </c>
      <c r="AW33" s="42">
        <v>2</v>
      </c>
      <c r="AX33" s="42">
        <v>3</v>
      </c>
      <c r="AY33" s="42">
        <v>3</v>
      </c>
      <c r="AZ33" s="42">
        <v>3</v>
      </c>
      <c r="BA33" s="42">
        <v>2</v>
      </c>
      <c r="BB33" s="42">
        <v>3</v>
      </c>
      <c r="BC33" s="42">
        <v>1</v>
      </c>
      <c r="BD33" s="42">
        <v>2</v>
      </c>
      <c r="BE33" s="42">
        <v>2</v>
      </c>
      <c r="BF33" s="42">
        <v>3</v>
      </c>
      <c r="BG33" s="42">
        <v>3</v>
      </c>
      <c r="BH33" s="42">
        <v>1</v>
      </c>
      <c r="BI33" s="42">
        <v>3</v>
      </c>
      <c r="BJ33" s="42">
        <v>3</v>
      </c>
      <c r="BK33" s="42">
        <v>3</v>
      </c>
      <c r="BL33" s="42">
        <v>3</v>
      </c>
      <c r="BM33" s="42">
        <v>3</v>
      </c>
      <c r="BN33" s="42">
        <v>3</v>
      </c>
      <c r="BO33" s="42">
        <v>3</v>
      </c>
      <c r="BP33" s="42">
        <v>3</v>
      </c>
      <c r="BQ33" s="42">
        <v>3</v>
      </c>
      <c r="BR33" s="42">
        <v>3</v>
      </c>
      <c r="BS33" s="42">
        <v>3</v>
      </c>
      <c r="BT33" s="42">
        <v>3</v>
      </c>
      <c r="BU33" s="42">
        <v>3</v>
      </c>
      <c r="BV33" s="42">
        <v>3</v>
      </c>
      <c r="BW33" s="42">
        <v>3</v>
      </c>
      <c r="BX33" s="42">
        <v>3</v>
      </c>
      <c r="BY33" s="42">
        <v>3</v>
      </c>
      <c r="BZ33" s="65">
        <v>0</v>
      </c>
      <c r="CA33" s="65">
        <v>0</v>
      </c>
      <c r="CB33" s="65">
        <v>0</v>
      </c>
      <c r="CC33" s="65">
        <v>0</v>
      </c>
      <c r="CD33" s="65">
        <v>0</v>
      </c>
      <c r="CE33" s="65">
        <v>0</v>
      </c>
      <c r="CF33" s="65">
        <v>20</v>
      </c>
      <c r="CG33" s="65">
        <v>3</v>
      </c>
      <c r="CH33" s="65">
        <v>0</v>
      </c>
      <c r="CI33" s="65">
        <v>0</v>
      </c>
      <c r="CJ33" s="65">
        <v>0</v>
      </c>
      <c r="CK33" s="65">
        <v>0</v>
      </c>
      <c r="CL33" s="65">
        <v>0</v>
      </c>
      <c r="CM33" s="65">
        <v>0</v>
      </c>
      <c r="CN33" s="65">
        <v>210</v>
      </c>
      <c r="CO33" s="65">
        <v>3</v>
      </c>
      <c r="CP33" s="69">
        <v>60</v>
      </c>
      <c r="CQ33" s="65">
        <v>3</v>
      </c>
      <c r="CR33" s="65">
        <v>0</v>
      </c>
      <c r="CS33" s="65">
        <v>0</v>
      </c>
      <c r="CT33" s="65">
        <v>0</v>
      </c>
      <c r="CU33" s="65">
        <v>0</v>
      </c>
      <c r="CV33" s="65">
        <v>180</v>
      </c>
      <c r="CW33" s="65">
        <v>240</v>
      </c>
      <c r="CX33" s="95">
        <v>0.65</v>
      </c>
      <c r="CY33" s="95">
        <v>0.48</v>
      </c>
      <c r="CZ33" s="95">
        <v>0.57999999999999996</v>
      </c>
      <c r="DA33" s="96">
        <f>Table48[[#This Row],[IMT_AVG_D]]/0.001</f>
        <v>580</v>
      </c>
      <c r="DB33" s="95">
        <v>0.05</v>
      </c>
      <c r="DC33" s="95">
        <v>220</v>
      </c>
      <c r="DD33" s="95">
        <v>10</v>
      </c>
    </row>
    <row r="34" spans="1:108" ht="28" customHeight="1">
      <c r="A34" s="10" t="s">
        <v>16</v>
      </c>
      <c r="B34" s="82" t="s">
        <v>131</v>
      </c>
      <c r="C34" s="87" t="s">
        <v>127</v>
      </c>
      <c r="D34" s="90" t="s">
        <v>31</v>
      </c>
      <c r="E34" s="85" t="s">
        <v>31</v>
      </c>
      <c r="F34" s="36">
        <v>47</v>
      </c>
      <c r="G34" s="23">
        <v>1</v>
      </c>
      <c r="H34" s="10" t="s">
        <v>0</v>
      </c>
      <c r="I34" s="8">
        <f>IF(Table48[[#This Row],[WEIGHT]]="","",Table48[[#This Row],[WEIGHT]]/((Table48[[#This Row],[HEIGHT]])^2))</f>
        <v>26.618330395769906</v>
      </c>
      <c r="J34" s="1">
        <v>1.03</v>
      </c>
      <c r="K34" s="1">
        <v>66.45</v>
      </c>
      <c r="L34" s="1">
        <v>1.58</v>
      </c>
      <c r="M34" s="1">
        <v>17.61</v>
      </c>
      <c r="N34" s="1">
        <v>8.9</v>
      </c>
      <c r="O34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152.68</v>
      </c>
      <c r="P34" s="1">
        <v>820.03436360000001</v>
      </c>
      <c r="Q34">
        <v>0.98</v>
      </c>
      <c r="R34">
        <v>12.34</v>
      </c>
      <c r="S34">
        <v>3.5</v>
      </c>
      <c r="T34">
        <v>95</v>
      </c>
      <c r="U34">
        <v>91</v>
      </c>
      <c r="V34">
        <v>94</v>
      </c>
      <c r="W34">
        <v>9.8000000000000007</v>
      </c>
      <c r="X34">
        <v>12.3</v>
      </c>
      <c r="Y34" s="13">
        <v>13</v>
      </c>
      <c r="Z34" s="28">
        <v>12</v>
      </c>
      <c r="AA34" s="47">
        <v>110</v>
      </c>
      <c r="AB34" s="47">
        <v>69</v>
      </c>
      <c r="AC34" s="47">
        <v>41</v>
      </c>
      <c r="AD34" s="47">
        <v>83</v>
      </c>
      <c r="AE34" s="47">
        <v>49</v>
      </c>
      <c r="AF34" s="54">
        <v>7.2</v>
      </c>
      <c r="AG34" s="47">
        <v>8.4</v>
      </c>
      <c r="AH34" s="47">
        <v>107</v>
      </c>
      <c r="AI34" s="47">
        <v>69</v>
      </c>
      <c r="AJ34" s="55">
        <f>2/3*Table48[[#This Row],[COMPLIOR_cDBP]]+1/3*Table48[[#This Row],[COMPLIOR_cSBP]]</f>
        <v>81.666666666666657</v>
      </c>
      <c r="AK34" s="47">
        <f>Table48[[#This Row],[COMPLIOR_cSBP]]-Table48[[#This Row],[COMPLIOR_cDBP]]</f>
        <v>38</v>
      </c>
      <c r="AL34" s="42">
        <v>2</v>
      </c>
      <c r="AM34" s="42">
        <v>1</v>
      </c>
      <c r="AN34" s="42">
        <v>1</v>
      </c>
      <c r="AO34" s="42">
        <v>1</v>
      </c>
      <c r="AP34" s="42">
        <v>2</v>
      </c>
      <c r="AQ34" s="42">
        <v>2</v>
      </c>
      <c r="AR34" s="42">
        <v>2</v>
      </c>
      <c r="AS34" s="42">
        <v>2</v>
      </c>
      <c r="AT34" s="42">
        <v>3</v>
      </c>
      <c r="AU34" s="42">
        <v>3</v>
      </c>
      <c r="AV34" s="42">
        <v>1</v>
      </c>
      <c r="AW34" s="42">
        <v>2</v>
      </c>
      <c r="AX34" s="42">
        <v>2</v>
      </c>
      <c r="AY34" s="42">
        <v>2</v>
      </c>
      <c r="AZ34" s="42">
        <v>3</v>
      </c>
      <c r="BA34" s="42">
        <v>2</v>
      </c>
      <c r="BB34" s="42">
        <v>2</v>
      </c>
      <c r="BC34" s="42">
        <v>1</v>
      </c>
      <c r="BD34" s="42">
        <v>2</v>
      </c>
      <c r="BE34" s="42">
        <v>2</v>
      </c>
      <c r="BF34" s="42">
        <v>3</v>
      </c>
      <c r="BG34" s="42">
        <v>1</v>
      </c>
      <c r="BH34" s="42">
        <v>2</v>
      </c>
      <c r="BI34" s="42">
        <v>1</v>
      </c>
      <c r="BJ34" s="42">
        <v>1</v>
      </c>
      <c r="BK34" s="42">
        <v>3</v>
      </c>
      <c r="BL34" s="42">
        <v>2</v>
      </c>
      <c r="BM34" s="42">
        <v>3</v>
      </c>
      <c r="BN34" s="42">
        <v>3</v>
      </c>
      <c r="BO34" s="42">
        <v>3</v>
      </c>
      <c r="BP34" s="42">
        <v>3</v>
      </c>
      <c r="BQ34" s="42">
        <v>1</v>
      </c>
      <c r="BR34" s="42">
        <v>3</v>
      </c>
      <c r="BS34" s="42">
        <v>3</v>
      </c>
      <c r="BT34" s="42">
        <v>3</v>
      </c>
      <c r="BU34" s="42">
        <v>2</v>
      </c>
      <c r="BV34" s="42">
        <v>1</v>
      </c>
      <c r="BW34" s="42">
        <v>1</v>
      </c>
      <c r="BX34" s="42">
        <v>1</v>
      </c>
      <c r="BY34" s="42">
        <v>1</v>
      </c>
      <c r="BZ34" s="65">
        <v>0</v>
      </c>
      <c r="CA34" s="65">
        <v>0</v>
      </c>
      <c r="CB34" s="65">
        <v>0</v>
      </c>
      <c r="CC34" s="65">
        <v>0</v>
      </c>
      <c r="CD34" s="65">
        <v>0</v>
      </c>
      <c r="CE34" s="65">
        <v>0</v>
      </c>
      <c r="CF34" s="65">
        <v>15</v>
      </c>
      <c r="CG34" s="65">
        <v>7</v>
      </c>
      <c r="CH34" s="65">
        <v>0</v>
      </c>
      <c r="CI34" s="65">
        <v>0</v>
      </c>
      <c r="CJ34" s="65">
        <v>0</v>
      </c>
      <c r="CK34" s="65">
        <v>0</v>
      </c>
      <c r="CL34" s="65">
        <v>0</v>
      </c>
      <c r="CM34" s="65">
        <v>0</v>
      </c>
      <c r="CN34" s="65">
        <v>120</v>
      </c>
      <c r="CO34" s="65">
        <v>7</v>
      </c>
      <c r="CP34" s="69">
        <v>90</v>
      </c>
      <c r="CQ34" s="65">
        <v>7</v>
      </c>
      <c r="CR34" s="65">
        <v>0</v>
      </c>
      <c r="CS34" s="65">
        <v>0</v>
      </c>
      <c r="CT34" s="65">
        <v>0</v>
      </c>
      <c r="CU34" s="65">
        <v>0</v>
      </c>
      <c r="CV34" s="65">
        <v>150</v>
      </c>
      <c r="CW34" s="65">
        <v>90</v>
      </c>
      <c r="CX34" s="95">
        <v>0.77</v>
      </c>
      <c r="CY34" s="95">
        <v>0.63</v>
      </c>
      <c r="CZ34" s="95">
        <v>0.69</v>
      </c>
      <c r="DA34" s="96">
        <f>Table48[[#This Row],[IMT_AVG_D]]/0.001</f>
        <v>689.99999999999989</v>
      </c>
      <c r="DB34" s="95">
        <v>0.04</v>
      </c>
      <c r="DC34" s="95">
        <v>141</v>
      </c>
      <c r="DD34" s="95">
        <v>10</v>
      </c>
    </row>
    <row r="35" spans="1:108" ht="28" customHeight="1">
      <c r="A35" s="3" t="s">
        <v>30</v>
      </c>
      <c r="B35" s="83" t="s">
        <v>125</v>
      </c>
      <c r="C35" s="87" t="s">
        <v>127</v>
      </c>
      <c r="D35" s="85" t="s">
        <v>32</v>
      </c>
      <c r="E35" s="85" t="s">
        <v>122</v>
      </c>
      <c r="F35" s="36">
        <v>15</v>
      </c>
      <c r="G35" s="17">
        <v>1</v>
      </c>
      <c r="H35" s="10" t="s">
        <v>0</v>
      </c>
      <c r="I35" s="8">
        <f>IF(Table48[[#This Row],[WEIGHT]]="","",Table48[[#This Row],[WEIGHT]]/((Table48[[#This Row],[HEIGHT]])^2))</f>
        <v>23.486254005734526</v>
      </c>
      <c r="J35" s="1">
        <v>0.72</v>
      </c>
      <c r="K35" s="1">
        <v>55.7</v>
      </c>
      <c r="L35" s="1">
        <v>1.54</v>
      </c>
      <c r="M35" s="1">
        <v>20.100000000000001</v>
      </c>
      <c r="N35" s="1">
        <v>3.36</v>
      </c>
      <c r="O35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186.1</v>
      </c>
      <c r="P35" s="1">
        <v>1896.3839862</v>
      </c>
      <c r="Q35">
        <v>1.0900000000000001</v>
      </c>
      <c r="R35">
        <v>34.049999999999997</v>
      </c>
      <c r="S35">
        <v>9.6999999999999993</v>
      </c>
      <c r="T35">
        <v>172</v>
      </c>
      <c r="U35">
        <v>148</v>
      </c>
      <c r="V35">
        <v>162</v>
      </c>
      <c r="W35">
        <v>19.899999999999999</v>
      </c>
      <c r="X35">
        <v>31.6</v>
      </c>
      <c r="Y35" s="29">
        <v>22</v>
      </c>
      <c r="Z35" s="29">
        <v>28</v>
      </c>
      <c r="AA35" s="39">
        <v>132</v>
      </c>
      <c r="AB35" s="39">
        <v>81</v>
      </c>
      <c r="AC35" s="39">
        <v>51</v>
      </c>
      <c r="AD35" s="39">
        <v>98</v>
      </c>
      <c r="AE35" s="39">
        <v>100</v>
      </c>
      <c r="AF35" s="39">
        <v>6.3</v>
      </c>
      <c r="AG35" s="39">
        <v>7.7</v>
      </c>
      <c r="AH35" s="39">
        <v>126</v>
      </c>
      <c r="AI35" s="39">
        <v>81</v>
      </c>
      <c r="AJ35" s="55">
        <f>2/3*Table48[[#This Row],[COMPLIOR_cDBP]]+1/3*Table48[[#This Row],[COMPLIOR_cSBP]]</f>
        <v>96</v>
      </c>
      <c r="AK35" s="39">
        <f>Table48[[#This Row],[COMPLIOR_cSBP]]-Table48[[#This Row],[COMPLIOR_cDBP]]</f>
        <v>45</v>
      </c>
      <c r="AL35" s="42">
        <v>3</v>
      </c>
      <c r="AM35" s="42">
        <v>2</v>
      </c>
      <c r="AN35" s="42">
        <v>1</v>
      </c>
      <c r="AO35" s="42">
        <v>3</v>
      </c>
      <c r="AP35" s="42">
        <v>3</v>
      </c>
      <c r="AQ35" s="42">
        <v>3</v>
      </c>
      <c r="AR35" s="42">
        <v>2</v>
      </c>
      <c r="AS35" s="42">
        <v>2</v>
      </c>
      <c r="AT35" s="42">
        <v>2</v>
      </c>
      <c r="AU35" s="42">
        <v>3</v>
      </c>
      <c r="AV35" s="42">
        <v>2</v>
      </c>
      <c r="AW35" s="42">
        <v>2</v>
      </c>
      <c r="AX35" s="42">
        <v>3</v>
      </c>
      <c r="AY35" s="42">
        <v>2</v>
      </c>
      <c r="AZ35" s="42">
        <v>3</v>
      </c>
      <c r="BA35" s="42">
        <v>2</v>
      </c>
      <c r="BB35" s="42">
        <v>3</v>
      </c>
      <c r="BC35" s="42">
        <v>3</v>
      </c>
      <c r="BD35" s="42">
        <v>2</v>
      </c>
      <c r="BE35" s="42">
        <v>3</v>
      </c>
      <c r="BF35" s="42">
        <v>3</v>
      </c>
      <c r="BG35" s="42">
        <v>3</v>
      </c>
      <c r="BH35" s="42">
        <v>3</v>
      </c>
      <c r="BI35" s="42">
        <v>3</v>
      </c>
      <c r="BJ35" s="42">
        <v>1</v>
      </c>
      <c r="BK35" s="42">
        <v>3</v>
      </c>
      <c r="BL35" s="42">
        <v>3</v>
      </c>
      <c r="BM35" s="42">
        <v>3</v>
      </c>
      <c r="BN35" s="42">
        <v>3</v>
      </c>
      <c r="BO35" s="42">
        <v>3</v>
      </c>
      <c r="BP35" s="42">
        <v>3</v>
      </c>
      <c r="BQ35" s="42">
        <v>3</v>
      </c>
      <c r="BR35" s="42">
        <v>3</v>
      </c>
      <c r="BS35" s="42">
        <v>3</v>
      </c>
      <c r="BT35" s="42">
        <v>3</v>
      </c>
      <c r="BU35" s="42">
        <v>2</v>
      </c>
      <c r="BV35" s="42">
        <v>3</v>
      </c>
      <c r="BW35" s="42">
        <v>3</v>
      </c>
      <c r="BX35" s="42">
        <v>1</v>
      </c>
      <c r="BY35" s="42">
        <v>1</v>
      </c>
      <c r="BZ35" s="65">
        <v>0</v>
      </c>
      <c r="CA35" s="65">
        <v>0</v>
      </c>
      <c r="CB35" s="65">
        <v>0</v>
      </c>
      <c r="CC35" s="65">
        <v>0</v>
      </c>
      <c r="CD35" s="65">
        <v>0</v>
      </c>
      <c r="CE35" s="65">
        <v>0</v>
      </c>
      <c r="CF35" s="65">
        <v>12.5</v>
      </c>
      <c r="CG35" s="65">
        <v>4</v>
      </c>
      <c r="CH35" s="65">
        <v>0</v>
      </c>
      <c r="CI35" s="65">
        <v>0</v>
      </c>
      <c r="CJ35" s="65">
        <v>0</v>
      </c>
      <c r="CK35" s="65">
        <v>0</v>
      </c>
      <c r="CL35" s="65">
        <v>0</v>
      </c>
      <c r="CM35" s="65">
        <v>0</v>
      </c>
      <c r="CN35" s="65">
        <v>0</v>
      </c>
      <c r="CO35" s="65">
        <v>0</v>
      </c>
      <c r="CP35" s="69">
        <v>15</v>
      </c>
      <c r="CQ35" s="65">
        <v>3</v>
      </c>
      <c r="CR35" s="65">
        <v>30</v>
      </c>
      <c r="CS35" s="65">
        <v>1</v>
      </c>
      <c r="CT35" s="65">
        <v>40</v>
      </c>
      <c r="CU35" s="65">
        <v>3</v>
      </c>
      <c r="CV35" s="65">
        <v>180</v>
      </c>
      <c r="CW35" s="65">
        <v>240</v>
      </c>
      <c r="CX35" s="95">
        <v>0.47</v>
      </c>
      <c r="CY35" s="95">
        <v>0.32</v>
      </c>
      <c r="CZ35" s="95">
        <v>0.42</v>
      </c>
      <c r="DA35" s="96">
        <f>Table48[[#This Row],[IMT_AVG_D]]/0.001</f>
        <v>420</v>
      </c>
      <c r="DB35" s="95">
        <v>0.04</v>
      </c>
      <c r="DC35" s="95">
        <v>190</v>
      </c>
      <c r="DD35" s="95">
        <v>10</v>
      </c>
    </row>
    <row r="36" spans="1:108" ht="28" customHeight="1">
      <c r="A36" s="18" t="s">
        <v>27</v>
      </c>
      <c r="B36" s="82" t="s">
        <v>131</v>
      </c>
      <c r="C36" s="87" t="s">
        <v>128</v>
      </c>
      <c r="D36" s="85" t="s">
        <v>32</v>
      </c>
      <c r="E36" s="87" t="s">
        <v>122</v>
      </c>
      <c r="F36" s="36">
        <v>18</v>
      </c>
      <c r="G36" s="44">
        <v>0</v>
      </c>
      <c r="H36" s="10" t="s">
        <v>0</v>
      </c>
      <c r="I36" s="25">
        <f>IF(Table48[[#This Row],[WEIGHT]]="","",Table48[[#This Row],[WEIGHT]]/((Table48[[#This Row],[HEIGHT]])^2))</f>
        <v>23.345721730958179</v>
      </c>
      <c r="J36" s="1">
        <v>0.76</v>
      </c>
      <c r="K36" s="1">
        <v>54.65</v>
      </c>
      <c r="L36" s="1">
        <v>1.53</v>
      </c>
      <c r="M36" s="1">
        <v>16.12</v>
      </c>
      <c r="N36" s="1">
        <v>7.32</v>
      </c>
      <c r="O36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184.42</v>
      </c>
      <c r="P36" s="1">
        <v>1656.7956836000001</v>
      </c>
      <c r="Q36">
        <v>1.01</v>
      </c>
      <c r="R36">
        <v>30.32</v>
      </c>
      <c r="S36">
        <v>8.6999999999999993</v>
      </c>
      <c r="T36">
        <v>153</v>
      </c>
      <c r="U36">
        <v>120</v>
      </c>
      <c r="V36">
        <v>154</v>
      </c>
      <c r="W36" s="1">
        <v>13.4</v>
      </c>
      <c r="X36" s="1">
        <v>31</v>
      </c>
      <c r="Y36" s="56">
        <v>16</v>
      </c>
      <c r="Z36" s="56">
        <v>14</v>
      </c>
      <c r="AA36" s="52">
        <v>118</v>
      </c>
      <c r="AB36" s="52">
        <v>59</v>
      </c>
      <c r="AC36" s="52">
        <v>59</v>
      </c>
      <c r="AD36" s="52">
        <v>78</v>
      </c>
      <c r="AE36" s="52">
        <v>84</v>
      </c>
      <c r="AF36" s="52">
        <v>5.8</v>
      </c>
      <c r="AG36" s="52">
        <v>6.5</v>
      </c>
      <c r="AH36" s="52">
        <v>101</v>
      </c>
      <c r="AI36" s="52">
        <v>59</v>
      </c>
      <c r="AJ36" s="55">
        <f>2/3*Table48[[#This Row],[COMPLIOR_cDBP]]+1/3*Table48[[#This Row],[COMPLIOR_cSBP]]</f>
        <v>73</v>
      </c>
      <c r="AK36" s="52">
        <f>Table48[[#This Row],[COMPLIOR_cSBP]]-Table48[[#This Row],[COMPLIOR_cDBP]]</f>
        <v>42</v>
      </c>
      <c r="AL36" s="26">
        <v>2</v>
      </c>
      <c r="AM36" s="26">
        <v>2</v>
      </c>
      <c r="AN36" s="26">
        <v>1</v>
      </c>
      <c r="AO36" s="26">
        <v>3</v>
      </c>
      <c r="AP36" s="26">
        <v>3</v>
      </c>
      <c r="AQ36" s="26">
        <v>2</v>
      </c>
      <c r="AR36" s="26">
        <v>3</v>
      </c>
      <c r="AS36" s="26">
        <v>2</v>
      </c>
      <c r="AT36" s="26">
        <v>3</v>
      </c>
      <c r="AU36" s="26">
        <v>3</v>
      </c>
      <c r="AV36" s="26">
        <v>3</v>
      </c>
      <c r="AW36" s="26">
        <v>2</v>
      </c>
      <c r="AX36" s="26">
        <v>3</v>
      </c>
      <c r="AY36" s="26">
        <v>2</v>
      </c>
      <c r="AZ36" s="26">
        <v>3</v>
      </c>
      <c r="BA36" s="26">
        <v>2</v>
      </c>
      <c r="BB36" s="26">
        <v>2</v>
      </c>
      <c r="BC36" s="26">
        <v>3</v>
      </c>
      <c r="BD36" s="26">
        <v>2</v>
      </c>
      <c r="BE36" s="26">
        <v>2</v>
      </c>
      <c r="BF36" s="26">
        <v>3</v>
      </c>
      <c r="BG36" s="26">
        <v>1</v>
      </c>
      <c r="BH36" s="26">
        <v>3</v>
      </c>
      <c r="BI36" s="26">
        <v>3</v>
      </c>
      <c r="BJ36" s="26">
        <v>1</v>
      </c>
      <c r="BK36" s="26">
        <v>3</v>
      </c>
      <c r="BL36" s="26">
        <v>3</v>
      </c>
      <c r="BM36" s="26">
        <v>3</v>
      </c>
      <c r="BN36" s="26">
        <v>3</v>
      </c>
      <c r="BO36" s="26">
        <v>3</v>
      </c>
      <c r="BP36" s="26">
        <v>1</v>
      </c>
      <c r="BQ36" s="26">
        <v>2</v>
      </c>
      <c r="BR36" s="26">
        <v>3</v>
      </c>
      <c r="BS36" s="26">
        <v>3</v>
      </c>
      <c r="BT36" s="26">
        <v>2</v>
      </c>
      <c r="BU36" s="26">
        <v>1</v>
      </c>
      <c r="BV36" s="26">
        <v>3</v>
      </c>
      <c r="BW36" s="26">
        <v>3</v>
      </c>
      <c r="BX36" s="26">
        <v>1</v>
      </c>
      <c r="BY36" s="26">
        <v>2</v>
      </c>
      <c r="BZ36" s="65">
        <v>90</v>
      </c>
      <c r="CA36" s="65">
        <v>5</v>
      </c>
      <c r="CB36" s="65">
        <v>20</v>
      </c>
      <c r="CC36" s="65">
        <v>2</v>
      </c>
      <c r="CD36" s="65">
        <v>0</v>
      </c>
      <c r="CE36" s="65">
        <v>0</v>
      </c>
      <c r="CF36" s="65">
        <v>10</v>
      </c>
      <c r="CG36" s="65">
        <v>5</v>
      </c>
      <c r="CH36" s="65">
        <v>0</v>
      </c>
      <c r="CI36" s="65">
        <v>0</v>
      </c>
      <c r="CJ36" s="65">
        <v>0</v>
      </c>
      <c r="CK36" s="65">
        <v>0</v>
      </c>
      <c r="CL36" s="65">
        <v>0</v>
      </c>
      <c r="CM36" s="65">
        <v>0</v>
      </c>
      <c r="CN36" s="65">
        <v>30</v>
      </c>
      <c r="CO36" s="65">
        <v>7</v>
      </c>
      <c r="CP36" s="69">
        <v>60</v>
      </c>
      <c r="CQ36" s="65">
        <v>1</v>
      </c>
      <c r="CR36" s="65">
        <v>60</v>
      </c>
      <c r="CS36" s="65">
        <v>1</v>
      </c>
      <c r="CT36" s="65">
        <v>60</v>
      </c>
      <c r="CU36" s="65">
        <v>3</v>
      </c>
      <c r="CV36" s="65">
        <v>180</v>
      </c>
      <c r="CW36" s="65">
        <v>300</v>
      </c>
      <c r="CX36" s="95">
        <v>0.56999999999999995</v>
      </c>
      <c r="CY36" s="95">
        <v>0.44</v>
      </c>
      <c r="CZ36" s="95">
        <v>0.51</v>
      </c>
      <c r="DA36" s="96">
        <f>Table48[[#This Row],[IMT_AVG_D]]/0.001</f>
        <v>510</v>
      </c>
      <c r="DB36" s="95">
        <v>0.03</v>
      </c>
      <c r="DC36" s="95">
        <v>228</v>
      </c>
      <c r="DD36" s="95">
        <v>10</v>
      </c>
    </row>
    <row r="37" spans="1:108" ht="28" customHeight="1">
      <c r="A37" s="11" t="s">
        <v>33</v>
      </c>
      <c r="B37" s="82" t="s">
        <v>131</v>
      </c>
      <c r="C37" s="87" t="s">
        <v>128</v>
      </c>
      <c r="D37" s="86" t="s">
        <v>32</v>
      </c>
      <c r="E37" s="87" t="s">
        <v>32</v>
      </c>
      <c r="F37" s="36">
        <v>17</v>
      </c>
      <c r="G37" s="17">
        <v>0</v>
      </c>
      <c r="H37" s="10" t="s">
        <v>0</v>
      </c>
      <c r="I37" s="8">
        <f>IF(Table48[[#This Row],[WEIGHT]]="","",Table48[[#This Row],[WEIGHT]]/((Table48[[#This Row],[HEIGHT]])^2))</f>
        <v>42.676592797783933</v>
      </c>
      <c r="J37" s="1">
        <v>1.1000000000000001</v>
      </c>
      <c r="K37" s="1">
        <v>98.6</v>
      </c>
      <c r="L37" s="1">
        <v>1.52</v>
      </c>
      <c r="M37" s="1">
        <v>20.21</v>
      </c>
      <c r="N37" s="1">
        <v>22.46</v>
      </c>
      <c r="O37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184.98</v>
      </c>
      <c r="P37" s="1">
        <v>1598.6678039999999</v>
      </c>
      <c r="Q37">
        <v>1</v>
      </c>
      <c r="R37">
        <v>16.21</v>
      </c>
      <c r="S37">
        <v>4.5999999999999996</v>
      </c>
      <c r="T37">
        <v>157</v>
      </c>
      <c r="U37">
        <v>131</v>
      </c>
      <c r="V37">
        <v>156</v>
      </c>
      <c r="W37" s="1">
        <v>9.1999999999999993</v>
      </c>
      <c r="X37" s="1">
        <v>15</v>
      </c>
      <c r="Y37" s="35"/>
      <c r="Z37" s="35">
        <v>23</v>
      </c>
      <c r="AA37" s="39">
        <v>94</v>
      </c>
      <c r="AB37" s="39">
        <v>71</v>
      </c>
      <c r="AC37" s="39">
        <v>23</v>
      </c>
      <c r="AD37" s="39">
        <v>79</v>
      </c>
      <c r="AE37" s="39">
        <v>89</v>
      </c>
      <c r="AF37" s="39">
        <v>5</v>
      </c>
      <c r="AG37" s="39">
        <v>5.6</v>
      </c>
      <c r="AH37" s="39">
        <v>113</v>
      </c>
      <c r="AI37" s="39">
        <v>71</v>
      </c>
      <c r="AJ37" s="55">
        <f>2/3*Table48[[#This Row],[COMPLIOR_cDBP]]+1/3*Table48[[#This Row],[COMPLIOR_cSBP]]</f>
        <v>85</v>
      </c>
      <c r="AK37" s="39">
        <f>Table48[[#This Row],[COMPLIOR_cSBP]]-Table48[[#This Row],[COMPLIOR_cDBP]]</f>
        <v>42</v>
      </c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65">
        <v>300</v>
      </c>
      <c r="CA37" s="65">
        <v>6</v>
      </c>
      <c r="CB37" s="65">
        <v>300</v>
      </c>
      <c r="CC37" s="65">
        <v>5</v>
      </c>
      <c r="CD37" s="65">
        <v>300</v>
      </c>
      <c r="CE37" s="65">
        <v>6</v>
      </c>
      <c r="CF37" s="65">
        <v>300</v>
      </c>
      <c r="CG37" s="65">
        <v>5</v>
      </c>
      <c r="CH37" s="65">
        <v>0</v>
      </c>
      <c r="CI37" s="65">
        <v>0</v>
      </c>
      <c r="CJ37" s="65">
        <v>0</v>
      </c>
      <c r="CK37" s="65">
        <v>0</v>
      </c>
      <c r="CL37" s="65">
        <v>0</v>
      </c>
      <c r="CM37" s="65">
        <v>0</v>
      </c>
      <c r="CN37" s="65">
        <v>60</v>
      </c>
      <c r="CO37" s="65">
        <v>1</v>
      </c>
      <c r="CP37" s="69">
        <v>240</v>
      </c>
      <c r="CQ37" s="65">
        <v>5</v>
      </c>
      <c r="CR37" s="65">
        <v>0</v>
      </c>
      <c r="CS37" s="65">
        <v>0</v>
      </c>
      <c r="CT37" s="65">
        <v>0</v>
      </c>
      <c r="CU37" s="65">
        <v>0</v>
      </c>
      <c r="CV37" s="65">
        <v>120</v>
      </c>
      <c r="CW37" s="65">
        <v>300</v>
      </c>
      <c r="CX37" s="95">
        <v>0.57999999999999996</v>
      </c>
      <c r="CY37" s="95">
        <v>0.42</v>
      </c>
      <c r="CZ37" s="95">
        <v>0.48</v>
      </c>
      <c r="DA37" s="96">
        <f>Table48[[#This Row],[IMT_AVG_D]]/0.001</f>
        <v>480</v>
      </c>
      <c r="DB37" s="95">
        <v>0.04</v>
      </c>
      <c r="DC37" s="95">
        <v>189</v>
      </c>
      <c r="DD37" s="95">
        <v>10</v>
      </c>
    </row>
    <row r="38" spans="1:108" ht="28" customHeight="1">
      <c r="A38" s="18" t="s">
        <v>21</v>
      </c>
      <c r="B38" s="82" t="s">
        <v>131</v>
      </c>
      <c r="C38" s="87" t="s">
        <v>128</v>
      </c>
      <c r="D38" s="85" t="s">
        <v>32</v>
      </c>
      <c r="E38" s="87" t="s">
        <v>122</v>
      </c>
      <c r="F38" s="36">
        <v>33</v>
      </c>
      <c r="G38" s="44">
        <v>1</v>
      </c>
      <c r="H38" s="10" t="s">
        <v>0</v>
      </c>
      <c r="I38" s="8">
        <f>IF(Table48[[#This Row],[WEIGHT]]="","",Table48[[#This Row],[WEIGHT]]/((Table48[[#This Row],[HEIGHT]])^2))</f>
        <v>24.850581944007548</v>
      </c>
      <c r="J38" s="1">
        <v>1.03</v>
      </c>
      <c r="K38" s="1">
        <v>86.9</v>
      </c>
      <c r="L38" s="1">
        <v>1.87</v>
      </c>
      <c r="M38" s="1">
        <v>18.170000000000002</v>
      </c>
      <c r="N38" s="1">
        <v>6.76</v>
      </c>
      <c r="O38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176.02</v>
      </c>
      <c r="P38" s="1">
        <v>2275.1562727</v>
      </c>
      <c r="Q38">
        <v>0.94</v>
      </c>
      <c r="R38">
        <v>25.64</v>
      </c>
      <c r="S38">
        <v>7.3</v>
      </c>
      <c r="T38">
        <v>141</v>
      </c>
      <c r="U38">
        <v>109</v>
      </c>
      <c r="V38">
        <v>134</v>
      </c>
      <c r="W38" s="1">
        <v>8.8000000000000007</v>
      </c>
      <c r="X38" s="1">
        <v>23.1</v>
      </c>
      <c r="Y38" s="56">
        <v>36</v>
      </c>
      <c r="Z38" s="56">
        <v>36</v>
      </c>
      <c r="AA38" s="39">
        <v>126</v>
      </c>
      <c r="AB38" s="39">
        <v>76</v>
      </c>
      <c r="AC38" s="39">
        <v>50</v>
      </c>
      <c r="AD38" s="39">
        <v>93</v>
      </c>
      <c r="AE38" s="39">
        <v>83</v>
      </c>
      <c r="AF38" s="39">
        <v>8.1</v>
      </c>
      <c r="AG38" s="51">
        <v>9.6</v>
      </c>
      <c r="AH38" s="39">
        <v>127</v>
      </c>
      <c r="AI38" s="39">
        <v>78</v>
      </c>
      <c r="AJ38" s="55">
        <f>2/3*Table48[[#This Row],[COMPLIOR_cDBP]]+1/3*Table48[[#This Row],[COMPLIOR_cSBP]]</f>
        <v>94.333333333333329</v>
      </c>
      <c r="AK38" s="39">
        <f>Table48[[#This Row],[COMPLIOR_cSBP]]-Table48[[#This Row],[COMPLIOR_cDBP]]</f>
        <v>49</v>
      </c>
      <c r="AL38" s="17">
        <v>3</v>
      </c>
      <c r="AM38" s="17">
        <v>1</v>
      </c>
      <c r="AN38" s="17">
        <v>1</v>
      </c>
      <c r="AO38" s="17">
        <v>2</v>
      </c>
      <c r="AP38" s="17">
        <v>2</v>
      </c>
      <c r="AQ38" s="17">
        <v>2</v>
      </c>
      <c r="AR38" s="17">
        <v>2</v>
      </c>
      <c r="AS38" s="17">
        <v>3</v>
      </c>
      <c r="AT38" s="17">
        <v>2</v>
      </c>
      <c r="AU38" s="17">
        <v>3</v>
      </c>
      <c r="AV38" s="17">
        <v>2</v>
      </c>
      <c r="AW38" s="17">
        <v>2</v>
      </c>
      <c r="AX38" s="17">
        <v>2</v>
      </c>
      <c r="AY38" s="17">
        <v>2</v>
      </c>
      <c r="AZ38" s="17">
        <v>3</v>
      </c>
      <c r="BA38" s="17">
        <v>3</v>
      </c>
      <c r="BB38" s="17">
        <v>1</v>
      </c>
      <c r="BC38" s="17">
        <v>1</v>
      </c>
      <c r="BD38" s="17">
        <v>1</v>
      </c>
      <c r="BE38" s="17">
        <v>1</v>
      </c>
      <c r="BF38" s="17">
        <v>3</v>
      </c>
      <c r="BG38" s="17">
        <v>1</v>
      </c>
      <c r="BH38" s="17">
        <v>2</v>
      </c>
      <c r="BI38" s="17">
        <v>3</v>
      </c>
      <c r="BJ38" s="17">
        <v>3</v>
      </c>
      <c r="BK38" s="17">
        <v>3</v>
      </c>
      <c r="BL38" s="17">
        <v>2</v>
      </c>
      <c r="BM38" s="17">
        <v>3</v>
      </c>
      <c r="BN38" s="17">
        <v>2</v>
      </c>
      <c r="BO38" s="17">
        <v>2</v>
      </c>
      <c r="BP38" s="17">
        <v>3</v>
      </c>
      <c r="BQ38" s="17">
        <v>2</v>
      </c>
      <c r="BR38" s="17">
        <v>3</v>
      </c>
      <c r="BS38" s="17">
        <v>2</v>
      </c>
      <c r="BT38" s="17">
        <v>3</v>
      </c>
      <c r="BU38" s="17">
        <v>1</v>
      </c>
      <c r="BV38" s="17">
        <v>3</v>
      </c>
      <c r="BW38" s="17">
        <v>2</v>
      </c>
      <c r="BX38" s="17">
        <v>1</v>
      </c>
      <c r="BY38" s="17">
        <v>1</v>
      </c>
      <c r="BZ38" s="65">
        <v>30</v>
      </c>
      <c r="CA38" s="65">
        <v>5</v>
      </c>
      <c r="CB38" s="60">
        <v>60</v>
      </c>
      <c r="CC38" s="65">
        <v>5</v>
      </c>
      <c r="CD38" s="65">
        <v>45</v>
      </c>
      <c r="CE38" s="65">
        <v>2</v>
      </c>
      <c r="CF38" s="65">
        <v>30</v>
      </c>
      <c r="CG38" s="65">
        <v>7</v>
      </c>
      <c r="CH38" s="65">
        <v>0</v>
      </c>
      <c r="CI38" s="65">
        <v>0</v>
      </c>
      <c r="CJ38" s="65">
        <v>0</v>
      </c>
      <c r="CK38" s="65">
        <v>0</v>
      </c>
      <c r="CL38" s="65">
        <v>15</v>
      </c>
      <c r="CM38" s="65">
        <v>7</v>
      </c>
      <c r="CN38" s="65">
        <v>15</v>
      </c>
      <c r="CO38" s="65">
        <v>7</v>
      </c>
      <c r="CP38" s="69">
        <v>60</v>
      </c>
      <c r="CQ38" s="65">
        <v>2</v>
      </c>
      <c r="CR38" s="65">
        <v>20</v>
      </c>
      <c r="CS38" s="65">
        <v>2</v>
      </c>
      <c r="CT38" s="65">
        <v>20</v>
      </c>
      <c r="CU38" s="65">
        <v>2</v>
      </c>
      <c r="CV38" s="65">
        <v>120</v>
      </c>
      <c r="CW38" s="65">
        <v>30</v>
      </c>
      <c r="CX38" s="95">
        <v>0.49</v>
      </c>
      <c r="CY38" s="95">
        <v>0.35</v>
      </c>
      <c r="CZ38" s="95">
        <v>0.41</v>
      </c>
      <c r="DA38" s="96">
        <f>Table48[[#This Row],[IMT_AVG_D]]/0.001</f>
        <v>409.99999999999994</v>
      </c>
      <c r="DB38" s="95">
        <v>0.03</v>
      </c>
      <c r="DC38" s="95">
        <v>141</v>
      </c>
      <c r="DD38" s="95">
        <v>10</v>
      </c>
    </row>
    <row r="39" spans="1:108" ht="28" customHeight="1">
      <c r="A39" s="18" t="s">
        <v>28</v>
      </c>
      <c r="B39" s="18" t="s">
        <v>125</v>
      </c>
      <c r="C39" s="87" t="s">
        <v>128</v>
      </c>
      <c r="D39" s="85" t="s">
        <v>32</v>
      </c>
      <c r="E39" s="85" t="s">
        <v>123</v>
      </c>
      <c r="F39" s="36">
        <v>33</v>
      </c>
      <c r="G39" s="44">
        <v>1</v>
      </c>
      <c r="H39" s="10" t="s">
        <v>0</v>
      </c>
      <c r="I39" s="25">
        <f>IF(Table48[[#This Row],[WEIGHT]]="","",Table48[[#This Row],[WEIGHT]]/((Table48[[#This Row],[HEIGHT]])^2))</f>
        <v>35.291769487588915</v>
      </c>
      <c r="J39" s="1">
        <v>1.21</v>
      </c>
      <c r="K39" s="1">
        <v>97.25</v>
      </c>
      <c r="L39" s="1">
        <v>1.66</v>
      </c>
      <c r="M39" s="1">
        <v>20.64</v>
      </c>
      <c r="N39" s="1">
        <v>14.65</v>
      </c>
      <c r="O39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176.02</v>
      </c>
      <c r="P39" s="1">
        <v>2002.670312</v>
      </c>
      <c r="Q39">
        <v>1.19</v>
      </c>
      <c r="R39">
        <v>20.59</v>
      </c>
      <c r="S39">
        <v>5.9</v>
      </c>
      <c r="T39">
        <v>155</v>
      </c>
      <c r="U39">
        <v>111</v>
      </c>
      <c r="V39">
        <v>142</v>
      </c>
      <c r="W39" s="1">
        <v>7.8</v>
      </c>
      <c r="X39" s="1">
        <v>15.7</v>
      </c>
      <c r="Y39" s="56">
        <v>15</v>
      </c>
      <c r="Z39" s="56">
        <v>14</v>
      </c>
      <c r="AA39" s="52">
        <v>125</v>
      </c>
      <c r="AB39" s="52">
        <v>80</v>
      </c>
      <c r="AC39" s="52">
        <v>45</v>
      </c>
      <c r="AD39" s="52">
        <v>95</v>
      </c>
      <c r="AE39" s="52">
        <v>96</v>
      </c>
      <c r="AF39" s="52">
        <v>7</v>
      </c>
      <c r="AG39" s="52">
        <v>6.5</v>
      </c>
      <c r="AH39" s="52">
        <v>159</v>
      </c>
      <c r="AI39" s="52">
        <v>80</v>
      </c>
      <c r="AJ39" s="55">
        <f>2/3*Table48[[#This Row],[COMPLIOR_cDBP]]+1/3*Table48[[#This Row],[COMPLIOR_cSBP]]</f>
        <v>106.33333333333333</v>
      </c>
      <c r="AK39" s="52">
        <f>Table48[[#This Row],[COMPLIOR_cSBP]]-Table48[[#This Row],[COMPLIOR_cDBP]]</f>
        <v>79</v>
      </c>
      <c r="AL39" s="26">
        <v>3</v>
      </c>
      <c r="AM39" s="26">
        <v>3</v>
      </c>
      <c r="AN39" s="26">
        <v>3</v>
      </c>
      <c r="AO39" s="26">
        <v>3</v>
      </c>
      <c r="AP39" s="26">
        <v>3</v>
      </c>
      <c r="AQ39" s="26">
        <v>3</v>
      </c>
      <c r="AR39" s="26">
        <v>2</v>
      </c>
      <c r="AS39" s="26">
        <v>2</v>
      </c>
      <c r="AT39" s="26">
        <v>2</v>
      </c>
      <c r="AU39" s="26">
        <v>3</v>
      </c>
      <c r="AV39" s="26">
        <v>2</v>
      </c>
      <c r="AW39" s="26">
        <v>2</v>
      </c>
      <c r="AX39" s="26">
        <v>2</v>
      </c>
      <c r="AY39" s="26">
        <v>2</v>
      </c>
      <c r="AZ39" s="26">
        <v>3</v>
      </c>
      <c r="BA39" s="26">
        <v>3</v>
      </c>
      <c r="BB39" s="26">
        <v>3</v>
      </c>
      <c r="BC39" s="26">
        <v>2</v>
      </c>
      <c r="BD39" s="26">
        <v>2</v>
      </c>
      <c r="BE39" s="26">
        <v>3</v>
      </c>
      <c r="BF39" s="26">
        <v>3</v>
      </c>
      <c r="BG39" s="26">
        <v>1</v>
      </c>
      <c r="BH39" s="26">
        <v>1</v>
      </c>
      <c r="BI39" s="26">
        <v>1</v>
      </c>
      <c r="BJ39" s="26">
        <v>3</v>
      </c>
      <c r="BK39" s="26">
        <v>3</v>
      </c>
      <c r="BL39" s="26">
        <v>3</v>
      </c>
      <c r="BM39" s="26">
        <v>3</v>
      </c>
      <c r="BN39" s="26">
        <v>3</v>
      </c>
      <c r="BO39" s="26">
        <v>2</v>
      </c>
      <c r="BP39" s="26">
        <v>3</v>
      </c>
      <c r="BQ39" s="26">
        <v>2</v>
      </c>
      <c r="BR39" s="26">
        <v>3</v>
      </c>
      <c r="BS39" s="26">
        <v>3</v>
      </c>
      <c r="BT39" s="26">
        <v>3</v>
      </c>
      <c r="BU39" s="26">
        <v>1</v>
      </c>
      <c r="BV39" s="26">
        <v>1</v>
      </c>
      <c r="BW39" s="26">
        <v>2</v>
      </c>
      <c r="BX39" s="26">
        <v>1</v>
      </c>
      <c r="BY39" s="26">
        <v>2</v>
      </c>
      <c r="BZ39" s="65">
        <v>20</v>
      </c>
      <c r="CA39" s="65">
        <v>5</v>
      </c>
      <c r="CB39" s="65">
        <v>0</v>
      </c>
      <c r="CC39" s="65">
        <v>0</v>
      </c>
      <c r="CD39" s="65">
        <v>0</v>
      </c>
      <c r="CE39" s="65">
        <v>0</v>
      </c>
      <c r="CF39" s="65">
        <v>10</v>
      </c>
      <c r="CG39" s="65">
        <v>5</v>
      </c>
      <c r="CH39" s="65">
        <v>0</v>
      </c>
      <c r="CI39" s="65">
        <v>0</v>
      </c>
      <c r="CJ39" s="65">
        <v>0</v>
      </c>
      <c r="CK39" s="65">
        <v>0</v>
      </c>
      <c r="CL39" s="65">
        <v>0</v>
      </c>
      <c r="CM39" s="65">
        <v>0</v>
      </c>
      <c r="CN39" s="65">
        <v>30</v>
      </c>
      <c r="CO39" s="65">
        <v>1</v>
      </c>
      <c r="CP39" s="69">
        <v>60</v>
      </c>
      <c r="CQ39" s="65">
        <v>5</v>
      </c>
      <c r="CR39" s="65">
        <v>60</v>
      </c>
      <c r="CS39" s="65">
        <v>3</v>
      </c>
      <c r="CT39" s="65">
        <v>30</v>
      </c>
      <c r="CU39" s="65">
        <v>3</v>
      </c>
      <c r="CV39" s="65">
        <v>180</v>
      </c>
      <c r="CW39" s="65">
        <v>180</v>
      </c>
      <c r="CX39" s="95">
        <v>0.69</v>
      </c>
      <c r="CY39" s="95">
        <v>0.47</v>
      </c>
      <c r="CZ39" s="95">
        <v>0.53</v>
      </c>
      <c r="DA39" s="96">
        <f>Table48[[#This Row],[IMT_AVG_D]]/0.001</f>
        <v>530</v>
      </c>
      <c r="DB39" s="95">
        <v>0.05</v>
      </c>
      <c r="DC39" s="95">
        <v>192</v>
      </c>
      <c r="DD39" s="95">
        <v>10</v>
      </c>
    </row>
    <row r="40" spans="1:108" ht="28" customHeight="1">
      <c r="A40" s="18" t="s">
        <v>20</v>
      </c>
      <c r="B40" s="18" t="s">
        <v>125</v>
      </c>
      <c r="C40" s="87" t="s">
        <v>128</v>
      </c>
      <c r="D40" s="85" t="s">
        <v>31</v>
      </c>
      <c r="E40" s="85" t="s">
        <v>31</v>
      </c>
      <c r="F40" s="36">
        <v>24</v>
      </c>
      <c r="G40" s="44">
        <v>1</v>
      </c>
      <c r="H40" s="10" t="s">
        <v>0</v>
      </c>
      <c r="I40" s="8">
        <f>IF(Table48[[#This Row],[WEIGHT]]="","",Table48[[#This Row],[WEIGHT]]/((Table48[[#This Row],[HEIGHT]])^2))</f>
        <v>28.598552272457574</v>
      </c>
      <c r="J40" s="1">
        <v>0.94</v>
      </c>
      <c r="K40" s="1">
        <v>72.3</v>
      </c>
      <c r="L40" s="1">
        <v>1.59</v>
      </c>
      <c r="M40" s="1">
        <v>21.85</v>
      </c>
      <c r="N40" s="1">
        <v>6.75</v>
      </c>
      <c r="O40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165.56</v>
      </c>
      <c r="P40" s="1">
        <v>2050.1207241000002</v>
      </c>
      <c r="Q40">
        <v>1.01</v>
      </c>
      <c r="R40">
        <v>28.36</v>
      </c>
      <c r="S40">
        <v>8.1</v>
      </c>
      <c r="T40">
        <v>142</v>
      </c>
      <c r="U40">
        <v>87</v>
      </c>
      <c r="V40">
        <v>133</v>
      </c>
      <c r="W40" s="1">
        <v>12</v>
      </c>
      <c r="X40" s="1">
        <v>23</v>
      </c>
      <c r="Y40" s="57">
        <v>28</v>
      </c>
      <c r="Z40" s="57">
        <v>28</v>
      </c>
      <c r="AA40" s="39">
        <v>130</v>
      </c>
      <c r="AB40" s="39">
        <v>75</v>
      </c>
      <c r="AC40" s="39">
        <v>55</v>
      </c>
      <c r="AD40" s="39">
        <v>93</v>
      </c>
      <c r="AE40" s="39">
        <v>49</v>
      </c>
      <c r="AF40" s="39">
        <v>5.9</v>
      </c>
      <c r="AG40" s="51">
        <v>7.8</v>
      </c>
      <c r="AH40" s="51">
        <v>191</v>
      </c>
      <c r="AI40" s="51">
        <v>75</v>
      </c>
      <c r="AJ40" s="55">
        <f>2/3*Table48[[#This Row],[COMPLIOR_cDBP]]+1/3*Table48[[#This Row],[COMPLIOR_cSBP]]</f>
        <v>113.66666666666666</v>
      </c>
      <c r="AK40" s="51">
        <f>Table48[[#This Row],[COMPLIOR_cSBP]]-Table48[[#This Row],[COMPLIOR_cDBP]]</f>
        <v>116</v>
      </c>
      <c r="AL40" s="17">
        <v>3</v>
      </c>
      <c r="AM40" s="17">
        <v>3</v>
      </c>
      <c r="AN40" s="17">
        <v>1</v>
      </c>
      <c r="AO40" s="17">
        <v>3</v>
      </c>
      <c r="AP40" s="17">
        <v>3</v>
      </c>
      <c r="AQ40" s="17">
        <v>3</v>
      </c>
      <c r="AR40" s="17">
        <v>3</v>
      </c>
      <c r="AS40" s="17">
        <v>2</v>
      </c>
      <c r="AT40" s="17">
        <v>3</v>
      </c>
      <c r="AU40" s="17">
        <v>3</v>
      </c>
      <c r="AV40" s="17">
        <v>3</v>
      </c>
      <c r="AW40" s="17">
        <v>2</v>
      </c>
      <c r="AX40" s="17">
        <v>3</v>
      </c>
      <c r="AY40" s="17">
        <v>2</v>
      </c>
      <c r="AZ40" s="17">
        <v>3</v>
      </c>
      <c r="BA40" s="17">
        <v>2</v>
      </c>
      <c r="BB40" s="17">
        <v>2</v>
      </c>
      <c r="BC40" s="17">
        <v>2</v>
      </c>
      <c r="BD40" s="17">
        <v>2</v>
      </c>
      <c r="BE40" s="17">
        <v>2</v>
      </c>
      <c r="BF40" s="17">
        <v>3</v>
      </c>
      <c r="BG40" s="17">
        <v>3</v>
      </c>
      <c r="BH40" s="17">
        <v>1</v>
      </c>
      <c r="BI40" s="17">
        <v>3</v>
      </c>
      <c r="BJ40" s="17">
        <v>3</v>
      </c>
      <c r="BK40" s="17">
        <v>3</v>
      </c>
      <c r="BL40" s="17">
        <v>3</v>
      </c>
      <c r="BM40" s="17">
        <v>2</v>
      </c>
      <c r="BN40" s="17">
        <v>3</v>
      </c>
      <c r="BO40" s="17">
        <v>3</v>
      </c>
      <c r="BP40" s="17">
        <v>3</v>
      </c>
      <c r="BQ40" s="17">
        <v>3</v>
      </c>
      <c r="BR40" s="17">
        <v>3</v>
      </c>
      <c r="BS40" s="17">
        <v>3</v>
      </c>
      <c r="BT40" s="17">
        <v>3</v>
      </c>
      <c r="BU40" s="17">
        <v>3</v>
      </c>
      <c r="BV40" s="17">
        <v>3</v>
      </c>
      <c r="BW40" s="17">
        <v>2</v>
      </c>
      <c r="BX40" s="17">
        <v>3</v>
      </c>
      <c r="BY40" s="17">
        <v>2</v>
      </c>
      <c r="BZ40" s="65">
        <v>60</v>
      </c>
      <c r="CA40" s="65">
        <v>5</v>
      </c>
      <c r="CB40" s="60">
        <v>0</v>
      </c>
      <c r="CC40" s="65">
        <v>5</v>
      </c>
      <c r="CD40" s="65">
        <v>60</v>
      </c>
      <c r="CE40" s="65">
        <v>4</v>
      </c>
      <c r="CF40" s="65">
        <v>60</v>
      </c>
      <c r="CG40" s="65">
        <v>5</v>
      </c>
      <c r="CH40" s="65">
        <v>0</v>
      </c>
      <c r="CI40" s="65">
        <v>0</v>
      </c>
      <c r="CJ40" s="65">
        <v>0</v>
      </c>
      <c r="CK40" s="65">
        <v>0</v>
      </c>
      <c r="CL40" s="65">
        <v>0</v>
      </c>
      <c r="CM40" s="65">
        <v>0</v>
      </c>
      <c r="CN40" s="65">
        <v>0</v>
      </c>
      <c r="CO40" s="65">
        <v>0</v>
      </c>
      <c r="CP40" s="69">
        <v>30</v>
      </c>
      <c r="CQ40" s="65">
        <v>5</v>
      </c>
      <c r="CR40" s="65">
        <v>0</v>
      </c>
      <c r="CS40" s="65">
        <v>0</v>
      </c>
      <c r="CT40" s="65">
        <v>60</v>
      </c>
      <c r="CU40" s="65">
        <v>4</v>
      </c>
      <c r="CV40" s="65">
        <v>120</v>
      </c>
      <c r="CW40" s="65">
        <v>180</v>
      </c>
      <c r="CX40" s="95">
        <v>0.49</v>
      </c>
      <c r="CY40" s="95">
        <v>0.36</v>
      </c>
      <c r="CZ40" s="95">
        <v>0.43</v>
      </c>
      <c r="DA40" s="96">
        <f>Table48[[#This Row],[IMT_AVG_D]]/0.001</f>
        <v>430</v>
      </c>
      <c r="DB40" s="95">
        <v>0.03</v>
      </c>
      <c r="DC40" s="95">
        <v>251</v>
      </c>
      <c r="DD40" s="95">
        <v>10</v>
      </c>
    </row>
    <row r="41" spans="1:108" ht="28" customHeight="1">
      <c r="A41" s="18" t="s">
        <v>25</v>
      </c>
      <c r="B41" s="18" t="s">
        <v>125</v>
      </c>
      <c r="C41" s="87" t="s">
        <v>128</v>
      </c>
      <c r="D41" s="85" t="s">
        <v>32</v>
      </c>
      <c r="E41" s="87" t="s">
        <v>32</v>
      </c>
      <c r="F41" s="36">
        <v>37</v>
      </c>
      <c r="G41" s="44">
        <v>1</v>
      </c>
      <c r="H41" s="10" t="s">
        <v>0</v>
      </c>
      <c r="I41" s="25">
        <f>IF(Table48[[#This Row],[WEIGHT]]="","",Table48[[#This Row],[WEIGHT]]/((Table48[[#This Row],[HEIGHT]])^2))</f>
        <v>27.903596538669554</v>
      </c>
      <c r="J41" s="1">
        <v>1.07</v>
      </c>
      <c r="K41" s="1">
        <v>82.55</v>
      </c>
      <c r="L41" s="1">
        <v>1.72</v>
      </c>
      <c r="M41" s="1">
        <v>16.989999999999998</v>
      </c>
      <c r="N41" s="1">
        <v>10.92</v>
      </c>
      <c r="O41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173.78</v>
      </c>
      <c r="P41" s="49">
        <v>1233.4896385</v>
      </c>
      <c r="Q41" s="38">
        <v>1.34</v>
      </c>
      <c r="R41" s="38">
        <v>14.83</v>
      </c>
      <c r="S41" s="38">
        <v>4.2</v>
      </c>
      <c r="T41" s="38">
        <v>167</v>
      </c>
      <c r="U41" s="38">
        <v>106</v>
      </c>
      <c r="V41" s="38">
        <v>160</v>
      </c>
      <c r="W41" s="49">
        <v>7.5</v>
      </c>
      <c r="X41" s="49">
        <v>12.5</v>
      </c>
      <c r="Y41" s="56"/>
      <c r="Z41" s="56"/>
      <c r="AA41" s="52">
        <v>141</v>
      </c>
      <c r="AB41" s="52">
        <v>81</v>
      </c>
      <c r="AC41" s="52">
        <v>60</v>
      </c>
      <c r="AD41" s="52">
        <v>101</v>
      </c>
      <c r="AE41" s="52">
        <v>91</v>
      </c>
      <c r="AF41" s="64">
        <v>7.7</v>
      </c>
      <c r="AG41" s="52">
        <v>9.9</v>
      </c>
      <c r="AH41" s="52">
        <v>127</v>
      </c>
      <c r="AI41" s="52">
        <v>81</v>
      </c>
      <c r="AJ41" s="55">
        <f>2/3*Table48[[#This Row],[COMPLIOR_cDBP]]+1/3*Table48[[#This Row],[COMPLIOR_cSBP]]</f>
        <v>96.333333333333329</v>
      </c>
      <c r="AK41" s="52">
        <f>Table48[[#This Row],[COMPLIOR_cSBP]]-Table48[[#This Row],[COMPLIOR_cDBP]]</f>
        <v>46</v>
      </c>
      <c r="AL41" s="26">
        <v>3</v>
      </c>
      <c r="AM41" s="26">
        <v>3</v>
      </c>
      <c r="AN41" s="26">
        <v>1</v>
      </c>
      <c r="AO41" s="26">
        <v>3</v>
      </c>
      <c r="AP41" s="26">
        <v>3</v>
      </c>
      <c r="AQ41" s="26">
        <v>3</v>
      </c>
      <c r="AR41" s="26">
        <v>2</v>
      </c>
      <c r="AS41" s="26">
        <v>2</v>
      </c>
      <c r="AT41" s="26">
        <v>3</v>
      </c>
      <c r="AU41" s="26">
        <v>3</v>
      </c>
      <c r="AV41" s="26">
        <v>2</v>
      </c>
      <c r="AW41" s="26">
        <v>2</v>
      </c>
      <c r="AX41" s="26">
        <v>3</v>
      </c>
      <c r="AY41" s="26">
        <v>3</v>
      </c>
      <c r="AZ41" s="26">
        <v>3</v>
      </c>
      <c r="BA41" s="26">
        <v>2</v>
      </c>
      <c r="BB41" s="26">
        <v>3</v>
      </c>
      <c r="BC41" s="26">
        <v>2</v>
      </c>
      <c r="BD41" s="26">
        <v>2</v>
      </c>
      <c r="BE41" s="26">
        <v>3</v>
      </c>
      <c r="BF41" s="26">
        <v>3</v>
      </c>
      <c r="BG41" s="26">
        <v>3</v>
      </c>
      <c r="BH41" s="26">
        <v>1</v>
      </c>
      <c r="BI41" s="26">
        <v>1</v>
      </c>
      <c r="BJ41" s="26">
        <v>1</v>
      </c>
      <c r="BK41" s="26">
        <v>3</v>
      </c>
      <c r="BL41" s="26">
        <v>3</v>
      </c>
      <c r="BM41" s="26">
        <v>3</v>
      </c>
      <c r="BN41" s="26">
        <v>3</v>
      </c>
      <c r="BO41" s="26">
        <v>3</v>
      </c>
      <c r="BP41" s="26">
        <v>3</v>
      </c>
      <c r="BQ41" s="26">
        <v>3</v>
      </c>
      <c r="BR41" s="26">
        <v>3</v>
      </c>
      <c r="BS41" s="26">
        <v>2</v>
      </c>
      <c r="BT41" s="26">
        <v>3</v>
      </c>
      <c r="BU41" s="26">
        <v>2</v>
      </c>
      <c r="BV41" s="26">
        <v>3</v>
      </c>
      <c r="BW41" s="26">
        <v>2</v>
      </c>
      <c r="BX41" s="26">
        <v>1</v>
      </c>
      <c r="BY41" s="26">
        <v>3</v>
      </c>
      <c r="BZ41" s="65">
        <v>10</v>
      </c>
      <c r="CA41" s="65">
        <v>3</v>
      </c>
      <c r="CB41" s="65">
        <v>480</v>
      </c>
      <c r="CC41" s="65">
        <v>4</v>
      </c>
      <c r="CD41" s="65">
        <v>480</v>
      </c>
      <c r="CE41" s="65">
        <v>4</v>
      </c>
      <c r="CF41" s="65">
        <v>300</v>
      </c>
      <c r="CG41" s="65">
        <v>3</v>
      </c>
      <c r="CH41" s="65">
        <v>0</v>
      </c>
      <c r="CI41" s="65">
        <v>0</v>
      </c>
      <c r="CJ41" s="65">
        <v>300</v>
      </c>
      <c r="CK41" s="65">
        <v>4</v>
      </c>
      <c r="CL41" s="65">
        <v>600</v>
      </c>
      <c r="CM41" s="65">
        <v>4</v>
      </c>
      <c r="CN41" s="65">
        <v>100</v>
      </c>
      <c r="CO41" s="65">
        <v>4</v>
      </c>
      <c r="CP41" s="69">
        <v>0</v>
      </c>
      <c r="CQ41" s="65">
        <v>0</v>
      </c>
      <c r="CR41" s="65">
        <v>0</v>
      </c>
      <c r="CS41" s="65">
        <v>0</v>
      </c>
      <c r="CT41" s="65">
        <v>600</v>
      </c>
      <c r="CU41" s="65">
        <v>4</v>
      </c>
      <c r="CV41" s="65">
        <v>420</v>
      </c>
      <c r="CW41" s="65">
        <v>300</v>
      </c>
      <c r="CX41" s="95">
        <v>0.56000000000000005</v>
      </c>
      <c r="CY41" s="95">
        <v>0.42</v>
      </c>
      <c r="CZ41" s="95">
        <v>0.48</v>
      </c>
      <c r="DA41" s="96">
        <f>Table48[[#This Row],[IMT_AVG_D]]/0.001</f>
        <v>480</v>
      </c>
      <c r="DB41" s="95">
        <v>0.03</v>
      </c>
      <c r="DC41" s="95">
        <v>142</v>
      </c>
      <c r="DD41" s="95">
        <v>10</v>
      </c>
    </row>
    <row r="42" spans="1:108" ht="28" customHeight="1">
      <c r="A42" s="18" t="s">
        <v>19</v>
      </c>
      <c r="B42" s="18" t="s">
        <v>125</v>
      </c>
      <c r="C42" s="87" t="s">
        <v>128</v>
      </c>
      <c r="D42" s="85" t="s">
        <v>32</v>
      </c>
      <c r="E42" s="87" t="s">
        <v>123</v>
      </c>
      <c r="F42" s="36">
        <v>25</v>
      </c>
      <c r="G42" s="44">
        <v>1</v>
      </c>
      <c r="H42" s="10" t="s">
        <v>0</v>
      </c>
      <c r="I42" s="8">
        <f>IF(Table48[[#This Row],[WEIGHT]]="","",Table48[[#This Row],[WEIGHT]]/((Table48[[#This Row],[HEIGHT]])^2))</f>
        <v>20.321402483564643</v>
      </c>
      <c r="J42" s="1">
        <v>0.82</v>
      </c>
      <c r="K42" s="1">
        <v>69.55</v>
      </c>
      <c r="L42" s="1">
        <v>1.85</v>
      </c>
      <c r="M42" s="1">
        <v>16.37</v>
      </c>
      <c r="N42" s="1">
        <v>3.95</v>
      </c>
      <c r="O42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180.5</v>
      </c>
      <c r="P42" s="1">
        <v>1952.0241103000001</v>
      </c>
      <c r="Q42">
        <v>1.1000000000000001</v>
      </c>
      <c r="R42">
        <v>28.07</v>
      </c>
      <c r="S42">
        <v>8</v>
      </c>
      <c r="T42">
        <v>140</v>
      </c>
      <c r="U42">
        <v>129</v>
      </c>
      <c r="V42">
        <v>143</v>
      </c>
      <c r="W42" s="1">
        <v>22.1</v>
      </c>
      <c r="X42" s="1">
        <v>27.5</v>
      </c>
      <c r="Y42" s="56">
        <v>10</v>
      </c>
      <c r="Z42" s="56">
        <v>22</v>
      </c>
      <c r="AA42" s="39">
        <v>118</v>
      </c>
      <c r="AB42" s="39">
        <v>76</v>
      </c>
      <c r="AC42" s="39">
        <v>42</v>
      </c>
      <c r="AD42" s="39">
        <v>90</v>
      </c>
      <c r="AE42" s="39">
        <v>75</v>
      </c>
      <c r="AF42" s="39">
        <v>6.1</v>
      </c>
      <c r="AG42" s="39">
        <v>7.6</v>
      </c>
      <c r="AH42" s="39">
        <v>114</v>
      </c>
      <c r="AI42" s="39">
        <v>76</v>
      </c>
      <c r="AJ42" s="55">
        <f>2/3*Table48[[#This Row],[COMPLIOR_cDBP]]+1/3*Table48[[#This Row],[COMPLIOR_cSBP]]</f>
        <v>88.666666666666657</v>
      </c>
      <c r="AK42" s="39">
        <f>Table48[[#This Row],[COMPLIOR_cSBP]]-Table48[[#This Row],[COMPLIOR_cDBP]]</f>
        <v>38</v>
      </c>
      <c r="AL42" s="17">
        <v>3</v>
      </c>
      <c r="AM42" s="17">
        <v>2</v>
      </c>
      <c r="AN42" s="17">
        <v>2</v>
      </c>
      <c r="AO42" s="17">
        <v>3</v>
      </c>
      <c r="AP42" s="17">
        <v>3</v>
      </c>
      <c r="AQ42" s="17">
        <v>2</v>
      </c>
      <c r="AR42" s="17">
        <v>3</v>
      </c>
      <c r="AS42" s="17">
        <v>2</v>
      </c>
      <c r="AT42" s="17">
        <v>3</v>
      </c>
      <c r="AU42" s="17">
        <v>3</v>
      </c>
      <c r="AV42" s="17">
        <v>1</v>
      </c>
      <c r="AW42" s="17">
        <v>2</v>
      </c>
      <c r="AX42" s="17">
        <v>3</v>
      </c>
      <c r="AY42" s="17">
        <v>2</v>
      </c>
      <c r="AZ42" s="17">
        <v>3</v>
      </c>
      <c r="BA42" s="17">
        <v>2</v>
      </c>
      <c r="BB42" s="17">
        <v>3</v>
      </c>
      <c r="BC42" s="17">
        <v>1</v>
      </c>
      <c r="BD42" s="17">
        <v>2</v>
      </c>
      <c r="BE42" s="17">
        <v>3</v>
      </c>
      <c r="BF42" s="17">
        <v>3</v>
      </c>
      <c r="BG42" s="17">
        <v>3</v>
      </c>
      <c r="BH42" s="17">
        <v>3</v>
      </c>
      <c r="BI42" s="17">
        <v>3</v>
      </c>
      <c r="BJ42" s="17">
        <v>3</v>
      </c>
      <c r="BK42" s="17">
        <v>3</v>
      </c>
      <c r="BL42" s="17">
        <v>3</v>
      </c>
      <c r="BM42" s="17">
        <v>3</v>
      </c>
      <c r="BN42" s="17">
        <v>3</v>
      </c>
      <c r="BO42" s="17">
        <v>3</v>
      </c>
      <c r="BP42" s="17">
        <v>3</v>
      </c>
      <c r="BQ42" s="17">
        <v>3</v>
      </c>
      <c r="BR42" s="17">
        <v>3</v>
      </c>
      <c r="BS42" s="17">
        <v>3</v>
      </c>
      <c r="BT42" s="17">
        <v>3</v>
      </c>
      <c r="BU42" s="17">
        <v>3</v>
      </c>
      <c r="BV42" s="17">
        <v>3</v>
      </c>
      <c r="BW42" s="17">
        <v>3</v>
      </c>
      <c r="BX42" s="17">
        <v>1</v>
      </c>
      <c r="BY42" s="17">
        <v>3</v>
      </c>
      <c r="BZ42" s="65">
        <v>20</v>
      </c>
      <c r="CA42" s="65">
        <v>4</v>
      </c>
      <c r="CB42" s="60">
        <v>30</v>
      </c>
      <c r="CC42" s="65">
        <v>0</v>
      </c>
      <c r="CD42" s="65">
        <v>0</v>
      </c>
      <c r="CE42" s="65">
        <v>0</v>
      </c>
      <c r="CF42" s="65">
        <v>20</v>
      </c>
      <c r="CG42" s="65">
        <v>7</v>
      </c>
      <c r="CH42" s="65">
        <v>0</v>
      </c>
      <c r="CI42" s="65">
        <v>0</v>
      </c>
      <c r="CJ42" s="65">
        <v>0</v>
      </c>
      <c r="CK42" s="65">
        <v>0</v>
      </c>
      <c r="CL42" s="65">
        <v>15</v>
      </c>
      <c r="CM42" s="65">
        <v>3</v>
      </c>
      <c r="CN42" s="65">
        <v>15</v>
      </c>
      <c r="CO42" s="65">
        <v>3</v>
      </c>
      <c r="CP42" s="69">
        <v>0</v>
      </c>
      <c r="CQ42" s="65">
        <v>0</v>
      </c>
      <c r="CR42" s="65">
        <v>0</v>
      </c>
      <c r="CS42" s="65">
        <v>0</v>
      </c>
      <c r="CT42" s="65">
        <v>45</v>
      </c>
      <c r="CU42" s="65">
        <v>3</v>
      </c>
      <c r="CV42" s="65">
        <v>360</v>
      </c>
      <c r="CW42" s="65">
        <v>300</v>
      </c>
      <c r="CX42" s="95">
        <v>0.49</v>
      </c>
      <c r="CY42" s="95">
        <v>0.36</v>
      </c>
      <c r="CZ42" s="95">
        <v>0.44</v>
      </c>
      <c r="DA42" s="96">
        <f>Table48[[#This Row],[IMT_AVG_D]]/0.001</f>
        <v>440</v>
      </c>
      <c r="DB42" s="95">
        <v>0.03</v>
      </c>
      <c r="DC42" s="95">
        <v>162</v>
      </c>
      <c r="DD42" s="95">
        <v>10</v>
      </c>
    </row>
    <row r="43" spans="1:108" ht="28" customHeight="1">
      <c r="A43" s="18" t="s">
        <v>22</v>
      </c>
      <c r="B43" s="18" t="s">
        <v>125</v>
      </c>
      <c r="C43" s="87" t="s">
        <v>128</v>
      </c>
      <c r="D43" s="85" t="s">
        <v>31</v>
      </c>
      <c r="E43" s="87" t="s">
        <v>31</v>
      </c>
      <c r="F43" s="36">
        <v>18</v>
      </c>
      <c r="G43" s="89">
        <v>1</v>
      </c>
      <c r="H43" s="10" t="s">
        <v>0</v>
      </c>
      <c r="I43" s="8">
        <f>IF(Table48[[#This Row],[WEIGHT]]="","",Table48[[#This Row],[WEIGHT]]/((Table48[[#This Row],[HEIGHT]])^2))</f>
        <v>21.359892896263538</v>
      </c>
      <c r="J43" s="1">
        <v>0.79</v>
      </c>
      <c r="K43" s="1">
        <v>52.65</v>
      </c>
      <c r="L43" s="1">
        <v>1.57</v>
      </c>
      <c r="M43" s="1">
        <v>18.63</v>
      </c>
      <c r="N43" s="1">
        <v>2.73</v>
      </c>
      <c r="O43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168.92</v>
      </c>
      <c r="P43" s="1">
        <v>1334.0389735000001</v>
      </c>
      <c r="Q43">
        <v>0.97</v>
      </c>
      <c r="R43">
        <v>25.34</v>
      </c>
      <c r="S43">
        <v>7.2</v>
      </c>
      <c r="T43">
        <v>103</v>
      </c>
      <c r="U43">
        <v>93</v>
      </c>
      <c r="V43">
        <v>113</v>
      </c>
      <c r="W43" s="1">
        <v>10.9</v>
      </c>
      <c r="X43" s="1">
        <v>25.5</v>
      </c>
      <c r="Y43" s="56">
        <v>14</v>
      </c>
      <c r="Z43" s="56">
        <v>16</v>
      </c>
      <c r="AA43" s="39">
        <v>107</v>
      </c>
      <c r="AB43" s="39">
        <v>60</v>
      </c>
      <c r="AC43" s="39">
        <v>47</v>
      </c>
      <c r="AD43" s="39">
        <v>76</v>
      </c>
      <c r="AE43" s="39">
        <v>62</v>
      </c>
      <c r="AF43" s="39">
        <v>6.1</v>
      </c>
      <c r="AG43" s="39">
        <v>6.1</v>
      </c>
      <c r="AH43" s="39">
        <v>120</v>
      </c>
      <c r="AI43" s="39">
        <v>60</v>
      </c>
      <c r="AJ43" s="55">
        <f>2/3*Table48[[#This Row],[COMPLIOR_cDBP]]+1/3*Table48[[#This Row],[COMPLIOR_cSBP]]</f>
        <v>80</v>
      </c>
      <c r="AK43" s="39">
        <f>Table48[[#This Row],[COMPLIOR_cSBP]]-Table48[[#This Row],[COMPLIOR_cDBP]]</f>
        <v>60</v>
      </c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9"/>
      <c r="CQ43" s="65"/>
      <c r="CR43" s="65"/>
      <c r="CS43" s="65"/>
      <c r="CT43" s="65"/>
      <c r="CU43" s="65"/>
      <c r="CV43" s="65"/>
      <c r="CW43" s="65"/>
      <c r="CX43" s="95">
        <v>0.49</v>
      </c>
      <c r="CY43" s="95">
        <v>0.35</v>
      </c>
      <c r="CZ43" s="95">
        <v>0.41</v>
      </c>
      <c r="DA43" s="96">
        <f>Table48[[#This Row],[IMT_AVG_D]]/0.001</f>
        <v>409.99999999999994</v>
      </c>
      <c r="DB43" s="95">
        <v>0.04</v>
      </c>
      <c r="DC43" s="95">
        <v>142</v>
      </c>
      <c r="DD43" s="95">
        <v>10</v>
      </c>
    </row>
    <row r="44" spans="1:108" ht="28" customHeight="1">
      <c r="A44" s="10" t="s">
        <v>17</v>
      </c>
      <c r="B44" s="82" t="s">
        <v>131</v>
      </c>
      <c r="C44" s="87" t="s">
        <v>128</v>
      </c>
      <c r="D44" s="85" t="s">
        <v>32</v>
      </c>
      <c r="E44" s="85" t="s">
        <v>122</v>
      </c>
      <c r="F44" s="36">
        <v>21</v>
      </c>
      <c r="G44" s="44">
        <v>0</v>
      </c>
      <c r="H44" s="10" t="s">
        <v>0</v>
      </c>
      <c r="I44" s="8">
        <f>IF(Table48[[#This Row],[WEIGHT]]="","",Table48[[#This Row],[WEIGHT]]/((Table48[[#This Row],[HEIGHT]])^2))</f>
        <v>24.326198969480778</v>
      </c>
      <c r="J44" s="1">
        <v>0.94</v>
      </c>
      <c r="K44" s="1">
        <v>73.650000000000006</v>
      </c>
      <c r="L44" s="1">
        <v>1.74</v>
      </c>
      <c r="M44" s="1">
        <v>15.35</v>
      </c>
      <c r="N44" s="1">
        <v>8.9700000000000006</v>
      </c>
      <c r="O44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182.74</v>
      </c>
      <c r="P44" s="1">
        <v>1157.8611831999999</v>
      </c>
      <c r="Q44">
        <v>0.9</v>
      </c>
      <c r="R44">
        <v>15.89</v>
      </c>
      <c r="S44">
        <v>4.5</v>
      </c>
      <c r="T44">
        <v>137</v>
      </c>
      <c r="U44">
        <v>134</v>
      </c>
      <c r="V44">
        <v>130</v>
      </c>
      <c r="W44" s="1">
        <v>13.3</v>
      </c>
      <c r="X44" s="1">
        <v>11.6</v>
      </c>
      <c r="Y44" s="56"/>
      <c r="Z44" s="56"/>
      <c r="AA44" s="39">
        <v>123</v>
      </c>
      <c r="AB44" s="39">
        <v>82</v>
      </c>
      <c r="AC44" s="39">
        <v>41</v>
      </c>
      <c r="AD44" s="39">
        <v>96</v>
      </c>
      <c r="AE44" s="39">
        <v>76</v>
      </c>
      <c r="AF44" s="39">
        <v>6.1</v>
      </c>
      <c r="AG44" s="39">
        <v>8</v>
      </c>
      <c r="AH44" s="39">
        <v>135</v>
      </c>
      <c r="AI44" s="39">
        <v>82</v>
      </c>
      <c r="AJ44" s="55">
        <f>2/3*Table48[[#This Row],[COMPLIOR_cDBP]]+1/3*Table48[[#This Row],[COMPLIOR_cSBP]]</f>
        <v>99.666666666666657</v>
      </c>
      <c r="AK44" s="39">
        <f>Table48[[#This Row],[COMPLIOR_cSBP]]-Table48[[#This Row],[COMPLIOR_cDBP]]</f>
        <v>53</v>
      </c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9"/>
      <c r="CQ44" s="65"/>
      <c r="CR44" s="65"/>
      <c r="CS44" s="65"/>
      <c r="CT44" s="65"/>
      <c r="CU44" s="65"/>
      <c r="CV44" s="65"/>
      <c r="CW44" s="65"/>
      <c r="CX44" s="95">
        <v>0.56000000000000005</v>
      </c>
      <c r="CY44" s="95">
        <v>0.37</v>
      </c>
      <c r="CZ44" s="95">
        <v>0.47</v>
      </c>
      <c r="DA44" s="96">
        <f>Table48[[#This Row],[IMT_AVG_D]]/0.001</f>
        <v>469.99999999999994</v>
      </c>
      <c r="DB44" s="95">
        <v>0.04</v>
      </c>
      <c r="DC44" s="95">
        <v>160</v>
      </c>
      <c r="DD44" s="95">
        <v>10</v>
      </c>
    </row>
    <row r="45" spans="1:108" ht="28" customHeight="1">
      <c r="A45" s="18" t="s">
        <v>29</v>
      </c>
      <c r="B45" s="82" t="s">
        <v>131</v>
      </c>
      <c r="C45" s="87" t="s">
        <v>128</v>
      </c>
      <c r="D45" s="85" t="s">
        <v>31</v>
      </c>
      <c r="E45" s="87" t="s">
        <v>31</v>
      </c>
      <c r="F45" s="36">
        <v>22</v>
      </c>
      <c r="G45" s="26">
        <v>1</v>
      </c>
      <c r="H45" s="10" t="s">
        <v>0</v>
      </c>
      <c r="I45" s="25">
        <f>IF(Table48[[#This Row],[WEIGHT]]="","",Table48[[#This Row],[WEIGHT]]/((Table48[[#This Row],[HEIGHT]])^2))</f>
        <v>20.609355349101381</v>
      </c>
      <c r="J45" s="1">
        <v>0.72</v>
      </c>
      <c r="K45" s="1">
        <v>50.8</v>
      </c>
      <c r="L45" s="1">
        <v>1.57</v>
      </c>
      <c r="M45" s="1">
        <v>18.309999999999999</v>
      </c>
      <c r="N45" s="1">
        <v>2.2999999999999998</v>
      </c>
      <c r="O45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166.68</v>
      </c>
      <c r="P45" s="1">
        <v>1183.3386095000001</v>
      </c>
      <c r="Q45">
        <v>0.99</v>
      </c>
      <c r="R45">
        <v>23.29</v>
      </c>
      <c r="S45">
        <v>6.7</v>
      </c>
      <c r="T45">
        <v>134</v>
      </c>
      <c r="U45">
        <v>107</v>
      </c>
      <c r="V45">
        <v>137</v>
      </c>
      <c r="W45" s="1">
        <v>11.3</v>
      </c>
      <c r="X45" s="1">
        <v>26.3</v>
      </c>
      <c r="Y45" s="56">
        <v>20</v>
      </c>
      <c r="Z45" s="56">
        <v>20</v>
      </c>
      <c r="AA45" s="53">
        <v>111</v>
      </c>
      <c r="AB45" s="53">
        <v>65</v>
      </c>
      <c r="AC45" s="53">
        <v>46</v>
      </c>
      <c r="AD45" s="53">
        <v>80</v>
      </c>
      <c r="AE45" s="53">
        <v>78</v>
      </c>
      <c r="AF45" s="53">
        <v>5.2</v>
      </c>
      <c r="AG45" s="53">
        <v>6.1</v>
      </c>
      <c r="AH45" s="53">
        <v>114</v>
      </c>
      <c r="AI45" s="53">
        <v>65</v>
      </c>
      <c r="AJ45" s="55">
        <f>2/3*Table48[[#This Row],[COMPLIOR_cDBP]]+1/3*Table48[[#This Row],[COMPLIOR_cSBP]]</f>
        <v>81.333333333333329</v>
      </c>
      <c r="AK45" s="53">
        <f>Table48[[#This Row],[COMPLIOR_cSBP]]-Table48[[#This Row],[COMPLIOR_cDBP]]</f>
        <v>49</v>
      </c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9"/>
      <c r="CQ45" s="65"/>
      <c r="CR45" s="65"/>
      <c r="CS45" s="65"/>
      <c r="CT45" s="65"/>
      <c r="CU45" s="65"/>
      <c r="CV45" s="65"/>
      <c r="CW45" s="65"/>
      <c r="CX45" s="95">
        <v>0.56999999999999995</v>
      </c>
      <c r="CY45" s="95">
        <v>0.47</v>
      </c>
      <c r="CZ45" s="95">
        <v>0.52</v>
      </c>
      <c r="DA45" s="96">
        <f>Table48[[#This Row],[IMT_AVG_D]]/0.001</f>
        <v>520</v>
      </c>
      <c r="DB45" s="95">
        <v>0.03</v>
      </c>
      <c r="DC45" s="95">
        <v>207</v>
      </c>
      <c r="DD45" s="95">
        <v>10</v>
      </c>
    </row>
    <row r="46" spans="1:108" ht="28" customHeight="1">
      <c r="A46" s="10" t="s">
        <v>15</v>
      </c>
      <c r="B46" s="82" t="s">
        <v>131</v>
      </c>
      <c r="C46" s="87" t="s">
        <v>128</v>
      </c>
      <c r="D46" s="85" t="s">
        <v>31</v>
      </c>
      <c r="E46" s="85" t="s">
        <v>31</v>
      </c>
      <c r="F46" s="36">
        <v>46</v>
      </c>
      <c r="G46" s="17">
        <v>1</v>
      </c>
      <c r="H46" s="10" t="s">
        <v>0</v>
      </c>
      <c r="I46" s="8">
        <f>IF(Table48[[#This Row],[WEIGHT]]="","",Table48[[#This Row],[WEIGHT]]/((Table48[[#This Row],[HEIGHT]])^2))</f>
        <v>25.118544149686016</v>
      </c>
      <c r="J46" s="1">
        <v>0.8</v>
      </c>
      <c r="K46" s="1">
        <v>58.8</v>
      </c>
      <c r="L46" s="1">
        <v>1.53</v>
      </c>
      <c r="M46" s="1">
        <v>18.059999999999999</v>
      </c>
      <c r="N46" s="1">
        <v>7.05</v>
      </c>
      <c r="O46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153.24</v>
      </c>
      <c r="P46" s="1">
        <v>981.78918950000002</v>
      </c>
      <c r="Q46">
        <v>0.88</v>
      </c>
      <c r="R46">
        <v>16.7</v>
      </c>
      <c r="S46">
        <v>4.8</v>
      </c>
      <c r="T46">
        <v>103</v>
      </c>
      <c r="U46">
        <v>80</v>
      </c>
      <c r="V46">
        <v>94</v>
      </c>
      <c r="W46" s="1">
        <v>9</v>
      </c>
      <c r="X46" s="1">
        <v>16</v>
      </c>
      <c r="Y46" s="29">
        <v>21</v>
      </c>
      <c r="Z46" s="29">
        <v>22</v>
      </c>
      <c r="AA46" s="39">
        <v>116</v>
      </c>
      <c r="AB46" s="39">
        <v>71</v>
      </c>
      <c r="AC46" s="39">
        <v>45</v>
      </c>
      <c r="AD46" s="39">
        <v>86</v>
      </c>
      <c r="AE46" s="39">
        <v>70</v>
      </c>
      <c r="AF46" s="39">
        <v>4.5999999999999996</v>
      </c>
      <c r="AG46" s="39">
        <v>6.3</v>
      </c>
      <c r="AH46" s="39">
        <v>111</v>
      </c>
      <c r="AI46" s="39">
        <v>71</v>
      </c>
      <c r="AJ46" s="55">
        <f>2/3*Table48[[#This Row],[COMPLIOR_cDBP]]+1/3*Table48[[#This Row],[COMPLIOR_cSBP]]</f>
        <v>84.333333333333329</v>
      </c>
      <c r="AK46" s="39">
        <f>Table48[[#This Row],[COMPLIOR_cSBP]]-Table48[[#This Row],[COMPLIOR_cDBP]]</f>
        <v>40</v>
      </c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9"/>
      <c r="CQ46" s="65"/>
      <c r="CR46" s="65"/>
      <c r="CS46" s="65"/>
      <c r="CT46" s="65"/>
      <c r="CU46" s="65"/>
      <c r="CV46" s="65"/>
      <c r="CW46" s="65"/>
      <c r="CX46" s="95">
        <v>0.91</v>
      </c>
      <c r="CY46" s="95">
        <v>0.56000000000000005</v>
      </c>
      <c r="CZ46" s="95">
        <v>0.75</v>
      </c>
      <c r="DA46" s="96">
        <f>Table48[[#This Row],[IMT_AVG_D]]/0.001</f>
        <v>750</v>
      </c>
      <c r="DB46" s="95">
        <v>0.09</v>
      </c>
      <c r="DC46" s="95">
        <v>142</v>
      </c>
      <c r="DD46" s="95">
        <v>10</v>
      </c>
    </row>
    <row r="47" spans="1:108" ht="28" customHeight="1">
      <c r="A47" s="10" t="s">
        <v>16</v>
      </c>
      <c r="B47" s="82" t="s">
        <v>131</v>
      </c>
      <c r="C47" s="87" t="s">
        <v>128</v>
      </c>
      <c r="D47" s="85" t="s">
        <v>31</v>
      </c>
      <c r="E47" s="85" t="s">
        <v>31</v>
      </c>
      <c r="F47" s="36">
        <v>47</v>
      </c>
      <c r="G47" s="44">
        <v>1</v>
      </c>
      <c r="H47" s="10" t="s">
        <v>0</v>
      </c>
      <c r="I47" s="8">
        <f>IF(Table48[[#This Row],[WEIGHT]]="","",Table48[[#This Row],[WEIGHT]]/((Table48[[#This Row],[HEIGHT]])^2))</f>
        <v>26.63835923730171</v>
      </c>
      <c r="J47" s="1">
        <v>1.02</v>
      </c>
      <c r="K47" s="1">
        <v>66.5</v>
      </c>
      <c r="L47" s="1">
        <v>1.58</v>
      </c>
      <c r="M47" s="1">
        <v>17.78</v>
      </c>
      <c r="N47" s="1">
        <v>8.86</v>
      </c>
      <c r="O47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152.68</v>
      </c>
      <c r="P47" s="1">
        <v>1036.3115680999999</v>
      </c>
      <c r="Q47">
        <v>1.1399999999999999</v>
      </c>
      <c r="R47">
        <v>15.58</v>
      </c>
      <c r="S47">
        <v>4.5</v>
      </c>
      <c r="T47">
        <v>116</v>
      </c>
      <c r="U47">
        <v>106</v>
      </c>
      <c r="V47">
        <v>109</v>
      </c>
      <c r="W47" s="1">
        <v>10.9</v>
      </c>
      <c r="X47" s="1">
        <v>14.9</v>
      </c>
      <c r="Y47" s="56">
        <v>14</v>
      </c>
      <c r="Z47" s="56">
        <v>14</v>
      </c>
      <c r="AA47" s="51">
        <v>105</v>
      </c>
      <c r="AB47" s="51">
        <v>68</v>
      </c>
      <c r="AC47" s="51">
        <v>37</v>
      </c>
      <c r="AD47" s="51">
        <v>80</v>
      </c>
      <c r="AE47" s="51">
        <v>52</v>
      </c>
      <c r="AF47" s="51">
        <v>7.2</v>
      </c>
      <c r="AG47" s="51">
        <v>8.1999999999999993</v>
      </c>
      <c r="AH47" s="51">
        <v>103</v>
      </c>
      <c r="AI47" s="51">
        <v>68</v>
      </c>
      <c r="AJ47" s="55">
        <f>2/3*Table48[[#This Row],[COMPLIOR_cDBP]]+1/3*Table48[[#This Row],[COMPLIOR_cSBP]]</f>
        <v>79.666666666666657</v>
      </c>
      <c r="AK47" s="51">
        <f>Table48[[#This Row],[COMPLIOR_cSBP]]-Table48[[#This Row],[COMPLIOR_cDBP]]</f>
        <v>35</v>
      </c>
      <c r="AL47" s="17">
        <v>3</v>
      </c>
      <c r="AM47" s="17">
        <v>1</v>
      </c>
      <c r="AN47" s="17">
        <v>1</v>
      </c>
      <c r="AO47" s="17">
        <v>1</v>
      </c>
      <c r="AP47" s="17">
        <v>2</v>
      </c>
      <c r="AQ47" s="17">
        <v>2</v>
      </c>
      <c r="AR47" s="17">
        <v>2</v>
      </c>
      <c r="AS47" s="17">
        <v>2</v>
      </c>
      <c r="AT47" s="17">
        <v>3</v>
      </c>
      <c r="AU47" s="17">
        <v>2</v>
      </c>
      <c r="AV47" s="17">
        <v>2</v>
      </c>
      <c r="AW47" s="17">
        <v>2</v>
      </c>
      <c r="AX47" s="17">
        <v>3</v>
      </c>
      <c r="AY47" s="17">
        <v>3</v>
      </c>
      <c r="AZ47" s="17">
        <v>3</v>
      </c>
      <c r="BA47" s="17">
        <v>2</v>
      </c>
      <c r="BB47" s="17">
        <v>2</v>
      </c>
      <c r="BC47" s="17">
        <v>1</v>
      </c>
      <c r="BD47" s="17">
        <v>2</v>
      </c>
      <c r="BE47" s="17">
        <v>2</v>
      </c>
      <c r="BF47" s="17">
        <v>3</v>
      </c>
      <c r="BG47" s="17">
        <v>1</v>
      </c>
      <c r="BH47" s="17">
        <v>1</v>
      </c>
      <c r="BI47" s="17">
        <v>1</v>
      </c>
      <c r="BJ47" s="17">
        <v>1</v>
      </c>
      <c r="BK47" s="17">
        <v>3</v>
      </c>
      <c r="BL47" s="17">
        <v>3</v>
      </c>
      <c r="BM47" s="17">
        <v>3</v>
      </c>
      <c r="BN47" s="17">
        <v>3</v>
      </c>
      <c r="BO47" s="17">
        <v>3</v>
      </c>
      <c r="BP47" s="17">
        <v>3</v>
      </c>
      <c r="BQ47" s="17">
        <v>2</v>
      </c>
      <c r="BR47" s="17">
        <v>3</v>
      </c>
      <c r="BS47" s="17">
        <v>3</v>
      </c>
      <c r="BT47" s="17">
        <v>3</v>
      </c>
      <c r="BU47" s="17">
        <v>2</v>
      </c>
      <c r="BV47" s="17">
        <v>1</v>
      </c>
      <c r="BW47" s="17">
        <v>2</v>
      </c>
      <c r="BX47" s="17">
        <v>1</v>
      </c>
      <c r="BY47" s="17">
        <v>1</v>
      </c>
      <c r="BZ47" s="65">
        <v>0</v>
      </c>
      <c r="CA47" s="65">
        <v>0</v>
      </c>
      <c r="CB47" s="65">
        <v>0</v>
      </c>
      <c r="CC47" s="65">
        <v>0</v>
      </c>
      <c r="CD47" s="65">
        <v>0</v>
      </c>
      <c r="CE47" s="65">
        <v>0</v>
      </c>
      <c r="CF47" s="65">
        <v>45</v>
      </c>
      <c r="CG47" s="65">
        <v>7</v>
      </c>
      <c r="CH47" s="65">
        <v>0</v>
      </c>
      <c r="CI47" s="65">
        <v>0</v>
      </c>
      <c r="CJ47" s="65">
        <v>0</v>
      </c>
      <c r="CK47" s="65">
        <v>0</v>
      </c>
      <c r="CL47" s="67">
        <v>10</v>
      </c>
      <c r="CM47" s="65">
        <v>5</v>
      </c>
      <c r="CN47" s="65">
        <v>120</v>
      </c>
      <c r="CO47" s="65">
        <v>7</v>
      </c>
      <c r="CP47" s="69">
        <v>30</v>
      </c>
      <c r="CQ47" s="65">
        <v>7</v>
      </c>
      <c r="CR47" s="65">
        <v>0</v>
      </c>
      <c r="CS47" s="65">
        <v>0</v>
      </c>
      <c r="CT47" s="65">
        <v>0</v>
      </c>
      <c r="CU47" s="65">
        <v>0</v>
      </c>
      <c r="CV47" s="65">
        <v>180</v>
      </c>
      <c r="CW47" s="65">
        <v>180</v>
      </c>
      <c r="CX47" s="95">
        <v>0.79</v>
      </c>
      <c r="CY47" s="95">
        <v>0.67</v>
      </c>
      <c r="CZ47" s="95">
        <v>0.72</v>
      </c>
      <c r="DA47" s="96">
        <f>Table48[[#This Row],[IMT_AVG_D]]/0.001</f>
        <v>720</v>
      </c>
      <c r="DB47" s="95">
        <v>0.05</v>
      </c>
      <c r="DC47" s="95">
        <v>162</v>
      </c>
      <c r="DD47" s="95">
        <v>10</v>
      </c>
    </row>
    <row r="48" spans="1:108" ht="28" customHeight="1">
      <c r="A48" s="11" t="s">
        <v>30</v>
      </c>
      <c r="B48" s="80" t="s">
        <v>125</v>
      </c>
      <c r="C48" s="87" t="s">
        <v>128</v>
      </c>
      <c r="D48" s="86" t="s">
        <v>32</v>
      </c>
      <c r="E48" s="85" t="s">
        <v>122</v>
      </c>
      <c r="F48" s="36">
        <v>15</v>
      </c>
      <c r="G48" s="17">
        <v>1</v>
      </c>
      <c r="H48" s="10" t="s">
        <v>0</v>
      </c>
      <c r="I48" s="8">
        <f>IF(Table48[[#This Row],[WEIGHT]]="","",Table48[[#This Row],[WEIGHT]]/((Table48[[#This Row],[HEIGHT]])^2))</f>
        <v>23.059313215400621</v>
      </c>
      <c r="J48" s="1">
        <v>0.74</v>
      </c>
      <c r="K48" s="1">
        <v>55.4</v>
      </c>
      <c r="L48" s="1">
        <v>1.55</v>
      </c>
      <c r="M48" s="1">
        <v>19.399999999999999</v>
      </c>
      <c r="N48" s="1">
        <v>3.57</v>
      </c>
      <c r="O48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186.1</v>
      </c>
      <c r="P48" s="1">
        <v>2031.6922956999999</v>
      </c>
      <c r="Q48">
        <v>1.1000000000000001</v>
      </c>
      <c r="R48">
        <v>36.67</v>
      </c>
      <c r="S48">
        <v>10.5</v>
      </c>
      <c r="T48">
        <v>159</v>
      </c>
      <c r="U48">
        <v>144</v>
      </c>
      <c r="V48">
        <v>158</v>
      </c>
      <c r="W48" s="1">
        <v>21.9</v>
      </c>
      <c r="X48" s="1">
        <v>30.2</v>
      </c>
      <c r="Y48" s="35">
        <v>22</v>
      </c>
      <c r="Z48" s="35">
        <v>22</v>
      </c>
      <c r="AA48" s="39">
        <v>125</v>
      </c>
      <c r="AB48" s="39">
        <v>83</v>
      </c>
      <c r="AC48" s="39">
        <v>42</v>
      </c>
      <c r="AD48" s="39">
        <v>97</v>
      </c>
      <c r="AE48" s="39">
        <v>93</v>
      </c>
      <c r="AF48" s="39">
        <v>5.3</v>
      </c>
      <c r="AG48" s="51">
        <v>7.4</v>
      </c>
      <c r="AH48" s="39">
        <v>126</v>
      </c>
      <c r="AI48" s="39">
        <v>83</v>
      </c>
      <c r="AJ48" s="55">
        <f>2/3*Table48[[#This Row],[COMPLIOR_cDBP]]+1/3*Table48[[#This Row],[COMPLIOR_cSBP]]</f>
        <v>97.333333333333329</v>
      </c>
      <c r="AK48" s="39">
        <f>Table48[[#This Row],[COMPLIOR_cSBP]]-Table48[[#This Row],[COMPLIOR_cDBP]]</f>
        <v>43</v>
      </c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9"/>
      <c r="CQ48" s="65"/>
      <c r="CR48" s="65"/>
      <c r="CS48" s="65"/>
      <c r="CT48" s="65"/>
      <c r="CU48" s="65"/>
      <c r="CV48" s="65"/>
      <c r="CW48" s="65"/>
      <c r="CX48" s="95">
        <v>0.47</v>
      </c>
      <c r="CY48" s="95">
        <v>0.36</v>
      </c>
      <c r="CZ48" s="95">
        <v>0.42</v>
      </c>
      <c r="DA48" s="96">
        <f>Table48[[#This Row],[IMT_AVG_D]]/0.001</f>
        <v>420</v>
      </c>
      <c r="DB48" s="95">
        <v>0.02</v>
      </c>
      <c r="DC48" s="95">
        <v>191</v>
      </c>
      <c r="DD48" s="95">
        <v>10</v>
      </c>
    </row>
    <row r="49" spans="1:217" ht="28" customHeight="1">
      <c r="A49" s="18" t="s">
        <v>23</v>
      </c>
      <c r="B49" s="18" t="s">
        <v>125</v>
      </c>
      <c r="C49" s="87" t="s">
        <v>128</v>
      </c>
      <c r="D49" s="85" t="s">
        <v>32</v>
      </c>
      <c r="E49" s="85" t="s">
        <v>32</v>
      </c>
      <c r="F49" s="36">
        <v>31</v>
      </c>
      <c r="G49" s="44">
        <v>0</v>
      </c>
      <c r="H49" s="10" t="s">
        <v>0</v>
      </c>
      <c r="I49" s="25">
        <f>IF(Table48[[#This Row],[WEIGHT]]="","",Table48[[#This Row],[WEIGHT]]/((Table48[[#This Row],[HEIGHT]])^2))</f>
        <v>23.780351971485853</v>
      </c>
      <c r="J49" s="1">
        <v>0.76</v>
      </c>
      <c r="K49" s="1">
        <v>42.7</v>
      </c>
      <c r="L49" s="1">
        <v>1.34</v>
      </c>
      <c r="M49" s="1">
        <v>17.37</v>
      </c>
      <c r="N49" s="1">
        <v>6.48</v>
      </c>
      <c r="O49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177.14</v>
      </c>
      <c r="P49" s="1">
        <v>1254.3178737999999</v>
      </c>
      <c r="Q49">
        <v>0.94</v>
      </c>
      <c r="R49" s="1">
        <f>29.38-(29.38*11/100)</f>
        <v>26.148199999999999</v>
      </c>
      <c r="S49">
        <v>8.4</v>
      </c>
      <c r="T49">
        <v>157</v>
      </c>
      <c r="U49" s="26">
        <v>125</v>
      </c>
      <c r="V49" s="26">
        <v>136</v>
      </c>
      <c r="W49" s="107">
        <v>31.2</v>
      </c>
      <c r="X49" s="107">
        <v>27.4</v>
      </c>
      <c r="Y49" s="56">
        <v>12</v>
      </c>
      <c r="Z49" s="56">
        <v>13</v>
      </c>
      <c r="AA49" s="52">
        <v>104</v>
      </c>
      <c r="AB49" s="52">
        <v>78</v>
      </c>
      <c r="AC49" s="52">
        <v>26</v>
      </c>
      <c r="AD49" s="52">
        <v>87</v>
      </c>
      <c r="AE49" s="52">
        <v>52</v>
      </c>
      <c r="AF49" s="52">
        <v>5.8</v>
      </c>
      <c r="AG49" s="50">
        <v>8.5</v>
      </c>
      <c r="AH49" s="59">
        <v>103</v>
      </c>
      <c r="AI49" s="59">
        <v>78</v>
      </c>
      <c r="AJ49" s="55">
        <f>2/3*Table48[[#This Row],[COMPLIOR_cDBP]]+1/3*Table48[[#This Row],[COMPLIOR_cSBP]]</f>
        <v>86.333333333333329</v>
      </c>
      <c r="AK49" s="59">
        <f>Table48[[#This Row],[COMPLIOR_cSBP]]-Table48[[#This Row],[COMPLIOR_cDBP]]</f>
        <v>25</v>
      </c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9"/>
      <c r="CQ49" s="65"/>
      <c r="CR49" s="65"/>
      <c r="CS49" s="65"/>
      <c r="CT49" s="65"/>
      <c r="CU49" s="65"/>
      <c r="CV49" s="65"/>
      <c r="CW49" s="65"/>
      <c r="CX49" s="95">
        <v>0.68</v>
      </c>
      <c r="CY49" s="95">
        <v>0.52</v>
      </c>
      <c r="CZ49" s="95">
        <v>0.61</v>
      </c>
      <c r="DA49" s="96">
        <f>Table48[[#This Row],[IMT_AVG_D]]/0.001</f>
        <v>610</v>
      </c>
      <c r="DB49" s="95">
        <v>0.04</v>
      </c>
      <c r="DC49" s="95">
        <v>190</v>
      </c>
      <c r="DD49" s="95">
        <v>10</v>
      </c>
    </row>
    <row r="50" spans="1:217" ht="28" customHeight="1">
      <c r="A50" s="18" t="s">
        <v>27</v>
      </c>
      <c r="B50" s="82" t="s">
        <v>131</v>
      </c>
      <c r="C50" s="87" t="s">
        <v>129</v>
      </c>
      <c r="D50" s="85" t="s">
        <v>32</v>
      </c>
      <c r="E50" s="87" t="s">
        <v>122</v>
      </c>
      <c r="F50" s="36">
        <v>19</v>
      </c>
      <c r="G50" s="44">
        <v>0</v>
      </c>
      <c r="H50" s="10" t="s">
        <v>0</v>
      </c>
      <c r="I50" s="8">
        <f>IF(Table48[[#This Row],[WEIGHT]]="","",Table48[[#This Row],[WEIGHT]]/((Table48[[#This Row],[HEIGHT]])^2))</f>
        <v>23.409799649707377</v>
      </c>
      <c r="J50" s="1">
        <v>0.75</v>
      </c>
      <c r="K50" s="1">
        <v>54.8</v>
      </c>
      <c r="L50" s="1">
        <v>1.53</v>
      </c>
      <c r="M50" s="1">
        <v>16.260000000000002</v>
      </c>
      <c r="N50" s="1">
        <v>7.15</v>
      </c>
      <c r="O50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183.86</v>
      </c>
      <c r="P50" s="1">
        <v>1646.3291919999999</v>
      </c>
      <c r="Q50">
        <v>1.1299999999999999</v>
      </c>
      <c r="R50">
        <v>30.04</v>
      </c>
      <c r="S50">
        <v>8.6</v>
      </c>
      <c r="T50">
        <v>159</v>
      </c>
      <c r="U50">
        <v>149</v>
      </c>
      <c r="V50">
        <v>159</v>
      </c>
      <c r="W50">
        <v>16.8</v>
      </c>
      <c r="X50">
        <v>30</v>
      </c>
      <c r="Y50" s="31">
        <v>19</v>
      </c>
      <c r="Z50" s="31">
        <v>13</v>
      </c>
      <c r="AA50" s="39">
        <v>122</v>
      </c>
      <c r="AB50" s="39">
        <v>67</v>
      </c>
      <c r="AC50" s="39">
        <v>55</v>
      </c>
      <c r="AD50" s="39">
        <v>85</v>
      </c>
      <c r="AE50" s="39">
        <v>92</v>
      </c>
      <c r="AF50" s="39">
        <v>5</v>
      </c>
      <c r="AG50" s="39">
        <v>6.3</v>
      </c>
      <c r="AH50" s="39">
        <v>122</v>
      </c>
      <c r="AI50" s="39">
        <v>67</v>
      </c>
      <c r="AJ50" s="55">
        <f>2/3*Table48[[#This Row],[COMPLIOR_cDBP]]+1/3*Table48[[#This Row],[COMPLIOR_cSBP]]</f>
        <v>85.333333333333329</v>
      </c>
      <c r="AK50" s="39">
        <f>Table48[[#This Row],[COMPLIOR_cSBP]]-Table48[[#This Row],[COMPLIOR_cDBP]]</f>
        <v>55</v>
      </c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9"/>
      <c r="CQ50" s="65"/>
      <c r="CR50" s="65"/>
      <c r="CS50" s="65"/>
      <c r="CT50" s="65"/>
      <c r="CU50" s="65"/>
      <c r="CV50" s="65"/>
      <c r="CW50" s="65"/>
      <c r="CX50" s="95">
        <v>0.55000000000000004</v>
      </c>
      <c r="CY50" s="95">
        <v>0.49</v>
      </c>
      <c r="CZ50" s="95">
        <v>0.5</v>
      </c>
      <c r="DA50" s="96">
        <f>Table48[[#This Row],[IMT_AVG_D]]/0.001</f>
        <v>500</v>
      </c>
      <c r="DB50" s="95">
        <v>0.03</v>
      </c>
      <c r="DC50" s="95">
        <v>163</v>
      </c>
      <c r="DD50" s="95">
        <v>10</v>
      </c>
    </row>
    <row r="51" spans="1:217" ht="28" customHeight="1">
      <c r="A51" s="11" t="s">
        <v>33</v>
      </c>
      <c r="B51" s="82" t="s">
        <v>131</v>
      </c>
      <c r="C51" s="87" t="s">
        <v>129</v>
      </c>
      <c r="D51" s="86" t="s">
        <v>32</v>
      </c>
      <c r="E51" s="87" t="s">
        <v>32</v>
      </c>
      <c r="F51" s="36">
        <v>17</v>
      </c>
      <c r="G51" s="17">
        <v>0</v>
      </c>
      <c r="H51" s="10" t="s">
        <v>0</v>
      </c>
      <c r="I51" s="25">
        <f>IF(Table48[[#This Row],[WEIGHT]]="","",Table48[[#This Row],[WEIGHT]]/((Table48[[#This Row],[HEIGHT]])^2))</f>
        <v>42.828081717451525</v>
      </c>
      <c r="J51" s="1">
        <v>1.07</v>
      </c>
      <c r="K51" s="1">
        <v>98.95</v>
      </c>
      <c r="L51" s="1">
        <v>1.52</v>
      </c>
      <c r="M51" s="1">
        <v>20.149999999999999</v>
      </c>
      <c r="N51" s="1">
        <v>22.67</v>
      </c>
      <c r="O51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184.98</v>
      </c>
      <c r="P51" s="1">
        <v>1705.1525002999999</v>
      </c>
      <c r="Q51">
        <v>1.02</v>
      </c>
      <c r="R51">
        <v>17.23</v>
      </c>
      <c r="S51">
        <v>4.9000000000000004</v>
      </c>
      <c r="T51">
        <v>162</v>
      </c>
      <c r="U51">
        <v>154</v>
      </c>
      <c r="V51">
        <v>168</v>
      </c>
      <c r="W51">
        <v>13.3</v>
      </c>
      <c r="X51">
        <v>16.600000000000001</v>
      </c>
      <c r="Y51" s="30"/>
      <c r="Z51" s="30">
        <v>22</v>
      </c>
      <c r="AA51" s="52">
        <v>107</v>
      </c>
      <c r="AB51" s="52">
        <v>65</v>
      </c>
      <c r="AC51" s="52">
        <v>42</v>
      </c>
      <c r="AD51" s="52">
        <v>79</v>
      </c>
      <c r="AE51" s="52">
        <v>80</v>
      </c>
      <c r="AF51" s="52">
        <v>4.5999999999999996</v>
      </c>
      <c r="AG51" s="52">
        <v>6</v>
      </c>
      <c r="AH51" s="52">
        <v>111</v>
      </c>
      <c r="AI51" s="52">
        <v>65</v>
      </c>
      <c r="AJ51" s="55">
        <f>2/3*Table48[[#This Row],[COMPLIOR_cDBP]]+1/3*Table48[[#This Row],[COMPLIOR_cSBP]]</f>
        <v>80.333333333333329</v>
      </c>
      <c r="AK51" s="52">
        <f>Table48[[#This Row],[COMPLIOR_cSBP]]-Table48[[#This Row],[COMPLIOR_cDBP]]</f>
        <v>46</v>
      </c>
      <c r="AL51" s="26">
        <v>3</v>
      </c>
      <c r="AM51" s="26">
        <v>3</v>
      </c>
      <c r="AN51" s="26">
        <v>2</v>
      </c>
      <c r="AO51" s="26">
        <v>3</v>
      </c>
      <c r="AP51" s="26">
        <v>3</v>
      </c>
      <c r="AQ51" s="26">
        <v>3</v>
      </c>
      <c r="AR51" s="26">
        <v>3</v>
      </c>
      <c r="AS51" s="26">
        <v>2</v>
      </c>
      <c r="AT51" s="26">
        <v>3</v>
      </c>
      <c r="AU51" s="26">
        <v>3</v>
      </c>
      <c r="AV51" s="26">
        <v>3</v>
      </c>
      <c r="AW51" s="26">
        <v>2</v>
      </c>
      <c r="AX51" s="26">
        <v>3</v>
      </c>
      <c r="AY51" s="26">
        <v>2</v>
      </c>
      <c r="AZ51" s="26">
        <v>3</v>
      </c>
      <c r="BA51" s="26">
        <v>3</v>
      </c>
      <c r="BB51" s="26">
        <v>2</v>
      </c>
      <c r="BC51" s="26">
        <v>3</v>
      </c>
      <c r="BD51" s="26">
        <v>2</v>
      </c>
      <c r="BE51" s="26">
        <v>3</v>
      </c>
      <c r="BF51" s="26">
        <v>3</v>
      </c>
      <c r="BG51" s="26">
        <v>3</v>
      </c>
      <c r="BH51" s="26">
        <v>3</v>
      </c>
      <c r="BI51" s="26">
        <v>3</v>
      </c>
      <c r="BJ51" s="26">
        <v>3</v>
      </c>
      <c r="BK51" s="26">
        <v>3</v>
      </c>
      <c r="BL51" s="26">
        <v>2</v>
      </c>
      <c r="BM51" s="26">
        <v>3</v>
      </c>
      <c r="BN51" s="26">
        <v>3</v>
      </c>
      <c r="BO51" s="26">
        <v>2</v>
      </c>
      <c r="BP51" s="26">
        <v>3</v>
      </c>
      <c r="BQ51" s="26">
        <v>2</v>
      </c>
      <c r="BR51" s="26">
        <v>2</v>
      </c>
      <c r="BS51" s="26">
        <v>2</v>
      </c>
      <c r="BT51" s="26">
        <v>3</v>
      </c>
      <c r="BU51" s="26">
        <v>2</v>
      </c>
      <c r="BV51" s="26">
        <v>3</v>
      </c>
      <c r="BW51" s="26">
        <v>3</v>
      </c>
      <c r="BX51" s="26">
        <v>1</v>
      </c>
      <c r="BY51" s="26">
        <v>2</v>
      </c>
      <c r="BZ51" s="65">
        <v>150</v>
      </c>
      <c r="CA51" s="65">
        <v>5</v>
      </c>
      <c r="CB51" s="65">
        <v>150</v>
      </c>
      <c r="CC51" s="65">
        <v>4</v>
      </c>
      <c r="CD51" s="65">
        <v>0</v>
      </c>
      <c r="CE51" s="67">
        <v>0</v>
      </c>
      <c r="CF51" s="65">
        <v>25</v>
      </c>
      <c r="CG51" s="65">
        <v>7</v>
      </c>
      <c r="CH51" s="65">
        <v>0</v>
      </c>
      <c r="CI51" s="65">
        <v>0</v>
      </c>
      <c r="CJ51" s="65">
        <v>0</v>
      </c>
      <c r="CK51" s="65">
        <v>0</v>
      </c>
      <c r="CL51" s="65">
        <v>0</v>
      </c>
      <c r="CM51" s="65">
        <v>0</v>
      </c>
      <c r="CN51" s="65">
        <v>0</v>
      </c>
      <c r="CO51" s="65">
        <v>0</v>
      </c>
      <c r="CP51" s="69">
        <v>25</v>
      </c>
      <c r="CQ51" s="65">
        <v>4</v>
      </c>
      <c r="CR51" s="65">
        <v>0</v>
      </c>
      <c r="CS51" s="65">
        <v>0</v>
      </c>
      <c r="CT51" s="65">
        <v>0</v>
      </c>
      <c r="CU51" s="65">
        <v>0</v>
      </c>
      <c r="CV51" s="65">
        <v>330</v>
      </c>
      <c r="CW51" s="65">
        <v>330</v>
      </c>
      <c r="CX51" s="95">
        <v>0.55000000000000004</v>
      </c>
      <c r="CY51" s="95">
        <v>0.36</v>
      </c>
      <c r="CZ51" s="95">
        <v>0.49</v>
      </c>
      <c r="DA51" s="96">
        <f>Table48[[#This Row],[IMT_AVG_D]]/0.001</f>
        <v>490</v>
      </c>
      <c r="DB51" s="95">
        <v>0.03</v>
      </c>
      <c r="DC51" s="95">
        <v>158</v>
      </c>
      <c r="DD51" s="95">
        <v>10</v>
      </c>
    </row>
    <row r="52" spans="1:217" ht="28" customHeight="1">
      <c r="A52" s="10" t="s">
        <v>17</v>
      </c>
      <c r="B52" s="82" t="s">
        <v>131</v>
      </c>
      <c r="C52" s="87" t="s">
        <v>129</v>
      </c>
      <c r="D52" s="85" t="s">
        <v>32</v>
      </c>
      <c r="E52" s="85" t="s">
        <v>122</v>
      </c>
      <c r="F52" s="36">
        <v>22</v>
      </c>
      <c r="G52" s="44">
        <v>0</v>
      </c>
      <c r="H52" s="10" t="s">
        <v>0</v>
      </c>
      <c r="I52" s="25">
        <f>IF(Table48[[#This Row],[WEIGHT]]="","",Table48[[#This Row],[WEIGHT]]/((Table48[[#This Row],[HEIGHT]])^2))</f>
        <v>23.69863918615405</v>
      </c>
      <c r="J52" s="1">
        <v>0.78</v>
      </c>
      <c r="K52" s="1">
        <v>71.75</v>
      </c>
      <c r="L52" s="1">
        <v>1.74</v>
      </c>
      <c r="M52" s="1">
        <v>15.12</v>
      </c>
      <c r="N52" s="1">
        <v>8.58</v>
      </c>
      <c r="O52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182.18</v>
      </c>
      <c r="P52" s="1">
        <v>1289.2178122</v>
      </c>
      <c r="Q52">
        <v>0.92</v>
      </c>
      <c r="R52">
        <v>17.97</v>
      </c>
      <c r="S52">
        <v>5.0999999999999996</v>
      </c>
      <c r="T52">
        <v>138</v>
      </c>
      <c r="U52">
        <v>100</v>
      </c>
      <c r="V52">
        <v>134</v>
      </c>
      <c r="W52">
        <v>8.1</v>
      </c>
      <c r="X52">
        <v>18.3</v>
      </c>
      <c r="Y52" s="34">
        <v>12</v>
      </c>
      <c r="Z52" s="34">
        <v>14</v>
      </c>
      <c r="AA52" s="52">
        <v>117</v>
      </c>
      <c r="AB52" s="52">
        <v>79</v>
      </c>
      <c r="AC52" s="52">
        <v>38</v>
      </c>
      <c r="AD52" s="52">
        <v>92</v>
      </c>
      <c r="AE52" s="52">
        <v>75</v>
      </c>
      <c r="AF52" s="52">
        <v>6.2</v>
      </c>
      <c r="AG52" s="52">
        <v>6.6</v>
      </c>
      <c r="AH52" s="52">
        <v>117</v>
      </c>
      <c r="AI52" s="52">
        <v>79</v>
      </c>
      <c r="AJ52" s="55">
        <f>2/3*Table48[[#This Row],[COMPLIOR_cDBP]]+1/3*Table48[[#This Row],[COMPLIOR_cSBP]]</f>
        <v>91.666666666666657</v>
      </c>
      <c r="AK52" s="52">
        <f>Table48[[#This Row],[COMPLIOR_cSBP]]-Table48[[#This Row],[COMPLIOR_cDBP]]</f>
        <v>38</v>
      </c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9"/>
      <c r="CQ52" s="65"/>
      <c r="CR52" s="65"/>
      <c r="CS52" s="65"/>
      <c r="CT52" s="65"/>
      <c r="CU52" s="65"/>
      <c r="CV52" s="65"/>
      <c r="CW52" s="65"/>
      <c r="CX52" s="95">
        <v>0.49</v>
      </c>
      <c r="CY52" s="95">
        <v>0.42</v>
      </c>
      <c r="CZ52" s="95">
        <v>0.46</v>
      </c>
      <c r="DA52" s="96">
        <f>Table48[[#This Row],[IMT_AVG_D]]/0.001</f>
        <v>460</v>
      </c>
      <c r="DB52" s="95">
        <v>0.03</v>
      </c>
      <c r="DC52" s="95">
        <v>142</v>
      </c>
      <c r="DD52" s="95">
        <v>10</v>
      </c>
    </row>
    <row r="53" spans="1:217" ht="28" customHeight="1">
      <c r="A53" s="18" t="s">
        <v>21</v>
      </c>
      <c r="B53" s="82" t="s">
        <v>131</v>
      </c>
      <c r="C53" s="87" t="s">
        <v>129</v>
      </c>
      <c r="D53" s="85" t="s">
        <v>32</v>
      </c>
      <c r="E53" s="87" t="s">
        <v>122</v>
      </c>
      <c r="F53" s="36">
        <v>33</v>
      </c>
      <c r="G53" s="44">
        <v>1</v>
      </c>
      <c r="H53" s="10" t="s">
        <v>0</v>
      </c>
      <c r="I53" s="25">
        <f>IF(Table48[[#This Row],[WEIGHT]]="","",Table48[[#This Row],[WEIGHT]]/((Table48[[#This Row],[HEIGHT]])^2))</f>
        <v>24.493122479910777</v>
      </c>
      <c r="J53" s="1">
        <v>1.01</v>
      </c>
      <c r="K53" s="1">
        <v>85.65</v>
      </c>
      <c r="L53" s="1">
        <v>1.87</v>
      </c>
      <c r="M53" s="1">
        <v>18.690000000000001</v>
      </c>
      <c r="N53" s="1">
        <v>5.81</v>
      </c>
      <c r="O53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176.02</v>
      </c>
      <c r="P53" s="1">
        <v>2255.6755459999999</v>
      </c>
      <c r="Q53">
        <v>1</v>
      </c>
      <c r="R53">
        <v>26.34</v>
      </c>
      <c r="S53">
        <v>7.5</v>
      </c>
      <c r="T53">
        <v>148</v>
      </c>
      <c r="U53">
        <v>125</v>
      </c>
      <c r="V53">
        <v>138</v>
      </c>
      <c r="W53">
        <v>22.3</v>
      </c>
      <c r="X53">
        <v>23.9</v>
      </c>
      <c r="Y53" s="34">
        <v>24</v>
      </c>
      <c r="Z53" s="34">
        <v>28</v>
      </c>
      <c r="AA53" s="52">
        <v>120</v>
      </c>
      <c r="AB53" s="52">
        <v>70</v>
      </c>
      <c r="AC53" s="52">
        <v>50</v>
      </c>
      <c r="AD53" s="52">
        <v>87</v>
      </c>
      <c r="AE53" s="52">
        <v>81</v>
      </c>
      <c r="AF53" s="39">
        <v>7.4</v>
      </c>
      <c r="AG53" s="50">
        <v>8.6999999999999993</v>
      </c>
      <c r="AH53" s="39">
        <v>122</v>
      </c>
      <c r="AI53" s="39">
        <v>70</v>
      </c>
      <c r="AJ53" s="55">
        <f>2/3*Table48[[#This Row],[COMPLIOR_cDBP]]+1/3*Table48[[#This Row],[COMPLIOR_cSBP]]</f>
        <v>87.333333333333329</v>
      </c>
      <c r="AK53" s="39">
        <f>Table48[[#This Row],[COMPLIOR_cSBP]]-Table48[[#This Row],[COMPLIOR_cDBP]]</f>
        <v>52</v>
      </c>
      <c r="AL53" s="26">
        <v>3</v>
      </c>
      <c r="AM53" s="26">
        <v>2</v>
      </c>
      <c r="AN53" s="26">
        <v>1</v>
      </c>
      <c r="AO53" s="26">
        <v>2</v>
      </c>
      <c r="AP53" s="26">
        <v>2</v>
      </c>
      <c r="AQ53" s="26">
        <v>2</v>
      </c>
      <c r="AR53" s="26">
        <v>2</v>
      </c>
      <c r="AS53" s="26">
        <v>2</v>
      </c>
      <c r="AT53" s="26">
        <v>2</v>
      </c>
      <c r="AU53" s="26">
        <v>3</v>
      </c>
      <c r="AV53" s="26">
        <v>2</v>
      </c>
      <c r="AW53" s="26">
        <v>2</v>
      </c>
      <c r="AX53" s="26">
        <v>2</v>
      </c>
      <c r="AY53" s="26">
        <v>2</v>
      </c>
      <c r="AZ53" s="26">
        <v>3</v>
      </c>
      <c r="BA53" s="26">
        <v>3</v>
      </c>
      <c r="BB53" s="26">
        <v>2</v>
      </c>
      <c r="BC53" s="26">
        <v>2</v>
      </c>
      <c r="BD53" s="26">
        <v>1</v>
      </c>
      <c r="BE53" s="26">
        <v>1</v>
      </c>
      <c r="BF53" s="26">
        <v>3</v>
      </c>
      <c r="BG53" s="26">
        <v>1</v>
      </c>
      <c r="BH53" s="26">
        <v>2</v>
      </c>
      <c r="BI53" s="26">
        <v>3</v>
      </c>
      <c r="BJ53" s="26">
        <v>3</v>
      </c>
      <c r="BK53" s="26">
        <v>3</v>
      </c>
      <c r="BL53" s="26">
        <v>2</v>
      </c>
      <c r="BM53" s="26">
        <v>3</v>
      </c>
      <c r="BN53" s="26">
        <v>2</v>
      </c>
      <c r="BO53" s="26">
        <v>3</v>
      </c>
      <c r="BP53" s="26">
        <v>3</v>
      </c>
      <c r="BQ53" s="26">
        <v>3</v>
      </c>
      <c r="BR53" s="26">
        <v>3</v>
      </c>
      <c r="BS53" s="26">
        <v>2</v>
      </c>
      <c r="BT53" s="26">
        <v>3</v>
      </c>
      <c r="BU53" s="26">
        <v>3</v>
      </c>
      <c r="BV53" s="26">
        <v>3</v>
      </c>
      <c r="BW53" s="26">
        <v>2</v>
      </c>
      <c r="BX53" s="26">
        <v>1</v>
      </c>
      <c r="BY53" s="26">
        <v>2</v>
      </c>
      <c r="BZ53" s="65">
        <v>10</v>
      </c>
      <c r="CA53" s="65">
        <v>5</v>
      </c>
      <c r="CB53" s="60">
        <v>20</v>
      </c>
      <c r="CC53" s="65">
        <v>2</v>
      </c>
      <c r="CD53" s="65">
        <v>60</v>
      </c>
      <c r="CE53" s="65">
        <v>2</v>
      </c>
      <c r="CF53" s="65">
        <v>30</v>
      </c>
      <c r="CG53" s="65">
        <v>7</v>
      </c>
      <c r="CH53" s="65">
        <v>0</v>
      </c>
      <c r="CI53" s="65">
        <v>0</v>
      </c>
      <c r="CJ53" s="65">
        <v>45</v>
      </c>
      <c r="CK53" s="65">
        <v>4</v>
      </c>
      <c r="CL53" s="65">
        <v>45</v>
      </c>
      <c r="CM53" s="65">
        <v>4</v>
      </c>
      <c r="CN53" s="65">
        <v>45</v>
      </c>
      <c r="CO53" s="65">
        <v>4</v>
      </c>
      <c r="CP53" s="69">
        <v>20</v>
      </c>
      <c r="CQ53" s="65">
        <v>2</v>
      </c>
      <c r="CR53" s="65">
        <v>45</v>
      </c>
      <c r="CS53" s="65">
        <v>2</v>
      </c>
      <c r="CT53" s="65">
        <v>45</v>
      </c>
      <c r="CU53" s="65">
        <v>2</v>
      </c>
      <c r="CV53" s="65">
        <v>240</v>
      </c>
      <c r="CW53" s="65">
        <v>60</v>
      </c>
      <c r="CX53" s="95">
        <v>0.49</v>
      </c>
      <c r="CY53" s="95">
        <v>0.43</v>
      </c>
      <c r="CZ53" s="95">
        <v>0.45</v>
      </c>
      <c r="DA53" s="96">
        <f>Table48[[#This Row],[IMT_AVG_D]]/0.001</f>
        <v>450</v>
      </c>
      <c r="DB53" s="95">
        <v>0.03</v>
      </c>
      <c r="DC53" s="95">
        <v>178</v>
      </c>
      <c r="DD53" s="95">
        <v>10</v>
      </c>
    </row>
    <row r="54" spans="1:217" ht="28" customHeight="1">
      <c r="A54" s="18" t="s">
        <v>28</v>
      </c>
      <c r="B54" s="18" t="s">
        <v>125</v>
      </c>
      <c r="C54" s="87" t="s">
        <v>129</v>
      </c>
      <c r="D54" s="85" t="s">
        <v>32</v>
      </c>
      <c r="E54" s="85" t="s">
        <v>123</v>
      </c>
      <c r="F54" s="36">
        <v>33</v>
      </c>
      <c r="G54" s="44">
        <v>1</v>
      </c>
      <c r="H54" s="10" t="s">
        <v>0</v>
      </c>
      <c r="I54" s="8">
        <f>IF(Table48[[#This Row],[WEIGHT]]="","",Table48[[#This Row],[WEIGHT]]/((Table48[[#This Row],[HEIGHT]])^2))</f>
        <v>34.910727246334737</v>
      </c>
      <c r="J54" s="1">
        <v>1.21</v>
      </c>
      <c r="K54" s="1">
        <v>96.2</v>
      </c>
      <c r="L54" s="1">
        <v>1.66</v>
      </c>
      <c r="M54" s="1">
        <v>21.17</v>
      </c>
      <c r="N54" s="1">
        <v>13.74</v>
      </c>
      <c r="O54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176.02</v>
      </c>
      <c r="P54" s="1">
        <v>2160.2117506999998</v>
      </c>
      <c r="Q54">
        <v>1.42</v>
      </c>
      <c r="R54">
        <v>22.46</v>
      </c>
      <c r="S54">
        <v>6.4</v>
      </c>
      <c r="T54">
        <v>166</v>
      </c>
      <c r="U54">
        <v>134</v>
      </c>
      <c r="V54">
        <v>151</v>
      </c>
      <c r="W54">
        <v>12.6</v>
      </c>
      <c r="X54">
        <v>17.5</v>
      </c>
      <c r="Y54" s="31">
        <v>20</v>
      </c>
      <c r="Z54" s="31">
        <v>13</v>
      </c>
      <c r="AA54" s="39">
        <v>131</v>
      </c>
      <c r="AB54" s="39">
        <v>78</v>
      </c>
      <c r="AC54" s="39">
        <v>53</v>
      </c>
      <c r="AD54" s="39">
        <v>95</v>
      </c>
      <c r="AE54" s="39">
        <v>89</v>
      </c>
      <c r="AF54" s="39">
        <v>6.8</v>
      </c>
      <c r="AG54" s="39">
        <v>6.4</v>
      </c>
      <c r="AH54" s="39">
        <v>133</v>
      </c>
      <c r="AI54" s="39">
        <v>78</v>
      </c>
      <c r="AJ54" s="55">
        <f>2/3*Table48[[#This Row],[COMPLIOR_cDBP]]+1/3*Table48[[#This Row],[COMPLIOR_cSBP]]</f>
        <v>96.333333333333329</v>
      </c>
      <c r="AK54" s="39">
        <f>Table48[[#This Row],[COMPLIOR_cSBP]]-Table48[[#This Row],[COMPLIOR_cDBP]]</f>
        <v>55</v>
      </c>
      <c r="AL54" s="21">
        <v>3</v>
      </c>
      <c r="AM54" s="21">
        <v>3</v>
      </c>
      <c r="AN54" s="21">
        <v>3</v>
      </c>
      <c r="AO54" s="21">
        <v>3</v>
      </c>
      <c r="AP54" s="21">
        <v>3</v>
      </c>
      <c r="AQ54" s="21">
        <v>3</v>
      </c>
      <c r="AR54" s="21">
        <v>3</v>
      </c>
      <c r="AS54" s="21">
        <v>3</v>
      </c>
      <c r="AT54" s="21">
        <v>3</v>
      </c>
      <c r="AU54" s="21">
        <v>3</v>
      </c>
      <c r="AV54" s="21">
        <v>3</v>
      </c>
      <c r="AW54" s="21">
        <v>3</v>
      </c>
      <c r="AX54" s="21">
        <v>3</v>
      </c>
      <c r="AY54" s="21">
        <v>3</v>
      </c>
      <c r="AZ54" s="21">
        <v>3</v>
      </c>
      <c r="BA54" s="21">
        <v>3</v>
      </c>
      <c r="BB54" s="21">
        <v>3</v>
      </c>
      <c r="BC54" s="21">
        <v>3</v>
      </c>
      <c r="BD54" s="21">
        <v>3</v>
      </c>
      <c r="BE54" s="21">
        <v>3</v>
      </c>
      <c r="BF54" s="21">
        <v>3</v>
      </c>
      <c r="BG54" s="21">
        <v>1</v>
      </c>
      <c r="BH54" s="21">
        <v>3</v>
      </c>
      <c r="BI54" s="21">
        <v>3</v>
      </c>
      <c r="BJ54" s="21">
        <v>3</v>
      </c>
      <c r="BK54" s="21">
        <v>3</v>
      </c>
      <c r="BL54" s="21">
        <v>3</v>
      </c>
      <c r="BM54" s="21">
        <v>3</v>
      </c>
      <c r="BN54" s="21">
        <v>3</v>
      </c>
      <c r="BO54" s="21">
        <v>3</v>
      </c>
      <c r="BP54" s="21">
        <v>3</v>
      </c>
      <c r="BQ54" s="21">
        <v>1</v>
      </c>
      <c r="BR54" s="21">
        <v>3</v>
      </c>
      <c r="BS54" s="21">
        <v>3</v>
      </c>
      <c r="BT54" s="21">
        <v>3</v>
      </c>
      <c r="BU54" s="21">
        <v>3</v>
      </c>
      <c r="BV54" s="21">
        <v>1</v>
      </c>
      <c r="BW54" s="21">
        <v>3</v>
      </c>
      <c r="BX54" s="21">
        <v>1</v>
      </c>
      <c r="BY54" s="21">
        <v>2</v>
      </c>
      <c r="BZ54" s="65">
        <v>30</v>
      </c>
      <c r="CA54" s="65">
        <v>5</v>
      </c>
      <c r="CB54" s="65">
        <v>60</v>
      </c>
      <c r="CC54" s="65">
        <v>5</v>
      </c>
      <c r="CD54" s="65">
        <v>0</v>
      </c>
      <c r="CE54" s="65">
        <v>0</v>
      </c>
      <c r="CF54" s="65">
        <v>30</v>
      </c>
      <c r="CG54" s="65">
        <v>5</v>
      </c>
      <c r="CH54" s="65">
        <v>0</v>
      </c>
      <c r="CI54" s="65">
        <v>0</v>
      </c>
      <c r="CJ54" s="65">
        <v>0</v>
      </c>
      <c r="CK54" s="65">
        <v>0</v>
      </c>
      <c r="CL54" s="65">
        <v>0</v>
      </c>
      <c r="CM54" s="65">
        <v>0</v>
      </c>
      <c r="CN54" s="65">
        <v>30</v>
      </c>
      <c r="CO54" s="65">
        <v>1</v>
      </c>
      <c r="CP54" s="69">
        <v>180</v>
      </c>
      <c r="CQ54" s="65">
        <v>5</v>
      </c>
      <c r="CR54" s="65">
        <v>0</v>
      </c>
      <c r="CS54" s="65">
        <v>0</v>
      </c>
      <c r="CT54" s="65">
        <v>0</v>
      </c>
      <c r="CU54" s="65">
        <v>0</v>
      </c>
      <c r="CV54" s="65">
        <v>60</v>
      </c>
      <c r="CW54" s="65">
        <v>60</v>
      </c>
      <c r="CX54" s="95">
        <v>0.62</v>
      </c>
      <c r="CY54" s="95">
        <v>0.49</v>
      </c>
      <c r="CZ54" s="95">
        <v>0.54</v>
      </c>
      <c r="DA54" s="96">
        <f>Table48[[#This Row],[IMT_AVG_D]]/0.001</f>
        <v>540</v>
      </c>
      <c r="DB54" s="95">
        <v>0.03</v>
      </c>
      <c r="DC54" s="95">
        <v>161</v>
      </c>
      <c r="DD54" s="95">
        <v>10</v>
      </c>
    </row>
    <row r="55" spans="1:217" ht="28" customHeight="1">
      <c r="A55" s="18" t="s">
        <v>23</v>
      </c>
      <c r="B55" s="18" t="s">
        <v>125</v>
      </c>
      <c r="C55" s="87" t="s">
        <v>129</v>
      </c>
      <c r="D55" s="85" t="s">
        <v>32</v>
      </c>
      <c r="E55" s="85" t="s">
        <v>32</v>
      </c>
      <c r="F55" s="36">
        <v>31</v>
      </c>
      <c r="G55" s="44">
        <v>0</v>
      </c>
      <c r="H55" s="10" t="s">
        <v>0</v>
      </c>
      <c r="I55" s="8">
        <f>IF(Table48[[#This Row],[WEIGHT]]="","",Table48[[#This Row],[WEIGHT]]/((Table48[[#This Row],[HEIGHT]])^2))</f>
        <v>24.560035642682109</v>
      </c>
      <c r="J55" s="1">
        <v>0.77</v>
      </c>
      <c r="K55" s="1">
        <v>44.1</v>
      </c>
      <c r="L55" s="1">
        <v>1.34</v>
      </c>
      <c r="M55" s="1">
        <v>16.93</v>
      </c>
      <c r="N55" s="1">
        <v>7.63</v>
      </c>
      <c r="O55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177.14</v>
      </c>
      <c r="P55" s="1">
        <v>1385.637988</v>
      </c>
      <c r="Q55">
        <v>0.95</v>
      </c>
      <c r="R55" s="1">
        <f>31.42-(31.42*11/100)</f>
        <v>27.963800000000003</v>
      </c>
      <c r="S55">
        <v>9</v>
      </c>
      <c r="T55">
        <v>161</v>
      </c>
      <c r="U55">
        <v>138</v>
      </c>
      <c r="V55">
        <v>161</v>
      </c>
      <c r="W55">
        <v>25.4</v>
      </c>
      <c r="X55">
        <v>31.4</v>
      </c>
      <c r="Y55" s="35">
        <v>12</v>
      </c>
      <c r="Z55" s="35">
        <v>12</v>
      </c>
      <c r="AA55" s="58">
        <v>112</v>
      </c>
      <c r="AB55" s="58">
        <v>75</v>
      </c>
      <c r="AC55" s="58">
        <v>37</v>
      </c>
      <c r="AD55" s="58">
        <v>87</v>
      </c>
      <c r="AE55" s="58">
        <v>53</v>
      </c>
      <c r="AF55" s="58">
        <v>5.9</v>
      </c>
      <c r="AG55" s="58">
        <v>7.8</v>
      </c>
      <c r="AH55" s="58">
        <v>106</v>
      </c>
      <c r="AI55" s="58">
        <v>75</v>
      </c>
      <c r="AJ55" s="55">
        <f>2/3*Table48[[#This Row],[COMPLIOR_cDBP]]+1/3*Table48[[#This Row],[COMPLIOR_cSBP]]</f>
        <v>85.333333333333329</v>
      </c>
      <c r="AK55" s="58">
        <f>Table48[[#This Row],[COMPLIOR_cSBP]]-Table48[[#This Row],[COMPLIOR_cDBP]]</f>
        <v>31</v>
      </c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98"/>
      <c r="CA55" s="98"/>
      <c r="CB55" s="98"/>
      <c r="CC55" s="98"/>
      <c r="CD55" s="98"/>
      <c r="CE55" s="98"/>
      <c r="CF55" s="98"/>
      <c r="CG55" s="98"/>
      <c r="CH55" s="65"/>
      <c r="CI55" s="65"/>
      <c r="CJ55" s="65"/>
      <c r="CK55" s="65"/>
      <c r="CL55" s="65"/>
      <c r="CM55" s="65"/>
      <c r="CN55" s="65"/>
      <c r="CO55" s="65"/>
      <c r="CP55" s="69"/>
      <c r="CQ55" s="65"/>
      <c r="CR55" s="65"/>
      <c r="CS55" s="65"/>
      <c r="CT55" s="65"/>
      <c r="CU55" s="65"/>
      <c r="CV55" s="65"/>
      <c r="CW55" s="65"/>
      <c r="CX55" s="95">
        <v>0.68</v>
      </c>
      <c r="CY55" s="95">
        <v>0.57999999999999996</v>
      </c>
      <c r="CZ55" s="95">
        <v>0.61</v>
      </c>
      <c r="DA55" s="96">
        <f>Table48[[#This Row],[IMT_AVG_D]]/0.001</f>
        <v>610</v>
      </c>
      <c r="DB55" s="95">
        <v>0.04</v>
      </c>
      <c r="DC55" s="95">
        <v>190</v>
      </c>
      <c r="DD55" s="95">
        <v>10</v>
      </c>
    </row>
    <row r="56" spans="1:217" ht="28" customHeight="1">
      <c r="A56" s="18" t="s">
        <v>20</v>
      </c>
      <c r="B56" s="18" t="s">
        <v>125</v>
      </c>
      <c r="C56" s="87" t="s">
        <v>129</v>
      </c>
      <c r="D56" s="85" t="s">
        <v>31</v>
      </c>
      <c r="E56" s="85" t="s">
        <v>31</v>
      </c>
      <c r="F56" s="36">
        <v>24</v>
      </c>
      <c r="G56" s="44">
        <v>1</v>
      </c>
      <c r="H56" s="10" t="s">
        <v>0</v>
      </c>
      <c r="I56" s="8">
        <f>IF(Table48[[#This Row],[WEIGHT]]="","",Table48[[#This Row],[WEIGHT]]/((Table48[[#This Row],[HEIGHT]])^2))</f>
        <v>28.895217752462319</v>
      </c>
      <c r="J56" s="1">
        <v>0.97</v>
      </c>
      <c r="K56" s="1">
        <v>73.05</v>
      </c>
      <c r="L56" s="1">
        <v>1.59</v>
      </c>
      <c r="M56" s="1">
        <v>21.57</v>
      </c>
      <c r="N56" s="1">
        <v>7.32</v>
      </c>
      <c r="O56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165.56</v>
      </c>
      <c r="P56" s="1">
        <v>2133.0483715999999</v>
      </c>
      <c r="Q56">
        <v>1.03</v>
      </c>
      <c r="R56">
        <v>29.5</v>
      </c>
      <c r="S56">
        <v>8.4</v>
      </c>
      <c r="T56">
        <v>139</v>
      </c>
      <c r="U56">
        <v>110</v>
      </c>
      <c r="V56">
        <v>128</v>
      </c>
      <c r="W56">
        <v>18.100000000000001</v>
      </c>
      <c r="X56">
        <v>24.8</v>
      </c>
      <c r="Y56" s="28">
        <v>32</v>
      </c>
      <c r="Z56" s="28">
        <v>29</v>
      </c>
      <c r="AA56" s="50">
        <v>130</v>
      </c>
      <c r="AB56" s="50">
        <v>71</v>
      </c>
      <c r="AC56" s="50">
        <v>59</v>
      </c>
      <c r="AD56" s="50">
        <v>90</v>
      </c>
      <c r="AE56" s="50">
        <v>59</v>
      </c>
      <c r="AF56" s="50">
        <v>6</v>
      </c>
      <c r="AG56" s="50">
        <v>7.5</v>
      </c>
      <c r="AH56" s="50">
        <v>191</v>
      </c>
      <c r="AI56" s="50">
        <v>71</v>
      </c>
      <c r="AJ56" s="55">
        <f>2/3*Table48[[#This Row],[COMPLIOR_cDBP]]+1/3*Table48[[#This Row],[COMPLIOR_cSBP]]</f>
        <v>111</v>
      </c>
      <c r="AK56" s="50">
        <f>Table48[[#This Row],[COMPLIOR_cSBP]]-Table48[[#This Row],[COMPLIOR_cDBP]]</f>
        <v>120</v>
      </c>
      <c r="AL56" s="17">
        <v>3</v>
      </c>
      <c r="AM56" s="17">
        <v>3</v>
      </c>
      <c r="AN56" s="17">
        <v>1</v>
      </c>
      <c r="AO56" s="17">
        <v>3</v>
      </c>
      <c r="AP56" s="17">
        <v>3</v>
      </c>
      <c r="AQ56" s="17">
        <v>3</v>
      </c>
      <c r="AR56" s="17">
        <v>3</v>
      </c>
      <c r="AS56" s="17">
        <v>2</v>
      </c>
      <c r="AT56" s="17">
        <v>3</v>
      </c>
      <c r="AU56" s="17">
        <v>3</v>
      </c>
      <c r="AV56" s="17">
        <v>2</v>
      </c>
      <c r="AW56" s="17">
        <v>2</v>
      </c>
      <c r="AX56" s="17">
        <v>3</v>
      </c>
      <c r="AY56" s="17">
        <v>2</v>
      </c>
      <c r="AZ56" s="17">
        <v>3</v>
      </c>
      <c r="BA56" s="17">
        <v>2</v>
      </c>
      <c r="BB56" s="17">
        <v>2</v>
      </c>
      <c r="BC56" s="17">
        <v>1</v>
      </c>
      <c r="BD56" s="17">
        <v>2</v>
      </c>
      <c r="BE56" s="17">
        <v>2</v>
      </c>
      <c r="BF56" s="17">
        <v>3</v>
      </c>
      <c r="BG56" s="17">
        <v>3</v>
      </c>
      <c r="BH56" s="17">
        <v>1</v>
      </c>
      <c r="BI56" s="17">
        <v>3</v>
      </c>
      <c r="BJ56" s="17">
        <v>3</v>
      </c>
      <c r="BK56" s="17">
        <v>3</v>
      </c>
      <c r="BL56" s="17">
        <v>3</v>
      </c>
      <c r="BM56" s="17">
        <v>3</v>
      </c>
      <c r="BN56" s="17">
        <v>3</v>
      </c>
      <c r="BO56" s="17">
        <v>3</v>
      </c>
      <c r="BP56" s="17">
        <v>3</v>
      </c>
      <c r="BQ56" s="17">
        <v>3</v>
      </c>
      <c r="BR56" s="17">
        <v>3</v>
      </c>
      <c r="BS56" s="17">
        <v>3</v>
      </c>
      <c r="BT56" s="17">
        <v>3</v>
      </c>
      <c r="BU56" s="17">
        <v>3</v>
      </c>
      <c r="BV56" s="17">
        <v>3</v>
      </c>
      <c r="BW56" s="17">
        <v>2</v>
      </c>
      <c r="BX56" s="17">
        <v>3</v>
      </c>
      <c r="BY56" s="17">
        <v>2</v>
      </c>
      <c r="BZ56" s="65">
        <v>30</v>
      </c>
      <c r="CA56" s="65">
        <v>5</v>
      </c>
      <c r="CB56" s="60">
        <v>0</v>
      </c>
      <c r="CC56" s="65">
        <v>5</v>
      </c>
      <c r="CD56" s="65">
        <v>0</v>
      </c>
      <c r="CE56" s="65">
        <v>0</v>
      </c>
      <c r="CF56" s="65">
        <v>60</v>
      </c>
      <c r="CG56" s="65">
        <v>5</v>
      </c>
      <c r="CH56" s="65">
        <v>0</v>
      </c>
      <c r="CI56" s="65">
        <v>0</v>
      </c>
      <c r="CJ56" s="65">
        <v>0</v>
      </c>
      <c r="CK56" s="65">
        <v>0</v>
      </c>
      <c r="CL56" s="65">
        <v>0</v>
      </c>
      <c r="CM56" s="65">
        <v>0</v>
      </c>
      <c r="CN56" s="65">
        <v>0</v>
      </c>
      <c r="CO56" s="65">
        <v>0</v>
      </c>
      <c r="CP56" s="69">
        <v>60</v>
      </c>
      <c r="CQ56" s="65">
        <v>5</v>
      </c>
      <c r="CR56" s="65">
        <v>120</v>
      </c>
      <c r="CS56" s="65">
        <v>2</v>
      </c>
      <c r="CT56" s="65">
        <v>120</v>
      </c>
      <c r="CU56" s="65">
        <v>2</v>
      </c>
      <c r="CV56" s="65">
        <v>120</v>
      </c>
      <c r="CW56" s="65">
        <v>240</v>
      </c>
      <c r="CX56" s="95">
        <v>0.56000000000000005</v>
      </c>
      <c r="CY56" s="95">
        <v>0.42</v>
      </c>
      <c r="CZ56" s="95">
        <v>0.44</v>
      </c>
      <c r="DA56" s="96">
        <f>Table48[[#This Row],[IMT_AVG_D]]/0.001</f>
        <v>440</v>
      </c>
      <c r="DB56" s="95">
        <v>0.03</v>
      </c>
      <c r="DC56" s="95">
        <v>142</v>
      </c>
      <c r="DD56" s="95">
        <v>10</v>
      </c>
    </row>
    <row r="57" spans="1:217" ht="28" customHeight="1">
      <c r="A57" s="18" t="s">
        <v>25</v>
      </c>
      <c r="B57" s="18" t="s">
        <v>125</v>
      </c>
      <c r="C57" s="87" t="s">
        <v>129</v>
      </c>
      <c r="D57" s="85" t="s">
        <v>32</v>
      </c>
      <c r="E57" s="87" t="s">
        <v>32</v>
      </c>
      <c r="F57" s="36">
        <v>37</v>
      </c>
      <c r="G57" s="44">
        <v>1</v>
      </c>
      <c r="H57" s="10" t="s">
        <v>0</v>
      </c>
      <c r="I57" s="8">
        <f>IF(Table48[[#This Row],[WEIGHT]]="","",Table48[[#This Row],[WEIGHT]]/((Table48[[#This Row],[HEIGHT]])^2))</f>
        <v>28.461330448891296</v>
      </c>
      <c r="J57" s="1">
        <v>1.0900000000000001</v>
      </c>
      <c r="K57" s="1">
        <v>84.2</v>
      </c>
      <c r="L57" s="1">
        <v>1.72</v>
      </c>
      <c r="M57" s="1">
        <v>17.55</v>
      </c>
      <c r="N57" s="1">
        <v>10.91</v>
      </c>
      <c r="O57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173.78</v>
      </c>
      <c r="P57" s="1">
        <v>1634.3869376</v>
      </c>
      <c r="Q57">
        <v>1.28</v>
      </c>
      <c r="R57">
        <v>19.41</v>
      </c>
      <c r="S57">
        <v>5.5</v>
      </c>
      <c r="T57">
        <v>148</v>
      </c>
      <c r="U57">
        <v>114</v>
      </c>
      <c r="V57">
        <v>144</v>
      </c>
      <c r="W57">
        <v>7.2</v>
      </c>
      <c r="X57">
        <v>15.9</v>
      </c>
      <c r="Y57" s="31">
        <v>10</v>
      </c>
      <c r="Z57" s="31">
        <v>12</v>
      </c>
      <c r="AA57" s="39">
        <v>112</v>
      </c>
      <c r="AB57" s="39">
        <v>74</v>
      </c>
      <c r="AC57" s="39">
        <v>38</v>
      </c>
      <c r="AD57" s="39">
        <v>87</v>
      </c>
      <c r="AE57" s="39">
        <v>80</v>
      </c>
      <c r="AF57" s="39">
        <v>7.3</v>
      </c>
      <c r="AG57" s="39">
        <v>9.3000000000000007</v>
      </c>
      <c r="AH57" s="39">
        <v>107</v>
      </c>
      <c r="AI57" s="39">
        <v>74</v>
      </c>
      <c r="AJ57" s="55">
        <f>2/3*Table48[[#This Row],[COMPLIOR_cDBP]]+1/3*Table48[[#This Row],[COMPLIOR_cSBP]]</f>
        <v>85</v>
      </c>
      <c r="AK57" s="39">
        <f>Table48[[#This Row],[COMPLIOR_cSBP]]-Table48[[#This Row],[COMPLIOR_cDBP]]</f>
        <v>33</v>
      </c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9"/>
      <c r="CQ57" s="65"/>
      <c r="CR57" s="65"/>
      <c r="CS57" s="65"/>
      <c r="CT57" s="65"/>
      <c r="CU57" s="65"/>
      <c r="CV57" s="65"/>
      <c r="CW57" s="65"/>
      <c r="CX57" s="95">
        <v>0.55000000000000004</v>
      </c>
      <c r="CY57" s="95">
        <v>0.43</v>
      </c>
      <c r="CZ57" s="95">
        <v>0.49</v>
      </c>
      <c r="DA57" s="96">
        <f>Table48[[#This Row],[IMT_AVG_D]]/0.001</f>
        <v>490</v>
      </c>
      <c r="DB57" s="95">
        <v>0.05</v>
      </c>
      <c r="DC57" s="95">
        <v>162</v>
      </c>
      <c r="DD57" s="95">
        <v>10</v>
      </c>
    </row>
    <row r="58" spans="1:217" ht="28" customHeight="1">
      <c r="A58" s="18" t="s">
        <v>19</v>
      </c>
      <c r="B58" s="18" t="s">
        <v>125</v>
      </c>
      <c r="C58" s="87" t="s">
        <v>129</v>
      </c>
      <c r="D58" s="85" t="s">
        <v>32</v>
      </c>
      <c r="E58" s="87" t="s">
        <v>123</v>
      </c>
      <c r="F58" s="36">
        <v>25</v>
      </c>
      <c r="G58" s="44">
        <v>1</v>
      </c>
      <c r="H58" s="10" t="s">
        <v>0</v>
      </c>
      <c r="I58" s="8">
        <f>IF(Table48[[#This Row],[WEIGHT]]="","",Table48[[#This Row],[WEIGHT]]/((Table48[[#This Row],[HEIGHT]])^2))</f>
        <v>20.409057706355</v>
      </c>
      <c r="J58" s="1">
        <v>0.83</v>
      </c>
      <c r="K58" s="1">
        <v>69.849999999999994</v>
      </c>
      <c r="L58" s="1">
        <v>1.85</v>
      </c>
      <c r="M58" s="1">
        <v>16.440000000000001</v>
      </c>
      <c r="N58" s="1">
        <v>3.97</v>
      </c>
      <c r="O58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180.5</v>
      </c>
      <c r="P58" s="1">
        <v>2076.1883635999998</v>
      </c>
      <c r="Q58">
        <v>1.05</v>
      </c>
      <c r="R58">
        <v>29.72</v>
      </c>
      <c r="S58">
        <v>8.5</v>
      </c>
      <c r="T58">
        <v>144</v>
      </c>
      <c r="U58">
        <v>124</v>
      </c>
      <c r="V58">
        <v>139</v>
      </c>
      <c r="W58">
        <v>17.2</v>
      </c>
      <c r="X58">
        <v>23.5</v>
      </c>
      <c r="Y58" s="28">
        <v>12</v>
      </c>
      <c r="Z58" s="28">
        <v>18</v>
      </c>
      <c r="AA58" s="50">
        <v>101</v>
      </c>
      <c r="AB58" s="50">
        <v>58</v>
      </c>
      <c r="AC58" s="50">
        <v>43</v>
      </c>
      <c r="AD58" s="50">
        <v>72</v>
      </c>
      <c r="AE58" s="50">
        <v>69</v>
      </c>
      <c r="AF58" s="50">
        <v>6.2</v>
      </c>
      <c r="AG58" s="50">
        <v>7.2</v>
      </c>
      <c r="AH58" s="50">
        <v>96</v>
      </c>
      <c r="AI58" s="50">
        <v>58</v>
      </c>
      <c r="AJ58" s="55">
        <f>2/3*Table48[[#This Row],[COMPLIOR_cDBP]]+1/3*Table48[[#This Row],[COMPLIOR_cSBP]]</f>
        <v>70.666666666666657</v>
      </c>
      <c r="AK58" s="50">
        <f>Table48[[#This Row],[COMPLIOR_cSBP]]-Table48[[#This Row],[COMPLIOR_cDBP]]</f>
        <v>38</v>
      </c>
      <c r="AL58" s="17">
        <v>3</v>
      </c>
      <c r="AM58" s="17">
        <v>3</v>
      </c>
      <c r="AN58" s="17">
        <v>3</v>
      </c>
      <c r="AO58" s="17">
        <v>3</v>
      </c>
      <c r="AP58" s="17">
        <v>3</v>
      </c>
      <c r="AQ58" s="17">
        <v>2</v>
      </c>
      <c r="AR58" s="17">
        <v>3</v>
      </c>
      <c r="AS58" s="17">
        <v>2</v>
      </c>
      <c r="AT58" s="17">
        <v>3</v>
      </c>
      <c r="AU58" s="17">
        <v>3</v>
      </c>
      <c r="AV58" s="17">
        <v>1</v>
      </c>
      <c r="AW58" s="17">
        <v>1</v>
      </c>
      <c r="AX58" s="17">
        <v>3</v>
      </c>
      <c r="AY58" s="17">
        <v>2</v>
      </c>
      <c r="AZ58" s="17">
        <v>3</v>
      </c>
      <c r="BA58" s="17">
        <v>3</v>
      </c>
      <c r="BB58" s="17">
        <v>3</v>
      </c>
      <c r="BC58" s="17">
        <v>1</v>
      </c>
      <c r="BD58" s="17">
        <v>2</v>
      </c>
      <c r="BE58" s="17">
        <v>3</v>
      </c>
      <c r="BF58" s="17">
        <v>3</v>
      </c>
      <c r="BG58" s="17">
        <v>3</v>
      </c>
      <c r="BH58" s="17">
        <v>3</v>
      </c>
      <c r="BI58" s="17">
        <v>3</v>
      </c>
      <c r="BJ58" s="17">
        <v>3</v>
      </c>
      <c r="BK58" s="17">
        <v>3</v>
      </c>
      <c r="BL58" s="17">
        <v>3</v>
      </c>
      <c r="BM58" s="17">
        <v>3</v>
      </c>
      <c r="BN58" s="17">
        <v>3</v>
      </c>
      <c r="BO58" s="17">
        <v>3</v>
      </c>
      <c r="BP58" s="17">
        <v>3</v>
      </c>
      <c r="BQ58" s="17">
        <v>3</v>
      </c>
      <c r="BR58" s="17">
        <v>3</v>
      </c>
      <c r="BS58" s="17">
        <v>3</v>
      </c>
      <c r="BT58" s="17">
        <v>3</v>
      </c>
      <c r="BU58" s="17">
        <v>3</v>
      </c>
      <c r="BV58" s="17">
        <v>3</v>
      </c>
      <c r="BW58" s="17">
        <v>2</v>
      </c>
      <c r="BX58" s="17">
        <v>1</v>
      </c>
      <c r="BY58" s="17">
        <v>3</v>
      </c>
      <c r="BZ58" s="65">
        <v>0</v>
      </c>
      <c r="CA58" s="65">
        <v>0</v>
      </c>
      <c r="CB58" s="60">
        <v>0</v>
      </c>
      <c r="CC58" s="65">
        <v>0</v>
      </c>
      <c r="CD58" s="65">
        <v>0</v>
      </c>
      <c r="CE58" s="65">
        <v>0</v>
      </c>
      <c r="CF58" s="65">
        <v>30</v>
      </c>
      <c r="CG58" s="65">
        <v>5</v>
      </c>
      <c r="CH58" s="65">
        <v>0</v>
      </c>
      <c r="CI58" s="65">
        <v>0</v>
      </c>
      <c r="CJ58" s="65">
        <v>0</v>
      </c>
      <c r="CK58" s="65">
        <v>0</v>
      </c>
      <c r="CL58" s="65">
        <v>0</v>
      </c>
      <c r="CM58" s="65">
        <v>0</v>
      </c>
      <c r="CN58" s="65">
        <v>15</v>
      </c>
      <c r="CO58" s="65">
        <v>2</v>
      </c>
      <c r="CP58" s="69">
        <v>20</v>
      </c>
      <c r="CQ58" s="65">
        <v>7</v>
      </c>
      <c r="CR58" s="65">
        <v>0</v>
      </c>
      <c r="CS58" s="65">
        <v>0</v>
      </c>
      <c r="CT58" s="65">
        <v>60</v>
      </c>
      <c r="CU58" s="65">
        <v>2</v>
      </c>
      <c r="CV58" s="65">
        <v>300</v>
      </c>
      <c r="CW58" s="65">
        <v>360</v>
      </c>
      <c r="CX58" s="95">
        <v>0.44</v>
      </c>
      <c r="CY58" s="95">
        <v>0.35</v>
      </c>
      <c r="CZ58" s="95">
        <v>0.4</v>
      </c>
      <c r="DA58" s="96">
        <f>Table48[[#This Row],[IMT_AVG_D]]/0.001</f>
        <v>400</v>
      </c>
      <c r="DB58" s="95">
        <v>0.02</v>
      </c>
      <c r="DC58" s="95">
        <v>227</v>
      </c>
      <c r="DD58" s="95">
        <v>10</v>
      </c>
    </row>
    <row r="59" spans="1:217" ht="28" customHeight="1">
      <c r="A59" s="18" t="s">
        <v>22</v>
      </c>
      <c r="B59" s="18" t="s">
        <v>125</v>
      </c>
      <c r="C59" s="87" t="s">
        <v>129</v>
      </c>
      <c r="D59" s="85" t="s">
        <v>31</v>
      </c>
      <c r="E59" s="87" t="s">
        <v>31</v>
      </c>
      <c r="F59" s="36">
        <v>18</v>
      </c>
      <c r="G59" s="89">
        <v>1</v>
      </c>
      <c r="H59" s="10" t="s">
        <v>0</v>
      </c>
      <c r="I59" s="8">
        <f>IF(Table48[[#This Row],[WEIGHT]]="","",Table48[[#This Row],[WEIGHT]]/((Table48[[#This Row],[HEIGHT]])^2))</f>
        <v>21.684449673414743</v>
      </c>
      <c r="J59" s="1">
        <v>0.79</v>
      </c>
      <c r="K59" s="1">
        <v>53.45</v>
      </c>
      <c r="L59" s="1">
        <v>1.57</v>
      </c>
      <c r="M59" s="1">
        <v>19.5</v>
      </c>
      <c r="N59" s="1">
        <v>2.19</v>
      </c>
      <c r="O59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168.92</v>
      </c>
      <c r="P59" s="1">
        <v>1050.6726510999999</v>
      </c>
      <c r="Q59">
        <v>0.93</v>
      </c>
      <c r="R59">
        <v>21</v>
      </c>
      <c r="S59">
        <v>5.6</v>
      </c>
      <c r="T59">
        <v>109</v>
      </c>
      <c r="U59">
        <v>96</v>
      </c>
      <c r="V59">
        <v>103</v>
      </c>
      <c r="W59">
        <v>9.6999999999999993</v>
      </c>
      <c r="X59">
        <v>18.399999999999999</v>
      </c>
      <c r="Y59" s="28">
        <v>10</v>
      </c>
      <c r="Z59" s="28">
        <v>9</v>
      </c>
      <c r="AA59" s="50">
        <v>106</v>
      </c>
      <c r="AB59" s="50">
        <v>62</v>
      </c>
      <c r="AC59" s="50">
        <v>44</v>
      </c>
      <c r="AD59" s="50">
        <v>77</v>
      </c>
      <c r="AE59" s="50">
        <v>61</v>
      </c>
      <c r="AF59" s="50">
        <v>4.7</v>
      </c>
      <c r="AG59" s="50">
        <v>6.3</v>
      </c>
      <c r="AH59" s="50">
        <v>135</v>
      </c>
      <c r="AI59" s="50">
        <v>62</v>
      </c>
      <c r="AJ59" s="55">
        <f>2/3*Table48[[#This Row],[COMPLIOR_cDBP]]+1/3*Table48[[#This Row],[COMPLIOR_cSBP]]</f>
        <v>86.333333333333329</v>
      </c>
      <c r="AK59" s="50">
        <f>Table48[[#This Row],[COMPLIOR_cSBP]]-Table48[[#This Row],[COMPLIOR_cDBP]]</f>
        <v>73</v>
      </c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9"/>
      <c r="CQ59" s="65"/>
      <c r="CR59" s="65"/>
      <c r="CS59" s="65"/>
      <c r="CT59" s="65"/>
      <c r="CU59" s="65"/>
      <c r="CV59" s="65"/>
      <c r="CW59" s="65"/>
      <c r="CX59" s="95">
        <v>0.42</v>
      </c>
      <c r="CY59" s="95">
        <v>0.35</v>
      </c>
      <c r="CZ59" s="95">
        <v>0.39</v>
      </c>
      <c r="DA59" s="96">
        <f>Table48[[#This Row],[IMT_AVG_D]]/0.001</f>
        <v>390</v>
      </c>
      <c r="DB59" s="95">
        <v>0.03</v>
      </c>
      <c r="DC59" s="95">
        <v>142</v>
      </c>
      <c r="DD59" s="95">
        <v>10</v>
      </c>
    </row>
    <row r="60" spans="1:217" ht="28" customHeight="1">
      <c r="A60" s="18" t="s">
        <v>29</v>
      </c>
      <c r="B60" s="82" t="s">
        <v>131</v>
      </c>
      <c r="C60" s="87" t="s">
        <v>129</v>
      </c>
      <c r="D60" s="85" t="s">
        <v>31</v>
      </c>
      <c r="E60" s="87" t="s">
        <v>31</v>
      </c>
      <c r="F60" s="36">
        <v>22</v>
      </c>
      <c r="G60" s="26">
        <v>1</v>
      </c>
      <c r="H60" s="10" t="s">
        <v>0</v>
      </c>
      <c r="I60" s="8">
        <f>IF(Table48[[#This Row],[WEIGHT]]="","",Table48[[#This Row],[WEIGHT]]/((Table48[[#This Row],[HEIGHT]])^2))</f>
        <v>19.513976226216073</v>
      </c>
      <c r="J60" s="1">
        <v>0.69</v>
      </c>
      <c r="K60" s="1">
        <v>48.1</v>
      </c>
      <c r="L60" s="1">
        <v>1.57</v>
      </c>
      <c r="M60" s="1">
        <v>17.46</v>
      </c>
      <c r="N60" s="1">
        <v>2.0499999999999998</v>
      </c>
      <c r="O60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166.68</v>
      </c>
      <c r="P60" s="1">
        <v>1319.0717348000001</v>
      </c>
      <c r="Q60">
        <v>0.99</v>
      </c>
      <c r="R60">
        <v>27.42</v>
      </c>
      <c r="S60">
        <v>7.8</v>
      </c>
      <c r="T60">
        <v>150</v>
      </c>
      <c r="U60">
        <v>135</v>
      </c>
      <c r="V60">
        <v>146</v>
      </c>
      <c r="W60">
        <v>19.5</v>
      </c>
      <c r="X60">
        <v>23.6</v>
      </c>
      <c r="Y60" s="31">
        <v>30</v>
      </c>
      <c r="Z60" s="31">
        <v>28</v>
      </c>
      <c r="AA60" s="39">
        <v>114</v>
      </c>
      <c r="AB60" s="39">
        <v>63</v>
      </c>
      <c r="AC60" s="39">
        <v>51</v>
      </c>
      <c r="AD60" s="39">
        <v>80</v>
      </c>
      <c r="AE60" s="39">
        <v>75</v>
      </c>
      <c r="AF60" s="39">
        <v>6</v>
      </c>
      <c r="AG60" s="39">
        <v>6.9</v>
      </c>
      <c r="AH60" s="39">
        <v>119</v>
      </c>
      <c r="AI60" s="39">
        <v>63</v>
      </c>
      <c r="AJ60" s="55">
        <f>2/3*Table48[[#This Row],[COMPLIOR_cDBP]]+1/3*Table48[[#This Row],[COMPLIOR_cSBP]]</f>
        <v>81.666666666666657</v>
      </c>
      <c r="AK60" s="39">
        <f>Table48[[#This Row],[COMPLIOR_cSBP]]-Table48[[#This Row],[COMPLIOR_cDBP]]</f>
        <v>56</v>
      </c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9"/>
      <c r="CQ60" s="65"/>
      <c r="CR60" s="65"/>
      <c r="CS60" s="65"/>
      <c r="CT60" s="65"/>
      <c r="CU60" s="65"/>
      <c r="CV60" s="65"/>
      <c r="CW60" s="65"/>
      <c r="CX60" s="95">
        <v>0.67</v>
      </c>
      <c r="CY60" s="95">
        <v>0.49</v>
      </c>
      <c r="CZ60" s="95">
        <v>0.59</v>
      </c>
      <c r="DA60" s="96">
        <f>Table48[[#This Row],[IMT_AVG_D]]/0.001</f>
        <v>590</v>
      </c>
      <c r="DB60" s="95">
        <v>0.04</v>
      </c>
      <c r="DC60" s="95">
        <v>182</v>
      </c>
      <c r="DD60" s="95">
        <v>10</v>
      </c>
    </row>
    <row r="61" spans="1:217" s="22" customFormat="1" ht="28" customHeight="1">
      <c r="A61" s="10" t="s">
        <v>15</v>
      </c>
      <c r="B61" s="82" t="s">
        <v>131</v>
      </c>
      <c r="C61" s="87" t="s">
        <v>129</v>
      </c>
      <c r="D61" s="85" t="s">
        <v>31</v>
      </c>
      <c r="E61" s="85" t="s">
        <v>31</v>
      </c>
      <c r="F61" s="36">
        <v>46</v>
      </c>
      <c r="G61" s="17">
        <v>1</v>
      </c>
      <c r="H61" s="10" t="s">
        <v>0</v>
      </c>
      <c r="I61" s="25">
        <f>IF(Table48[[#This Row],[WEIGHT]]="","",Table48[[#This Row],[WEIGHT]]/((Table48[[#This Row],[HEIGHT]])^2))</f>
        <v>24.819513862189758</v>
      </c>
      <c r="J61" s="1">
        <v>0.84</v>
      </c>
      <c r="K61" s="1">
        <v>58.1</v>
      </c>
      <c r="L61" s="1">
        <v>1.53</v>
      </c>
      <c r="M61" s="1">
        <v>18.260000000000002</v>
      </c>
      <c r="N61" s="1">
        <v>6.56</v>
      </c>
      <c r="O61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153.24</v>
      </c>
      <c r="P61" s="1">
        <v>970.88222289999999</v>
      </c>
      <c r="Q61">
        <v>0.8</v>
      </c>
      <c r="R61">
        <v>16.71</v>
      </c>
      <c r="S61">
        <v>4.8</v>
      </c>
      <c r="T61">
        <v>97</v>
      </c>
      <c r="U61">
        <v>93</v>
      </c>
      <c r="V61">
        <v>94</v>
      </c>
      <c r="W61">
        <v>10.7</v>
      </c>
      <c r="X61">
        <v>16.5</v>
      </c>
      <c r="Y61" s="32">
        <v>16</v>
      </c>
      <c r="Z61" s="32">
        <v>14</v>
      </c>
      <c r="AA61" s="52">
        <v>122</v>
      </c>
      <c r="AB61" s="52">
        <v>70</v>
      </c>
      <c r="AC61" s="52">
        <v>52</v>
      </c>
      <c r="AD61" s="52">
        <v>87</v>
      </c>
      <c r="AE61" s="52">
        <v>73</v>
      </c>
      <c r="AF61" s="52">
        <v>4.8</v>
      </c>
      <c r="AG61" s="52">
        <v>5.7</v>
      </c>
      <c r="AH61" s="52">
        <v>111</v>
      </c>
      <c r="AI61" s="52">
        <v>70</v>
      </c>
      <c r="AJ61" s="55">
        <f>2/3*Table48[[#This Row],[COMPLIOR_cDBP]]+1/3*Table48[[#This Row],[COMPLIOR_cSBP]]</f>
        <v>83.666666666666657</v>
      </c>
      <c r="AK61" s="52">
        <f>Table48[[#This Row],[COMPLIOR_cSBP]]-Table48[[#This Row],[COMPLIOR_cDBP]]</f>
        <v>41</v>
      </c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9"/>
      <c r="CQ61" s="65"/>
      <c r="CR61" s="65"/>
      <c r="CS61" s="65"/>
      <c r="CT61" s="65"/>
      <c r="CU61" s="65"/>
      <c r="CV61" s="65"/>
      <c r="CW61" s="65"/>
      <c r="CX61" s="95">
        <v>0.94</v>
      </c>
      <c r="CY61" s="95">
        <v>0.71</v>
      </c>
      <c r="CZ61" s="95">
        <v>0.78</v>
      </c>
      <c r="DA61" s="96">
        <f>Table48[[#This Row],[IMT_AVG_D]]/0.001</f>
        <v>780</v>
      </c>
      <c r="DB61" s="95">
        <v>0.05</v>
      </c>
      <c r="DC61" s="95">
        <v>125</v>
      </c>
      <c r="DD61" s="95">
        <v>10</v>
      </c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</row>
    <row r="62" spans="1:217" ht="28" customHeight="1">
      <c r="A62" s="10" t="s">
        <v>16</v>
      </c>
      <c r="B62" s="82" t="s">
        <v>131</v>
      </c>
      <c r="C62" s="87" t="s">
        <v>129</v>
      </c>
      <c r="D62" s="85" t="s">
        <v>31</v>
      </c>
      <c r="E62" s="85" t="s">
        <v>31</v>
      </c>
      <c r="F62" s="36">
        <v>47</v>
      </c>
      <c r="G62" s="44">
        <v>1</v>
      </c>
      <c r="H62" s="10" t="s">
        <v>0</v>
      </c>
      <c r="I62" s="8">
        <f>IF(Table48[[#This Row],[WEIGHT]]="","",Table48[[#This Row],[WEIGHT]]/((Table48[[#This Row],[HEIGHT]])^2))</f>
        <v>27.038936067937826</v>
      </c>
      <c r="J62" s="1">
        <v>0.1</v>
      </c>
      <c r="K62" s="1">
        <v>67.5</v>
      </c>
      <c r="L62" s="1">
        <v>1.58</v>
      </c>
      <c r="M62" s="1">
        <v>17.89</v>
      </c>
      <c r="N62" s="1">
        <v>9.15</v>
      </c>
      <c r="O62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152.68</v>
      </c>
      <c r="P62" s="1">
        <v>1046.5271184999999</v>
      </c>
      <c r="Q62">
        <v>1.04</v>
      </c>
      <c r="R62">
        <v>15.5</v>
      </c>
      <c r="S62">
        <v>4.4000000000000004</v>
      </c>
      <c r="T62">
        <v>116</v>
      </c>
      <c r="U62">
        <v>116</v>
      </c>
      <c r="V62">
        <v>116</v>
      </c>
      <c r="W62">
        <v>15.2</v>
      </c>
      <c r="X62">
        <v>14.9</v>
      </c>
      <c r="Y62" s="33">
        <v>19</v>
      </c>
      <c r="Z62" s="33">
        <v>15</v>
      </c>
      <c r="AA62" s="50">
        <v>105</v>
      </c>
      <c r="AB62" s="50">
        <v>68</v>
      </c>
      <c r="AC62" s="50">
        <v>37</v>
      </c>
      <c r="AD62" s="50">
        <v>80</v>
      </c>
      <c r="AE62" s="50">
        <v>54</v>
      </c>
      <c r="AF62" s="50">
        <v>7</v>
      </c>
      <c r="AG62" s="50">
        <v>6.8</v>
      </c>
      <c r="AH62" s="50">
        <v>101</v>
      </c>
      <c r="AI62" s="50">
        <v>68</v>
      </c>
      <c r="AJ62" s="55">
        <f>2/3*Table48[[#This Row],[COMPLIOR_cDBP]]+1/3*Table48[[#This Row],[COMPLIOR_cSBP]]</f>
        <v>79</v>
      </c>
      <c r="AK62" s="50">
        <f>Table48[[#This Row],[COMPLIOR_cSBP]]-Table48[[#This Row],[COMPLIOR_cDBP]]</f>
        <v>33</v>
      </c>
      <c r="AL62" s="17">
        <v>1</v>
      </c>
      <c r="AM62" s="17">
        <v>1</v>
      </c>
      <c r="AN62" s="17">
        <v>1</v>
      </c>
      <c r="AO62" s="17">
        <v>1</v>
      </c>
      <c r="AP62" s="17">
        <v>2</v>
      </c>
      <c r="AQ62" s="17">
        <v>2</v>
      </c>
      <c r="AR62" s="17">
        <v>2</v>
      </c>
      <c r="AS62" s="17">
        <v>2</v>
      </c>
      <c r="AT62" s="17">
        <v>3</v>
      </c>
      <c r="AU62" s="17">
        <v>3</v>
      </c>
      <c r="AV62" s="17">
        <v>2</v>
      </c>
      <c r="AW62" s="17">
        <v>2</v>
      </c>
      <c r="AX62" s="17">
        <v>3</v>
      </c>
      <c r="AY62" s="17">
        <v>2</v>
      </c>
      <c r="AZ62" s="17">
        <v>3</v>
      </c>
      <c r="BA62" s="17">
        <v>2</v>
      </c>
      <c r="BB62" s="17">
        <v>2</v>
      </c>
      <c r="BC62" s="17">
        <v>1</v>
      </c>
      <c r="BD62" s="17">
        <v>2</v>
      </c>
      <c r="BE62" s="17">
        <v>2</v>
      </c>
      <c r="BF62" s="17">
        <v>3</v>
      </c>
      <c r="BG62" s="17">
        <v>1</v>
      </c>
      <c r="BH62" s="17">
        <v>3</v>
      </c>
      <c r="BI62" s="17">
        <v>1</v>
      </c>
      <c r="BJ62" s="17">
        <v>1</v>
      </c>
      <c r="BK62" s="17">
        <v>3</v>
      </c>
      <c r="BL62" s="17">
        <v>2</v>
      </c>
      <c r="BM62" s="17">
        <v>3</v>
      </c>
      <c r="BN62" s="17">
        <v>3</v>
      </c>
      <c r="BO62" s="17">
        <v>2</v>
      </c>
      <c r="BP62" s="17">
        <v>3</v>
      </c>
      <c r="BQ62" s="17">
        <v>2</v>
      </c>
      <c r="BR62" s="17">
        <v>3</v>
      </c>
      <c r="BS62" s="17">
        <v>3</v>
      </c>
      <c r="BT62" s="17">
        <v>3</v>
      </c>
      <c r="BU62" s="17">
        <v>1</v>
      </c>
      <c r="BV62" s="17">
        <v>1</v>
      </c>
      <c r="BW62" s="17">
        <v>2</v>
      </c>
      <c r="BX62" s="17">
        <v>1</v>
      </c>
      <c r="BY62" s="17">
        <v>1</v>
      </c>
      <c r="BZ62" s="65">
        <v>0</v>
      </c>
      <c r="CA62" s="65">
        <v>0</v>
      </c>
      <c r="CB62" s="65">
        <v>0</v>
      </c>
      <c r="CC62" s="65">
        <v>0</v>
      </c>
      <c r="CD62" s="65">
        <v>0</v>
      </c>
      <c r="CE62" s="65">
        <v>0</v>
      </c>
      <c r="CF62" s="65">
        <v>60</v>
      </c>
      <c r="CG62" s="65">
        <v>7</v>
      </c>
      <c r="CH62" s="65">
        <v>0</v>
      </c>
      <c r="CI62" s="65">
        <v>0</v>
      </c>
      <c r="CJ62" s="65">
        <v>0</v>
      </c>
      <c r="CK62" s="65">
        <v>0</v>
      </c>
      <c r="CL62" s="65">
        <v>60</v>
      </c>
      <c r="CM62" s="65">
        <v>3</v>
      </c>
      <c r="CN62" s="65">
        <v>90</v>
      </c>
      <c r="CO62" s="65">
        <v>3</v>
      </c>
      <c r="CP62" s="69">
        <v>60</v>
      </c>
      <c r="CQ62" s="65">
        <v>7</v>
      </c>
      <c r="CR62" s="65">
        <v>0</v>
      </c>
      <c r="CS62" s="65">
        <v>0</v>
      </c>
      <c r="CT62" s="65">
        <v>0</v>
      </c>
      <c r="CU62" s="65">
        <v>0</v>
      </c>
      <c r="CV62" s="65">
        <v>150</v>
      </c>
      <c r="CW62" s="65">
        <v>150</v>
      </c>
      <c r="CX62" s="95">
        <v>0.83</v>
      </c>
      <c r="CY62" s="95">
        <v>0.63</v>
      </c>
      <c r="CZ62" s="95">
        <v>0.73</v>
      </c>
      <c r="DA62" s="96">
        <f>Table48[[#This Row],[IMT_AVG_D]]/0.001</f>
        <v>730</v>
      </c>
      <c r="DB62" s="95">
        <v>0.05</v>
      </c>
      <c r="DC62" s="95">
        <v>142</v>
      </c>
      <c r="DD62" s="95">
        <v>10</v>
      </c>
    </row>
    <row r="63" spans="1:217" s="22" customFormat="1" ht="28" customHeight="1">
      <c r="A63" s="11" t="s">
        <v>30</v>
      </c>
      <c r="B63" s="80" t="s">
        <v>125</v>
      </c>
      <c r="C63" s="87" t="s">
        <v>129</v>
      </c>
      <c r="D63" s="86" t="s">
        <v>32</v>
      </c>
      <c r="E63" s="85" t="s">
        <v>122</v>
      </c>
      <c r="F63" s="36">
        <v>15</v>
      </c>
      <c r="G63" s="17">
        <v>1</v>
      </c>
      <c r="H63" s="10" t="s">
        <v>0</v>
      </c>
      <c r="I63" s="8">
        <f>IF(Table48[[#This Row],[WEIGHT]]="","",Table48[[#This Row],[WEIGHT]]/((Table48[[#This Row],[HEIGHT]])^2))</f>
        <v>23.829344432882412</v>
      </c>
      <c r="J63" s="1">
        <v>0.78</v>
      </c>
      <c r="K63" s="1">
        <v>57.25</v>
      </c>
      <c r="L63" s="1">
        <v>1.55</v>
      </c>
      <c r="M63" s="1">
        <v>20.75</v>
      </c>
      <c r="N63" s="1">
        <v>3.08</v>
      </c>
      <c r="O63" s="7">
        <f>IF(Table48[[#This Row],[IMPAIRMENT]]="","",IF(Table48[[#This Row],[IMPAIRMENT]]="DS",210-0.56*Table48[[#This Row],[AGE]]-15.5*2,IF(Table48[[#This Row],[IMPAIRMENT]]="ID",210-0.56*Table48[[#This Row],[AGE]]-15.5,208-0.7*Table48[[#This Row],[AGE]])))</f>
        <v>186.1</v>
      </c>
      <c r="P63" s="1">
        <v>2008.1404494000001</v>
      </c>
      <c r="Q63">
        <v>1.0900000000000001</v>
      </c>
      <c r="R63">
        <v>35.08</v>
      </c>
      <c r="S63">
        <v>10</v>
      </c>
      <c r="T63">
        <v>135</v>
      </c>
      <c r="U63">
        <v>127</v>
      </c>
      <c r="V63">
        <v>150</v>
      </c>
      <c r="W63">
        <v>18.5</v>
      </c>
      <c r="X63">
        <v>29.2</v>
      </c>
      <c r="Y63" s="35">
        <v>28</v>
      </c>
      <c r="Z63" s="35">
        <v>22</v>
      </c>
      <c r="AA63" s="50">
        <v>126</v>
      </c>
      <c r="AB63" s="50">
        <v>78</v>
      </c>
      <c r="AC63" s="50">
        <v>48</v>
      </c>
      <c r="AD63" s="50">
        <v>94</v>
      </c>
      <c r="AE63" s="50">
        <v>82</v>
      </c>
      <c r="AF63" s="50">
        <v>5.2</v>
      </c>
      <c r="AG63" s="50">
        <v>6.6</v>
      </c>
      <c r="AH63" s="50">
        <v>126</v>
      </c>
      <c r="AI63" s="50">
        <v>78</v>
      </c>
      <c r="AJ63" s="55">
        <f>2/3*Table48[[#This Row],[COMPLIOR_cDBP]]+1/3*Table48[[#This Row],[COMPLIOR_cSBP]]</f>
        <v>94</v>
      </c>
      <c r="AK63" s="50">
        <f>Table48[[#This Row],[COMPLIOR_cSBP]]-Table48[[#This Row],[COMPLIOR_cDBP]]</f>
        <v>48</v>
      </c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9"/>
      <c r="CQ63" s="65"/>
      <c r="CR63" s="65"/>
      <c r="CS63" s="65"/>
      <c r="CT63" s="65"/>
      <c r="CU63" s="65"/>
      <c r="CV63" s="65"/>
      <c r="CW63" s="65"/>
      <c r="CX63" s="95">
        <v>0.49</v>
      </c>
      <c r="CY63" s="95">
        <v>0.35</v>
      </c>
      <c r="CZ63" s="95">
        <v>0.44</v>
      </c>
      <c r="DA63" s="96">
        <f>Table48[[#This Row],[IMT_AVG_D]]/0.001</f>
        <v>440</v>
      </c>
      <c r="DB63" s="95">
        <v>0.03</v>
      </c>
      <c r="DC63" s="95">
        <v>141</v>
      </c>
      <c r="DD63" s="95">
        <v>10</v>
      </c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</row>
  </sheetData>
  <phoneticPr fontId="10" type="noConversion"/>
  <conditionalFormatting sqref="I3:I62">
    <cfRule type="cellIs" dxfId="2" priority="1" operator="between">
      <formula>19.99</formula>
      <formula>24.99</formula>
    </cfRule>
    <cfRule type="cellIs" dxfId="1" priority="2" operator="greaterThan">
      <formula>29.99</formula>
    </cfRule>
    <cfRule type="cellIs" dxfId="0" priority="3" operator="between">
      <formula>25</formula>
      <formula>29.99</formula>
    </cfRule>
  </conditionalFormatting>
  <dataValidations count="5">
    <dataValidation type="list" allowBlank="1" showInputMessage="1" showErrorMessage="1" sqref="D33 D20:D31 D35:D48 D50:D63 D15 D6:D13" xr:uid="{00000000-0002-0000-0000-000000000000}">
      <formula1>"Visual, ID, DS"</formula1>
    </dataValidation>
    <dataValidation type="list" allowBlank="1" showErrorMessage="1" sqref="D2:D5 D34 D32 D49 D14 D16:D19" xr:uid="{00000000-0002-0000-0000-000001000000}">
      <formula1>"Visual,ID,DS"</formula1>
    </dataValidation>
    <dataValidation type="list" allowBlank="1" showInputMessage="1" showErrorMessage="1" sqref="H2:H63" xr:uid="{00000000-0002-0000-0000-000003000000}">
      <formula1>"White, Black"</formula1>
    </dataValidation>
    <dataValidation type="list" allowBlank="1" showInputMessage="1" showErrorMessage="1" sqref="B2:B1048576" xr:uid="{F2E7C000-B361-49C5-81E2-CBB46AA168A0}">
      <formula1>"CAET, SIT"</formula1>
    </dataValidation>
    <dataValidation type="list" allowBlank="1" showInputMessage="1" showErrorMessage="1" sqref="C2:C1048576" xr:uid="{3B97C0BC-5299-4041-85D6-B4708F3B47E1}">
      <formula1>"M1, M2, M3, M4"</formula1>
    </dataValidation>
  </dataValidations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UPSIDE DOWNS</vt:lpstr>
      <vt:lpstr>Handgrip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GCP Lab</dc:creator>
  <cp:lastModifiedBy>Xavier Melo</cp:lastModifiedBy>
  <dcterms:created xsi:type="dcterms:W3CDTF">2018-01-11T10:48:54Z</dcterms:created>
  <dcterms:modified xsi:type="dcterms:W3CDTF">2023-04-13T20:46:43Z</dcterms:modified>
</cp:coreProperties>
</file>