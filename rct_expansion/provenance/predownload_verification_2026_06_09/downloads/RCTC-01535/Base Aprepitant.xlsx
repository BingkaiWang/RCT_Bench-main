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obarba/Desktop/Departamento EOC Inv /STARGATE/"/>
    </mc:Choice>
  </mc:AlternateContent>
  <xr:revisionPtr revIDLastSave="0" documentId="8_{4DC592A0-7378-354B-9F02-A4A7985D9C7D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Hoja1!$A$2:$BE$406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5" i="2" l="1"/>
  <c r="J405" i="1"/>
  <c r="J404" i="1"/>
  <c r="I406" i="1"/>
  <c r="I405" i="1"/>
  <c r="I404" i="1"/>
  <c r="F370" i="1"/>
  <c r="F177" i="1"/>
  <c r="F110" i="1"/>
  <c r="F10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4" i="1"/>
  <c r="F105" i="1"/>
  <c r="F106" i="1"/>
  <c r="F107" i="1"/>
  <c r="F108" i="1"/>
  <c r="F109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Isaac Esparza Estrada</author>
    <author>Aldo Barba</author>
  </authors>
  <commentList>
    <comment ref="C2" authorId="0" shapeId="0" xr:uid="{66C78696-3D7B-4935-90DD-4178E8937EB9}">
      <text>
        <r>
          <rPr>
            <sz val="11"/>
            <color theme="1"/>
            <rFont val="Calibri"/>
            <family val="2"/>
            <scheme val="minor"/>
          </rPr>
          <t>Isaac Esparza Estrada:
0-Femenino
1-Masculino</t>
        </r>
      </text>
    </comment>
    <comment ref="I2" authorId="0" shapeId="0" xr:uid="{C16FE708-2C1C-4961-B7DB-035A07293C6A}">
      <text>
        <r>
          <rPr>
            <sz val="11"/>
            <color theme="1"/>
            <rFont val="Calibri"/>
            <family val="2"/>
            <scheme val="minor"/>
          </rPr>
          <t>Isaac Esparza Estrada:
1-A
2-B
3-C</t>
        </r>
      </text>
    </comment>
    <comment ref="N2" authorId="0" shapeId="0" xr:uid="{3CFD3484-4202-41E1-88E7-5D717775CC72}">
      <text>
        <r>
          <rPr>
            <sz val="11"/>
            <color theme="1"/>
            <rFont val="Calibri"/>
            <family val="2"/>
            <scheme val="minor"/>
          </rPr>
          <t>Isaac Esparza Estrada:
0-No
1-1,2
2-3,4
3-5,6
4-7 o más</t>
        </r>
      </text>
    </comment>
    <comment ref="O2" authorId="0" shapeId="0" xr:uid="{79286131-D5D7-47CF-A442-DB4B84D21DD8}">
      <text>
        <r>
          <rPr>
            <sz val="11"/>
            <color theme="1"/>
            <rFont val="Calibri"/>
            <family val="2"/>
            <scheme val="minor"/>
          </rPr>
          <t>Isaac Esparza Estrada:
0-No
1-Leve
2-Moderado
3-Mayor
4-Severo</t>
        </r>
      </text>
    </comment>
    <comment ref="P2" authorId="0" shapeId="0" xr:uid="{7F7AF8AE-8A18-4C07-8813-B6D7FA177A90}">
      <text>
        <r>
          <rPr>
            <sz val="11"/>
            <color theme="1"/>
            <rFont val="Calibri"/>
            <family val="2"/>
            <scheme val="minor"/>
          </rPr>
          <t>Isaac Esparza Estrada:
0-No
1-Si</t>
        </r>
      </text>
    </comment>
    <comment ref="Q2" authorId="0" shapeId="0" xr:uid="{FCE9BC6B-57BA-4EA0-B41F-F9335881B4B7}">
      <text>
        <r>
          <rPr>
            <sz val="11"/>
            <color theme="1"/>
            <rFont val="Calibri"/>
            <family val="2"/>
            <scheme val="minor"/>
          </rPr>
          <t>Isaac Esparza Estrada:
0-No
1-1,2
2-3,4
3-5,6
4-7 o más</t>
        </r>
      </text>
    </comment>
    <comment ref="R2" authorId="0" shapeId="0" xr:uid="{9F4CD12F-7E0C-4E2F-A8F6-16C3C95E0BA7}">
      <text>
        <r>
          <rPr>
            <sz val="11"/>
            <color theme="1"/>
            <rFont val="Calibri"/>
            <family val="2"/>
            <scheme val="minor"/>
          </rPr>
          <t>Isaac Esparza Estrada:
0-No
1-Leve
2-Moderado
3-Mayor
4-Severo</t>
        </r>
      </text>
    </comment>
    <comment ref="S2" authorId="0" shapeId="0" xr:uid="{7C77D827-A12F-49C2-848F-325B47DA18C7}">
      <text>
        <r>
          <rPr>
            <sz val="11"/>
            <color theme="1"/>
            <rFont val="Calibri"/>
            <family val="2"/>
            <scheme val="minor"/>
          </rPr>
          <t>Isaac Esparza Estrada:
0-No
1-1,2
2-3,4
3-5,6
4-7 o más</t>
        </r>
      </text>
    </comment>
    <comment ref="T2" authorId="0" shapeId="0" xr:uid="{B31EDED8-07B2-4E26-9887-C6023C9FE8D1}">
      <text>
        <r>
          <rPr>
            <sz val="11"/>
            <color theme="1"/>
            <rFont val="Calibri"/>
            <family val="2"/>
            <scheme val="minor"/>
          </rPr>
          <t>Isaac Esparza Estrada:
0-Sin vómito
1-Poco (&lt;1/2 taza)
2-Moderado (1/2-&lt;2 tazas)
3-Mayor (2-3 tazas)
4-Severo (3 o más tazas)</t>
        </r>
      </text>
    </comment>
    <comment ref="U2" authorId="0" shapeId="0" xr:uid="{2C5183FF-E221-4112-8823-466FACDD3E85}">
      <text>
        <r>
          <rPr>
            <sz val="11"/>
            <color theme="1"/>
            <rFont val="Calibri"/>
            <family val="2"/>
            <scheme val="minor"/>
          </rPr>
          <t>Isaac Esparza Estrada:
0-No
1-Leve
2-Moderado
3-Mayor
4-Severo</t>
        </r>
      </text>
    </comment>
    <comment ref="V2" authorId="0" shapeId="0" xr:uid="{06AFD060-9530-4824-BC7C-333931891518}">
      <text>
        <r>
          <rPr>
            <sz val="11"/>
            <color theme="1"/>
            <rFont val="Calibri"/>
            <family val="2"/>
            <scheme val="minor"/>
          </rPr>
          <t>Isaac Esparza Estrada:
0-No
1-Si</t>
        </r>
      </text>
    </comment>
    <comment ref="Y2" authorId="1" shapeId="0" xr:uid="{75BBF65B-EC8A-4A64-98D5-D7E4327550F1}">
      <text>
        <r>
          <rPr>
            <sz val="11"/>
            <color theme="1"/>
            <rFont val="Calibri"/>
            <family val="2"/>
            <scheme val="minor"/>
          </rPr>
          <t>Aldo Barba:
0-No
1-1,2
2-3,4
3-5,6
4-7 o más</t>
        </r>
      </text>
    </comment>
    <comment ref="Z2" authorId="1" shapeId="0" xr:uid="{AD52726E-C437-4795-9823-FFBBEA8C7BB4}">
      <text>
        <r>
          <rPr>
            <sz val="11"/>
            <color theme="1"/>
            <rFont val="Calibri"/>
            <family val="2"/>
            <scheme val="minor"/>
          </rPr>
          <t>Aldo Barba:
0-No
1-Leve
2-Moderado
3-Mayor
4-Severo</t>
        </r>
      </text>
    </comment>
    <comment ref="AA2" authorId="1" shapeId="0" xr:uid="{51ACE9CB-3199-4153-ABBA-CC38DB295770}">
      <text>
        <r>
          <rPr>
            <sz val="11"/>
            <color theme="1"/>
            <rFont val="Calibri"/>
            <family val="2"/>
            <scheme val="minor"/>
          </rPr>
          <t xml:space="preserve">Aldo Barba:
0-No
1-&lt;1hrs
2-2-3hrs
3-3-6hrs
4-&gt;6hrs
</t>
        </r>
      </text>
    </comment>
    <comment ref="AB2" authorId="1" shapeId="0" xr:uid="{40DB2542-65FA-4BEC-8849-AD161D59088F}">
      <text>
        <r>
          <rPr>
            <sz val="11"/>
            <color theme="1"/>
            <rFont val="Calibri"/>
            <family val="2"/>
            <scheme val="minor"/>
          </rPr>
          <t>Aldo Barba:
0-No
1-1,2
2-3,4
3-5,6
4-7 o más</t>
        </r>
      </text>
    </comment>
    <comment ref="AC2" authorId="1" shapeId="0" xr:uid="{5449F02D-07C6-41EF-AC0E-0AA9CA617B70}">
      <text>
        <r>
          <rPr>
            <sz val="11"/>
            <color theme="1"/>
            <rFont val="Calibri"/>
            <family val="2"/>
            <scheme val="minor"/>
          </rPr>
          <t>Aldo Barba:
0-No
1-Leve
2-Moderado
3-Mayor
4-Severo</t>
        </r>
      </text>
    </comment>
    <comment ref="AD2" authorId="1" shapeId="0" xr:uid="{392F5FE4-E82A-4785-8C73-6413DCDA311B}">
      <text>
        <r>
          <rPr>
            <sz val="11"/>
            <color theme="1"/>
            <rFont val="Calibri"/>
            <family val="2"/>
            <scheme val="minor"/>
          </rPr>
          <t>Aldo Barba:
0-No
1-1,2
2-3,4
3-5,6
4-7 o más</t>
        </r>
      </text>
    </comment>
    <comment ref="AE2" authorId="1" shapeId="0" xr:uid="{BD9D4BD0-6222-49E5-8B28-9DB35D4F67FD}">
      <text>
        <r>
          <rPr>
            <sz val="11"/>
            <color theme="1"/>
            <rFont val="Calibri"/>
            <family val="2"/>
            <scheme val="minor"/>
          </rPr>
          <t>Aldo Barba:
0-Sin vómito
1-Poco (&lt;1/2 taza)
2-Moderado (1/2-&lt;2 tazas)
3-Mayor (2-3 tazas)
4-Severo (3 o más tazas)</t>
        </r>
      </text>
    </comment>
    <comment ref="AF2" authorId="1" shapeId="0" xr:uid="{4A08EE15-F120-4DFA-9D7F-87D3E8DDFE55}">
      <text>
        <r>
          <rPr>
            <sz val="11"/>
            <color theme="1"/>
            <rFont val="Calibri"/>
            <family val="2"/>
            <scheme val="minor"/>
          </rPr>
          <t>Aldo Barba:
0-No
1-Leve
2-Moderado
3-Mayor
4-Severo</t>
        </r>
      </text>
    </comment>
    <comment ref="AG2" authorId="1" shapeId="0" xr:uid="{B783F2F5-F571-4333-B9A3-FE78B53CA624}">
      <text>
        <r>
          <rPr>
            <sz val="11"/>
            <color theme="1"/>
            <rFont val="Calibri"/>
            <family val="2"/>
            <scheme val="minor"/>
          </rPr>
          <t>Aldo Barba:
0-No
1-Si</t>
        </r>
      </text>
    </comment>
    <comment ref="AJ2" authorId="1" shapeId="0" xr:uid="{B4E46F5C-4FAF-4EAB-B19A-8FB27FDA26F6}">
      <text>
        <r>
          <rPr>
            <sz val="11"/>
            <color theme="1"/>
            <rFont val="Calibri"/>
            <family val="2"/>
            <scheme val="minor"/>
          </rPr>
          <t>Aldo Barba:
0-No
1-1,2
2-3,4
3-5,6
4-7 o más</t>
        </r>
      </text>
    </comment>
    <comment ref="AK2" authorId="1" shapeId="0" xr:uid="{0893D578-D9B2-49D7-A9FA-62D66BE2281C}">
      <text>
        <r>
          <rPr>
            <sz val="11"/>
            <color theme="1"/>
            <rFont val="Calibri"/>
            <family val="2"/>
            <scheme val="minor"/>
          </rPr>
          <t>Aldo Barba:
0-No
1-Leve
2-Moderado
3-Mayor
4-Severo</t>
        </r>
      </text>
    </comment>
    <comment ref="AL2" authorId="1" shapeId="0" xr:uid="{2969C38A-AA3C-4797-A2C7-F2C742AB3190}">
      <text>
        <r>
          <rPr>
            <sz val="11"/>
            <color theme="1"/>
            <rFont val="Calibri"/>
            <family val="2"/>
            <scheme val="minor"/>
          </rPr>
          <t xml:space="preserve">Aldo Barba:
0-No
1-&lt;1hrs
2-2-3hrs
3-3-6hrs
4-&gt;6hrs
</t>
        </r>
      </text>
    </comment>
    <comment ref="AM2" authorId="1" shapeId="0" xr:uid="{18B46393-02BF-4D52-808D-8F7A016D7194}">
      <text>
        <r>
          <rPr>
            <sz val="11"/>
            <color theme="1"/>
            <rFont val="Calibri"/>
            <family val="2"/>
            <scheme val="minor"/>
          </rPr>
          <t>Aldo Barba:
0-No
1-1,2
2-3,4
3-5,6
4-7 o más</t>
        </r>
      </text>
    </comment>
    <comment ref="AN2" authorId="1" shapeId="0" xr:uid="{4928C0DB-3069-4329-92DF-EF7E9D3A9F8E}">
      <text>
        <r>
          <rPr>
            <sz val="11"/>
            <color theme="1"/>
            <rFont val="Calibri"/>
            <family val="2"/>
            <scheme val="minor"/>
          </rPr>
          <t>Aldo Barba:
0-No
1-Leve
2-Moderado
3-Mayor
4-Severo</t>
        </r>
      </text>
    </comment>
    <comment ref="AO2" authorId="1" shapeId="0" xr:uid="{E4584B02-E7BE-4055-A348-95FE508A12BF}">
      <text>
        <r>
          <rPr>
            <sz val="11"/>
            <color theme="1"/>
            <rFont val="Calibri"/>
            <family val="2"/>
            <scheme val="minor"/>
          </rPr>
          <t>Aldo Barba:
0-No
1-1,2
2-3,4
3-5,6
4-7 o más</t>
        </r>
      </text>
    </comment>
    <comment ref="AP2" authorId="1" shapeId="0" xr:uid="{41A3DA12-68E0-45CD-9E0C-81DD1D7DE568}">
      <text>
        <r>
          <rPr>
            <sz val="11"/>
            <color theme="1"/>
            <rFont val="Calibri"/>
            <family val="2"/>
            <scheme val="minor"/>
          </rPr>
          <t>Aldo Barba:
0-Sin vómito
1-Poco (&lt;1/2 taza)
2-Moderado (1/2-&lt;2 tazas)
3-Mayor (2-3 tazas)
4-Severo (3 o más tazas)</t>
        </r>
      </text>
    </comment>
    <comment ref="AQ2" authorId="1" shapeId="0" xr:uid="{CD58FA31-1102-408B-B0D3-661947BB5744}">
      <text>
        <r>
          <rPr>
            <sz val="11"/>
            <color theme="1"/>
            <rFont val="Calibri"/>
            <family val="2"/>
            <scheme val="minor"/>
          </rPr>
          <t>Aldo Barba:
0-No
1-Leve
2-Moderado
3-Mayor
4-Severo</t>
        </r>
      </text>
    </comment>
    <comment ref="AR2" authorId="1" shapeId="0" xr:uid="{6229ECCE-84F6-4AAF-B037-EA6C0F6F5E91}">
      <text>
        <r>
          <rPr>
            <sz val="11"/>
            <color theme="1"/>
            <rFont val="Calibri"/>
            <family val="2"/>
            <scheme val="minor"/>
          </rPr>
          <t>Aldo Barba:
0-No
1-Si</t>
        </r>
      </text>
    </comment>
    <comment ref="AU2" authorId="1" shapeId="0" xr:uid="{351EDD1A-6F5E-43E7-8538-C8ECF41F6461}">
      <text>
        <r>
          <rPr>
            <sz val="11"/>
            <color theme="1"/>
            <rFont val="Calibri"/>
            <family val="2"/>
            <scheme val="minor"/>
          </rPr>
          <t>Aldo Barba:
0-No
1-1,2
2-3,4
3-5,6
4-7 o más</t>
        </r>
      </text>
    </comment>
    <comment ref="AV2" authorId="1" shapeId="0" xr:uid="{911214F7-6ABC-4C89-8F84-2B8B098BC3AA}">
      <text>
        <r>
          <rPr>
            <sz val="11"/>
            <color theme="1"/>
            <rFont val="Calibri"/>
            <family val="2"/>
            <scheme val="minor"/>
          </rPr>
          <t>Aldo Barba:
0-No
1-Leve
2-Moderado
3-Mayor
4-Severo</t>
        </r>
      </text>
    </comment>
    <comment ref="AW2" authorId="1" shapeId="0" xr:uid="{421A0887-21DD-409B-B81A-04548DA50231}">
      <text>
        <r>
          <rPr>
            <sz val="11"/>
            <color theme="1"/>
            <rFont val="Calibri"/>
            <family val="2"/>
            <scheme val="minor"/>
          </rPr>
          <t xml:space="preserve">Aldo Barba:
0-No
1-&lt;1hrs
2-2-3hrs
3-3-6hrs
4-&gt;6hrs
</t>
        </r>
      </text>
    </comment>
    <comment ref="AY2" authorId="1" shapeId="0" xr:uid="{B7ABC9EB-9665-433B-BAF9-A9508B813BF9}">
      <text>
        <r>
          <rPr>
            <sz val="11"/>
            <color theme="1"/>
            <rFont val="Calibri"/>
            <family val="2"/>
            <scheme val="minor"/>
          </rPr>
          <t>Aldo Barba:
0-No
1-Leve
2-Moderado
3-Mayor
4-Severo</t>
        </r>
      </text>
    </comment>
    <comment ref="AZ2" authorId="1" shapeId="0" xr:uid="{FFF505F9-6B1D-4FCF-8107-0698CE71D084}">
      <text>
        <r>
          <rPr>
            <sz val="11"/>
            <color theme="1"/>
            <rFont val="Calibri"/>
            <family val="2"/>
            <scheme val="minor"/>
          </rPr>
          <t>Aldo Barba:
0-No
1-1,2
2-3,4
3-5,6
4-7 o más</t>
        </r>
      </text>
    </comment>
    <comment ref="BA2" authorId="1" shapeId="0" xr:uid="{0B0BA0EF-ED6E-4738-AF29-7D030D3270F6}">
      <text>
        <r>
          <rPr>
            <sz val="11"/>
            <color theme="1"/>
            <rFont val="Calibri"/>
            <family val="2"/>
            <scheme val="minor"/>
          </rPr>
          <t>Aldo Barba:
0-Sin vómito
1-Poco (&lt;1/2 taza)
2-Moderado (1/2-&lt;2 tazas)
3-Mayor (2-3 tazas)
4-Severo (3 o más tazas)</t>
        </r>
      </text>
    </comment>
    <comment ref="BB2" authorId="1" shapeId="0" xr:uid="{8F5A2584-D813-422E-B225-090E00F8D4BD}">
      <text>
        <r>
          <rPr>
            <sz val="11"/>
            <color theme="1"/>
            <rFont val="Calibri"/>
            <family val="2"/>
            <scheme val="minor"/>
          </rPr>
          <t>Aldo Barba:
0-No
1-Leve
2-Moderado
3-Mayor
4-Severo</t>
        </r>
      </text>
    </comment>
    <comment ref="BC2" authorId="1" shapeId="0" xr:uid="{B160BFB9-60C8-4EC3-86D3-8953808F6C93}">
      <text>
        <r>
          <rPr>
            <sz val="11"/>
            <color theme="1"/>
            <rFont val="Calibri"/>
            <family val="2"/>
            <scheme val="minor"/>
          </rPr>
          <t>Aldo Barba:
0-No
1-Si</t>
        </r>
      </text>
    </comment>
  </commentList>
</comments>
</file>

<file path=xl/sharedStrings.xml><?xml version="1.0" encoding="utf-8"?>
<sst xmlns="http://schemas.openxmlformats.org/spreadsheetml/2006/main" count="718" uniqueCount="114">
  <si>
    <t>Pre-Trans Qx</t>
  </si>
  <si>
    <t>Postqx recuperación</t>
  </si>
  <si>
    <t>Postqx 6 hrs</t>
  </si>
  <si>
    <t>PostQx 12 hrs</t>
  </si>
  <si>
    <t>PostQx 24 hrs</t>
  </si>
  <si>
    <t>Folio</t>
  </si>
  <si>
    <t>Edad</t>
  </si>
  <si>
    <t>Sexo</t>
  </si>
  <si>
    <t>Peso (kg)</t>
  </si>
  <si>
    <t>Talla (m)</t>
  </si>
  <si>
    <t>IMC</t>
  </si>
  <si>
    <t>Sala</t>
  </si>
  <si>
    <t>ASA</t>
  </si>
  <si>
    <t>Grupo</t>
  </si>
  <si>
    <t>Grupo 1 o 2</t>
  </si>
  <si>
    <t>Hora de adm</t>
  </si>
  <si>
    <t>Hora inicio Cx</t>
  </si>
  <si>
    <t>Duracion Cx (Min)</t>
  </si>
  <si>
    <t># arcadas sin vómito</t>
  </si>
  <si>
    <t>Malestar por arqueo nauseoso</t>
  </si>
  <si>
    <t>Sensación de náusea</t>
  </si>
  <si>
    <t># Veces</t>
  </si>
  <si>
    <t>Malestar secundario a náusea</t>
  </si>
  <si>
    <t># Vómitos</t>
  </si>
  <si>
    <t>Cantidad vómito</t>
  </si>
  <si>
    <t>Malestar causado por vómito</t>
  </si>
  <si>
    <t>Medicamento de rescate</t>
  </si>
  <si>
    <t>Cuál</t>
  </si>
  <si>
    <t>Dosis</t>
  </si>
  <si>
    <t>Difenidol</t>
  </si>
  <si>
    <t>40 mg</t>
  </si>
  <si>
    <t>Buprenorfina</t>
  </si>
  <si>
    <t>150 mcg</t>
  </si>
  <si>
    <t>150 mg</t>
  </si>
  <si>
    <t>150mg</t>
  </si>
  <si>
    <t>Difenidol, Buprenorfina</t>
  </si>
  <si>
    <t>40 mg, 150 mcg</t>
  </si>
  <si>
    <t>Metoclopramida</t>
  </si>
  <si>
    <t>10 mg</t>
  </si>
  <si>
    <t>Buprenorfina, Tramadol</t>
  </si>
  <si>
    <t>150 mcg, 50 mg</t>
  </si>
  <si>
    <t>Ondansetron</t>
  </si>
  <si>
    <t>8 mg</t>
  </si>
  <si>
    <t xml:space="preserve">Difenidol, Ondansetron </t>
  </si>
  <si>
    <t>40 mg/8 mg</t>
  </si>
  <si>
    <t>Difenidol, metoclopramida</t>
  </si>
  <si>
    <t>40 mg, 10 mg</t>
  </si>
  <si>
    <t xml:space="preserve">Ondasetron </t>
  </si>
  <si>
    <t xml:space="preserve">150 mg </t>
  </si>
  <si>
    <t>40 mg, 150 mg</t>
  </si>
  <si>
    <t>40 mg, 300 mg</t>
  </si>
  <si>
    <t>Difenidol, cinataprida</t>
  </si>
  <si>
    <t>40 mg, 1 mg</t>
  </si>
  <si>
    <t xml:space="preserve">Difenidol </t>
  </si>
  <si>
    <t>Difenidol, Ondansetrón, Metoclopramida, Dexametasona</t>
  </si>
  <si>
    <t>40 mg, 8 mg, 10 mg, 8 mg</t>
  </si>
  <si>
    <t>Ondasetron, Metoclopramida</t>
  </si>
  <si>
    <t>8 mg, 10 mg</t>
  </si>
  <si>
    <t>Dexametasona, ondansetrón, buprenorfina</t>
  </si>
  <si>
    <t>8 mg, 8 mg, 150 mcg</t>
  </si>
  <si>
    <t>Dexametasona, Metoclopramida, Difenidol</t>
  </si>
  <si>
    <t>8 mg, 8 mg, 40 mg</t>
  </si>
  <si>
    <t>Ondasetron, Metoclopramida, Difenidol</t>
  </si>
  <si>
    <t>8mg, 10 mg, 40 mg</t>
  </si>
  <si>
    <t>41 mg, 150 mg</t>
  </si>
  <si>
    <t xml:space="preserve">Difenidol, Buprenorfina </t>
  </si>
  <si>
    <t xml:space="preserve">Difennidol </t>
  </si>
  <si>
    <t>Difenidol, Buprenorfina, Ondasetron, Dexametasona</t>
  </si>
  <si>
    <t>40 mg, 150 mg, 8 mg, 8 mg</t>
  </si>
  <si>
    <t>Difenidol, Dexametasona, Ondasetron, Metoclopramida</t>
  </si>
  <si>
    <t>40 mg, 8 mg, 8 mg, 10 mg</t>
  </si>
  <si>
    <t>Difenidol, Dexametasona, Metoclopramida</t>
  </si>
  <si>
    <t>40 mg, 8 mg, 10 mg</t>
  </si>
  <si>
    <t>400 mg, 8 mg, 10 mg</t>
  </si>
  <si>
    <t>Ondansetrón, Metoclopramida, Dexametasona</t>
  </si>
  <si>
    <t>8 mg, 10 mg, 8 mg</t>
  </si>
  <si>
    <t>Ondansetrón</t>
  </si>
  <si>
    <t xml:space="preserve">Buprenorfina </t>
  </si>
  <si>
    <t>Ondasetron</t>
  </si>
  <si>
    <t>Ondasetron, Metoclopramida, Dexametasona</t>
  </si>
  <si>
    <t xml:space="preserve">Ondasetrón </t>
  </si>
  <si>
    <t>Difenidol, Ondansetrón</t>
  </si>
  <si>
    <t>40 mg, 8 mg</t>
  </si>
  <si>
    <t>Citaprida</t>
  </si>
  <si>
    <t>1 mg</t>
  </si>
  <si>
    <t>Tramadol</t>
  </si>
  <si>
    <t>100 mg</t>
  </si>
  <si>
    <t>Difenidol, Dexametasona</t>
  </si>
  <si>
    <t>Ondansetrón, Dexametasona</t>
  </si>
  <si>
    <t>8 mg, 8 mg</t>
  </si>
  <si>
    <t>Tramadol, Difenidol</t>
  </si>
  <si>
    <t>100 mg, 40 mg</t>
  </si>
  <si>
    <t>Didenidol</t>
  </si>
  <si>
    <t>Ondasetrón, Dexametasona</t>
  </si>
  <si>
    <t>Ondasetron, Dexametasona</t>
  </si>
  <si>
    <t>Difenidol, Cinataprida, Dexametasona</t>
  </si>
  <si>
    <t>40 mg, 1 mg, 8 mg</t>
  </si>
  <si>
    <t>Ondasetron, Didenidol, Buprenorfina</t>
  </si>
  <si>
    <t>8 mg, 40, 150 mcg</t>
  </si>
  <si>
    <t>Ondasetrona, Dexametasona, Metoclopramid</t>
  </si>
  <si>
    <t>8 mg, 8 mg, 10 mg</t>
  </si>
  <si>
    <t>Odasetron, Dexametasona, Metoclopramida</t>
  </si>
  <si>
    <t>Difenidol, Ondansetron, Metoclopramida, Dexametasona</t>
  </si>
  <si>
    <t>Difenidol, Ondasetron, metoclopramida</t>
  </si>
  <si>
    <t>Metoclopramida, Ondansetrón, Dexametasona</t>
  </si>
  <si>
    <t>10 mg, 8 mg, 8 mg</t>
  </si>
  <si>
    <t>Dexametasona, Difenidol, Ondansetrón</t>
  </si>
  <si>
    <t>8 mg, 40 mg, 8 mg</t>
  </si>
  <si>
    <t>Ondansetrón, Dexametasona, Metoclopramida</t>
  </si>
  <si>
    <t xml:space="preserve">Ondansetrón </t>
  </si>
  <si>
    <t>53 (2.2 promedio 24 pacientes presentaron)</t>
  </si>
  <si>
    <t>25 px</t>
  </si>
  <si>
    <t>14 (1.5 promedio 9 pacientes presentaron)</t>
  </si>
  <si>
    <t>12 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</si>
</sst>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20" fontId="0" fillId="0" borderId="0" xfId="0" applyNumberFormat="1"/>
    <xf numFmtId="2" fontId="0" fillId="2" borderId="0" xfId="0" applyNumberFormat="1" applyFill="1" applyAlignment="1">
      <alignment horizontal="center"/>
    </xf>
    <xf numFmtId="0" fontId="0" fillId="5" borderId="0" xfId="0" applyFill="1"/>
    <xf numFmtId="2" fontId="0" fillId="5" borderId="0" xfId="0" applyNumberFormat="1" applyFill="1"/>
    <xf numFmtId="20" fontId="0" fillId="5" borderId="0" xfId="0" applyNumberFormat="1" applyFill="1"/>
    <xf numFmtId="0" fontId="0" fillId="5" borderId="0" xfId="0" applyFill="1" applyAlignment="1">
      <alignment horizontal="center"/>
    </xf>
    <xf numFmtId="0" fontId="1" fillId="0" borderId="0" xfId="0" applyFont="1"/>
    <xf numFmtId="1" fontId="0" fillId="0" borderId="0" xfId="0" applyNumberFormat="1"/>
    <xf numFmtId="1" fontId="0" fillId="5" borderId="0" xfId="0" applyNumberFormat="1" applyFill="1"/>
    <xf numFmtId="0" fontId="0" fillId="0" borderId="0" xfId="0" applyAlignment="1">
      <alignment wrapText="1"/>
    </xf>
    <xf numFmtId="0" fontId="1" fillId="0" borderId="0" xfId="0" quotePrefix="1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89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AS338" sqref="AS338"/>
    </sheetView>
  </sheetViews>
  <sheetFormatPr baseColWidth="10" defaultColWidth="8.83203125" defaultRowHeight="15" x14ac:dyDescent="0.2"/>
  <cols>
    <col min="7" max="7" width="9.1640625" style="5"/>
    <col min="8" max="8" width="9.33203125" bestFit="1" customWidth="1"/>
    <col min="9" max="9" width="12.5" bestFit="1" customWidth="1"/>
    <col min="10" max="10" width="12.5" customWidth="1"/>
    <col min="11" max="11" width="12.5" bestFit="1" customWidth="1"/>
    <col min="12" max="12" width="12.5" customWidth="1"/>
    <col min="13" max="13" width="17" style="5" bestFit="1" customWidth="1"/>
    <col min="14" max="14" width="19.1640625" bestFit="1" customWidth="1"/>
    <col min="15" max="15" width="28.5" bestFit="1" customWidth="1"/>
    <col min="16" max="16" width="19.5" bestFit="1" customWidth="1"/>
    <col min="18" max="18" width="27.6640625" bestFit="1" customWidth="1"/>
    <col min="19" max="19" width="9.83203125" bestFit="1" customWidth="1"/>
    <col min="20" max="20" width="15.5" bestFit="1" customWidth="1"/>
    <col min="21" max="21" width="27.1640625" bestFit="1" customWidth="1"/>
    <col min="22" max="22" width="23.33203125" bestFit="1" customWidth="1"/>
    <col min="23" max="23" width="22" bestFit="1" customWidth="1"/>
    <col min="24" max="24" width="15" bestFit="1" customWidth="1"/>
    <col min="25" max="25" width="19.1640625" bestFit="1" customWidth="1"/>
    <col min="26" max="26" width="28.5" bestFit="1" customWidth="1"/>
    <col min="27" max="27" width="19.5" bestFit="1" customWidth="1"/>
    <col min="29" max="29" width="27.6640625" bestFit="1" customWidth="1"/>
    <col min="30" max="30" width="9.83203125" bestFit="1" customWidth="1"/>
    <col min="31" max="31" width="15.5" bestFit="1" customWidth="1"/>
    <col min="32" max="32" width="27.1640625" bestFit="1" customWidth="1"/>
    <col min="33" max="33" width="23.33203125" bestFit="1" customWidth="1"/>
    <col min="34" max="34" width="22.5" bestFit="1" customWidth="1"/>
    <col min="35" max="35" width="15" bestFit="1" customWidth="1"/>
    <col min="36" max="36" width="19.1640625" bestFit="1" customWidth="1"/>
    <col min="37" max="37" width="28.5" bestFit="1" customWidth="1"/>
    <col min="38" max="38" width="19.5" bestFit="1" customWidth="1"/>
    <col min="40" max="40" width="27.6640625" bestFit="1" customWidth="1"/>
    <col min="41" max="41" width="9.83203125" bestFit="1" customWidth="1"/>
    <col min="42" max="42" width="15.5" bestFit="1" customWidth="1"/>
    <col min="43" max="43" width="27.1640625" bestFit="1" customWidth="1"/>
    <col min="44" max="44" width="23.33203125" bestFit="1" customWidth="1"/>
    <col min="45" max="45" width="15.83203125" bestFit="1" customWidth="1"/>
    <col min="47" max="47" width="19.1640625" bestFit="1" customWidth="1"/>
    <col min="48" max="48" width="28.5" bestFit="1" customWidth="1"/>
    <col min="49" max="49" width="19.5" bestFit="1" customWidth="1"/>
    <col min="51" max="51" width="27.6640625" bestFit="1" customWidth="1"/>
    <col min="52" max="52" width="9.83203125" bestFit="1" customWidth="1"/>
    <col min="53" max="53" width="15.5" bestFit="1" customWidth="1"/>
    <col min="54" max="54" width="27.1640625" bestFit="1" customWidth="1"/>
    <col min="55" max="55" width="23.33203125" bestFit="1" customWidth="1"/>
    <col min="56" max="56" width="24.83203125" bestFit="1" customWidth="1"/>
    <col min="57" max="57" width="12.83203125" bestFit="1" customWidth="1"/>
  </cols>
  <sheetData>
    <row r="1" spans="1:57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"/>
      <c r="M1" s="7"/>
      <c r="N1" s="18" t="s">
        <v>1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7" t="s">
        <v>2</v>
      </c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9" t="s">
        <v>3</v>
      </c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7" t="s">
        <v>4</v>
      </c>
      <c r="AV1" s="17"/>
      <c r="AW1" s="17"/>
      <c r="AX1" s="17"/>
      <c r="AY1" s="17"/>
      <c r="AZ1" s="17"/>
      <c r="BA1" s="17"/>
      <c r="BB1" s="17"/>
      <c r="BC1" s="17"/>
      <c r="BD1" s="17"/>
      <c r="BE1" s="17"/>
    </row>
    <row r="2" spans="1:57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7" t="s">
        <v>11</v>
      </c>
      <c r="H2" s="2" t="s">
        <v>12</v>
      </c>
      <c r="I2" s="1" t="s">
        <v>13</v>
      </c>
      <c r="J2" s="1" t="s">
        <v>14</v>
      </c>
      <c r="K2" s="2" t="s">
        <v>15</v>
      </c>
      <c r="L2" s="1" t="s">
        <v>16</v>
      </c>
      <c r="M2" s="7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27</v>
      </c>
      <c r="X2" s="3" t="s">
        <v>28</v>
      </c>
      <c r="Y2" s="2" t="s">
        <v>18</v>
      </c>
      <c r="Z2" s="2" t="s">
        <v>19</v>
      </c>
      <c r="AA2" s="2" t="s">
        <v>20</v>
      </c>
      <c r="AB2" s="2" t="s">
        <v>21</v>
      </c>
      <c r="AC2" s="2" t="s">
        <v>22</v>
      </c>
      <c r="AD2" s="2" t="s">
        <v>23</v>
      </c>
      <c r="AE2" s="2" t="s">
        <v>24</v>
      </c>
      <c r="AF2" s="2" t="s">
        <v>25</v>
      </c>
      <c r="AG2" s="2" t="s">
        <v>26</v>
      </c>
      <c r="AH2" s="2" t="s">
        <v>27</v>
      </c>
      <c r="AI2" s="2" t="s">
        <v>28</v>
      </c>
      <c r="AJ2" s="4" t="s">
        <v>18</v>
      </c>
      <c r="AK2" s="4" t="s">
        <v>19</v>
      </c>
      <c r="AL2" s="4" t="s">
        <v>20</v>
      </c>
      <c r="AM2" s="4" t="s">
        <v>21</v>
      </c>
      <c r="AN2" s="4" t="s">
        <v>22</v>
      </c>
      <c r="AO2" s="4" t="s">
        <v>23</v>
      </c>
      <c r="AP2" s="4" t="s">
        <v>24</v>
      </c>
      <c r="AQ2" s="4" t="s">
        <v>25</v>
      </c>
      <c r="AR2" s="4" t="s">
        <v>26</v>
      </c>
      <c r="AS2" s="4" t="s">
        <v>27</v>
      </c>
      <c r="AT2" s="4" t="s">
        <v>28</v>
      </c>
      <c r="AU2" s="2" t="s">
        <v>18</v>
      </c>
      <c r="AV2" s="2" t="s">
        <v>19</v>
      </c>
      <c r="AW2" s="2" t="s">
        <v>20</v>
      </c>
      <c r="AX2" s="2" t="s">
        <v>21</v>
      </c>
      <c r="AY2" s="2" t="s">
        <v>22</v>
      </c>
      <c r="AZ2" s="2" t="s">
        <v>23</v>
      </c>
      <c r="BA2" s="2" t="s">
        <v>24</v>
      </c>
      <c r="BB2" s="2" t="s">
        <v>25</v>
      </c>
      <c r="BC2" s="2" t="s">
        <v>26</v>
      </c>
      <c r="BD2" s="2" t="s">
        <v>27</v>
      </c>
      <c r="BE2" s="2" t="s">
        <v>28</v>
      </c>
    </row>
    <row r="3" spans="1:57" x14ac:dyDescent="0.2">
      <c r="A3">
        <v>1</v>
      </c>
      <c r="B3">
        <v>46</v>
      </c>
      <c r="C3">
        <v>0</v>
      </c>
      <c r="D3">
        <v>104.8</v>
      </c>
      <c r="E3">
        <v>1.66</v>
      </c>
      <c r="F3" s="5">
        <f>D3/(E3*E3)</f>
        <v>38.03164465089273</v>
      </c>
      <c r="G3" s="13">
        <v>2</v>
      </c>
      <c r="H3">
        <v>2</v>
      </c>
      <c r="I3">
        <v>1</v>
      </c>
      <c r="J3">
        <v>1</v>
      </c>
      <c r="K3" s="6">
        <v>0.46875</v>
      </c>
      <c r="L3" s="6">
        <v>0.63472222222222219</v>
      </c>
      <c r="M3">
        <v>38</v>
      </c>
      <c r="N3">
        <v>0</v>
      </c>
      <c r="O3">
        <v>0</v>
      </c>
      <c r="P3">
        <v>1</v>
      </c>
      <c r="Q3">
        <v>3</v>
      </c>
      <c r="R3">
        <v>2</v>
      </c>
      <c r="S3">
        <v>0</v>
      </c>
      <c r="T3">
        <v>0</v>
      </c>
      <c r="U3">
        <v>0</v>
      </c>
      <c r="V3">
        <v>1</v>
      </c>
      <c r="W3" t="s">
        <v>29</v>
      </c>
      <c r="X3" t="s">
        <v>30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s">
        <v>31</v>
      </c>
      <c r="AI3" t="s">
        <v>32</v>
      </c>
      <c r="AJ3">
        <v>2</v>
      </c>
      <c r="AK3">
        <v>1</v>
      </c>
      <c r="AL3">
        <v>50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7" x14ac:dyDescent="0.2">
      <c r="A4">
        <v>2</v>
      </c>
      <c r="B4">
        <v>35</v>
      </c>
      <c r="C4">
        <v>0</v>
      </c>
      <c r="D4">
        <v>153.4</v>
      </c>
      <c r="E4">
        <v>1.64</v>
      </c>
      <c r="F4" s="5">
        <f t="shared" ref="F4:F23" si="0">D4/(E4*E4)</f>
        <v>57.034503271862</v>
      </c>
      <c r="G4" s="13">
        <v>2</v>
      </c>
      <c r="H4">
        <v>3</v>
      </c>
      <c r="I4">
        <v>2</v>
      </c>
      <c r="J4">
        <v>2</v>
      </c>
      <c r="K4" s="6">
        <v>0.46875</v>
      </c>
      <c r="L4" s="6">
        <v>0.72916666666666663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t="s">
        <v>31</v>
      </c>
      <c r="X4" t="s">
        <v>33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7" x14ac:dyDescent="0.2">
      <c r="A5">
        <v>3</v>
      </c>
      <c r="B5">
        <v>30</v>
      </c>
      <c r="C5">
        <v>0</v>
      </c>
      <c r="D5">
        <v>112</v>
      </c>
      <c r="E5">
        <v>1.66</v>
      </c>
      <c r="F5" s="5">
        <f t="shared" si="0"/>
        <v>40.644505733778487</v>
      </c>
      <c r="G5" s="13">
        <v>2</v>
      </c>
      <c r="H5">
        <v>2</v>
      </c>
      <c r="I5">
        <v>3</v>
      </c>
      <c r="J5">
        <v>2</v>
      </c>
      <c r="K5" s="6">
        <v>0.47916666666666669</v>
      </c>
      <c r="L5" s="6">
        <v>0.625</v>
      </c>
      <c r="M5">
        <v>40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Y5">
        <v>0</v>
      </c>
      <c r="Z5">
        <v>0</v>
      </c>
      <c r="AA5">
        <v>30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t="s">
        <v>31</v>
      </c>
      <c r="AT5" t="s">
        <v>34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7" x14ac:dyDescent="0.2">
      <c r="A6">
        <v>4</v>
      </c>
      <c r="B6">
        <v>17</v>
      </c>
      <c r="C6">
        <v>0</v>
      </c>
      <c r="D6">
        <v>120</v>
      </c>
      <c r="E6">
        <v>1.63</v>
      </c>
      <c r="F6" s="5">
        <f t="shared" si="0"/>
        <v>45.165418344687424</v>
      </c>
      <c r="G6" s="13">
        <v>3</v>
      </c>
      <c r="H6">
        <v>2</v>
      </c>
      <c r="I6">
        <v>1</v>
      </c>
      <c r="J6">
        <v>1</v>
      </c>
      <c r="K6" s="6">
        <v>0.47222222222222227</v>
      </c>
      <c r="L6" s="6">
        <v>0.63194444444444442</v>
      </c>
      <c r="M6">
        <v>35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7" x14ac:dyDescent="0.2">
      <c r="A7">
        <v>5</v>
      </c>
      <c r="B7">
        <v>29</v>
      </c>
      <c r="C7">
        <v>0</v>
      </c>
      <c r="D7">
        <v>138.30000000000001</v>
      </c>
      <c r="E7">
        <v>1.66</v>
      </c>
      <c r="F7" s="5">
        <f t="shared" si="0"/>
        <v>50.188706633763978</v>
      </c>
      <c r="G7" s="13">
        <v>2</v>
      </c>
      <c r="H7">
        <v>2</v>
      </c>
      <c r="I7">
        <v>2</v>
      </c>
      <c r="J7">
        <v>2</v>
      </c>
      <c r="K7" s="6">
        <v>0.46875</v>
      </c>
      <c r="L7" s="6">
        <v>0.54166666666666663</v>
      </c>
      <c r="M7">
        <v>66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7" x14ac:dyDescent="0.2">
      <c r="A8">
        <v>6</v>
      </c>
      <c r="B8">
        <v>40</v>
      </c>
      <c r="C8">
        <v>0</v>
      </c>
      <c r="D8">
        <v>123.8</v>
      </c>
      <c r="E8">
        <v>1.67</v>
      </c>
      <c r="F8" s="5">
        <f t="shared" si="0"/>
        <v>44.390261393380904</v>
      </c>
      <c r="G8" s="13">
        <v>1</v>
      </c>
      <c r="H8">
        <v>2</v>
      </c>
      <c r="I8">
        <v>3</v>
      </c>
      <c r="J8">
        <v>2</v>
      </c>
      <c r="K8" s="6">
        <v>0.46527777777777773</v>
      </c>
      <c r="L8" s="6">
        <v>0.55138888888888882</v>
      </c>
      <c r="M8">
        <v>31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U8">
        <v>0</v>
      </c>
      <c r="AV8">
        <v>0</v>
      </c>
      <c r="AW8">
        <v>30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7" x14ac:dyDescent="0.2">
      <c r="A9">
        <v>7</v>
      </c>
      <c r="B9">
        <v>36</v>
      </c>
      <c r="C9">
        <v>0</v>
      </c>
      <c r="D9">
        <v>101.5</v>
      </c>
      <c r="E9">
        <v>1.59</v>
      </c>
      <c r="F9" s="5">
        <f t="shared" si="0"/>
        <v>40.148728293975708</v>
      </c>
      <c r="G9" s="13">
        <v>3</v>
      </c>
      <c r="H9">
        <v>2</v>
      </c>
      <c r="I9">
        <v>1</v>
      </c>
      <c r="J9">
        <v>1</v>
      </c>
      <c r="K9" s="6">
        <v>0.47222222222222227</v>
      </c>
      <c r="L9" s="6">
        <v>0.55902777777777779</v>
      </c>
      <c r="M9">
        <v>60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7" x14ac:dyDescent="0.2">
      <c r="A10">
        <v>8</v>
      </c>
      <c r="B10">
        <v>38</v>
      </c>
      <c r="C10">
        <v>0</v>
      </c>
      <c r="D10">
        <v>159.1</v>
      </c>
      <c r="E10">
        <v>1.66</v>
      </c>
      <c r="F10" s="5">
        <f t="shared" si="0"/>
        <v>57.736971984322835</v>
      </c>
      <c r="G10" s="13">
        <v>3</v>
      </c>
      <c r="H10">
        <v>2</v>
      </c>
      <c r="I10">
        <v>2</v>
      </c>
      <c r="J10">
        <v>2</v>
      </c>
      <c r="K10" s="6">
        <v>0.46527777777777773</v>
      </c>
      <c r="L10" s="6">
        <v>0.73958333333333337</v>
      </c>
      <c r="M10">
        <v>60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Y10">
        <v>0</v>
      </c>
      <c r="Z10">
        <v>0</v>
      </c>
      <c r="AA10">
        <v>180</v>
      </c>
      <c r="AB10">
        <v>5</v>
      </c>
      <c r="AC10">
        <v>1</v>
      </c>
      <c r="AD10">
        <v>0</v>
      </c>
      <c r="AE10">
        <v>0</v>
      </c>
      <c r="AF10">
        <v>0</v>
      </c>
      <c r="AG10">
        <v>0</v>
      </c>
      <c r="AH10" t="s">
        <v>29</v>
      </c>
      <c r="AI10" t="s">
        <v>30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7" x14ac:dyDescent="0.2">
      <c r="A11">
        <v>9</v>
      </c>
      <c r="B11">
        <v>27</v>
      </c>
      <c r="C11">
        <v>0</v>
      </c>
      <c r="D11">
        <v>96.2</v>
      </c>
      <c r="E11">
        <v>1.64</v>
      </c>
      <c r="F11" s="5">
        <f t="shared" si="0"/>
        <v>35.767400356930409</v>
      </c>
      <c r="G11" s="13">
        <v>1</v>
      </c>
      <c r="H11">
        <v>1</v>
      </c>
      <c r="I11">
        <v>3</v>
      </c>
      <c r="J11">
        <v>2</v>
      </c>
      <c r="K11" s="6">
        <v>0.47361111111111115</v>
      </c>
      <c r="L11" s="6">
        <v>0.70833333333333337</v>
      </c>
      <c r="M11">
        <v>39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 t="s">
        <v>29</v>
      </c>
      <c r="X11" t="s">
        <v>30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7" x14ac:dyDescent="0.2">
      <c r="A12">
        <v>10</v>
      </c>
      <c r="B12">
        <v>42</v>
      </c>
      <c r="C12">
        <v>0</v>
      </c>
      <c r="D12">
        <v>89</v>
      </c>
      <c r="E12">
        <v>1.48</v>
      </c>
      <c r="F12" s="5">
        <f t="shared" si="0"/>
        <v>40.631848064280497</v>
      </c>
      <c r="G12" s="13">
        <v>1</v>
      </c>
      <c r="H12">
        <v>2</v>
      </c>
      <c r="I12">
        <v>1</v>
      </c>
      <c r="J12">
        <v>1</v>
      </c>
      <c r="K12" s="6">
        <v>0.49305555555555558</v>
      </c>
      <c r="L12" s="6">
        <v>0.67361111111111116</v>
      </c>
      <c r="M12">
        <v>50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7" x14ac:dyDescent="0.2">
      <c r="A13">
        <v>11</v>
      </c>
      <c r="B13">
        <v>24</v>
      </c>
      <c r="C13">
        <v>0</v>
      </c>
      <c r="D13">
        <v>146.4</v>
      </c>
      <c r="E13">
        <v>1.7</v>
      </c>
      <c r="F13" s="5">
        <f t="shared" si="0"/>
        <v>50.657439446366787</v>
      </c>
      <c r="G13" s="13">
        <v>1</v>
      </c>
      <c r="H13">
        <v>2</v>
      </c>
      <c r="I13">
        <v>2</v>
      </c>
      <c r="J13">
        <v>2</v>
      </c>
      <c r="K13" s="6">
        <v>0.49652777777777773</v>
      </c>
      <c r="L13" s="6">
        <v>0.67569444444444438</v>
      </c>
      <c r="M13">
        <v>27</v>
      </c>
      <c r="N13">
        <v>0</v>
      </c>
      <c r="O13">
        <v>0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 t="s">
        <v>29</v>
      </c>
      <c r="X13" t="s">
        <v>30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7" x14ac:dyDescent="0.2">
      <c r="A14">
        <v>12</v>
      </c>
      <c r="B14">
        <v>36</v>
      </c>
      <c r="C14">
        <v>0</v>
      </c>
      <c r="D14">
        <v>171</v>
      </c>
      <c r="E14">
        <v>1.7</v>
      </c>
      <c r="F14" s="5">
        <f t="shared" si="0"/>
        <v>59.169550173010386</v>
      </c>
      <c r="G14" s="13">
        <v>3</v>
      </c>
      <c r="H14">
        <v>2</v>
      </c>
      <c r="I14">
        <v>3</v>
      </c>
      <c r="J14">
        <v>2</v>
      </c>
      <c r="K14" s="6">
        <v>0.4694444444444445</v>
      </c>
      <c r="L14" s="6">
        <v>0.68055555555555547</v>
      </c>
      <c r="M14">
        <v>65</v>
      </c>
      <c r="N14">
        <v>0</v>
      </c>
      <c r="O14">
        <v>0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 t="s">
        <v>29</v>
      </c>
      <c r="X14" t="s">
        <v>30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7" x14ac:dyDescent="0.2">
      <c r="A15">
        <v>13</v>
      </c>
      <c r="B15">
        <v>32</v>
      </c>
      <c r="C15">
        <v>0</v>
      </c>
      <c r="D15">
        <v>162</v>
      </c>
      <c r="E15">
        <v>1.55</v>
      </c>
      <c r="F15" s="5">
        <f t="shared" si="0"/>
        <v>67.429760665972935</v>
      </c>
      <c r="G15" s="13">
        <v>3</v>
      </c>
      <c r="H15">
        <v>2</v>
      </c>
      <c r="I15">
        <v>1</v>
      </c>
      <c r="J15">
        <v>1</v>
      </c>
      <c r="K15" s="6">
        <v>0.52777777777777779</v>
      </c>
      <c r="L15" s="6">
        <v>0.79166666666666663</v>
      </c>
      <c r="M15">
        <v>55</v>
      </c>
      <c r="N15">
        <v>0</v>
      </c>
      <c r="O15">
        <v>1</v>
      </c>
      <c r="P15">
        <v>1</v>
      </c>
      <c r="Q15">
        <v>2</v>
      </c>
      <c r="R15">
        <v>2</v>
      </c>
      <c r="S15">
        <v>0</v>
      </c>
      <c r="T15">
        <v>0</v>
      </c>
      <c r="U15">
        <v>0</v>
      </c>
      <c r="V15">
        <v>1</v>
      </c>
      <c r="W15" t="s">
        <v>29</v>
      </c>
      <c r="X15" t="s">
        <v>30</v>
      </c>
      <c r="Y15">
        <v>0</v>
      </c>
      <c r="Z15">
        <v>0</v>
      </c>
      <c r="AA15">
        <v>180</v>
      </c>
      <c r="AB15">
        <v>5</v>
      </c>
      <c r="AC15">
        <v>2</v>
      </c>
      <c r="AD15">
        <v>0</v>
      </c>
      <c r="AE15">
        <v>0</v>
      </c>
      <c r="AF15">
        <v>0</v>
      </c>
      <c r="AG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7" x14ac:dyDescent="0.2">
      <c r="A16">
        <v>14</v>
      </c>
      <c r="B16">
        <v>36</v>
      </c>
      <c r="C16">
        <v>0</v>
      </c>
      <c r="D16">
        <v>82.4</v>
      </c>
      <c r="E16">
        <v>1.58</v>
      </c>
      <c r="F16" s="5">
        <f t="shared" si="0"/>
        <v>33.007530844415953</v>
      </c>
      <c r="G16" s="13">
        <v>3</v>
      </c>
      <c r="H16">
        <v>2</v>
      </c>
      <c r="I16">
        <v>2</v>
      </c>
      <c r="J16">
        <v>2</v>
      </c>
      <c r="K16" s="6">
        <v>0.52777777777777779</v>
      </c>
      <c r="L16" s="6">
        <v>0.84722222222222221</v>
      </c>
      <c r="M16">
        <v>50</v>
      </c>
      <c r="N16">
        <v>0</v>
      </c>
      <c r="O16">
        <v>0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 t="s">
        <v>35</v>
      </c>
      <c r="X16" t="s">
        <v>36</v>
      </c>
      <c r="Y16">
        <v>0</v>
      </c>
      <c r="Z16">
        <v>0</v>
      </c>
      <c r="AA16">
        <v>120</v>
      </c>
      <c r="AB16">
        <v>3</v>
      </c>
      <c r="AC16">
        <v>2</v>
      </c>
      <c r="AD16">
        <v>0</v>
      </c>
      <c r="AE16">
        <v>0</v>
      </c>
      <c r="AF16">
        <v>0</v>
      </c>
      <c r="AG16">
        <v>0</v>
      </c>
      <c r="AJ16">
        <v>0</v>
      </c>
      <c r="AK16">
        <v>0</v>
      </c>
      <c r="AL16">
        <v>360</v>
      </c>
      <c r="AM16">
        <v>7</v>
      </c>
      <c r="AN16">
        <v>3</v>
      </c>
      <c r="AO16">
        <v>0</v>
      </c>
      <c r="AP16">
        <v>0</v>
      </c>
      <c r="AQ16">
        <v>0</v>
      </c>
      <c r="AR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2">
      <c r="A17">
        <v>15</v>
      </c>
      <c r="B17">
        <v>23</v>
      </c>
      <c r="C17">
        <v>0</v>
      </c>
      <c r="D17">
        <v>106.2</v>
      </c>
      <c r="E17">
        <v>1.71</v>
      </c>
      <c r="F17" s="5">
        <f t="shared" si="0"/>
        <v>36.318867343798097</v>
      </c>
      <c r="G17" s="13">
        <v>1</v>
      </c>
      <c r="H17">
        <v>1</v>
      </c>
      <c r="I17">
        <v>3</v>
      </c>
      <c r="J17">
        <v>2</v>
      </c>
      <c r="K17" s="6">
        <v>0.55208333333333337</v>
      </c>
      <c r="L17" s="6">
        <v>0.74930555555555556</v>
      </c>
      <c r="M17">
        <v>65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2">
      <c r="A18">
        <v>16</v>
      </c>
      <c r="B18">
        <v>52</v>
      </c>
      <c r="C18">
        <v>0</v>
      </c>
      <c r="D18">
        <v>129.69999999999999</v>
      </c>
      <c r="E18">
        <v>1.74</v>
      </c>
      <c r="F18" s="5">
        <f t="shared" si="0"/>
        <v>42.839212577619229</v>
      </c>
      <c r="G18" s="13">
        <v>2</v>
      </c>
      <c r="H18">
        <v>2</v>
      </c>
      <c r="I18">
        <v>1</v>
      </c>
      <c r="J18">
        <v>1</v>
      </c>
      <c r="K18" s="6">
        <v>0.63888888888888895</v>
      </c>
      <c r="L18" s="6">
        <v>0.77083333333333337</v>
      </c>
      <c r="M18">
        <v>50</v>
      </c>
      <c r="N18">
        <v>1</v>
      </c>
      <c r="O18">
        <v>2</v>
      </c>
      <c r="P18">
        <v>0</v>
      </c>
      <c r="Q18">
        <v>2</v>
      </c>
      <c r="R18">
        <v>2</v>
      </c>
      <c r="S18">
        <v>0</v>
      </c>
      <c r="T18">
        <v>0</v>
      </c>
      <c r="U18">
        <v>0</v>
      </c>
      <c r="V18">
        <v>1</v>
      </c>
      <c r="W18" t="s">
        <v>29</v>
      </c>
      <c r="X18" t="s">
        <v>30</v>
      </c>
      <c r="Y18">
        <v>0</v>
      </c>
      <c r="Z18">
        <v>0</v>
      </c>
      <c r="AA18">
        <v>30</v>
      </c>
      <c r="AB18">
        <v>2</v>
      </c>
      <c r="AC18">
        <v>2</v>
      </c>
      <c r="AD18">
        <v>0</v>
      </c>
      <c r="AE18">
        <v>0</v>
      </c>
      <c r="AF18">
        <v>0</v>
      </c>
      <c r="AG18">
        <v>0</v>
      </c>
      <c r="AJ18">
        <v>0</v>
      </c>
      <c r="AK18">
        <v>0</v>
      </c>
      <c r="AL18">
        <v>50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U18">
        <v>0</v>
      </c>
      <c r="AV18">
        <v>0</v>
      </c>
      <c r="AW18">
        <v>120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0</v>
      </c>
    </row>
    <row r="19" spans="1:55" x14ac:dyDescent="0.2">
      <c r="A19">
        <v>17</v>
      </c>
      <c r="B19">
        <v>35</v>
      </c>
      <c r="C19">
        <v>0</v>
      </c>
      <c r="D19">
        <v>176</v>
      </c>
      <c r="E19">
        <v>1.67</v>
      </c>
      <c r="F19" s="5">
        <f t="shared" si="0"/>
        <v>63.107318297536665</v>
      </c>
      <c r="G19" s="13">
        <v>3</v>
      </c>
      <c r="H19">
        <v>3</v>
      </c>
      <c r="I19">
        <v>2</v>
      </c>
      <c r="J19">
        <v>2</v>
      </c>
      <c r="K19" s="6">
        <v>0.47916666666666669</v>
      </c>
      <c r="L19" s="6">
        <v>0.61249999999999993</v>
      </c>
      <c r="M19">
        <v>42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 t="s">
        <v>29</v>
      </c>
      <c r="X19" t="s">
        <v>30</v>
      </c>
      <c r="Y19">
        <v>0</v>
      </c>
      <c r="Z19">
        <v>0</v>
      </c>
      <c r="AA19">
        <v>0</v>
      </c>
      <c r="AB19">
        <v>3</v>
      </c>
      <c r="AC19">
        <v>1</v>
      </c>
      <c r="AD19">
        <v>0</v>
      </c>
      <c r="AE19">
        <v>0</v>
      </c>
      <c r="AF19">
        <v>0</v>
      </c>
      <c r="AG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 x14ac:dyDescent="0.2">
      <c r="A20">
        <v>18</v>
      </c>
      <c r="B20">
        <v>42</v>
      </c>
      <c r="C20">
        <v>0</v>
      </c>
      <c r="D20">
        <v>85.5</v>
      </c>
      <c r="E20">
        <v>1.65</v>
      </c>
      <c r="F20" s="5">
        <f t="shared" si="0"/>
        <v>31.404958677685954</v>
      </c>
      <c r="G20" s="13">
        <v>2</v>
      </c>
      <c r="H20">
        <v>2</v>
      </c>
      <c r="I20">
        <v>3</v>
      </c>
      <c r="J20">
        <v>2</v>
      </c>
      <c r="K20" s="6">
        <v>0.47916666666666669</v>
      </c>
      <c r="L20" s="6">
        <v>0.5625</v>
      </c>
      <c r="M20">
        <v>40</v>
      </c>
      <c r="N20">
        <v>0</v>
      </c>
      <c r="O20">
        <v>0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1</v>
      </c>
      <c r="W20" t="s">
        <v>29</v>
      </c>
      <c r="X20" t="s">
        <v>30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 spans="1:55" x14ac:dyDescent="0.2">
      <c r="A21">
        <v>19</v>
      </c>
      <c r="B21">
        <v>32</v>
      </c>
      <c r="C21">
        <v>0</v>
      </c>
      <c r="D21">
        <v>130.5</v>
      </c>
      <c r="E21">
        <v>1.67</v>
      </c>
      <c r="F21" s="5">
        <f t="shared" si="0"/>
        <v>46.7926422603894</v>
      </c>
      <c r="G21" s="13">
        <v>3</v>
      </c>
      <c r="H21">
        <v>2</v>
      </c>
      <c r="I21">
        <v>1</v>
      </c>
      <c r="J21">
        <v>1</v>
      </c>
      <c r="K21" s="6">
        <v>0.4861111111111111</v>
      </c>
      <c r="L21" s="6">
        <v>0.78263888888888899</v>
      </c>
      <c r="M21">
        <v>63</v>
      </c>
      <c r="N21">
        <v>0</v>
      </c>
      <c r="O21">
        <v>0</v>
      </c>
      <c r="P21">
        <v>1</v>
      </c>
      <c r="Q21">
        <v>4</v>
      </c>
      <c r="R21">
        <v>0</v>
      </c>
      <c r="S21">
        <v>0</v>
      </c>
      <c r="T21">
        <v>0</v>
      </c>
      <c r="U21">
        <v>0</v>
      </c>
      <c r="V21">
        <v>1</v>
      </c>
      <c r="W21" t="s">
        <v>29</v>
      </c>
      <c r="X21" t="s">
        <v>30</v>
      </c>
      <c r="Y21">
        <v>0</v>
      </c>
      <c r="Z21">
        <v>0</v>
      </c>
      <c r="AA21">
        <v>30</v>
      </c>
      <c r="AB21">
        <v>3</v>
      </c>
      <c r="AC21">
        <v>2</v>
      </c>
      <c r="AD21">
        <v>0</v>
      </c>
      <c r="AE21">
        <v>0</v>
      </c>
      <c r="AF21">
        <v>0</v>
      </c>
      <c r="AG21">
        <v>0</v>
      </c>
      <c r="AJ21">
        <v>2</v>
      </c>
      <c r="AK21">
        <v>1</v>
      </c>
      <c r="AL21">
        <v>50</v>
      </c>
      <c r="AM21">
        <v>5</v>
      </c>
      <c r="AN21">
        <v>2</v>
      </c>
      <c r="AO21">
        <v>1</v>
      </c>
      <c r="AP21">
        <v>1</v>
      </c>
      <c r="AQ21">
        <v>1</v>
      </c>
      <c r="AR21">
        <v>0</v>
      </c>
      <c r="AU21">
        <v>0</v>
      </c>
      <c r="AV21">
        <v>0</v>
      </c>
      <c r="AW21">
        <v>360</v>
      </c>
      <c r="AX21">
        <v>7</v>
      </c>
      <c r="AY21">
        <v>1</v>
      </c>
      <c r="AZ21">
        <v>0</v>
      </c>
      <c r="BA21">
        <v>0</v>
      </c>
      <c r="BB21">
        <v>0</v>
      </c>
      <c r="BC21">
        <v>0</v>
      </c>
    </row>
    <row r="22" spans="1:55" x14ac:dyDescent="0.2">
      <c r="A22">
        <v>20</v>
      </c>
      <c r="B22">
        <v>30</v>
      </c>
      <c r="C22">
        <v>0</v>
      </c>
      <c r="D22">
        <v>162.1</v>
      </c>
      <c r="E22">
        <v>1.71</v>
      </c>
      <c r="F22" s="5">
        <f t="shared" si="0"/>
        <v>55.435860606682404</v>
      </c>
      <c r="G22" s="13">
        <v>1</v>
      </c>
      <c r="H22">
        <v>2</v>
      </c>
      <c r="I22">
        <v>2</v>
      </c>
      <c r="J22">
        <v>2</v>
      </c>
      <c r="K22" s="6">
        <v>0.4861111111111111</v>
      </c>
      <c r="L22" s="6">
        <v>0.79583333333333339</v>
      </c>
      <c r="M22">
        <v>46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 x14ac:dyDescent="0.2">
      <c r="A23">
        <v>21</v>
      </c>
      <c r="B23">
        <v>30</v>
      </c>
      <c r="C23">
        <v>0</v>
      </c>
      <c r="D23">
        <v>84.1</v>
      </c>
      <c r="E23">
        <v>1.53</v>
      </c>
      <c r="F23" s="5">
        <f t="shared" si="0"/>
        <v>35.926353112050919</v>
      </c>
      <c r="G23" s="13">
        <v>1</v>
      </c>
      <c r="H23">
        <v>2</v>
      </c>
      <c r="I23">
        <v>3</v>
      </c>
      <c r="J23">
        <v>2</v>
      </c>
      <c r="K23" s="6">
        <v>0.4861111111111111</v>
      </c>
      <c r="L23" s="6">
        <v>0.56944444444444442</v>
      </c>
      <c r="M23">
        <v>50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 s="8" customFormat="1" x14ac:dyDescent="0.2">
      <c r="A24" s="8">
        <v>22</v>
      </c>
      <c r="B24" s="8">
        <v>39</v>
      </c>
      <c r="C24" s="8">
        <v>0</v>
      </c>
      <c r="D24" s="8">
        <v>146</v>
      </c>
      <c r="E24" s="8">
        <v>1.79</v>
      </c>
      <c r="F24" s="9">
        <f t="shared" ref="F24:F87" si="1">D24/(E24*E24)</f>
        <v>45.566617770980933</v>
      </c>
      <c r="G24" s="14">
        <v>3</v>
      </c>
      <c r="H24" s="8">
        <v>2</v>
      </c>
      <c r="I24" s="8">
        <v>1</v>
      </c>
      <c r="J24" s="8">
        <v>1</v>
      </c>
      <c r="K24" s="10">
        <v>0.4861111111111111</v>
      </c>
      <c r="L24" s="10">
        <v>0.56944444444444442</v>
      </c>
      <c r="M24" s="8">
        <v>38</v>
      </c>
      <c r="N24" s="11">
        <v>1</v>
      </c>
    </row>
    <row r="25" spans="1:55" x14ac:dyDescent="0.2">
      <c r="A25">
        <v>23</v>
      </c>
      <c r="B25">
        <v>45</v>
      </c>
      <c r="C25">
        <v>0</v>
      </c>
      <c r="D25">
        <v>93.6</v>
      </c>
      <c r="E25">
        <v>1.61</v>
      </c>
      <c r="F25" s="5">
        <f t="shared" si="1"/>
        <v>36.109717989275097</v>
      </c>
      <c r="G25" s="13">
        <v>3</v>
      </c>
      <c r="H25">
        <v>2</v>
      </c>
      <c r="I25">
        <v>2</v>
      </c>
      <c r="J25">
        <v>2</v>
      </c>
      <c r="K25" s="6">
        <v>0.5</v>
      </c>
      <c r="L25" s="6">
        <v>0.66666666666666663</v>
      </c>
      <c r="M25">
        <v>59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 x14ac:dyDescent="0.2">
      <c r="A26">
        <v>24</v>
      </c>
      <c r="B26">
        <v>23</v>
      </c>
      <c r="C26">
        <v>0</v>
      </c>
      <c r="D26">
        <v>119</v>
      </c>
      <c r="E26">
        <v>1.61</v>
      </c>
      <c r="F26" s="5">
        <f t="shared" si="1"/>
        <v>45.908722657304885</v>
      </c>
      <c r="G26" s="13">
        <v>2</v>
      </c>
      <c r="H26">
        <v>2</v>
      </c>
      <c r="I26">
        <v>2</v>
      </c>
      <c r="J26">
        <v>2</v>
      </c>
      <c r="K26" s="6">
        <v>0.5</v>
      </c>
      <c r="L26" s="6">
        <v>0.65277777777777779</v>
      </c>
      <c r="M26">
        <v>40</v>
      </c>
      <c r="N26">
        <v>0</v>
      </c>
      <c r="O26">
        <v>0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1</v>
      </c>
      <c r="W26" t="s">
        <v>29</v>
      </c>
      <c r="X26" t="s">
        <v>30</v>
      </c>
      <c r="Y26">
        <v>2</v>
      </c>
      <c r="Z26">
        <v>1</v>
      </c>
      <c r="AA26">
        <v>120</v>
      </c>
      <c r="AB26">
        <v>3</v>
      </c>
      <c r="AC26">
        <v>2</v>
      </c>
      <c r="AD26">
        <v>0</v>
      </c>
      <c r="AE26">
        <v>0</v>
      </c>
      <c r="AF26">
        <v>0</v>
      </c>
      <c r="AG26">
        <v>0</v>
      </c>
      <c r="AJ26">
        <v>0</v>
      </c>
      <c r="AK26">
        <v>0</v>
      </c>
      <c r="AL26">
        <v>0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0</v>
      </c>
      <c r="AU26">
        <v>0</v>
      </c>
      <c r="AV26">
        <v>0</v>
      </c>
      <c r="AW26">
        <v>0</v>
      </c>
      <c r="AX26">
        <v>2</v>
      </c>
      <c r="AY26">
        <v>1</v>
      </c>
      <c r="AZ26">
        <v>0</v>
      </c>
      <c r="BA26">
        <v>0</v>
      </c>
      <c r="BB26">
        <v>0</v>
      </c>
      <c r="BC26">
        <v>0</v>
      </c>
    </row>
    <row r="27" spans="1:55" x14ac:dyDescent="0.2">
      <c r="A27">
        <v>25</v>
      </c>
      <c r="B27">
        <v>41</v>
      </c>
      <c r="C27">
        <v>0</v>
      </c>
      <c r="D27">
        <v>103</v>
      </c>
      <c r="E27">
        <v>1.6</v>
      </c>
      <c r="F27" s="5">
        <f t="shared" si="1"/>
        <v>40.234374999999993</v>
      </c>
      <c r="G27" s="13">
        <v>2</v>
      </c>
      <c r="H27">
        <v>2</v>
      </c>
      <c r="I27">
        <v>1</v>
      </c>
      <c r="J27">
        <v>1</v>
      </c>
      <c r="K27" s="6">
        <v>0.5</v>
      </c>
      <c r="L27" s="6">
        <v>0.69444444444444453</v>
      </c>
      <c r="M27">
        <v>50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J27">
        <v>0</v>
      </c>
      <c r="AK27">
        <v>0</v>
      </c>
      <c r="AL27">
        <v>50</v>
      </c>
      <c r="AM27">
        <v>2</v>
      </c>
      <c r="AN27">
        <v>1</v>
      </c>
      <c r="AO27">
        <v>0</v>
      </c>
      <c r="AP27">
        <v>0</v>
      </c>
      <c r="AQ27">
        <v>0</v>
      </c>
      <c r="AR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2">
      <c r="A28">
        <v>26</v>
      </c>
      <c r="B28">
        <v>37</v>
      </c>
      <c r="C28">
        <v>0</v>
      </c>
      <c r="D28">
        <v>164</v>
      </c>
      <c r="E28">
        <v>1.72</v>
      </c>
      <c r="F28" s="5">
        <f t="shared" si="1"/>
        <v>55.43537047052461</v>
      </c>
      <c r="G28" s="13">
        <v>1</v>
      </c>
      <c r="H28">
        <v>3</v>
      </c>
      <c r="I28">
        <v>2</v>
      </c>
      <c r="J28">
        <v>2</v>
      </c>
      <c r="K28" s="6">
        <v>0.5</v>
      </c>
      <c r="L28" s="6">
        <v>0.69027777777777777</v>
      </c>
      <c r="M28">
        <v>42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t="s">
        <v>31</v>
      </c>
      <c r="X28" t="s">
        <v>32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 spans="1:55" x14ac:dyDescent="0.2">
      <c r="A29">
        <v>27</v>
      </c>
      <c r="B29">
        <v>28</v>
      </c>
      <c r="C29">
        <v>0</v>
      </c>
      <c r="D29">
        <v>155</v>
      </c>
      <c r="E29">
        <v>1.6</v>
      </c>
      <c r="F29" s="5">
        <f t="shared" si="1"/>
        <v>60.546874999999986</v>
      </c>
      <c r="G29" s="13">
        <v>1</v>
      </c>
      <c r="H29">
        <v>2</v>
      </c>
      <c r="I29">
        <v>3</v>
      </c>
      <c r="J29">
        <v>2</v>
      </c>
      <c r="K29" s="6">
        <v>0.54166666666666663</v>
      </c>
      <c r="L29" s="6">
        <v>0.84652777777777777</v>
      </c>
      <c r="M29">
        <v>50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31</v>
      </c>
      <c r="X29" t="s">
        <v>32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2">
      <c r="A30">
        <v>28</v>
      </c>
      <c r="B30">
        <v>26</v>
      </c>
      <c r="C30">
        <v>0</v>
      </c>
      <c r="D30">
        <v>155.6</v>
      </c>
      <c r="E30">
        <v>1.66</v>
      </c>
      <c r="F30" s="5">
        <f t="shared" si="1"/>
        <v>56.466831180142258</v>
      </c>
      <c r="G30" s="13">
        <v>3</v>
      </c>
      <c r="H30">
        <v>3</v>
      </c>
      <c r="I30">
        <v>1</v>
      </c>
      <c r="J30">
        <v>1</v>
      </c>
      <c r="K30" s="6">
        <v>0.54166666666666663</v>
      </c>
      <c r="L30" s="6">
        <v>0.7270833333333333</v>
      </c>
      <c r="M30">
        <v>58</v>
      </c>
      <c r="N30">
        <v>0</v>
      </c>
      <c r="O30">
        <v>0</v>
      </c>
      <c r="P30">
        <v>1</v>
      </c>
      <c r="Q30">
        <v>3</v>
      </c>
      <c r="R30">
        <v>3</v>
      </c>
      <c r="S30">
        <v>0</v>
      </c>
      <c r="T30">
        <v>0</v>
      </c>
      <c r="U30">
        <v>0</v>
      </c>
      <c r="V30">
        <v>1</v>
      </c>
      <c r="W30" t="s">
        <v>29</v>
      </c>
      <c r="X30" t="s">
        <v>30</v>
      </c>
      <c r="Y30">
        <v>0</v>
      </c>
      <c r="Z30">
        <v>0</v>
      </c>
      <c r="AA30">
        <v>300</v>
      </c>
      <c r="AB30">
        <v>3</v>
      </c>
      <c r="AC30">
        <v>2</v>
      </c>
      <c r="AD30">
        <v>0</v>
      </c>
      <c r="AE30">
        <v>0</v>
      </c>
      <c r="AF30">
        <v>0</v>
      </c>
      <c r="AG30">
        <v>0</v>
      </c>
      <c r="AJ30">
        <v>0</v>
      </c>
      <c r="AK30">
        <v>0</v>
      </c>
      <c r="AL30">
        <v>120</v>
      </c>
      <c r="AM30">
        <v>3</v>
      </c>
      <c r="AN30">
        <v>2</v>
      </c>
      <c r="AO30">
        <v>3</v>
      </c>
      <c r="AP30">
        <v>1</v>
      </c>
      <c r="AQ30">
        <v>2</v>
      </c>
      <c r="AR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 spans="1:55" x14ac:dyDescent="0.2">
      <c r="A31">
        <v>29</v>
      </c>
      <c r="B31">
        <v>27</v>
      </c>
      <c r="C31">
        <v>0</v>
      </c>
      <c r="D31">
        <v>150</v>
      </c>
      <c r="E31">
        <v>1.8</v>
      </c>
      <c r="F31" s="5">
        <f t="shared" si="1"/>
        <v>46.296296296296291</v>
      </c>
      <c r="G31" s="13">
        <v>1</v>
      </c>
      <c r="H31">
        <v>2</v>
      </c>
      <c r="I31">
        <v>3</v>
      </c>
      <c r="J31">
        <v>2</v>
      </c>
      <c r="K31" s="6">
        <v>0.54166666666666663</v>
      </c>
      <c r="L31" s="6">
        <v>0.75</v>
      </c>
      <c r="M31">
        <v>38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31</v>
      </c>
      <c r="X31" t="s">
        <v>33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 x14ac:dyDescent="0.2">
      <c r="A32">
        <v>30</v>
      </c>
      <c r="B32">
        <v>46</v>
      </c>
      <c r="C32">
        <v>0</v>
      </c>
      <c r="D32">
        <v>107.6</v>
      </c>
      <c r="E32">
        <v>1.6</v>
      </c>
      <c r="F32" s="5">
        <f t="shared" si="1"/>
        <v>42.031249999999993</v>
      </c>
      <c r="G32" s="13">
        <v>3</v>
      </c>
      <c r="H32">
        <v>2</v>
      </c>
      <c r="I32">
        <v>3</v>
      </c>
      <c r="J32">
        <v>2</v>
      </c>
      <c r="K32" s="6">
        <v>0.47222222222222227</v>
      </c>
      <c r="L32" s="6">
        <v>0.73402777777777783</v>
      </c>
      <c r="M32">
        <v>34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7" x14ac:dyDescent="0.2">
      <c r="A33">
        <v>31</v>
      </c>
      <c r="B33">
        <v>35</v>
      </c>
      <c r="C33">
        <v>0</v>
      </c>
      <c r="D33">
        <v>128.80000000000001</v>
      </c>
      <c r="E33">
        <v>1.6</v>
      </c>
      <c r="F33" s="5">
        <f t="shared" si="1"/>
        <v>50.312499999999993</v>
      </c>
      <c r="G33" s="13">
        <v>2</v>
      </c>
      <c r="H33">
        <v>2</v>
      </c>
      <c r="I33">
        <v>1</v>
      </c>
      <c r="J33">
        <v>1</v>
      </c>
      <c r="K33" s="6">
        <v>0.47916666666666669</v>
      </c>
      <c r="L33" s="6">
        <v>0.54861111111111105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t="s">
        <v>31</v>
      </c>
      <c r="X33" t="s">
        <v>33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7" x14ac:dyDescent="0.2">
      <c r="A34">
        <v>32</v>
      </c>
      <c r="B34">
        <v>20</v>
      </c>
      <c r="C34">
        <v>0</v>
      </c>
      <c r="D34">
        <v>128.69999999999999</v>
      </c>
      <c r="E34">
        <v>1.6</v>
      </c>
      <c r="F34" s="5">
        <f t="shared" si="1"/>
        <v>50.273437499999986</v>
      </c>
      <c r="G34" s="13">
        <v>1</v>
      </c>
      <c r="H34">
        <v>2</v>
      </c>
      <c r="I34">
        <v>2</v>
      </c>
      <c r="J34">
        <v>2</v>
      </c>
      <c r="K34" s="6">
        <v>0.47916666666666669</v>
      </c>
      <c r="L34" s="6">
        <v>0.54999999999999993</v>
      </c>
      <c r="M34">
        <v>28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7" x14ac:dyDescent="0.2">
      <c r="A35">
        <v>33</v>
      </c>
      <c r="B35">
        <v>52</v>
      </c>
      <c r="C35">
        <v>0</v>
      </c>
      <c r="D35">
        <v>105.3</v>
      </c>
      <c r="E35">
        <v>1.53</v>
      </c>
      <c r="F35" s="5">
        <f t="shared" si="1"/>
        <v>44.982698961937714</v>
      </c>
      <c r="G35" s="13">
        <v>3</v>
      </c>
      <c r="H35">
        <v>2</v>
      </c>
      <c r="I35">
        <v>3</v>
      </c>
      <c r="J35">
        <v>2</v>
      </c>
      <c r="K35" s="6">
        <v>0.47916666666666669</v>
      </c>
      <c r="L35" s="6">
        <v>0.76388888888888884</v>
      </c>
      <c r="M35">
        <v>30</v>
      </c>
      <c r="N35">
        <v>0</v>
      </c>
      <c r="O35">
        <v>0</v>
      </c>
      <c r="P35">
        <v>1</v>
      </c>
      <c r="Q35">
        <v>1</v>
      </c>
      <c r="R35">
        <v>1</v>
      </c>
      <c r="S35">
        <v>0</v>
      </c>
      <c r="T35">
        <v>0</v>
      </c>
      <c r="U35">
        <v>0</v>
      </c>
      <c r="V35">
        <v>1</v>
      </c>
      <c r="W35" t="s">
        <v>29</v>
      </c>
      <c r="X35" t="s">
        <v>30</v>
      </c>
      <c r="Y35">
        <v>0</v>
      </c>
      <c r="Z35">
        <v>1</v>
      </c>
      <c r="AA35">
        <v>120</v>
      </c>
      <c r="AB35">
        <v>3</v>
      </c>
      <c r="AC35">
        <v>2</v>
      </c>
      <c r="AD35">
        <v>0</v>
      </c>
      <c r="AE35">
        <v>0</v>
      </c>
      <c r="AF35">
        <v>0</v>
      </c>
      <c r="AG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 spans="1:57" x14ac:dyDescent="0.2">
      <c r="A36">
        <v>34</v>
      </c>
      <c r="B36">
        <v>49</v>
      </c>
      <c r="C36">
        <v>0</v>
      </c>
      <c r="D36">
        <v>101.9</v>
      </c>
      <c r="E36">
        <v>1.65</v>
      </c>
      <c r="F36" s="5">
        <f t="shared" si="1"/>
        <v>37.428833792470165</v>
      </c>
      <c r="G36" s="13">
        <v>1</v>
      </c>
      <c r="H36">
        <v>2</v>
      </c>
      <c r="I36">
        <v>1</v>
      </c>
      <c r="J36">
        <v>1</v>
      </c>
      <c r="K36" s="6">
        <v>0.48680555555555555</v>
      </c>
      <c r="L36" s="6">
        <v>0.625</v>
      </c>
      <c r="M36">
        <v>42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 spans="1:57" x14ac:dyDescent="0.2">
      <c r="A37">
        <v>35</v>
      </c>
      <c r="B37">
        <v>33</v>
      </c>
      <c r="C37">
        <v>0</v>
      </c>
      <c r="D37">
        <v>86.8</v>
      </c>
      <c r="E37">
        <v>1.7</v>
      </c>
      <c r="F37" s="5">
        <f t="shared" si="1"/>
        <v>30.034602076124571</v>
      </c>
      <c r="G37" s="13">
        <v>3</v>
      </c>
      <c r="H37">
        <v>1</v>
      </c>
      <c r="I37">
        <v>2</v>
      </c>
      <c r="J37">
        <v>2</v>
      </c>
      <c r="K37" s="6">
        <v>0.47916666666666669</v>
      </c>
      <c r="L37" s="6">
        <v>0.61944444444444446</v>
      </c>
      <c r="M37">
        <v>58</v>
      </c>
      <c r="N37">
        <v>0</v>
      </c>
      <c r="O37">
        <v>0</v>
      </c>
      <c r="P37">
        <v>1</v>
      </c>
      <c r="Q37">
        <v>1</v>
      </c>
      <c r="R37">
        <v>1</v>
      </c>
      <c r="S37">
        <v>0</v>
      </c>
      <c r="T37">
        <v>0</v>
      </c>
      <c r="U37">
        <v>0</v>
      </c>
      <c r="V37">
        <v>1</v>
      </c>
      <c r="W37" t="s">
        <v>29</v>
      </c>
      <c r="X37" t="s">
        <v>30</v>
      </c>
      <c r="Y37">
        <v>0</v>
      </c>
      <c r="Z37">
        <v>2</v>
      </c>
      <c r="AA37">
        <v>120</v>
      </c>
      <c r="AB37">
        <v>5</v>
      </c>
      <c r="AC37">
        <v>2</v>
      </c>
      <c r="AD37">
        <v>0</v>
      </c>
      <c r="AE37">
        <v>0</v>
      </c>
      <c r="AF37">
        <v>0</v>
      </c>
      <c r="AG37">
        <v>0</v>
      </c>
      <c r="AJ37">
        <v>0</v>
      </c>
      <c r="AK37">
        <v>0</v>
      </c>
      <c r="AL37">
        <v>90</v>
      </c>
      <c r="AM37">
        <v>7</v>
      </c>
      <c r="AN37">
        <v>1</v>
      </c>
      <c r="AO37">
        <v>0</v>
      </c>
      <c r="AP37">
        <v>0</v>
      </c>
      <c r="AQ37">
        <v>0</v>
      </c>
      <c r="AR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 spans="1:57" x14ac:dyDescent="0.2">
      <c r="A38">
        <v>36</v>
      </c>
      <c r="B38">
        <v>31</v>
      </c>
      <c r="C38">
        <v>0</v>
      </c>
      <c r="D38">
        <v>137.80000000000001</v>
      </c>
      <c r="E38">
        <v>1.8</v>
      </c>
      <c r="F38" s="5">
        <f t="shared" si="1"/>
        <v>42.530864197530867</v>
      </c>
      <c r="G38" s="13">
        <v>3</v>
      </c>
      <c r="H38">
        <v>2</v>
      </c>
      <c r="I38">
        <v>3</v>
      </c>
      <c r="J38">
        <v>2</v>
      </c>
      <c r="K38" s="6">
        <v>0.49305555555555558</v>
      </c>
      <c r="L38" s="6">
        <v>0.90277777777777779</v>
      </c>
      <c r="M38">
        <v>50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J38">
        <v>0</v>
      </c>
      <c r="AK38">
        <v>0</v>
      </c>
      <c r="AL38">
        <v>30</v>
      </c>
      <c r="AM38">
        <v>1</v>
      </c>
      <c r="AN38">
        <v>1</v>
      </c>
      <c r="AO38">
        <v>0</v>
      </c>
      <c r="AP38">
        <v>0</v>
      </c>
      <c r="AQ38">
        <v>0</v>
      </c>
      <c r="AR38">
        <v>1</v>
      </c>
      <c r="AS38" t="s">
        <v>37</v>
      </c>
      <c r="AT38" t="s">
        <v>38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 spans="1:57" x14ac:dyDescent="0.2">
      <c r="A39">
        <v>37</v>
      </c>
      <c r="B39">
        <v>20</v>
      </c>
      <c r="C39">
        <v>0</v>
      </c>
      <c r="D39">
        <v>132.4</v>
      </c>
      <c r="E39">
        <v>1.62</v>
      </c>
      <c r="F39" s="5">
        <f t="shared" si="1"/>
        <v>50.449626581313815</v>
      </c>
      <c r="G39" s="13">
        <v>1</v>
      </c>
      <c r="H39">
        <v>2</v>
      </c>
      <c r="I39">
        <v>1</v>
      </c>
      <c r="J39">
        <v>1</v>
      </c>
      <c r="K39" s="6">
        <v>0.53472222222222221</v>
      </c>
      <c r="L39" s="6">
        <v>0.6743055555555556</v>
      </c>
      <c r="M39">
        <v>39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t="s">
        <v>31</v>
      </c>
      <c r="X39" t="s">
        <v>32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J39">
        <v>0</v>
      </c>
      <c r="AK39">
        <v>0</v>
      </c>
      <c r="AL39">
        <v>300</v>
      </c>
      <c r="AM39">
        <v>6</v>
      </c>
      <c r="AN39">
        <v>2</v>
      </c>
      <c r="AO39">
        <v>0</v>
      </c>
      <c r="AP39">
        <v>0</v>
      </c>
      <c r="AQ39">
        <v>0</v>
      </c>
      <c r="AR39">
        <v>0</v>
      </c>
      <c r="AU39">
        <v>0</v>
      </c>
      <c r="AV39">
        <v>0</v>
      </c>
      <c r="AW39">
        <v>360</v>
      </c>
      <c r="AX39">
        <v>9</v>
      </c>
      <c r="AY39">
        <v>2</v>
      </c>
      <c r="AZ39">
        <v>0</v>
      </c>
      <c r="BA39">
        <v>0</v>
      </c>
      <c r="BB39">
        <v>0</v>
      </c>
      <c r="BC39">
        <v>0</v>
      </c>
    </row>
    <row r="40" spans="1:57" x14ac:dyDescent="0.2">
      <c r="A40">
        <v>38</v>
      </c>
      <c r="B40">
        <v>34</v>
      </c>
      <c r="C40">
        <v>0</v>
      </c>
      <c r="D40">
        <v>158.6</v>
      </c>
      <c r="E40">
        <v>1.84</v>
      </c>
      <c r="F40" s="5">
        <f t="shared" si="1"/>
        <v>46.845463137996212</v>
      </c>
      <c r="G40" s="13">
        <v>2</v>
      </c>
      <c r="H40">
        <v>2</v>
      </c>
      <c r="I40">
        <v>2</v>
      </c>
      <c r="J40">
        <v>2</v>
      </c>
      <c r="K40" s="6">
        <v>0.53541666666666665</v>
      </c>
      <c r="L40" s="6">
        <v>0.67361111111111116</v>
      </c>
      <c r="M40">
        <v>30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s">
        <v>39</v>
      </c>
      <c r="AI40" t="s">
        <v>40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7" x14ac:dyDescent="0.2">
      <c r="A41">
        <v>39</v>
      </c>
      <c r="B41">
        <v>53</v>
      </c>
      <c r="C41">
        <v>0</v>
      </c>
      <c r="D41">
        <v>92.9</v>
      </c>
      <c r="E41">
        <v>1.58</v>
      </c>
      <c r="F41" s="5">
        <f t="shared" si="1"/>
        <v>37.213587566095171</v>
      </c>
      <c r="G41" s="13">
        <v>3</v>
      </c>
      <c r="H41">
        <v>2</v>
      </c>
      <c r="I41">
        <v>3</v>
      </c>
      <c r="J41">
        <v>2</v>
      </c>
      <c r="K41" s="6">
        <v>0.63541666666666663</v>
      </c>
      <c r="L41" s="6">
        <v>0.84236111111111101</v>
      </c>
      <c r="M41">
        <v>52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 spans="1:57" x14ac:dyDescent="0.2">
      <c r="A42">
        <v>40</v>
      </c>
      <c r="B42">
        <v>43</v>
      </c>
      <c r="C42">
        <v>0</v>
      </c>
      <c r="D42">
        <v>109.3</v>
      </c>
      <c r="E42">
        <v>1.7</v>
      </c>
      <c r="F42" s="5">
        <f t="shared" si="1"/>
        <v>37.820069204152254</v>
      </c>
      <c r="G42" s="13">
        <v>2</v>
      </c>
      <c r="H42">
        <v>2</v>
      </c>
      <c r="I42">
        <v>1</v>
      </c>
      <c r="J42">
        <v>1</v>
      </c>
      <c r="K42" s="6">
        <v>0.63541666666666663</v>
      </c>
      <c r="L42" s="6">
        <v>0.91666666666666663</v>
      </c>
      <c r="M42">
        <v>30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7" x14ac:dyDescent="0.2">
      <c r="A43">
        <v>41</v>
      </c>
      <c r="B43">
        <v>35</v>
      </c>
      <c r="C43">
        <v>0</v>
      </c>
      <c r="D43">
        <v>128</v>
      </c>
      <c r="E43">
        <v>1.6</v>
      </c>
      <c r="F43" s="5">
        <f t="shared" si="1"/>
        <v>49.999999999999993</v>
      </c>
      <c r="G43" s="13">
        <v>1</v>
      </c>
      <c r="H43">
        <v>2</v>
      </c>
      <c r="I43">
        <v>2</v>
      </c>
      <c r="J43">
        <v>2</v>
      </c>
      <c r="K43" s="6">
        <v>0.64583333333333337</v>
      </c>
      <c r="L43" s="6">
        <v>0.90833333333333333</v>
      </c>
      <c r="M43">
        <v>47</v>
      </c>
      <c r="N43">
        <v>0</v>
      </c>
      <c r="O43">
        <v>0</v>
      </c>
      <c r="P43">
        <v>1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 t="s">
        <v>31</v>
      </c>
      <c r="X43" t="s">
        <v>32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7" x14ac:dyDescent="0.2">
      <c r="A44">
        <v>42</v>
      </c>
      <c r="B44">
        <v>43</v>
      </c>
      <c r="C44">
        <v>0</v>
      </c>
      <c r="D44">
        <v>138.69999999999999</v>
      </c>
      <c r="E44">
        <v>1.62</v>
      </c>
      <c r="F44" s="5">
        <f t="shared" si="1"/>
        <v>52.850175278158801</v>
      </c>
      <c r="G44" s="13">
        <v>2</v>
      </c>
      <c r="H44">
        <v>3</v>
      </c>
      <c r="I44">
        <v>3</v>
      </c>
      <c r="J44">
        <v>2</v>
      </c>
      <c r="K44" s="6">
        <v>0.42708333333333331</v>
      </c>
      <c r="L44" s="6">
        <v>0.5625</v>
      </c>
      <c r="M44">
        <v>30</v>
      </c>
      <c r="N44">
        <v>0</v>
      </c>
      <c r="O44">
        <v>0</v>
      </c>
      <c r="P44">
        <v>1</v>
      </c>
      <c r="Q44">
        <v>1</v>
      </c>
      <c r="R44">
        <v>1</v>
      </c>
      <c r="S44">
        <v>0</v>
      </c>
      <c r="T44">
        <v>0</v>
      </c>
      <c r="U44">
        <v>0</v>
      </c>
      <c r="V44">
        <v>1</v>
      </c>
      <c r="W44" t="s">
        <v>29</v>
      </c>
      <c r="X44" t="s">
        <v>30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 spans="1:57" x14ac:dyDescent="0.2">
      <c r="A45">
        <v>43</v>
      </c>
      <c r="B45">
        <v>40</v>
      </c>
      <c r="C45">
        <v>0</v>
      </c>
      <c r="D45">
        <v>109.2</v>
      </c>
      <c r="E45">
        <v>1.65</v>
      </c>
      <c r="F45" s="5">
        <f t="shared" si="1"/>
        <v>40.110192837465569</v>
      </c>
      <c r="G45" s="13">
        <v>3</v>
      </c>
      <c r="H45">
        <v>2</v>
      </c>
      <c r="I45">
        <v>1</v>
      </c>
      <c r="J45">
        <v>1</v>
      </c>
      <c r="K45" s="6">
        <v>0.42708333333333331</v>
      </c>
      <c r="L45" s="6">
        <v>0.58333333333333337</v>
      </c>
      <c r="M45">
        <v>30</v>
      </c>
      <c r="N45">
        <v>6</v>
      </c>
      <c r="O45">
        <v>2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Y45">
        <v>5</v>
      </c>
      <c r="Z45">
        <v>2</v>
      </c>
      <c r="AA45">
        <v>180</v>
      </c>
      <c r="AB45">
        <v>6</v>
      </c>
      <c r="AC45">
        <v>2</v>
      </c>
      <c r="AD45">
        <v>0</v>
      </c>
      <c r="AE45">
        <v>0</v>
      </c>
      <c r="AF45">
        <v>0</v>
      </c>
      <c r="AG45">
        <v>0</v>
      </c>
      <c r="AJ45">
        <v>2</v>
      </c>
      <c r="AK45">
        <v>2</v>
      </c>
      <c r="AL45">
        <v>120</v>
      </c>
      <c r="AM45">
        <v>3</v>
      </c>
      <c r="AN45">
        <v>2</v>
      </c>
      <c r="AO45">
        <v>0</v>
      </c>
      <c r="AP45">
        <v>0</v>
      </c>
      <c r="AQ45">
        <v>0</v>
      </c>
      <c r="AR45">
        <v>1</v>
      </c>
      <c r="AS45" t="s">
        <v>41</v>
      </c>
      <c r="AT45" t="s">
        <v>42</v>
      </c>
      <c r="AU45">
        <v>2</v>
      </c>
      <c r="AV45">
        <v>2</v>
      </c>
      <c r="AW45">
        <v>180</v>
      </c>
      <c r="AX45">
        <v>5</v>
      </c>
      <c r="AY45">
        <v>2</v>
      </c>
      <c r="AZ45">
        <v>0</v>
      </c>
      <c r="BA45">
        <v>0</v>
      </c>
      <c r="BB45">
        <v>0</v>
      </c>
      <c r="BC45">
        <v>1</v>
      </c>
      <c r="BD45" t="s">
        <v>41</v>
      </c>
      <c r="BE45" t="s">
        <v>42</v>
      </c>
    </row>
    <row r="46" spans="1:57" x14ac:dyDescent="0.2">
      <c r="A46">
        <v>44</v>
      </c>
      <c r="B46">
        <v>62</v>
      </c>
      <c r="C46">
        <v>0</v>
      </c>
      <c r="D46">
        <v>91</v>
      </c>
      <c r="E46">
        <v>1.7</v>
      </c>
      <c r="F46" s="5">
        <f t="shared" si="1"/>
        <v>31.487889273356405</v>
      </c>
      <c r="G46" s="13">
        <v>3</v>
      </c>
      <c r="H46">
        <v>2</v>
      </c>
      <c r="I46">
        <v>2</v>
      </c>
      <c r="J46">
        <v>2</v>
      </c>
      <c r="K46" s="6">
        <v>0.43055555555555558</v>
      </c>
      <c r="L46" s="6">
        <v>0.61458333333333337</v>
      </c>
      <c r="M46">
        <v>90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Y46">
        <v>0</v>
      </c>
      <c r="Z46">
        <v>0</v>
      </c>
      <c r="AA46">
        <v>120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7" x14ac:dyDescent="0.2">
      <c r="A47">
        <v>45</v>
      </c>
      <c r="B47">
        <v>49</v>
      </c>
      <c r="C47">
        <v>0</v>
      </c>
      <c r="D47">
        <v>92.4</v>
      </c>
      <c r="E47">
        <v>1.66</v>
      </c>
      <c r="F47" s="5">
        <f t="shared" si="1"/>
        <v>33.531717230367256</v>
      </c>
      <c r="G47" s="13">
        <v>2</v>
      </c>
      <c r="H47">
        <v>2</v>
      </c>
      <c r="I47">
        <v>3</v>
      </c>
      <c r="J47">
        <v>2</v>
      </c>
      <c r="K47" s="6">
        <v>0.43055555555555558</v>
      </c>
      <c r="L47" s="6">
        <v>0.59722222222222221</v>
      </c>
      <c r="M47">
        <v>30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1:57" x14ac:dyDescent="0.2">
      <c r="A48">
        <v>46</v>
      </c>
      <c r="B48">
        <v>27</v>
      </c>
      <c r="C48">
        <v>0</v>
      </c>
      <c r="D48">
        <v>134.6</v>
      </c>
      <c r="E48">
        <v>1.63</v>
      </c>
      <c r="F48" s="5">
        <f t="shared" si="1"/>
        <v>50.660544243291056</v>
      </c>
      <c r="G48" s="13">
        <v>2</v>
      </c>
      <c r="H48">
        <v>3</v>
      </c>
      <c r="I48">
        <v>1</v>
      </c>
      <c r="J48">
        <v>1</v>
      </c>
      <c r="K48" s="6">
        <v>0.4375</v>
      </c>
      <c r="L48" s="6">
        <v>0.53472222222222221</v>
      </c>
      <c r="M48">
        <v>30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31</v>
      </c>
      <c r="X48" t="s">
        <v>32</v>
      </c>
      <c r="Y48">
        <v>0</v>
      </c>
      <c r="Z48">
        <v>0</v>
      </c>
      <c r="AA48">
        <v>30</v>
      </c>
      <c r="AB48">
        <v>2</v>
      </c>
      <c r="AC48">
        <v>0</v>
      </c>
      <c r="AD48">
        <v>0</v>
      </c>
      <c r="AE48">
        <v>0</v>
      </c>
      <c r="AF48">
        <v>0</v>
      </c>
      <c r="AG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 spans="1:57" x14ac:dyDescent="0.2">
      <c r="A49">
        <v>47</v>
      </c>
      <c r="B49">
        <v>38</v>
      </c>
      <c r="C49">
        <v>0</v>
      </c>
      <c r="D49">
        <v>86.2</v>
      </c>
      <c r="E49">
        <v>1.63</v>
      </c>
      <c r="F49" s="5">
        <f t="shared" si="1"/>
        <v>32.443825510933799</v>
      </c>
      <c r="G49" s="13">
        <v>1</v>
      </c>
      <c r="H49">
        <v>1</v>
      </c>
      <c r="I49">
        <v>2</v>
      </c>
      <c r="J49">
        <v>2</v>
      </c>
      <c r="K49" s="6">
        <v>0.4375</v>
      </c>
      <c r="L49" s="6">
        <v>0.73958333333333337</v>
      </c>
      <c r="M49">
        <v>50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 spans="1:57" x14ac:dyDescent="0.2">
      <c r="A50">
        <v>48</v>
      </c>
      <c r="B50">
        <v>29</v>
      </c>
      <c r="C50">
        <v>0</v>
      </c>
      <c r="D50">
        <v>112.3</v>
      </c>
      <c r="E50">
        <v>1.75</v>
      </c>
      <c r="F50" s="5">
        <f t="shared" si="1"/>
        <v>36.669387755102036</v>
      </c>
      <c r="G50" s="13">
        <v>1</v>
      </c>
      <c r="H50">
        <v>2</v>
      </c>
      <c r="I50">
        <v>3</v>
      </c>
      <c r="J50">
        <v>2</v>
      </c>
      <c r="K50" s="6">
        <v>0.4375</v>
      </c>
      <c r="L50" s="6">
        <v>0.5</v>
      </c>
      <c r="M50">
        <v>25</v>
      </c>
      <c r="N50">
        <v>0</v>
      </c>
      <c r="O50">
        <v>0</v>
      </c>
      <c r="P50">
        <v>1</v>
      </c>
      <c r="Q50">
        <v>3</v>
      </c>
      <c r="R50">
        <v>2</v>
      </c>
      <c r="S50">
        <v>0</v>
      </c>
      <c r="T50">
        <v>0</v>
      </c>
      <c r="U50">
        <v>0</v>
      </c>
      <c r="V50">
        <v>1</v>
      </c>
      <c r="W50" t="s">
        <v>35</v>
      </c>
      <c r="X50" t="s">
        <v>36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 spans="1:57" x14ac:dyDescent="0.2">
      <c r="A51">
        <v>49</v>
      </c>
      <c r="B51">
        <v>52</v>
      </c>
      <c r="C51">
        <v>0</v>
      </c>
      <c r="D51">
        <v>93.1</v>
      </c>
      <c r="E51">
        <v>1.71</v>
      </c>
      <c r="F51" s="5">
        <f t="shared" si="1"/>
        <v>31.83885640025991</v>
      </c>
      <c r="G51" s="13">
        <v>2</v>
      </c>
      <c r="H51">
        <v>2</v>
      </c>
      <c r="I51">
        <v>1</v>
      </c>
      <c r="J51">
        <v>1</v>
      </c>
      <c r="K51" s="6">
        <v>0.44791666666666669</v>
      </c>
      <c r="L51" s="6">
        <v>0.49305555555555558</v>
      </c>
      <c r="M51">
        <v>30</v>
      </c>
      <c r="N51">
        <v>0</v>
      </c>
      <c r="O51">
        <v>0</v>
      </c>
      <c r="P51">
        <v>1</v>
      </c>
      <c r="Q51">
        <v>3</v>
      </c>
      <c r="R51">
        <v>2</v>
      </c>
      <c r="S51">
        <v>0</v>
      </c>
      <c r="T51">
        <v>0</v>
      </c>
      <c r="U51">
        <v>0</v>
      </c>
      <c r="V51">
        <v>1</v>
      </c>
      <c r="W51" t="s">
        <v>35</v>
      </c>
      <c r="X51" t="s">
        <v>36</v>
      </c>
      <c r="Y51">
        <v>0</v>
      </c>
      <c r="Z51">
        <v>0</v>
      </c>
      <c r="AA51">
        <v>300</v>
      </c>
      <c r="AB51">
        <v>5</v>
      </c>
      <c r="AC51">
        <v>3</v>
      </c>
      <c r="AD51">
        <v>0</v>
      </c>
      <c r="AE51">
        <v>0</v>
      </c>
      <c r="AF51">
        <v>0</v>
      </c>
      <c r="AG51">
        <v>0</v>
      </c>
      <c r="AJ51">
        <v>0</v>
      </c>
      <c r="AK51">
        <v>0</v>
      </c>
      <c r="AL51">
        <v>360</v>
      </c>
      <c r="AM51">
        <v>7</v>
      </c>
      <c r="AN51">
        <v>3</v>
      </c>
      <c r="AO51">
        <v>0</v>
      </c>
      <c r="AP51">
        <v>0</v>
      </c>
      <c r="AQ51">
        <v>0</v>
      </c>
      <c r="AR51">
        <v>0</v>
      </c>
      <c r="AU51">
        <v>0</v>
      </c>
      <c r="AV51">
        <v>0</v>
      </c>
      <c r="AW51">
        <v>300</v>
      </c>
      <c r="AX51">
        <v>6</v>
      </c>
      <c r="AY51">
        <v>3</v>
      </c>
      <c r="AZ51">
        <v>0</v>
      </c>
      <c r="BA51">
        <v>0</v>
      </c>
      <c r="BB51">
        <v>0</v>
      </c>
      <c r="BC51">
        <v>0</v>
      </c>
      <c r="BD51" t="s">
        <v>43</v>
      </c>
      <c r="BE51" t="s">
        <v>44</v>
      </c>
    </row>
    <row r="52" spans="1:57" x14ac:dyDescent="0.2">
      <c r="A52">
        <v>50</v>
      </c>
      <c r="B52">
        <v>48</v>
      </c>
      <c r="C52">
        <v>0</v>
      </c>
      <c r="D52">
        <v>119.1</v>
      </c>
      <c r="E52">
        <v>1.78</v>
      </c>
      <c r="F52" s="5">
        <f t="shared" si="1"/>
        <v>37.589950763792444</v>
      </c>
      <c r="G52" s="13">
        <v>3</v>
      </c>
      <c r="H52">
        <v>1</v>
      </c>
      <c r="I52">
        <v>2</v>
      </c>
      <c r="J52">
        <v>2</v>
      </c>
      <c r="K52" s="6">
        <v>0.44791666666666669</v>
      </c>
      <c r="L52" s="6">
        <v>0.49652777777777773</v>
      </c>
      <c r="M52">
        <v>80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7" x14ac:dyDescent="0.2">
      <c r="A53">
        <v>51</v>
      </c>
      <c r="B53">
        <v>30</v>
      </c>
      <c r="C53">
        <v>0</v>
      </c>
      <c r="D53">
        <v>120.5</v>
      </c>
      <c r="E53">
        <v>1.64</v>
      </c>
      <c r="F53" s="5">
        <f t="shared" si="1"/>
        <v>44.802201070791206</v>
      </c>
      <c r="G53" s="13">
        <v>2</v>
      </c>
      <c r="H53">
        <v>2</v>
      </c>
      <c r="I53">
        <v>3</v>
      </c>
      <c r="J53">
        <v>2</v>
      </c>
      <c r="K53" s="6">
        <v>0.47916666666666669</v>
      </c>
      <c r="L53" s="6">
        <v>0.62916666666666665</v>
      </c>
      <c r="M53">
        <v>45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 spans="1:57" x14ac:dyDescent="0.2">
      <c r="A54">
        <v>52</v>
      </c>
      <c r="B54">
        <v>33</v>
      </c>
      <c r="C54">
        <v>0</v>
      </c>
      <c r="D54">
        <v>99.3</v>
      </c>
      <c r="E54">
        <v>1.58</v>
      </c>
      <c r="F54" s="5">
        <f t="shared" si="1"/>
        <v>39.777279282166312</v>
      </c>
      <c r="G54" s="13">
        <v>3</v>
      </c>
      <c r="H54">
        <v>2</v>
      </c>
      <c r="I54">
        <v>1</v>
      </c>
      <c r="J54">
        <v>1</v>
      </c>
      <c r="K54" s="6">
        <v>0.45833333333333331</v>
      </c>
      <c r="L54" s="6">
        <v>0.5625</v>
      </c>
      <c r="M54">
        <v>60</v>
      </c>
      <c r="N54">
        <v>0</v>
      </c>
      <c r="O54">
        <v>0</v>
      </c>
      <c r="P54">
        <v>1</v>
      </c>
      <c r="Q54">
        <v>3</v>
      </c>
      <c r="R54">
        <v>3</v>
      </c>
      <c r="S54">
        <v>2</v>
      </c>
      <c r="T54">
        <v>1</v>
      </c>
      <c r="U54">
        <v>2</v>
      </c>
      <c r="V54">
        <v>1</v>
      </c>
      <c r="W54" t="s">
        <v>35</v>
      </c>
      <c r="X54" t="s">
        <v>36</v>
      </c>
      <c r="Y54">
        <v>0</v>
      </c>
      <c r="Z54">
        <v>0</v>
      </c>
      <c r="AA54">
        <v>30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1:57" x14ac:dyDescent="0.2">
      <c r="A55">
        <v>53</v>
      </c>
      <c r="B55">
        <v>39</v>
      </c>
      <c r="C55">
        <v>0</v>
      </c>
      <c r="D55">
        <v>105.2</v>
      </c>
      <c r="E55">
        <v>1.61</v>
      </c>
      <c r="F55" s="5">
        <f t="shared" si="1"/>
        <v>40.584853979398936</v>
      </c>
      <c r="G55" s="13">
        <v>1</v>
      </c>
      <c r="H55">
        <v>2</v>
      </c>
      <c r="I55">
        <v>2</v>
      </c>
      <c r="J55">
        <v>2</v>
      </c>
      <c r="K55" s="6">
        <v>0.45833333333333331</v>
      </c>
      <c r="L55" s="6">
        <v>0.53472222222222221</v>
      </c>
      <c r="M55">
        <v>45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 spans="1:57" x14ac:dyDescent="0.2">
      <c r="A56">
        <v>54</v>
      </c>
      <c r="B56">
        <v>29</v>
      </c>
      <c r="C56">
        <v>0</v>
      </c>
      <c r="D56">
        <v>91.3</v>
      </c>
      <c r="E56">
        <v>1.66</v>
      </c>
      <c r="F56" s="5">
        <f t="shared" si="1"/>
        <v>33.132530120481931</v>
      </c>
      <c r="G56" s="13">
        <v>2</v>
      </c>
      <c r="H56">
        <v>2</v>
      </c>
      <c r="I56">
        <v>3</v>
      </c>
      <c r="J56">
        <v>2</v>
      </c>
      <c r="K56" s="6">
        <v>0.45833333333333331</v>
      </c>
      <c r="L56" s="6">
        <v>0.66666666666666663</v>
      </c>
      <c r="M56">
        <v>50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</row>
    <row r="57" spans="1:57" x14ac:dyDescent="0.2">
      <c r="A57">
        <v>55</v>
      </c>
      <c r="B57">
        <v>47</v>
      </c>
      <c r="C57">
        <v>0</v>
      </c>
      <c r="D57">
        <v>105.3</v>
      </c>
      <c r="E57">
        <v>1.65</v>
      </c>
      <c r="F57" s="5">
        <f t="shared" si="1"/>
        <v>38.677685950413228</v>
      </c>
      <c r="G57" s="13">
        <v>3</v>
      </c>
      <c r="H57">
        <v>2</v>
      </c>
      <c r="I57">
        <v>1</v>
      </c>
      <c r="J57">
        <v>1</v>
      </c>
      <c r="K57" s="6">
        <v>0.67708333333333337</v>
      </c>
      <c r="L57" s="6">
        <v>0.74305555555555547</v>
      </c>
      <c r="M57">
        <v>55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7" x14ac:dyDescent="0.2">
      <c r="A58">
        <v>56</v>
      </c>
      <c r="B58">
        <v>37</v>
      </c>
      <c r="C58">
        <v>0</v>
      </c>
      <c r="D58">
        <v>101.7</v>
      </c>
      <c r="E58">
        <v>1.67</v>
      </c>
      <c r="F58" s="5">
        <f t="shared" si="1"/>
        <v>36.46599017533795</v>
      </c>
      <c r="G58" s="13">
        <v>3</v>
      </c>
      <c r="H58">
        <v>2</v>
      </c>
      <c r="I58">
        <v>2</v>
      </c>
      <c r="J58">
        <v>2</v>
      </c>
      <c r="K58" s="6">
        <v>0.6875</v>
      </c>
      <c r="L58" s="6">
        <v>0.79513888888888884</v>
      </c>
      <c r="M58">
        <v>100</v>
      </c>
      <c r="N58">
        <v>0</v>
      </c>
      <c r="O58">
        <v>0</v>
      </c>
      <c r="P58">
        <v>0</v>
      </c>
      <c r="Q58">
        <v>3</v>
      </c>
      <c r="R58">
        <v>2</v>
      </c>
      <c r="S58">
        <v>0</v>
      </c>
      <c r="T58">
        <v>0</v>
      </c>
      <c r="U58">
        <v>0</v>
      </c>
      <c r="V58">
        <v>1</v>
      </c>
      <c r="W58" t="s">
        <v>35</v>
      </c>
      <c r="X58" t="s">
        <v>36</v>
      </c>
      <c r="Y58">
        <v>0</v>
      </c>
      <c r="Z58">
        <v>0</v>
      </c>
      <c r="AA58">
        <v>30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7" x14ac:dyDescent="0.2">
      <c r="A59">
        <v>57</v>
      </c>
      <c r="B59">
        <v>35</v>
      </c>
      <c r="C59">
        <v>0</v>
      </c>
      <c r="D59">
        <v>164.9</v>
      </c>
      <c r="E59">
        <v>1.75</v>
      </c>
      <c r="F59" s="5">
        <f t="shared" si="1"/>
        <v>53.844897959183676</v>
      </c>
      <c r="G59" s="13">
        <v>2</v>
      </c>
      <c r="H59">
        <v>2</v>
      </c>
      <c r="I59">
        <v>3</v>
      </c>
      <c r="J59">
        <v>2</v>
      </c>
      <c r="K59" s="6">
        <v>0.4513888888888889</v>
      </c>
      <c r="L59" s="6">
        <v>0.74305555555555547</v>
      </c>
      <c r="M59">
        <v>30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J59">
        <v>0</v>
      </c>
      <c r="AK59">
        <v>0</v>
      </c>
      <c r="AL59">
        <v>120</v>
      </c>
      <c r="AM59">
        <v>1</v>
      </c>
      <c r="AN59">
        <v>1</v>
      </c>
      <c r="AO59">
        <v>0</v>
      </c>
      <c r="AP59">
        <v>0</v>
      </c>
      <c r="AQ59">
        <v>0</v>
      </c>
      <c r="AR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 spans="1:57" x14ac:dyDescent="0.2">
      <c r="A60">
        <v>58</v>
      </c>
      <c r="B60">
        <v>50</v>
      </c>
      <c r="C60">
        <v>0</v>
      </c>
      <c r="D60">
        <v>95.8</v>
      </c>
      <c r="E60">
        <v>1.66</v>
      </c>
      <c r="F60" s="5">
        <f t="shared" si="1"/>
        <v>34.765568297285526</v>
      </c>
      <c r="G60" s="13">
        <v>2</v>
      </c>
      <c r="H60">
        <v>2</v>
      </c>
      <c r="I60">
        <v>1</v>
      </c>
      <c r="J60">
        <v>1</v>
      </c>
      <c r="K60" s="6">
        <v>0.45833333333333331</v>
      </c>
      <c r="L60" s="6">
        <v>0.5625</v>
      </c>
      <c r="M60">
        <v>30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J60">
        <v>0</v>
      </c>
      <c r="AK60">
        <v>1</v>
      </c>
      <c r="AL60">
        <v>50</v>
      </c>
      <c r="AM60">
        <v>2</v>
      </c>
      <c r="AN60">
        <v>1</v>
      </c>
      <c r="AO60">
        <v>0</v>
      </c>
      <c r="AP60">
        <v>0</v>
      </c>
      <c r="AQ60">
        <v>0</v>
      </c>
      <c r="AR60">
        <v>0</v>
      </c>
      <c r="AU60">
        <v>0</v>
      </c>
      <c r="AV60">
        <v>0</v>
      </c>
      <c r="AW60">
        <v>120</v>
      </c>
      <c r="AX60">
        <v>2</v>
      </c>
      <c r="AY60">
        <v>1</v>
      </c>
      <c r="AZ60">
        <v>0</v>
      </c>
      <c r="BA60">
        <v>0</v>
      </c>
      <c r="BB60">
        <v>0</v>
      </c>
      <c r="BC60">
        <v>0</v>
      </c>
    </row>
    <row r="61" spans="1:57" x14ac:dyDescent="0.2">
      <c r="A61">
        <v>59</v>
      </c>
      <c r="B61">
        <v>44</v>
      </c>
      <c r="C61">
        <v>0</v>
      </c>
      <c r="D61">
        <v>119.2</v>
      </c>
      <c r="E61">
        <v>1.71</v>
      </c>
      <c r="F61" s="5">
        <f t="shared" si="1"/>
        <v>40.764679730515375</v>
      </c>
      <c r="G61" s="13">
        <v>1</v>
      </c>
      <c r="H61">
        <v>2</v>
      </c>
      <c r="I61">
        <v>2</v>
      </c>
      <c r="J61">
        <v>2</v>
      </c>
      <c r="K61" s="6">
        <v>0.45833333333333331</v>
      </c>
      <c r="L61" s="6">
        <v>0.57291666666666663</v>
      </c>
      <c r="M61">
        <v>55</v>
      </c>
      <c r="N61">
        <v>0</v>
      </c>
      <c r="O61">
        <v>0</v>
      </c>
      <c r="P61">
        <v>1</v>
      </c>
      <c r="Q61">
        <v>3</v>
      </c>
      <c r="R61">
        <v>2</v>
      </c>
      <c r="S61">
        <v>0</v>
      </c>
      <c r="T61">
        <v>0</v>
      </c>
      <c r="U61">
        <v>0</v>
      </c>
      <c r="V61">
        <v>1</v>
      </c>
      <c r="W61" t="s">
        <v>29</v>
      </c>
      <c r="X61" t="s">
        <v>30</v>
      </c>
      <c r="Y61">
        <v>0</v>
      </c>
      <c r="Z61">
        <v>0</v>
      </c>
      <c r="AA61">
        <v>180</v>
      </c>
      <c r="AB61">
        <v>5</v>
      </c>
      <c r="AC61">
        <v>2</v>
      </c>
      <c r="AD61">
        <v>0</v>
      </c>
      <c r="AE61">
        <v>0</v>
      </c>
      <c r="AF61">
        <v>0</v>
      </c>
      <c r="AG61">
        <v>0</v>
      </c>
      <c r="AJ61">
        <v>0</v>
      </c>
      <c r="AK61">
        <v>0</v>
      </c>
      <c r="AL61">
        <v>360</v>
      </c>
      <c r="AM61">
        <v>5</v>
      </c>
      <c r="AN61">
        <v>2</v>
      </c>
      <c r="AO61">
        <v>0</v>
      </c>
      <c r="AP61">
        <v>0</v>
      </c>
      <c r="AQ61">
        <v>0</v>
      </c>
      <c r="AR61">
        <v>1</v>
      </c>
      <c r="AS61" t="s">
        <v>41</v>
      </c>
      <c r="AT61" t="s">
        <v>42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</row>
    <row r="62" spans="1:57" x14ac:dyDescent="0.2">
      <c r="A62">
        <v>60</v>
      </c>
      <c r="B62">
        <v>35</v>
      </c>
      <c r="C62">
        <v>0</v>
      </c>
      <c r="D62">
        <v>131.4</v>
      </c>
      <c r="E62">
        <v>1.76</v>
      </c>
      <c r="F62" s="5">
        <f t="shared" si="1"/>
        <v>42.419938016528931</v>
      </c>
      <c r="G62" s="13">
        <v>2</v>
      </c>
      <c r="H62">
        <v>2</v>
      </c>
      <c r="I62">
        <v>3</v>
      </c>
      <c r="J62">
        <v>2</v>
      </c>
      <c r="K62" s="6">
        <v>0.45833333333333331</v>
      </c>
      <c r="L62" s="6">
        <v>0.59027777777777779</v>
      </c>
      <c r="M62">
        <v>100</v>
      </c>
      <c r="N62">
        <v>0</v>
      </c>
      <c r="O62">
        <v>0</v>
      </c>
      <c r="P62">
        <v>1</v>
      </c>
      <c r="Q62">
        <v>3</v>
      </c>
      <c r="R62">
        <v>2</v>
      </c>
      <c r="S62">
        <v>0</v>
      </c>
      <c r="T62">
        <v>0</v>
      </c>
      <c r="U62">
        <v>0</v>
      </c>
      <c r="V62">
        <v>1</v>
      </c>
      <c r="W62" t="s">
        <v>35</v>
      </c>
      <c r="X62" t="s">
        <v>36</v>
      </c>
      <c r="Y62">
        <v>2</v>
      </c>
      <c r="Z62">
        <v>2</v>
      </c>
      <c r="AA62">
        <v>180</v>
      </c>
      <c r="AB62">
        <v>5</v>
      </c>
      <c r="AC62">
        <v>2</v>
      </c>
      <c r="AD62">
        <v>0</v>
      </c>
      <c r="AE62">
        <v>0</v>
      </c>
      <c r="AF62">
        <v>0</v>
      </c>
      <c r="AG62">
        <v>0</v>
      </c>
      <c r="AJ62">
        <v>1</v>
      </c>
      <c r="AK62">
        <v>2</v>
      </c>
      <c r="AL62">
        <v>90</v>
      </c>
      <c r="AM62">
        <v>3</v>
      </c>
      <c r="AN62">
        <v>2</v>
      </c>
      <c r="AO62">
        <v>0</v>
      </c>
      <c r="AP62">
        <v>0</v>
      </c>
      <c r="AQ62">
        <v>0</v>
      </c>
      <c r="AR62">
        <v>1</v>
      </c>
      <c r="AS62" t="s">
        <v>41</v>
      </c>
      <c r="AT62" t="s">
        <v>42</v>
      </c>
      <c r="AU62">
        <v>1</v>
      </c>
      <c r="AV62">
        <v>1</v>
      </c>
      <c r="AW62">
        <v>360</v>
      </c>
      <c r="AX62">
        <v>4</v>
      </c>
      <c r="AY62">
        <v>3</v>
      </c>
      <c r="AZ62">
        <v>0</v>
      </c>
      <c r="BA62">
        <v>0</v>
      </c>
      <c r="BB62">
        <v>0</v>
      </c>
      <c r="BC62">
        <v>1</v>
      </c>
      <c r="BD62" t="s">
        <v>45</v>
      </c>
      <c r="BE62" t="s">
        <v>46</v>
      </c>
    </row>
    <row r="63" spans="1:57" x14ac:dyDescent="0.2">
      <c r="A63">
        <v>61</v>
      </c>
      <c r="B63">
        <v>57</v>
      </c>
      <c r="C63">
        <v>0</v>
      </c>
      <c r="D63">
        <v>115.2</v>
      </c>
      <c r="E63">
        <v>1.65</v>
      </c>
      <c r="F63" s="5">
        <f t="shared" si="1"/>
        <v>42.314049586776868</v>
      </c>
      <c r="G63" s="13">
        <v>3</v>
      </c>
      <c r="H63">
        <v>2</v>
      </c>
      <c r="I63">
        <v>1</v>
      </c>
      <c r="J63">
        <v>1</v>
      </c>
      <c r="K63" s="6">
        <v>0.46527777777777773</v>
      </c>
      <c r="L63" s="6">
        <v>0.56944444444444442</v>
      </c>
      <c r="M63">
        <v>60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 spans="1:57" x14ac:dyDescent="0.2">
      <c r="A64">
        <v>62</v>
      </c>
      <c r="B64">
        <v>37</v>
      </c>
      <c r="C64">
        <v>0</v>
      </c>
      <c r="D64">
        <v>140</v>
      </c>
      <c r="E64">
        <v>1.56</v>
      </c>
      <c r="F64" s="5">
        <f t="shared" si="1"/>
        <v>57.527942143326754</v>
      </c>
      <c r="G64" s="13">
        <v>3</v>
      </c>
      <c r="H64">
        <v>3</v>
      </c>
      <c r="I64">
        <v>2</v>
      </c>
      <c r="J64">
        <v>2</v>
      </c>
      <c r="K64" s="6">
        <v>0.45833333333333331</v>
      </c>
      <c r="L64" s="6">
        <v>0.70138888888888884</v>
      </c>
      <c r="M64">
        <v>80</v>
      </c>
      <c r="N64">
        <v>0</v>
      </c>
      <c r="O64">
        <v>0</v>
      </c>
      <c r="P64">
        <v>1</v>
      </c>
      <c r="Q64">
        <v>3</v>
      </c>
      <c r="R64">
        <v>2</v>
      </c>
      <c r="S64">
        <v>0</v>
      </c>
      <c r="T64">
        <v>0</v>
      </c>
      <c r="U64">
        <v>0</v>
      </c>
      <c r="V64">
        <v>1</v>
      </c>
      <c r="W64" t="s">
        <v>29</v>
      </c>
      <c r="X64" t="s">
        <v>30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 spans="1:55" x14ac:dyDescent="0.2">
      <c r="A65">
        <v>63</v>
      </c>
      <c r="B65">
        <v>45</v>
      </c>
      <c r="C65">
        <v>0</v>
      </c>
      <c r="D65">
        <v>134</v>
      </c>
      <c r="E65">
        <v>1.57</v>
      </c>
      <c r="F65" s="5">
        <f t="shared" si="1"/>
        <v>54.363260172826479</v>
      </c>
      <c r="G65" s="13">
        <v>1</v>
      </c>
      <c r="H65">
        <v>2</v>
      </c>
      <c r="I65">
        <v>3</v>
      </c>
      <c r="J65">
        <v>2</v>
      </c>
      <c r="K65" s="6">
        <v>0.46875</v>
      </c>
      <c r="L65" s="6">
        <v>0.64930555555555558</v>
      </c>
      <c r="M65">
        <v>35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 spans="1:55" x14ac:dyDescent="0.2">
      <c r="A66">
        <v>64</v>
      </c>
      <c r="B66">
        <v>38</v>
      </c>
      <c r="C66">
        <v>0</v>
      </c>
      <c r="D66">
        <v>134.6</v>
      </c>
      <c r="E66">
        <v>1.69</v>
      </c>
      <c r="F66" s="5">
        <f t="shared" si="1"/>
        <v>47.127201428521417</v>
      </c>
      <c r="G66" s="13">
        <v>2</v>
      </c>
      <c r="H66">
        <v>3</v>
      </c>
      <c r="I66">
        <v>1</v>
      </c>
      <c r="J66">
        <v>1</v>
      </c>
      <c r="K66" s="6">
        <v>0.45902777777777781</v>
      </c>
      <c r="L66" s="6">
        <v>0.70833333333333337</v>
      </c>
      <c r="M66">
        <v>30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31</v>
      </c>
      <c r="X66" t="s">
        <v>33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J66">
        <v>0</v>
      </c>
      <c r="AK66">
        <v>0</v>
      </c>
      <c r="AL66">
        <v>120</v>
      </c>
      <c r="AM66">
        <v>2</v>
      </c>
      <c r="AN66">
        <v>1</v>
      </c>
      <c r="AO66">
        <v>0</v>
      </c>
      <c r="AP66">
        <v>0</v>
      </c>
      <c r="AQ66">
        <v>0</v>
      </c>
      <c r="AR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 spans="1:55" x14ac:dyDescent="0.2">
      <c r="A67">
        <v>65</v>
      </c>
      <c r="B67">
        <v>47</v>
      </c>
      <c r="C67">
        <v>0</v>
      </c>
      <c r="D67">
        <v>167.8</v>
      </c>
      <c r="E67">
        <v>1.58</v>
      </c>
      <c r="F67" s="5">
        <f t="shared" si="1"/>
        <v>67.216792180740256</v>
      </c>
      <c r="G67" s="13">
        <v>1</v>
      </c>
      <c r="H67">
        <v>3</v>
      </c>
      <c r="I67">
        <v>2</v>
      </c>
      <c r="J67">
        <v>2</v>
      </c>
      <c r="K67" s="6">
        <v>0.47916666666666669</v>
      </c>
      <c r="L67" s="6">
        <v>0.92013888888888884</v>
      </c>
      <c r="M67">
        <v>55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Y67">
        <v>0</v>
      </c>
      <c r="Z67">
        <v>0</v>
      </c>
      <c r="AA67">
        <v>120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 x14ac:dyDescent="0.2">
      <c r="A68">
        <v>66</v>
      </c>
      <c r="B68">
        <v>37</v>
      </c>
      <c r="C68">
        <v>0</v>
      </c>
      <c r="D68">
        <v>88.8</v>
      </c>
      <c r="E68">
        <v>1.7</v>
      </c>
      <c r="F68" s="5">
        <f t="shared" si="1"/>
        <v>30.726643598615919</v>
      </c>
      <c r="G68" s="13">
        <v>1</v>
      </c>
      <c r="H68">
        <v>2</v>
      </c>
      <c r="I68">
        <v>3</v>
      </c>
      <c r="J68">
        <v>2</v>
      </c>
      <c r="K68" s="6">
        <v>0.47916666666666669</v>
      </c>
      <c r="L68" s="6">
        <v>0.69444444444444453</v>
      </c>
      <c r="M68">
        <v>40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 spans="1:55" x14ac:dyDescent="0.2">
      <c r="A69">
        <v>67</v>
      </c>
      <c r="B69">
        <v>51</v>
      </c>
      <c r="C69">
        <v>0</v>
      </c>
      <c r="D69">
        <v>79.900000000000006</v>
      </c>
      <c r="E69">
        <v>1.68</v>
      </c>
      <c r="F69" s="5">
        <f t="shared" si="1"/>
        <v>28.309240362811799</v>
      </c>
      <c r="G69" s="13">
        <v>3</v>
      </c>
      <c r="H69">
        <v>2</v>
      </c>
      <c r="I69">
        <v>1</v>
      </c>
      <c r="J69">
        <v>1</v>
      </c>
      <c r="K69" s="6">
        <v>0.625</v>
      </c>
      <c r="L69" s="6">
        <v>0.88888888888888884</v>
      </c>
      <c r="M69">
        <v>60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J69">
        <v>0</v>
      </c>
      <c r="AK69">
        <v>0</v>
      </c>
      <c r="AL69">
        <v>120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 spans="1:55" x14ac:dyDescent="0.2">
      <c r="A70">
        <v>68</v>
      </c>
      <c r="B70">
        <v>31</v>
      </c>
      <c r="C70">
        <v>0</v>
      </c>
      <c r="D70">
        <v>146</v>
      </c>
      <c r="E70">
        <v>1.69</v>
      </c>
      <c r="F70" s="5">
        <f t="shared" si="1"/>
        <v>51.118658310283259</v>
      </c>
      <c r="G70" s="13">
        <v>1</v>
      </c>
      <c r="H70">
        <v>2</v>
      </c>
      <c r="I70">
        <v>2</v>
      </c>
      <c r="J70">
        <v>2</v>
      </c>
      <c r="K70" s="6">
        <v>0.625</v>
      </c>
      <c r="L70" s="6">
        <v>0.74513888888888891</v>
      </c>
      <c r="M70">
        <v>45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J70">
        <v>0</v>
      </c>
      <c r="AK70">
        <v>0</v>
      </c>
      <c r="AL70">
        <v>120</v>
      </c>
      <c r="AM70">
        <v>1</v>
      </c>
      <c r="AN70">
        <v>1</v>
      </c>
      <c r="AO70">
        <v>0</v>
      </c>
      <c r="AP70">
        <v>0</v>
      </c>
      <c r="AQ70">
        <v>0</v>
      </c>
      <c r="AR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</row>
    <row r="71" spans="1:55" x14ac:dyDescent="0.2">
      <c r="A71">
        <v>69</v>
      </c>
      <c r="B71">
        <v>18</v>
      </c>
      <c r="C71">
        <v>0</v>
      </c>
      <c r="D71">
        <v>116</v>
      </c>
      <c r="E71">
        <v>1.62</v>
      </c>
      <c r="F71" s="5">
        <f t="shared" si="1"/>
        <v>44.200579180003039</v>
      </c>
      <c r="G71" s="13">
        <v>3</v>
      </c>
      <c r="H71">
        <v>2</v>
      </c>
      <c r="I71">
        <v>3</v>
      </c>
      <c r="J71">
        <v>2</v>
      </c>
      <c r="K71" s="6">
        <v>0.61527777777777781</v>
      </c>
      <c r="L71" s="6">
        <v>0.77777777777777779</v>
      </c>
      <c r="M71">
        <v>55</v>
      </c>
      <c r="N71">
        <v>0</v>
      </c>
      <c r="O71">
        <v>0</v>
      </c>
      <c r="P71">
        <v>1</v>
      </c>
      <c r="Q71">
        <v>3</v>
      </c>
      <c r="R71">
        <v>0</v>
      </c>
      <c r="S71">
        <v>0</v>
      </c>
      <c r="T71">
        <v>0</v>
      </c>
      <c r="U71">
        <v>0</v>
      </c>
      <c r="V71">
        <v>1</v>
      </c>
      <c r="W71" t="s">
        <v>35</v>
      </c>
      <c r="X71" t="s">
        <v>36</v>
      </c>
      <c r="Y71">
        <v>0</v>
      </c>
      <c r="Z71">
        <v>0</v>
      </c>
      <c r="AA71">
        <v>180</v>
      </c>
      <c r="AB71">
        <v>5</v>
      </c>
      <c r="AC71">
        <v>2</v>
      </c>
      <c r="AD71">
        <v>0</v>
      </c>
      <c r="AE71">
        <v>0</v>
      </c>
      <c r="AF71">
        <v>0</v>
      </c>
      <c r="AG71">
        <v>0</v>
      </c>
      <c r="AJ71">
        <v>0</v>
      </c>
      <c r="AK71">
        <v>0</v>
      </c>
      <c r="AL71">
        <v>360</v>
      </c>
      <c r="AM71">
        <v>7</v>
      </c>
      <c r="AN71">
        <v>3</v>
      </c>
      <c r="AO71">
        <v>0</v>
      </c>
      <c r="AP71">
        <v>0</v>
      </c>
      <c r="AQ71">
        <v>0</v>
      </c>
      <c r="AR71">
        <v>0</v>
      </c>
      <c r="AU71">
        <v>0</v>
      </c>
      <c r="AV71">
        <v>0</v>
      </c>
      <c r="AW71">
        <v>90</v>
      </c>
      <c r="AX71">
        <v>3</v>
      </c>
      <c r="AY71">
        <v>2</v>
      </c>
      <c r="AZ71">
        <v>0</v>
      </c>
      <c r="BA71">
        <v>0</v>
      </c>
      <c r="BB71">
        <v>0</v>
      </c>
      <c r="BC71">
        <v>0</v>
      </c>
    </row>
    <row r="72" spans="1:55" x14ac:dyDescent="0.2">
      <c r="A72">
        <v>70</v>
      </c>
      <c r="B72">
        <v>37</v>
      </c>
      <c r="C72">
        <v>0</v>
      </c>
      <c r="D72">
        <v>123</v>
      </c>
      <c r="E72">
        <v>1.66</v>
      </c>
      <c r="F72" s="5">
        <f t="shared" si="1"/>
        <v>44.636376832631733</v>
      </c>
      <c r="G72" s="13">
        <v>1</v>
      </c>
      <c r="H72">
        <v>2</v>
      </c>
      <c r="I72">
        <v>1</v>
      </c>
      <c r="J72">
        <v>1</v>
      </c>
      <c r="K72" s="6">
        <v>0.46875</v>
      </c>
      <c r="L72" s="6">
        <v>0.54861111111111105</v>
      </c>
      <c r="M72">
        <v>50</v>
      </c>
      <c r="N72">
        <v>0</v>
      </c>
      <c r="O72">
        <v>0</v>
      </c>
      <c r="P72">
        <v>1</v>
      </c>
      <c r="Q72">
        <v>2</v>
      </c>
      <c r="R72">
        <v>2</v>
      </c>
      <c r="S72">
        <v>0</v>
      </c>
      <c r="T72">
        <v>0</v>
      </c>
      <c r="U72">
        <v>0</v>
      </c>
      <c r="V72">
        <v>1</v>
      </c>
      <c r="W72" t="s">
        <v>29</v>
      </c>
      <c r="X72" t="s">
        <v>30</v>
      </c>
      <c r="Y72">
        <v>1</v>
      </c>
      <c r="Z72">
        <v>1</v>
      </c>
      <c r="AA72">
        <v>180</v>
      </c>
      <c r="AB72">
        <v>6</v>
      </c>
      <c r="AC72">
        <v>2</v>
      </c>
      <c r="AD72">
        <v>0</v>
      </c>
      <c r="AE72">
        <v>0</v>
      </c>
      <c r="AF72">
        <v>0</v>
      </c>
      <c r="AG72">
        <v>0</v>
      </c>
      <c r="AJ72">
        <v>0</v>
      </c>
      <c r="AK72">
        <v>0</v>
      </c>
      <c r="AL72">
        <v>300</v>
      </c>
      <c r="AM72">
        <v>4</v>
      </c>
      <c r="AN72">
        <v>1</v>
      </c>
      <c r="AO72">
        <v>0</v>
      </c>
      <c r="AP72">
        <v>0</v>
      </c>
      <c r="AQ72">
        <v>0</v>
      </c>
      <c r="AR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</row>
    <row r="73" spans="1:55" x14ac:dyDescent="0.2">
      <c r="A73">
        <v>71</v>
      </c>
      <c r="B73">
        <v>32</v>
      </c>
      <c r="C73">
        <v>0</v>
      </c>
      <c r="D73">
        <v>120.1</v>
      </c>
      <c r="E73">
        <v>1.75</v>
      </c>
      <c r="F73" s="5">
        <f t="shared" si="1"/>
        <v>39.216326530612243</v>
      </c>
      <c r="G73" s="13">
        <v>2</v>
      </c>
      <c r="H73">
        <v>2</v>
      </c>
      <c r="I73">
        <v>2</v>
      </c>
      <c r="J73">
        <v>2</v>
      </c>
      <c r="K73" s="6">
        <v>0.46875</v>
      </c>
      <c r="L73" s="6">
        <v>0.54166666666666663</v>
      </c>
      <c r="M73">
        <v>30</v>
      </c>
      <c r="N73">
        <v>0</v>
      </c>
      <c r="O73">
        <v>0</v>
      </c>
      <c r="P73">
        <v>1</v>
      </c>
      <c r="Q73">
        <v>1</v>
      </c>
      <c r="R73">
        <v>1</v>
      </c>
      <c r="S73">
        <v>0</v>
      </c>
      <c r="T73">
        <v>0</v>
      </c>
      <c r="U73">
        <v>0</v>
      </c>
      <c r="V73">
        <v>1</v>
      </c>
      <c r="W73" t="s">
        <v>29</v>
      </c>
      <c r="X73" t="s">
        <v>30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</row>
    <row r="74" spans="1:55" x14ac:dyDescent="0.2">
      <c r="A74">
        <v>72</v>
      </c>
      <c r="B74">
        <v>48</v>
      </c>
      <c r="C74">
        <v>0</v>
      </c>
      <c r="D74">
        <v>121.3</v>
      </c>
      <c r="E74">
        <v>1.67</v>
      </c>
      <c r="F74" s="5">
        <f t="shared" si="1"/>
        <v>43.493850622109072</v>
      </c>
      <c r="G74" s="13">
        <v>3</v>
      </c>
      <c r="H74">
        <v>2</v>
      </c>
      <c r="I74">
        <v>3</v>
      </c>
      <c r="J74">
        <v>2</v>
      </c>
      <c r="K74" s="6">
        <v>0.47222222222222227</v>
      </c>
      <c r="L74" s="6">
        <v>0.55347222222222225</v>
      </c>
      <c r="M74">
        <v>90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Y74">
        <v>1</v>
      </c>
      <c r="Z74">
        <v>1</v>
      </c>
      <c r="AA74">
        <v>30</v>
      </c>
      <c r="AB74">
        <v>1</v>
      </c>
      <c r="AC74">
        <v>1</v>
      </c>
      <c r="AD74">
        <v>0</v>
      </c>
      <c r="AE74">
        <v>0</v>
      </c>
      <c r="AF74">
        <v>0</v>
      </c>
      <c r="AG74">
        <v>0</v>
      </c>
      <c r="AJ74">
        <v>0</v>
      </c>
      <c r="AK74">
        <v>0</v>
      </c>
      <c r="AL74">
        <v>120</v>
      </c>
      <c r="AM74">
        <v>3</v>
      </c>
      <c r="AN74">
        <v>1</v>
      </c>
      <c r="AO74">
        <v>0</v>
      </c>
      <c r="AP74">
        <v>0</v>
      </c>
      <c r="AQ74">
        <v>0</v>
      </c>
      <c r="AR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 spans="1:55" x14ac:dyDescent="0.2">
      <c r="A75">
        <v>73</v>
      </c>
      <c r="B75">
        <v>53</v>
      </c>
      <c r="C75">
        <v>0</v>
      </c>
      <c r="D75">
        <v>109.7</v>
      </c>
      <c r="E75">
        <v>1.61</v>
      </c>
      <c r="F75" s="5">
        <f t="shared" si="1"/>
        <v>42.320898113498707</v>
      </c>
      <c r="G75" s="13">
        <v>2</v>
      </c>
      <c r="H75">
        <v>2</v>
      </c>
      <c r="I75">
        <v>1</v>
      </c>
      <c r="J75">
        <v>1</v>
      </c>
      <c r="K75" s="6">
        <v>0.47222222222222227</v>
      </c>
      <c r="L75" s="6">
        <v>0.61111111111111105</v>
      </c>
      <c r="M75">
        <v>40</v>
      </c>
      <c r="N75">
        <v>0</v>
      </c>
      <c r="O75">
        <v>0</v>
      </c>
      <c r="P75">
        <v>1</v>
      </c>
      <c r="Q75">
        <v>2</v>
      </c>
      <c r="R75">
        <v>1</v>
      </c>
      <c r="S75">
        <v>0</v>
      </c>
      <c r="T75">
        <v>0</v>
      </c>
      <c r="U75">
        <v>0</v>
      </c>
      <c r="V75">
        <v>1</v>
      </c>
      <c r="W75" t="s">
        <v>29</v>
      </c>
      <c r="X75" t="s">
        <v>30</v>
      </c>
      <c r="Y75">
        <v>2</v>
      </c>
      <c r="Z75">
        <v>1</v>
      </c>
      <c r="AA75">
        <v>30</v>
      </c>
      <c r="AB75">
        <v>2</v>
      </c>
      <c r="AC75">
        <v>1</v>
      </c>
      <c r="AD75">
        <v>0</v>
      </c>
      <c r="AE75">
        <v>0</v>
      </c>
      <c r="AF75">
        <v>0</v>
      </c>
      <c r="AG75">
        <v>0</v>
      </c>
      <c r="AJ75">
        <v>0</v>
      </c>
      <c r="AK75">
        <v>0</v>
      </c>
      <c r="AL75">
        <v>120</v>
      </c>
      <c r="AM75">
        <v>3</v>
      </c>
      <c r="AN75">
        <v>1</v>
      </c>
      <c r="AO75">
        <v>0</v>
      </c>
      <c r="AP75">
        <v>0</v>
      </c>
      <c r="AQ75">
        <v>0</v>
      </c>
      <c r="AR75">
        <v>0</v>
      </c>
      <c r="AU75">
        <v>0</v>
      </c>
      <c r="AV75">
        <v>0</v>
      </c>
      <c r="AW75">
        <v>120</v>
      </c>
      <c r="AX75">
        <v>1</v>
      </c>
      <c r="AY75">
        <v>1</v>
      </c>
      <c r="AZ75">
        <v>0</v>
      </c>
      <c r="BA75">
        <v>0</v>
      </c>
      <c r="BB75">
        <v>0</v>
      </c>
      <c r="BC75">
        <v>0</v>
      </c>
    </row>
    <row r="76" spans="1:55" x14ac:dyDescent="0.2">
      <c r="A76">
        <v>74</v>
      </c>
      <c r="B76">
        <v>30</v>
      </c>
      <c r="C76">
        <v>0</v>
      </c>
      <c r="D76">
        <v>85.1</v>
      </c>
      <c r="E76">
        <v>1.63</v>
      </c>
      <c r="F76" s="5">
        <f t="shared" si="1"/>
        <v>32.029809176107491</v>
      </c>
      <c r="G76" s="13">
        <v>1</v>
      </c>
      <c r="H76">
        <v>2</v>
      </c>
      <c r="I76">
        <v>2</v>
      </c>
      <c r="J76">
        <v>2</v>
      </c>
      <c r="K76" s="6">
        <v>0.47222222222222227</v>
      </c>
      <c r="L76" s="6">
        <v>0.61388888888888882</v>
      </c>
      <c r="M76">
        <v>40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Y76">
        <v>0</v>
      </c>
      <c r="Z76">
        <v>0</v>
      </c>
      <c r="AA76">
        <v>30</v>
      </c>
      <c r="AB76">
        <v>1</v>
      </c>
      <c r="AC76">
        <v>1</v>
      </c>
      <c r="AD76">
        <v>0</v>
      </c>
      <c r="AE76">
        <v>0</v>
      </c>
      <c r="AF76">
        <v>0</v>
      </c>
      <c r="AG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</row>
    <row r="77" spans="1:55" x14ac:dyDescent="0.2">
      <c r="A77">
        <v>75</v>
      </c>
      <c r="B77">
        <v>28</v>
      </c>
      <c r="C77">
        <v>0</v>
      </c>
      <c r="D77">
        <v>100</v>
      </c>
      <c r="E77">
        <v>1.67</v>
      </c>
      <c r="F77" s="5">
        <f t="shared" si="1"/>
        <v>35.856430850873103</v>
      </c>
      <c r="G77" s="13">
        <v>2</v>
      </c>
      <c r="H77">
        <v>2</v>
      </c>
      <c r="I77">
        <v>3</v>
      </c>
      <c r="J77">
        <v>2</v>
      </c>
      <c r="K77" s="6">
        <v>0.47916666666666669</v>
      </c>
      <c r="L77" s="6">
        <v>0.69444444444444453</v>
      </c>
      <c r="M77">
        <v>45</v>
      </c>
      <c r="N77">
        <v>0</v>
      </c>
      <c r="O77">
        <v>0</v>
      </c>
      <c r="P77">
        <v>1</v>
      </c>
      <c r="Q77">
        <v>1</v>
      </c>
      <c r="R77">
        <v>1</v>
      </c>
      <c r="S77">
        <v>0</v>
      </c>
      <c r="T77">
        <v>0</v>
      </c>
      <c r="U77">
        <v>0</v>
      </c>
      <c r="V77">
        <v>1</v>
      </c>
      <c r="W77" t="s">
        <v>29</v>
      </c>
      <c r="X77" t="s">
        <v>30</v>
      </c>
      <c r="Y77">
        <v>0</v>
      </c>
      <c r="Z77">
        <v>0</v>
      </c>
      <c r="AA77">
        <v>240</v>
      </c>
      <c r="AB77">
        <v>3</v>
      </c>
      <c r="AC77">
        <v>2</v>
      </c>
      <c r="AD77">
        <v>0</v>
      </c>
      <c r="AE77">
        <v>0</v>
      </c>
      <c r="AF77">
        <v>0</v>
      </c>
      <c r="AG77">
        <v>0</v>
      </c>
      <c r="AJ77">
        <v>0</v>
      </c>
      <c r="AK77">
        <v>0</v>
      </c>
      <c r="AL77">
        <v>90</v>
      </c>
      <c r="AM77">
        <v>5</v>
      </c>
      <c r="AN77">
        <v>1</v>
      </c>
      <c r="AO77">
        <v>0</v>
      </c>
      <c r="AP77">
        <v>0</v>
      </c>
      <c r="AQ77">
        <v>0</v>
      </c>
      <c r="AR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 spans="1:55" x14ac:dyDescent="0.2">
      <c r="A78">
        <v>76</v>
      </c>
      <c r="B78">
        <v>45</v>
      </c>
      <c r="C78">
        <v>0</v>
      </c>
      <c r="D78">
        <v>131.6</v>
      </c>
      <c r="E78">
        <v>1.79</v>
      </c>
      <c r="F78" s="5">
        <f t="shared" si="1"/>
        <v>41.072376018226649</v>
      </c>
      <c r="G78" s="13">
        <v>2</v>
      </c>
      <c r="H78">
        <v>2</v>
      </c>
      <c r="I78">
        <v>1</v>
      </c>
      <c r="J78">
        <v>1</v>
      </c>
      <c r="K78" s="6">
        <v>0.4826388888888889</v>
      </c>
      <c r="L78" s="6">
        <v>0.62847222222222221</v>
      </c>
      <c r="M78">
        <v>60</v>
      </c>
      <c r="N78">
        <v>0</v>
      </c>
      <c r="O78">
        <v>0</v>
      </c>
      <c r="P78">
        <v>1</v>
      </c>
      <c r="Q78">
        <v>1</v>
      </c>
      <c r="R78">
        <v>1</v>
      </c>
      <c r="S78">
        <v>0</v>
      </c>
      <c r="T78">
        <v>0</v>
      </c>
      <c r="U78">
        <v>0</v>
      </c>
      <c r="V78">
        <v>1</v>
      </c>
      <c r="W78" t="s">
        <v>29</v>
      </c>
      <c r="X78" t="s">
        <v>30</v>
      </c>
      <c r="Y78">
        <v>2</v>
      </c>
      <c r="Z78">
        <v>2</v>
      </c>
      <c r="AA78">
        <v>180</v>
      </c>
      <c r="AB78">
        <v>3</v>
      </c>
      <c r="AC78">
        <v>1</v>
      </c>
      <c r="AD78">
        <v>0</v>
      </c>
      <c r="AE78">
        <v>0</v>
      </c>
      <c r="AF78">
        <v>0</v>
      </c>
      <c r="AG78">
        <v>1</v>
      </c>
      <c r="AH78" t="s">
        <v>47</v>
      </c>
      <c r="AI78" t="s">
        <v>42</v>
      </c>
      <c r="AJ78">
        <v>0</v>
      </c>
      <c r="AK78">
        <v>0</v>
      </c>
      <c r="AL78">
        <v>300</v>
      </c>
      <c r="AM78">
        <v>7</v>
      </c>
      <c r="AN78">
        <v>2</v>
      </c>
      <c r="AO78">
        <v>0</v>
      </c>
      <c r="AP78">
        <v>0</v>
      </c>
      <c r="AQ78">
        <v>0</v>
      </c>
      <c r="AR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 spans="1:55" x14ac:dyDescent="0.2">
      <c r="A79">
        <v>77</v>
      </c>
      <c r="B79">
        <v>33</v>
      </c>
      <c r="C79">
        <v>0</v>
      </c>
      <c r="D79">
        <v>114</v>
      </c>
      <c r="E79">
        <v>1.73</v>
      </c>
      <c r="F79" s="5">
        <f t="shared" si="1"/>
        <v>38.090146680477126</v>
      </c>
      <c r="G79" s="13">
        <v>3</v>
      </c>
      <c r="H79">
        <v>2</v>
      </c>
      <c r="I79">
        <v>2</v>
      </c>
      <c r="J79">
        <v>2</v>
      </c>
      <c r="K79" s="6">
        <v>0.48958333333333331</v>
      </c>
      <c r="L79" s="6">
        <v>0.68333333333333324</v>
      </c>
      <c r="M79">
        <v>35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1:55" x14ac:dyDescent="0.2">
      <c r="A80">
        <v>78</v>
      </c>
      <c r="B80">
        <v>53</v>
      </c>
      <c r="C80">
        <v>0</v>
      </c>
      <c r="D80">
        <v>116.7</v>
      </c>
      <c r="E80">
        <v>1.75</v>
      </c>
      <c r="F80" s="5">
        <f t="shared" si="1"/>
        <v>38.10612244897959</v>
      </c>
      <c r="G80" s="13">
        <v>3</v>
      </c>
      <c r="H80">
        <v>2</v>
      </c>
      <c r="I80">
        <v>3</v>
      </c>
      <c r="J80">
        <v>2</v>
      </c>
      <c r="K80" s="6">
        <v>0.52083333333333337</v>
      </c>
      <c r="L80" s="6">
        <v>0.87361111111111101</v>
      </c>
      <c r="M80">
        <v>50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 spans="1:55" x14ac:dyDescent="0.2">
      <c r="A81">
        <v>79</v>
      </c>
      <c r="B81">
        <v>57</v>
      </c>
      <c r="C81">
        <v>0</v>
      </c>
      <c r="D81">
        <v>100.7</v>
      </c>
      <c r="E81">
        <v>1.72</v>
      </c>
      <c r="F81" s="5">
        <f t="shared" si="1"/>
        <v>34.038669551108711</v>
      </c>
      <c r="G81" s="13">
        <v>3</v>
      </c>
      <c r="H81">
        <v>2</v>
      </c>
      <c r="I81">
        <v>1</v>
      </c>
      <c r="J81">
        <v>1</v>
      </c>
      <c r="K81" s="6">
        <v>0.51388888888888895</v>
      </c>
      <c r="L81" s="6">
        <v>0.83958333333333324</v>
      </c>
      <c r="M81">
        <v>70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 spans="1:55" x14ac:dyDescent="0.2">
      <c r="A82">
        <v>80</v>
      </c>
      <c r="B82">
        <v>34</v>
      </c>
      <c r="C82">
        <v>0</v>
      </c>
      <c r="D82">
        <v>172</v>
      </c>
      <c r="E82">
        <v>1.64</v>
      </c>
      <c r="F82" s="5">
        <f t="shared" si="1"/>
        <v>63.950029744199895</v>
      </c>
      <c r="G82" s="13">
        <v>3</v>
      </c>
      <c r="H82">
        <v>3</v>
      </c>
      <c r="I82">
        <v>2</v>
      </c>
      <c r="J82">
        <v>2</v>
      </c>
      <c r="K82" s="6">
        <v>0.51736111111111105</v>
      </c>
      <c r="L82" s="6">
        <v>0.84513888888888899</v>
      </c>
      <c r="M82">
        <v>80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 spans="1:55" x14ac:dyDescent="0.2">
      <c r="A83">
        <v>81</v>
      </c>
      <c r="B83">
        <v>29</v>
      </c>
      <c r="C83">
        <v>0</v>
      </c>
      <c r="D83">
        <v>132</v>
      </c>
      <c r="E83">
        <v>1.64</v>
      </c>
      <c r="F83" s="5">
        <f t="shared" si="1"/>
        <v>49.077929803688292</v>
      </c>
      <c r="G83" s="13">
        <v>2</v>
      </c>
      <c r="H83">
        <v>2</v>
      </c>
      <c r="I83">
        <v>3</v>
      </c>
      <c r="J83">
        <v>2</v>
      </c>
      <c r="K83" s="6">
        <v>0.52083333333333337</v>
      </c>
      <c r="L83" s="6">
        <v>0.60555555555555551</v>
      </c>
      <c r="M83">
        <v>40</v>
      </c>
      <c r="N83">
        <v>0</v>
      </c>
      <c r="O83">
        <v>0</v>
      </c>
      <c r="P83">
        <v>1</v>
      </c>
      <c r="Q83">
        <v>1</v>
      </c>
      <c r="R83">
        <v>1</v>
      </c>
      <c r="S83">
        <v>0</v>
      </c>
      <c r="T83">
        <v>0</v>
      </c>
      <c r="U83">
        <v>0</v>
      </c>
      <c r="V83">
        <v>1</v>
      </c>
      <c r="W83" t="s">
        <v>29</v>
      </c>
      <c r="X83" t="s">
        <v>30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 spans="1:55" x14ac:dyDescent="0.2">
      <c r="A84">
        <v>82</v>
      </c>
      <c r="B84">
        <v>50</v>
      </c>
      <c r="C84">
        <v>0</v>
      </c>
      <c r="D84">
        <v>85.5</v>
      </c>
      <c r="E84">
        <v>1.59</v>
      </c>
      <c r="F84" s="5">
        <f t="shared" si="1"/>
        <v>33.819864720541112</v>
      </c>
      <c r="G84" s="13">
        <v>2</v>
      </c>
      <c r="H84">
        <v>2</v>
      </c>
      <c r="I84">
        <v>1</v>
      </c>
      <c r="J84">
        <v>1</v>
      </c>
      <c r="K84" s="6">
        <v>0.58333333333333337</v>
      </c>
      <c r="L84" s="6">
        <v>0.78125</v>
      </c>
      <c r="M84">
        <v>55</v>
      </c>
      <c r="N84">
        <v>2</v>
      </c>
      <c r="O84">
        <v>1</v>
      </c>
      <c r="P84">
        <v>1</v>
      </c>
      <c r="Q84">
        <v>2</v>
      </c>
      <c r="R84">
        <v>1</v>
      </c>
      <c r="S84">
        <v>0</v>
      </c>
      <c r="T84">
        <v>0</v>
      </c>
      <c r="U84">
        <v>0</v>
      </c>
      <c r="V84">
        <v>0</v>
      </c>
      <c r="Y84">
        <v>2</v>
      </c>
      <c r="Z84">
        <v>1</v>
      </c>
      <c r="AA84">
        <v>50</v>
      </c>
      <c r="AB84">
        <v>2</v>
      </c>
      <c r="AC84">
        <v>1</v>
      </c>
      <c r="AD84">
        <v>0</v>
      </c>
      <c r="AE84">
        <v>0</v>
      </c>
      <c r="AF84">
        <v>0</v>
      </c>
      <c r="AG84">
        <v>0</v>
      </c>
      <c r="AJ84">
        <v>2</v>
      </c>
      <c r="AK84">
        <v>2</v>
      </c>
      <c r="AL84">
        <v>300</v>
      </c>
      <c r="AM84">
        <v>5</v>
      </c>
      <c r="AN84">
        <v>2</v>
      </c>
      <c r="AO84">
        <v>0</v>
      </c>
      <c r="AP84">
        <v>0</v>
      </c>
      <c r="AQ84">
        <v>0</v>
      </c>
      <c r="AR84">
        <v>0</v>
      </c>
      <c r="AU84">
        <v>0</v>
      </c>
      <c r="AV84">
        <v>0</v>
      </c>
      <c r="AW84">
        <v>360</v>
      </c>
      <c r="AX84">
        <v>6</v>
      </c>
      <c r="AY84">
        <v>1</v>
      </c>
      <c r="AZ84">
        <v>0</v>
      </c>
      <c r="BA84">
        <v>0</v>
      </c>
      <c r="BB84">
        <v>0</v>
      </c>
      <c r="BC84">
        <v>0</v>
      </c>
    </row>
    <row r="85" spans="1:55" x14ac:dyDescent="0.2">
      <c r="A85">
        <v>83</v>
      </c>
      <c r="B85">
        <v>36</v>
      </c>
      <c r="C85">
        <v>0</v>
      </c>
      <c r="D85">
        <v>104.2</v>
      </c>
      <c r="E85">
        <v>1.69</v>
      </c>
      <c r="F85" s="5">
        <f t="shared" si="1"/>
        <v>36.483316410489834</v>
      </c>
      <c r="G85" s="13">
        <v>1</v>
      </c>
      <c r="H85">
        <v>1</v>
      </c>
      <c r="I85">
        <v>2</v>
      </c>
      <c r="J85">
        <v>2</v>
      </c>
      <c r="K85" s="6">
        <v>0.58333333333333337</v>
      </c>
      <c r="L85" s="6">
        <v>0.78819444444444453</v>
      </c>
      <c r="M85">
        <v>47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1:55" x14ac:dyDescent="0.2">
      <c r="A86">
        <v>84</v>
      </c>
      <c r="B86">
        <v>32</v>
      </c>
      <c r="C86">
        <v>0</v>
      </c>
      <c r="D86">
        <v>98.7</v>
      </c>
      <c r="E86">
        <v>1.57</v>
      </c>
      <c r="F86" s="5">
        <f t="shared" si="1"/>
        <v>40.042192381029658</v>
      </c>
      <c r="G86" s="13">
        <v>3</v>
      </c>
      <c r="H86">
        <v>2</v>
      </c>
      <c r="I86">
        <v>3</v>
      </c>
      <c r="J86">
        <v>2</v>
      </c>
      <c r="K86" s="6">
        <v>0.47222222222222227</v>
      </c>
      <c r="L86" s="6">
        <v>0.55069444444444449</v>
      </c>
      <c r="M86">
        <v>50</v>
      </c>
      <c r="N86">
        <v>0</v>
      </c>
      <c r="O86">
        <v>0</v>
      </c>
      <c r="P86">
        <v>1</v>
      </c>
      <c r="Q86">
        <v>1</v>
      </c>
      <c r="R86">
        <v>1</v>
      </c>
      <c r="S86">
        <v>0</v>
      </c>
      <c r="T86">
        <v>0</v>
      </c>
      <c r="U86">
        <v>0</v>
      </c>
      <c r="V86">
        <v>1</v>
      </c>
      <c r="W86" t="s">
        <v>29</v>
      </c>
      <c r="X86" t="s">
        <v>30</v>
      </c>
      <c r="Y86">
        <v>3</v>
      </c>
      <c r="Z86">
        <v>3</v>
      </c>
      <c r="AA86">
        <v>120</v>
      </c>
      <c r="AB86">
        <v>3</v>
      </c>
      <c r="AC86">
        <v>3</v>
      </c>
      <c r="AD86">
        <v>0</v>
      </c>
      <c r="AE86">
        <v>0</v>
      </c>
      <c r="AF86">
        <v>0</v>
      </c>
      <c r="AG86">
        <v>0</v>
      </c>
      <c r="AJ86">
        <v>0</v>
      </c>
      <c r="AK86">
        <v>0</v>
      </c>
      <c r="AL86">
        <v>120</v>
      </c>
      <c r="AM86">
        <v>2</v>
      </c>
      <c r="AN86">
        <v>1</v>
      </c>
      <c r="AO86">
        <v>0</v>
      </c>
      <c r="AP86">
        <v>0</v>
      </c>
      <c r="AQ86">
        <v>0</v>
      </c>
      <c r="AR86">
        <v>0</v>
      </c>
      <c r="AU86">
        <v>0</v>
      </c>
      <c r="AV86">
        <v>0</v>
      </c>
      <c r="AW86">
        <v>60</v>
      </c>
      <c r="AX86">
        <v>1</v>
      </c>
      <c r="AY86">
        <v>1</v>
      </c>
      <c r="AZ86">
        <v>0</v>
      </c>
      <c r="BA86">
        <v>0</v>
      </c>
      <c r="BB86">
        <v>0</v>
      </c>
      <c r="BC86">
        <v>0</v>
      </c>
    </row>
    <row r="87" spans="1:55" x14ac:dyDescent="0.2">
      <c r="A87">
        <v>85</v>
      </c>
      <c r="B87">
        <v>51</v>
      </c>
      <c r="C87">
        <v>0</v>
      </c>
      <c r="D87">
        <v>118.8</v>
      </c>
      <c r="E87">
        <v>1.76</v>
      </c>
      <c r="F87" s="5">
        <f t="shared" si="1"/>
        <v>38.352272727272727</v>
      </c>
      <c r="G87" s="13">
        <v>2</v>
      </c>
      <c r="H87">
        <v>2</v>
      </c>
      <c r="I87">
        <v>1</v>
      </c>
      <c r="J87">
        <v>1</v>
      </c>
      <c r="K87" s="6">
        <v>0.47222222222222227</v>
      </c>
      <c r="L87" s="6">
        <v>0.54861111111111105</v>
      </c>
      <c r="M87">
        <v>30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t="s">
        <v>31</v>
      </c>
      <c r="X87" t="s">
        <v>32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</row>
    <row r="88" spans="1:55" x14ac:dyDescent="0.2">
      <c r="A88">
        <v>86</v>
      </c>
      <c r="B88">
        <v>45</v>
      </c>
      <c r="C88">
        <v>0</v>
      </c>
      <c r="D88">
        <v>107.5</v>
      </c>
      <c r="E88">
        <v>1.56</v>
      </c>
      <c r="F88" s="5">
        <f t="shared" ref="F88:F151" si="2">D88/(E88*E88)</f>
        <v>44.173241288625903</v>
      </c>
      <c r="G88" s="13">
        <v>1</v>
      </c>
      <c r="H88">
        <v>2</v>
      </c>
      <c r="I88">
        <v>2</v>
      </c>
      <c r="J88">
        <v>2</v>
      </c>
      <c r="K88" s="6">
        <v>0.47222222222222227</v>
      </c>
      <c r="L88" s="6">
        <v>0.55763888888888891</v>
      </c>
      <c r="M88">
        <v>29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t="s">
        <v>31</v>
      </c>
      <c r="X88" t="s">
        <v>32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</row>
    <row r="89" spans="1:55" x14ac:dyDescent="0.2">
      <c r="A89">
        <v>87</v>
      </c>
      <c r="B89">
        <v>40</v>
      </c>
      <c r="C89">
        <v>0</v>
      </c>
      <c r="D89">
        <v>78.599999999999994</v>
      </c>
      <c r="E89">
        <v>1.64</v>
      </c>
      <c r="F89" s="5">
        <f t="shared" si="2"/>
        <v>29.223676383105296</v>
      </c>
      <c r="G89" s="13">
        <v>1</v>
      </c>
      <c r="H89">
        <v>2</v>
      </c>
      <c r="I89">
        <v>3</v>
      </c>
      <c r="J89">
        <v>2</v>
      </c>
      <c r="K89" s="6">
        <v>0.59027777777777779</v>
      </c>
      <c r="L89" s="6">
        <v>0.6958333333333333</v>
      </c>
      <c r="M89">
        <v>36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 spans="1:55" x14ac:dyDescent="0.2">
      <c r="A90">
        <v>88</v>
      </c>
      <c r="B90">
        <v>34</v>
      </c>
      <c r="C90">
        <v>0</v>
      </c>
      <c r="D90">
        <v>79.099999999999994</v>
      </c>
      <c r="E90">
        <v>1.64</v>
      </c>
      <c r="F90" s="5">
        <f t="shared" si="2"/>
        <v>29.409577632361692</v>
      </c>
      <c r="G90" s="13">
        <v>1</v>
      </c>
      <c r="H90">
        <v>1</v>
      </c>
      <c r="I90">
        <v>1</v>
      </c>
      <c r="J90">
        <v>1</v>
      </c>
      <c r="K90" s="6">
        <v>0.4861111111111111</v>
      </c>
      <c r="L90" s="6">
        <v>0.73819444444444438</v>
      </c>
      <c r="M90">
        <v>37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Y90">
        <v>0</v>
      </c>
      <c r="Z90">
        <v>0</v>
      </c>
      <c r="AA90">
        <v>180</v>
      </c>
      <c r="AB90">
        <v>2</v>
      </c>
      <c r="AC90">
        <v>1</v>
      </c>
      <c r="AD90">
        <v>2</v>
      </c>
      <c r="AE90">
        <v>1</v>
      </c>
      <c r="AF90">
        <v>1</v>
      </c>
      <c r="AG90">
        <v>1</v>
      </c>
      <c r="AH90" t="s">
        <v>29</v>
      </c>
      <c r="AI90" t="s">
        <v>30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</row>
    <row r="91" spans="1:55" x14ac:dyDescent="0.2">
      <c r="A91">
        <v>89</v>
      </c>
      <c r="B91">
        <v>23</v>
      </c>
      <c r="C91">
        <v>0</v>
      </c>
      <c r="D91">
        <v>109.8</v>
      </c>
      <c r="E91">
        <v>1.64</v>
      </c>
      <c r="F91" s="5">
        <f t="shared" si="2"/>
        <v>40.823914336704348</v>
      </c>
      <c r="G91" s="13">
        <v>2</v>
      </c>
      <c r="H91">
        <v>2</v>
      </c>
      <c r="I91">
        <v>2</v>
      </c>
      <c r="J91">
        <v>2</v>
      </c>
      <c r="K91" s="6">
        <v>0.4861111111111111</v>
      </c>
      <c r="L91" s="6">
        <v>0.58333333333333337</v>
      </c>
      <c r="M91">
        <v>30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  <row r="92" spans="1:55" x14ac:dyDescent="0.2">
      <c r="A92">
        <v>90</v>
      </c>
      <c r="B92">
        <v>19</v>
      </c>
      <c r="C92">
        <v>0</v>
      </c>
      <c r="D92">
        <v>149.1</v>
      </c>
      <c r="E92">
        <v>1.7</v>
      </c>
      <c r="F92" s="5">
        <f t="shared" si="2"/>
        <v>51.591695501730108</v>
      </c>
      <c r="G92" s="13">
        <v>1</v>
      </c>
      <c r="H92">
        <v>2</v>
      </c>
      <c r="I92">
        <v>3</v>
      </c>
      <c r="J92">
        <v>2</v>
      </c>
      <c r="K92" s="6">
        <v>0.4861111111111111</v>
      </c>
      <c r="L92" s="6">
        <v>0.59722222222222221</v>
      </c>
      <c r="M92">
        <v>52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t="s">
        <v>31</v>
      </c>
      <c r="X92" t="s">
        <v>32</v>
      </c>
      <c r="Y92">
        <v>0</v>
      </c>
      <c r="Z92">
        <v>0</v>
      </c>
      <c r="AA92">
        <v>30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</row>
    <row r="93" spans="1:55" x14ac:dyDescent="0.2">
      <c r="A93">
        <v>91</v>
      </c>
      <c r="B93">
        <v>27</v>
      </c>
      <c r="C93">
        <v>0</v>
      </c>
      <c r="D93">
        <v>143</v>
      </c>
      <c r="E93">
        <v>1.68</v>
      </c>
      <c r="F93" s="5">
        <f t="shared" si="2"/>
        <v>50.666099773242635</v>
      </c>
      <c r="G93" s="13">
        <v>2</v>
      </c>
      <c r="H93">
        <v>3</v>
      </c>
      <c r="I93">
        <v>1</v>
      </c>
      <c r="J93">
        <v>1</v>
      </c>
      <c r="K93" s="6">
        <v>0.4861111111111111</v>
      </c>
      <c r="L93" s="6">
        <v>0.625</v>
      </c>
      <c r="M93">
        <v>30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t="s">
        <v>31</v>
      </c>
      <c r="X93" t="s">
        <v>48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</row>
    <row r="94" spans="1:55" x14ac:dyDescent="0.2">
      <c r="A94">
        <v>92</v>
      </c>
      <c r="B94">
        <v>21</v>
      </c>
      <c r="C94">
        <v>0</v>
      </c>
      <c r="D94">
        <v>102</v>
      </c>
      <c r="E94">
        <v>1.75</v>
      </c>
      <c r="F94" s="5">
        <f t="shared" si="2"/>
        <v>33.306122448979593</v>
      </c>
      <c r="G94" s="13">
        <v>3</v>
      </c>
      <c r="H94">
        <v>1</v>
      </c>
      <c r="I94">
        <v>2</v>
      </c>
      <c r="J94">
        <v>2</v>
      </c>
      <c r="K94" s="6">
        <v>0.4861111111111111</v>
      </c>
      <c r="L94" s="6">
        <v>0.59930555555555554</v>
      </c>
      <c r="M94">
        <v>44</v>
      </c>
      <c r="N94">
        <v>0</v>
      </c>
      <c r="O94">
        <v>0</v>
      </c>
      <c r="P94">
        <v>1</v>
      </c>
      <c r="Q94">
        <v>1</v>
      </c>
      <c r="R94">
        <v>1</v>
      </c>
      <c r="S94">
        <v>0</v>
      </c>
      <c r="T94">
        <v>0</v>
      </c>
      <c r="U94">
        <v>0</v>
      </c>
      <c r="V94">
        <v>1</v>
      </c>
      <c r="W94" t="s">
        <v>29</v>
      </c>
      <c r="X94" t="s">
        <v>30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 spans="1:55" x14ac:dyDescent="0.2">
      <c r="A95">
        <v>93</v>
      </c>
      <c r="B95">
        <v>26</v>
      </c>
      <c r="C95">
        <v>0</v>
      </c>
      <c r="D95">
        <v>149.5</v>
      </c>
      <c r="E95">
        <v>1.8</v>
      </c>
      <c r="F95" s="5">
        <f t="shared" si="2"/>
        <v>46.141975308641975</v>
      </c>
      <c r="G95" s="13">
        <v>1</v>
      </c>
      <c r="H95">
        <v>2</v>
      </c>
      <c r="I95">
        <v>3</v>
      </c>
      <c r="J95">
        <v>2</v>
      </c>
      <c r="K95" s="6">
        <v>0.4861111111111111</v>
      </c>
      <c r="L95" s="6">
        <v>0.65277777777777779</v>
      </c>
      <c r="M95">
        <v>35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U95">
        <v>0</v>
      </c>
      <c r="AV95">
        <v>0</v>
      </c>
      <c r="AW95">
        <v>30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0</v>
      </c>
    </row>
    <row r="96" spans="1:55" x14ac:dyDescent="0.2">
      <c r="A96">
        <v>94</v>
      </c>
      <c r="B96">
        <v>38</v>
      </c>
      <c r="C96">
        <v>0</v>
      </c>
      <c r="D96">
        <v>112.9</v>
      </c>
      <c r="E96">
        <v>1.76</v>
      </c>
      <c r="F96" s="5">
        <f t="shared" si="2"/>
        <v>36.447572314049587</v>
      </c>
      <c r="G96" s="13">
        <v>3</v>
      </c>
      <c r="H96">
        <v>1</v>
      </c>
      <c r="I96">
        <v>1</v>
      </c>
      <c r="J96">
        <v>1</v>
      </c>
      <c r="K96" s="6">
        <v>0.4861111111111111</v>
      </c>
      <c r="L96" s="6">
        <v>0.64236111111111105</v>
      </c>
      <c r="M96">
        <v>58</v>
      </c>
      <c r="N96">
        <v>0</v>
      </c>
      <c r="O96">
        <v>0</v>
      </c>
      <c r="P96">
        <v>1</v>
      </c>
      <c r="Q96">
        <v>2</v>
      </c>
      <c r="R96">
        <v>2</v>
      </c>
      <c r="S96">
        <v>0</v>
      </c>
      <c r="T96">
        <v>0</v>
      </c>
      <c r="U96">
        <v>0</v>
      </c>
      <c r="V96">
        <v>1</v>
      </c>
      <c r="W96" t="s">
        <v>29</v>
      </c>
      <c r="X96" t="s">
        <v>30</v>
      </c>
      <c r="Y96">
        <v>0</v>
      </c>
      <c r="Z96">
        <v>0</v>
      </c>
      <c r="AA96">
        <v>180</v>
      </c>
      <c r="AB96">
        <v>2</v>
      </c>
      <c r="AC96">
        <v>1</v>
      </c>
      <c r="AD96">
        <v>0</v>
      </c>
      <c r="AE96">
        <v>0</v>
      </c>
      <c r="AF96">
        <v>0</v>
      </c>
      <c r="AG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</row>
    <row r="97" spans="1:55" x14ac:dyDescent="0.2">
      <c r="A97">
        <v>95</v>
      </c>
      <c r="B97">
        <v>31</v>
      </c>
      <c r="C97">
        <v>0</v>
      </c>
      <c r="D97">
        <v>141</v>
      </c>
      <c r="E97">
        <v>1.48</v>
      </c>
      <c r="F97" s="5">
        <f t="shared" si="2"/>
        <v>64.371804236669107</v>
      </c>
      <c r="G97" s="13">
        <v>2</v>
      </c>
      <c r="H97">
        <v>3</v>
      </c>
      <c r="I97">
        <v>2</v>
      </c>
      <c r="J97">
        <v>2</v>
      </c>
      <c r="K97" s="6">
        <v>0.51041666666666663</v>
      </c>
      <c r="L97" s="6">
        <v>0.75694444444444453</v>
      </c>
      <c r="M97">
        <v>40</v>
      </c>
      <c r="N97">
        <v>0</v>
      </c>
      <c r="O97">
        <v>0</v>
      </c>
      <c r="P97">
        <v>1</v>
      </c>
      <c r="Q97">
        <v>1</v>
      </c>
      <c r="R97">
        <v>1</v>
      </c>
      <c r="S97">
        <v>0</v>
      </c>
      <c r="T97">
        <v>0</v>
      </c>
      <c r="U97">
        <v>0</v>
      </c>
      <c r="V97">
        <v>1</v>
      </c>
      <c r="W97" t="s">
        <v>29</v>
      </c>
      <c r="X97" t="s">
        <v>30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 spans="1:55" x14ac:dyDescent="0.2">
      <c r="A98">
        <v>96</v>
      </c>
      <c r="B98">
        <v>37</v>
      </c>
      <c r="C98">
        <v>0</v>
      </c>
      <c r="D98">
        <v>92.2</v>
      </c>
      <c r="E98">
        <v>1.78</v>
      </c>
      <c r="F98" s="5">
        <f t="shared" si="2"/>
        <v>29.099861128645372</v>
      </c>
      <c r="G98" s="13">
        <v>3</v>
      </c>
      <c r="H98">
        <v>1</v>
      </c>
      <c r="I98">
        <v>3</v>
      </c>
      <c r="J98">
        <v>2</v>
      </c>
      <c r="K98" s="6">
        <v>0.52083333333333337</v>
      </c>
      <c r="L98" s="6">
        <v>0.69444444444444453</v>
      </c>
      <c r="M98">
        <v>46</v>
      </c>
      <c r="N98">
        <v>0</v>
      </c>
      <c r="O98">
        <v>0</v>
      </c>
      <c r="P98">
        <v>1</v>
      </c>
      <c r="Q98">
        <v>3</v>
      </c>
      <c r="R98">
        <v>1</v>
      </c>
      <c r="S98">
        <v>0</v>
      </c>
      <c r="T98">
        <v>0</v>
      </c>
      <c r="U98">
        <v>0</v>
      </c>
      <c r="V98">
        <v>1</v>
      </c>
      <c r="W98" t="s">
        <v>35</v>
      </c>
      <c r="X98" t="s">
        <v>36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55" x14ac:dyDescent="0.2">
      <c r="A99">
        <v>97</v>
      </c>
      <c r="B99">
        <v>42</v>
      </c>
      <c r="C99">
        <v>0</v>
      </c>
      <c r="D99">
        <v>110.3</v>
      </c>
      <c r="E99">
        <v>1.53</v>
      </c>
      <c r="F99" s="5">
        <f t="shared" si="2"/>
        <v>47.11862958691102</v>
      </c>
      <c r="G99" s="13">
        <v>2</v>
      </c>
      <c r="H99">
        <v>2</v>
      </c>
      <c r="I99">
        <v>1</v>
      </c>
      <c r="J99">
        <v>1</v>
      </c>
      <c r="K99" s="6">
        <v>0.52777777777777779</v>
      </c>
      <c r="L99" s="6">
        <v>0.70833333333333337</v>
      </c>
      <c r="M99">
        <v>35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t="s">
        <v>31</v>
      </c>
      <c r="X99" t="s">
        <v>32</v>
      </c>
      <c r="Y99">
        <v>2</v>
      </c>
      <c r="Z99">
        <v>1</v>
      </c>
      <c r="AA99">
        <v>50</v>
      </c>
      <c r="AB99">
        <v>2</v>
      </c>
      <c r="AC99">
        <v>2</v>
      </c>
      <c r="AD99">
        <v>0</v>
      </c>
      <c r="AE99">
        <v>0</v>
      </c>
      <c r="AF99">
        <v>0</v>
      </c>
      <c r="AG99">
        <v>0</v>
      </c>
      <c r="AJ99">
        <v>0</v>
      </c>
      <c r="AK99">
        <v>0</v>
      </c>
      <c r="AL99">
        <v>120</v>
      </c>
      <c r="AM99">
        <v>2</v>
      </c>
      <c r="AN99">
        <v>1</v>
      </c>
      <c r="AO99">
        <v>2</v>
      </c>
      <c r="AP99">
        <v>1</v>
      </c>
      <c r="AQ99">
        <v>1</v>
      </c>
      <c r="AR99">
        <v>1</v>
      </c>
      <c r="AS99" t="s">
        <v>29</v>
      </c>
      <c r="AT99" t="s">
        <v>30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55" x14ac:dyDescent="0.2">
      <c r="A100">
        <v>98</v>
      </c>
      <c r="B100">
        <v>27</v>
      </c>
      <c r="C100">
        <v>0</v>
      </c>
      <c r="D100">
        <v>112.7</v>
      </c>
      <c r="E100">
        <v>1.66</v>
      </c>
      <c r="F100" s="5">
        <f t="shared" si="2"/>
        <v>40.898533894614609</v>
      </c>
      <c r="G100" s="13">
        <v>3</v>
      </c>
      <c r="H100">
        <v>2</v>
      </c>
      <c r="I100">
        <v>2</v>
      </c>
      <c r="J100">
        <v>2</v>
      </c>
      <c r="K100" s="6">
        <v>0.52777777777777779</v>
      </c>
      <c r="L100" s="6">
        <v>0.82847222222222217</v>
      </c>
      <c r="M100">
        <v>47</v>
      </c>
      <c r="N100">
        <v>0</v>
      </c>
      <c r="O100">
        <v>0</v>
      </c>
      <c r="P100">
        <v>1</v>
      </c>
      <c r="Q100">
        <v>3</v>
      </c>
      <c r="R100">
        <v>2</v>
      </c>
      <c r="S100">
        <v>0</v>
      </c>
      <c r="T100">
        <v>0</v>
      </c>
      <c r="U100">
        <v>0</v>
      </c>
      <c r="V100">
        <v>1</v>
      </c>
      <c r="W100" t="s">
        <v>35</v>
      </c>
      <c r="X100" t="s">
        <v>36</v>
      </c>
      <c r="Y100">
        <v>0</v>
      </c>
      <c r="Z100">
        <v>0</v>
      </c>
      <c r="AA100">
        <v>120</v>
      </c>
      <c r="AB100">
        <v>3</v>
      </c>
      <c r="AC100">
        <v>1</v>
      </c>
      <c r="AD100">
        <v>0</v>
      </c>
      <c r="AE100">
        <v>0</v>
      </c>
      <c r="AF100">
        <v>0</v>
      </c>
      <c r="AG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 spans="1:55" x14ac:dyDescent="0.2">
      <c r="A101">
        <v>99</v>
      </c>
      <c r="B101">
        <v>55</v>
      </c>
      <c r="C101">
        <v>0</v>
      </c>
      <c r="D101">
        <v>115.5</v>
      </c>
      <c r="E101">
        <v>1.72</v>
      </c>
      <c r="F101" s="5">
        <f t="shared" si="2"/>
        <v>39.041373715521907</v>
      </c>
      <c r="G101" s="13">
        <v>1</v>
      </c>
      <c r="H101">
        <v>2</v>
      </c>
      <c r="I101">
        <v>3</v>
      </c>
      <c r="J101">
        <v>2</v>
      </c>
      <c r="K101" s="6">
        <v>0.61805555555555558</v>
      </c>
      <c r="L101" s="6">
        <v>0.78819444444444453</v>
      </c>
      <c r="M101">
        <v>60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 spans="1:55" x14ac:dyDescent="0.2">
      <c r="A102">
        <v>100</v>
      </c>
      <c r="B102">
        <v>28</v>
      </c>
      <c r="C102">
        <v>0</v>
      </c>
      <c r="D102">
        <v>95.5</v>
      </c>
      <c r="E102">
        <v>1.59</v>
      </c>
      <c r="F102" s="5">
        <f t="shared" si="2"/>
        <v>37.775404453937739</v>
      </c>
      <c r="G102" s="13">
        <v>1</v>
      </c>
      <c r="H102">
        <v>1</v>
      </c>
      <c r="I102">
        <v>1</v>
      </c>
      <c r="J102">
        <v>1</v>
      </c>
      <c r="K102" s="6">
        <v>0.51041666666666663</v>
      </c>
      <c r="L102" s="6">
        <v>0.6430555555555556</v>
      </c>
      <c r="M102">
        <v>33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t="s">
        <v>31</v>
      </c>
      <c r="X102" t="s">
        <v>32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1:55" x14ac:dyDescent="0.2">
      <c r="A103">
        <v>101</v>
      </c>
      <c r="B103">
        <v>52</v>
      </c>
      <c r="C103">
        <v>0</v>
      </c>
      <c r="D103">
        <v>95.5</v>
      </c>
      <c r="E103">
        <v>1.6</v>
      </c>
      <c r="F103" s="5">
        <f t="shared" si="2"/>
        <v>37.304687499999993</v>
      </c>
      <c r="G103" s="13">
        <v>2</v>
      </c>
      <c r="H103">
        <v>1</v>
      </c>
      <c r="I103">
        <v>2</v>
      </c>
      <c r="J103">
        <v>2</v>
      </c>
      <c r="K103" s="6">
        <v>0.51041666666666663</v>
      </c>
      <c r="L103" s="6">
        <v>0.63888888888888895</v>
      </c>
      <c r="M103">
        <v>30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1:55" x14ac:dyDescent="0.2">
      <c r="A104">
        <v>102</v>
      </c>
      <c r="B104">
        <v>43</v>
      </c>
      <c r="C104">
        <v>0</v>
      </c>
      <c r="D104">
        <v>156.19999999999999</v>
      </c>
      <c r="E104">
        <v>1.69</v>
      </c>
      <c r="F104" s="5">
        <f t="shared" si="2"/>
        <v>54.689961836070168</v>
      </c>
      <c r="G104" s="13">
        <v>3</v>
      </c>
      <c r="H104">
        <v>3</v>
      </c>
      <c r="I104">
        <v>3</v>
      </c>
      <c r="J104">
        <v>2</v>
      </c>
      <c r="K104" s="6">
        <v>0.61805555555555558</v>
      </c>
      <c r="L104" s="6">
        <v>0.76041666666666663</v>
      </c>
      <c r="M104">
        <v>80</v>
      </c>
      <c r="N104">
        <v>0</v>
      </c>
      <c r="O104">
        <v>0</v>
      </c>
      <c r="P104">
        <v>1</v>
      </c>
      <c r="Q104">
        <v>1</v>
      </c>
      <c r="R104">
        <v>2</v>
      </c>
      <c r="S104">
        <v>0</v>
      </c>
      <c r="T104">
        <v>0</v>
      </c>
      <c r="U104">
        <v>0</v>
      </c>
      <c r="V104">
        <v>1</v>
      </c>
      <c r="W104" t="s">
        <v>35</v>
      </c>
      <c r="X104" t="s">
        <v>36</v>
      </c>
      <c r="Y104">
        <v>0</v>
      </c>
      <c r="Z104">
        <v>0</v>
      </c>
      <c r="AA104">
        <v>30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 spans="1:55" x14ac:dyDescent="0.2">
      <c r="A105">
        <v>103</v>
      </c>
      <c r="B105">
        <v>28</v>
      </c>
      <c r="C105">
        <v>0</v>
      </c>
      <c r="D105">
        <v>155</v>
      </c>
      <c r="E105">
        <v>1.74</v>
      </c>
      <c r="F105" s="5">
        <f t="shared" si="2"/>
        <v>51.195666534548813</v>
      </c>
      <c r="G105" s="13">
        <v>2</v>
      </c>
      <c r="H105">
        <v>3</v>
      </c>
      <c r="I105">
        <v>1</v>
      </c>
      <c r="J105">
        <v>1</v>
      </c>
      <c r="K105" s="6">
        <v>0.52083333333333337</v>
      </c>
      <c r="L105" s="6">
        <v>0.6875</v>
      </c>
      <c r="M105">
        <v>30</v>
      </c>
      <c r="N105">
        <v>0</v>
      </c>
      <c r="O105">
        <v>0</v>
      </c>
      <c r="P105">
        <v>1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1</v>
      </c>
      <c r="W105" t="s">
        <v>29</v>
      </c>
      <c r="X105" t="s">
        <v>30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 spans="1:55" x14ac:dyDescent="0.2">
      <c r="A106">
        <v>104</v>
      </c>
      <c r="B106">
        <v>32</v>
      </c>
      <c r="C106">
        <v>0</v>
      </c>
      <c r="D106">
        <v>194.4</v>
      </c>
      <c r="E106">
        <v>1.72</v>
      </c>
      <c r="F106" s="5">
        <f t="shared" si="2"/>
        <v>65.711195240670648</v>
      </c>
      <c r="G106" s="13">
        <v>1</v>
      </c>
      <c r="H106">
        <v>3</v>
      </c>
      <c r="I106">
        <v>2</v>
      </c>
      <c r="J106">
        <v>2</v>
      </c>
      <c r="K106" s="6">
        <v>0.52083333333333337</v>
      </c>
      <c r="L106" s="6">
        <v>0.69236111111111109</v>
      </c>
      <c r="M106">
        <v>32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Y106">
        <v>0</v>
      </c>
      <c r="Z106">
        <v>0</v>
      </c>
      <c r="AA106">
        <v>30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0</v>
      </c>
      <c r="AH106" t="s">
        <v>31</v>
      </c>
      <c r="AI106" t="s">
        <v>33</v>
      </c>
      <c r="AJ106">
        <v>2</v>
      </c>
      <c r="AK106">
        <v>2</v>
      </c>
      <c r="AL106">
        <v>180</v>
      </c>
      <c r="AM106">
        <v>5</v>
      </c>
      <c r="AN106">
        <v>3</v>
      </c>
      <c r="AO106">
        <v>0</v>
      </c>
      <c r="AP106">
        <v>0</v>
      </c>
      <c r="AQ106">
        <v>0</v>
      </c>
      <c r="AR106">
        <v>0</v>
      </c>
      <c r="AS106" t="s">
        <v>31</v>
      </c>
      <c r="AT106" t="s">
        <v>33</v>
      </c>
      <c r="AU106">
        <v>0</v>
      </c>
      <c r="AV106">
        <v>0</v>
      </c>
      <c r="AW106">
        <v>60</v>
      </c>
      <c r="AX106">
        <v>2</v>
      </c>
      <c r="AY106">
        <v>1</v>
      </c>
      <c r="AZ106">
        <v>0</v>
      </c>
      <c r="BA106">
        <v>0</v>
      </c>
      <c r="BB106">
        <v>0</v>
      </c>
      <c r="BC106">
        <v>0</v>
      </c>
    </row>
    <row r="107" spans="1:55" x14ac:dyDescent="0.2">
      <c r="A107">
        <v>105</v>
      </c>
      <c r="B107">
        <v>50</v>
      </c>
      <c r="C107">
        <v>0</v>
      </c>
      <c r="D107">
        <v>101.4</v>
      </c>
      <c r="E107">
        <v>1.67</v>
      </c>
      <c r="F107" s="5">
        <f t="shared" si="2"/>
        <v>36.358420882785332</v>
      </c>
      <c r="G107" s="13">
        <v>2</v>
      </c>
      <c r="H107">
        <v>2</v>
      </c>
      <c r="I107">
        <v>3</v>
      </c>
      <c r="J107">
        <v>2</v>
      </c>
      <c r="K107" s="6">
        <v>0.52083333333333337</v>
      </c>
      <c r="L107" s="6">
        <v>0.58333333333333337</v>
      </c>
      <c r="M107">
        <v>30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 spans="1:55" x14ac:dyDescent="0.2">
      <c r="A108">
        <v>106</v>
      </c>
      <c r="B108">
        <v>40</v>
      </c>
      <c r="C108">
        <v>0</v>
      </c>
      <c r="D108">
        <v>101.1</v>
      </c>
      <c r="E108">
        <v>1.64</v>
      </c>
      <c r="F108" s="5">
        <f t="shared" si="2"/>
        <v>37.589232599643076</v>
      </c>
      <c r="G108" s="13">
        <v>3</v>
      </c>
      <c r="H108">
        <v>2</v>
      </c>
      <c r="I108">
        <v>1</v>
      </c>
      <c r="J108">
        <v>1</v>
      </c>
      <c r="K108" s="6">
        <v>0.52083333333333337</v>
      </c>
      <c r="L108" s="6">
        <v>0.58888888888888891</v>
      </c>
      <c r="M108">
        <v>58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 spans="1:55" x14ac:dyDescent="0.2">
      <c r="A109">
        <v>107</v>
      </c>
      <c r="B109">
        <v>27</v>
      </c>
      <c r="C109">
        <v>0</v>
      </c>
      <c r="D109">
        <v>99.7</v>
      </c>
      <c r="E109">
        <v>1.59</v>
      </c>
      <c r="F109" s="5">
        <f t="shared" si="2"/>
        <v>39.436731141964316</v>
      </c>
      <c r="G109" s="13">
        <v>3</v>
      </c>
      <c r="H109">
        <v>1</v>
      </c>
      <c r="I109">
        <v>2</v>
      </c>
      <c r="J109">
        <v>2</v>
      </c>
      <c r="K109" s="6">
        <v>0.53125</v>
      </c>
      <c r="L109" s="6">
        <v>0.69791666666666663</v>
      </c>
      <c r="M109">
        <v>43</v>
      </c>
      <c r="N109">
        <v>0</v>
      </c>
      <c r="O109">
        <v>0</v>
      </c>
      <c r="P109">
        <v>1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1</v>
      </c>
      <c r="W109" t="s">
        <v>29</v>
      </c>
      <c r="X109" t="s">
        <v>30</v>
      </c>
      <c r="Y109">
        <v>0</v>
      </c>
      <c r="Z109">
        <v>0</v>
      </c>
      <c r="AA109">
        <v>30</v>
      </c>
      <c r="AB109">
        <v>1</v>
      </c>
      <c r="AC109">
        <v>1</v>
      </c>
      <c r="AD109">
        <v>0</v>
      </c>
      <c r="AE109">
        <v>0</v>
      </c>
      <c r="AF109">
        <v>0</v>
      </c>
      <c r="AG109">
        <v>0</v>
      </c>
      <c r="AJ109">
        <v>0</v>
      </c>
      <c r="AK109">
        <v>0</v>
      </c>
      <c r="AL109">
        <v>30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 spans="1:55" x14ac:dyDescent="0.2">
      <c r="A110">
        <v>108</v>
      </c>
      <c r="B110">
        <v>26</v>
      </c>
      <c r="C110">
        <v>0</v>
      </c>
      <c r="D110">
        <v>108.6</v>
      </c>
      <c r="E110">
        <v>1.64</v>
      </c>
      <c r="F110" s="5">
        <f t="shared" si="2"/>
        <v>40.377751338488999</v>
      </c>
      <c r="G110" s="13">
        <v>2</v>
      </c>
      <c r="H110">
        <v>2</v>
      </c>
      <c r="I110">
        <v>3</v>
      </c>
      <c r="J110">
        <v>2</v>
      </c>
      <c r="K110" s="6">
        <v>0.53125</v>
      </c>
      <c r="L110" s="6">
        <v>0.72222222222222221</v>
      </c>
      <c r="M110">
        <v>30</v>
      </c>
      <c r="N110">
        <v>3</v>
      </c>
      <c r="O110">
        <v>2</v>
      </c>
      <c r="P110">
        <v>1</v>
      </c>
      <c r="Q110">
        <v>3</v>
      </c>
      <c r="R110">
        <v>2</v>
      </c>
      <c r="S110">
        <v>0</v>
      </c>
      <c r="T110">
        <v>0</v>
      </c>
      <c r="U110">
        <v>0</v>
      </c>
      <c r="V110">
        <v>1</v>
      </c>
      <c r="W110" t="s">
        <v>29</v>
      </c>
      <c r="X110" t="s">
        <v>30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 spans="1:55" x14ac:dyDescent="0.2">
      <c r="A111">
        <v>109</v>
      </c>
      <c r="B111">
        <v>26</v>
      </c>
      <c r="C111">
        <v>0</v>
      </c>
      <c r="D111">
        <v>102.9</v>
      </c>
      <c r="E111">
        <v>1.58</v>
      </c>
      <c r="F111" s="5">
        <f t="shared" si="2"/>
        <v>41.219355872456333</v>
      </c>
      <c r="G111" s="13">
        <v>2</v>
      </c>
      <c r="H111">
        <v>2</v>
      </c>
      <c r="I111">
        <v>1</v>
      </c>
      <c r="J111">
        <v>1</v>
      </c>
      <c r="K111" s="6">
        <v>0.53125</v>
      </c>
      <c r="L111" s="6">
        <v>0.77083333333333337</v>
      </c>
      <c r="M111">
        <v>30</v>
      </c>
      <c r="N111">
        <v>0</v>
      </c>
      <c r="O111">
        <v>0</v>
      </c>
      <c r="P111">
        <v>1</v>
      </c>
      <c r="Q111">
        <v>4</v>
      </c>
      <c r="R111">
        <v>2</v>
      </c>
      <c r="S111">
        <v>0</v>
      </c>
      <c r="T111">
        <v>0</v>
      </c>
      <c r="U111">
        <v>0</v>
      </c>
      <c r="V111">
        <v>1</v>
      </c>
      <c r="W111" t="s">
        <v>29</v>
      </c>
      <c r="X111" t="s">
        <v>30</v>
      </c>
      <c r="Y111">
        <v>3</v>
      </c>
      <c r="Z111">
        <v>2</v>
      </c>
      <c r="AA111">
        <v>180</v>
      </c>
      <c r="AB111">
        <v>2</v>
      </c>
      <c r="AC111">
        <v>2</v>
      </c>
      <c r="AD111">
        <v>1</v>
      </c>
      <c r="AE111">
        <v>1</v>
      </c>
      <c r="AF111">
        <v>2</v>
      </c>
      <c r="AG111">
        <v>1</v>
      </c>
      <c r="AH111" t="s">
        <v>35</v>
      </c>
      <c r="AI111" t="s">
        <v>36</v>
      </c>
      <c r="AJ111">
        <v>3</v>
      </c>
      <c r="AK111">
        <v>2</v>
      </c>
      <c r="AL111">
        <v>120</v>
      </c>
      <c r="AM111">
        <v>3</v>
      </c>
      <c r="AN111">
        <v>2</v>
      </c>
      <c r="AO111">
        <v>2</v>
      </c>
      <c r="AP111">
        <v>1</v>
      </c>
      <c r="AQ111">
        <v>0</v>
      </c>
      <c r="AR111">
        <v>1</v>
      </c>
      <c r="AS111" t="s">
        <v>29</v>
      </c>
      <c r="AT111" t="s">
        <v>30</v>
      </c>
      <c r="AU111">
        <v>1</v>
      </c>
      <c r="AV111">
        <v>1</v>
      </c>
      <c r="AW111">
        <v>30</v>
      </c>
      <c r="AX111">
        <v>2</v>
      </c>
      <c r="AY111">
        <v>1</v>
      </c>
      <c r="AZ111">
        <v>0</v>
      </c>
      <c r="BA111">
        <v>0</v>
      </c>
      <c r="BB111">
        <v>0</v>
      </c>
      <c r="BC111">
        <v>0</v>
      </c>
    </row>
    <row r="112" spans="1:55" x14ac:dyDescent="0.2">
      <c r="A112">
        <v>110</v>
      </c>
      <c r="B112">
        <v>30</v>
      </c>
      <c r="C112">
        <v>0</v>
      </c>
      <c r="D112">
        <v>100.9</v>
      </c>
      <c r="E112">
        <v>1.69</v>
      </c>
      <c r="F112" s="5">
        <f t="shared" si="2"/>
        <v>35.327894681558774</v>
      </c>
      <c r="G112" s="13">
        <v>1</v>
      </c>
      <c r="H112">
        <v>1</v>
      </c>
      <c r="I112">
        <v>2</v>
      </c>
      <c r="J112">
        <v>2</v>
      </c>
      <c r="K112" s="6">
        <v>0.53125</v>
      </c>
      <c r="L112" s="6">
        <v>0.79027777777777775</v>
      </c>
      <c r="M112">
        <v>50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 spans="1:57" x14ac:dyDescent="0.2">
      <c r="A113">
        <v>111</v>
      </c>
      <c r="B113">
        <v>37</v>
      </c>
      <c r="C113">
        <v>0</v>
      </c>
      <c r="D113">
        <v>112.7</v>
      </c>
      <c r="E113">
        <v>1.66</v>
      </c>
      <c r="F113" s="5">
        <f t="shared" si="2"/>
        <v>40.898533894614609</v>
      </c>
      <c r="G113" s="13">
        <v>3</v>
      </c>
      <c r="H113">
        <v>2</v>
      </c>
      <c r="I113">
        <v>3</v>
      </c>
      <c r="J113">
        <v>2</v>
      </c>
      <c r="K113" s="6">
        <v>0.53125</v>
      </c>
      <c r="L113" s="6">
        <v>0.76041666666666663</v>
      </c>
      <c r="M113">
        <v>45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 spans="1:57" x14ac:dyDescent="0.2">
      <c r="A114">
        <v>112</v>
      </c>
      <c r="B114">
        <v>28</v>
      </c>
      <c r="C114">
        <v>0</v>
      </c>
      <c r="D114">
        <v>160.9</v>
      </c>
      <c r="E114">
        <v>1.83</v>
      </c>
      <c r="F114" s="5">
        <f t="shared" si="2"/>
        <v>48.04562692227298</v>
      </c>
      <c r="G114" s="13">
        <v>1</v>
      </c>
      <c r="H114">
        <v>2</v>
      </c>
      <c r="I114">
        <v>1</v>
      </c>
      <c r="J114">
        <v>1</v>
      </c>
      <c r="K114" s="6">
        <v>0.53125</v>
      </c>
      <c r="L114" s="6">
        <v>0.74652777777777779</v>
      </c>
      <c r="M114">
        <v>31</v>
      </c>
      <c r="N114">
        <v>0</v>
      </c>
      <c r="O114">
        <v>0</v>
      </c>
      <c r="P114">
        <v>1</v>
      </c>
      <c r="Q114">
        <v>4</v>
      </c>
      <c r="R114">
        <v>2</v>
      </c>
      <c r="S114">
        <v>0</v>
      </c>
      <c r="T114">
        <v>0</v>
      </c>
      <c r="U114">
        <v>0</v>
      </c>
      <c r="V114">
        <v>1</v>
      </c>
      <c r="W114" t="s">
        <v>35</v>
      </c>
      <c r="X114" t="s">
        <v>49</v>
      </c>
      <c r="Y114">
        <v>3</v>
      </c>
      <c r="Z114">
        <v>2</v>
      </c>
      <c r="AA114">
        <v>50</v>
      </c>
      <c r="AB114">
        <v>4</v>
      </c>
      <c r="AC114">
        <v>2</v>
      </c>
      <c r="AD114">
        <v>0</v>
      </c>
      <c r="AE114">
        <v>0</v>
      </c>
      <c r="AF114">
        <v>0</v>
      </c>
      <c r="AG114">
        <v>0</v>
      </c>
      <c r="AJ114">
        <v>6</v>
      </c>
      <c r="AK114">
        <v>3</v>
      </c>
      <c r="AL114">
        <v>120</v>
      </c>
      <c r="AM114">
        <v>6</v>
      </c>
      <c r="AN114">
        <v>2</v>
      </c>
      <c r="AO114">
        <v>0</v>
      </c>
      <c r="AP114">
        <v>0</v>
      </c>
      <c r="AQ114">
        <v>0</v>
      </c>
      <c r="AR114">
        <v>0</v>
      </c>
      <c r="AU114">
        <v>4</v>
      </c>
      <c r="AV114">
        <v>3</v>
      </c>
      <c r="AW114">
        <v>360</v>
      </c>
      <c r="AX114">
        <v>6</v>
      </c>
      <c r="AY114">
        <v>2</v>
      </c>
      <c r="AZ114">
        <v>0</v>
      </c>
      <c r="BA114">
        <v>0</v>
      </c>
      <c r="BB114">
        <v>0</v>
      </c>
      <c r="BC114">
        <v>0</v>
      </c>
    </row>
    <row r="115" spans="1:57" x14ac:dyDescent="0.2">
      <c r="A115">
        <v>113</v>
      </c>
      <c r="B115">
        <v>53</v>
      </c>
      <c r="C115">
        <v>0</v>
      </c>
      <c r="D115">
        <v>94.4</v>
      </c>
      <c r="E115">
        <v>1.69</v>
      </c>
      <c r="F115" s="5">
        <f t="shared" si="2"/>
        <v>33.052064003361231</v>
      </c>
      <c r="G115" s="13">
        <v>1</v>
      </c>
      <c r="H115">
        <v>2</v>
      </c>
      <c r="I115">
        <v>2</v>
      </c>
      <c r="J115">
        <v>2</v>
      </c>
      <c r="K115" s="6">
        <v>0.53125</v>
      </c>
      <c r="L115" s="6">
        <v>0.59236111111111112</v>
      </c>
      <c r="M115">
        <v>47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 spans="1:57" x14ac:dyDescent="0.2">
      <c r="A116">
        <v>114</v>
      </c>
      <c r="B116">
        <v>28</v>
      </c>
      <c r="C116">
        <v>0</v>
      </c>
      <c r="D116">
        <v>143.9</v>
      </c>
      <c r="E116">
        <v>1.75</v>
      </c>
      <c r="F116" s="5">
        <f t="shared" si="2"/>
        <v>46.987755102040815</v>
      </c>
      <c r="G116" s="13">
        <v>2</v>
      </c>
      <c r="H116">
        <v>2</v>
      </c>
      <c r="I116">
        <v>3</v>
      </c>
      <c r="J116">
        <v>2</v>
      </c>
      <c r="K116" s="6">
        <v>0.53125</v>
      </c>
      <c r="L116" s="6">
        <v>0.79861111111111116</v>
      </c>
      <c r="M116">
        <v>30</v>
      </c>
      <c r="N116">
        <v>0</v>
      </c>
      <c r="O116">
        <v>0</v>
      </c>
      <c r="P116">
        <v>1</v>
      </c>
      <c r="Q116">
        <v>3</v>
      </c>
      <c r="R116">
        <v>2</v>
      </c>
      <c r="S116">
        <v>0</v>
      </c>
      <c r="T116">
        <v>0</v>
      </c>
      <c r="U116">
        <v>0</v>
      </c>
      <c r="V116">
        <v>1</v>
      </c>
      <c r="W116" t="s">
        <v>35</v>
      </c>
      <c r="X116" t="s">
        <v>49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 spans="1:57" x14ac:dyDescent="0.2">
      <c r="A117">
        <v>115</v>
      </c>
      <c r="B117">
        <v>27</v>
      </c>
      <c r="C117">
        <v>0</v>
      </c>
      <c r="D117">
        <v>94.1</v>
      </c>
      <c r="E117">
        <v>1.72</v>
      </c>
      <c r="F117" s="5">
        <f t="shared" si="2"/>
        <v>31.807733910221742</v>
      </c>
      <c r="G117" s="13">
        <v>3</v>
      </c>
      <c r="H117">
        <v>2</v>
      </c>
      <c r="I117">
        <v>1</v>
      </c>
      <c r="J117">
        <v>1</v>
      </c>
      <c r="K117" s="6">
        <v>0.53125</v>
      </c>
      <c r="L117" s="6">
        <v>0.78819444444444453</v>
      </c>
      <c r="M117">
        <v>58</v>
      </c>
      <c r="N117">
        <v>2</v>
      </c>
      <c r="O117">
        <v>3</v>
      </c>
      <c r="P117">
        <v>1</v>
      </c>
      <c r="Q117">
        <v>6</v>
      </c>
      <c r="R117">
        <v>3</v>
      </c>
      <c r="S117">
        <v>0</v>
      </c>
      <c r="T117">
        <v>0</v>
      </c>
      <c r="U117">
        <v>0</v>
      </c>
      <c r="V117">
        <v>1</v>
      </c>
      <c r="W117" t="s">
        <v>35</v>
      </c>
      <c r="X117" t="s">
        <v>50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J117">
        <v>0</v>
      </c>
      <c r="AK117">
        <v>0</v>
      </c>
      <c r="AL117">
        <v>300</v>
      </c>
      <c r="AM117">
        <v>3</v>
      </c>
      <c r="AN117">
        <v>1</v>
      </c>
      <c r="AO117">
        <v>3</v>
      </c>
      <c r="AP117">
        <v>1</v>
      </c>
      <c r="AQ117">
        <v>1</v>
      </c>
      <c r="AR117">
        <v>1</v>
      </c>
      <c r="AS117" t="s">
        <v>29</v>
      </c>
      <c r="AT117" t="s">
        <v>30</v>
      </c>
      <c r="AU117">
        <v>0</v>
      </c>
      <c r="AV117">
        <v>0</v>
      </c>
      <c r="AW117">
        <v>120</v>
      </c>
      <c r="AX117">
        <v>3</v>
      </c>
      <c r="AY117">
        <v>1</v>
      </c>
      <c r="AZ117">
        <v>3</v>
      </c>
      <c r="BA117">
        <v>1</v>
      </c>
      <c r="BB117">
        <v>1</v>
      </c>
      <c r="BC117">
        <v>1</v>
      </c>
      <c r="BD117" t="s">
        <v>51</v>
      </c>
      <c r="BE117" t="s">
        <v>52</v>
      </c>
    </row>
    <row r="118" spans="1:57" x14ac:dyDescent="0.2">
      <c r="A118">
        <v>116</v>
      </c>
      <c r="B118">
        <v>37</v>
      </c>
      <c r="C118">
        <v>0</v>
      </c>
      <c r="D118">
        <v>93.7</v>
      </c>
      <c r="E118">
        <v>1.49</v>
      </c>
      <c r="F118" s="5">
        <f t="shared" si="2"/>
        <v>42.205306067294266</v>
      </c>
      <c r="G118" s="13">
        <v>3</v>
      </c>
      <c r="H118">
        <v>2</v>
      </c>
      <c r="I118">
        <v>2</v>
      </c>
      <c r="J118">
        <v>2</v>
      </c>
      <c r="K118" s="6">
        <v>0.54166666666666663</v>
      </c>
      <c r="L118" s="6">
        <v>0.6381944444444444</v>
      </c>
      <c r="M118">
        <v>58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 spans="1:57" x14ac:dyDescent="0.2">
      <c r="A119">
        <v>117</v>
      </c>
      <c r="B119">
        <v>52</v>
      </c>
      <c r="C119">
        <v>0</v>
      </c>
      <c r="D119">
        <v>117.4</v>
      </c>
      <c r="E119">
        <v>1.65</v>
      </c>
      <c r="F119" s="5">
        <f t="shared" si="2"/>
        <v>43.122130394857678</v>
      </c>
      <c r="G119" s="13">
        <v>2</v>
      </c>
      <c r="H119">
        <v>2</v>
      </c>
      <c r="I119">
        <v>3</v>
      </c>
      <c r="J119">
        <v>2</v>
      </c>
      <c r="K119" s="6">
        <v>0.54166666666666663</v>
      </c>
      <c r="L119" s="6">
        <v>0.71527777777777779</v>
      </c>
      <c r="M119">
        <v>40</v>
      </c>
      <c r="N119">
        <v>0</v>
      </c>
      <c r="O119">
        <v>0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 spans="1:57" x14ac:dyDescent="0.2">
      <c r="A120">
        <v>118</v>
      </c>
      <c r="B120">
        <v>30</v>
      </c>
      <c r="C120">
        <v>0</v>
      </c>
      <c r="D120">
        <v>102.2</v>
      </c>
      <c r="E120">
        <v>1.65</v>
      </c>
      <c r="F120" s="5">
        <f t="shared" si="2"/>
        <v>37.539026629935726</v>
      </c>
      <c r="G120" s="13">
        <v>1</v>
      </c>
      <c r="H120">
        <v>2</v>
      </c>
      <c r="I120">
        <v>1</v>
      </c>
      <c r="J120">
        <v>1</v>
      </c>
      <c r="K120" s="6">
        <v>0.54166666666666663</v>
      </c>
      <c r="L120" s="6">
        <v>0.8666666666666667</v>
      </c>
      <c r="M120">
        <v>29</v>
      </c>
      <c r="N120">
        <v>0</v>
      </c>
      <c r="O120">
        <v>0</v>
      </c>
      <c r="P120">
        <v>1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1</v>
      </c>
      <c r="W120" t="s">
        <v>53</v>
      </c>
      <c r="X120" t="s">
        <v>30</v>
      </c>
      <c r="Y120">
        <v>1</v>
      </c>
      <c r="Z120">
        <v>2</v>
      </c>
      <c r="AA120">
        <v>180</v>
      </c>
      <c r="AB120">
        <v>4</v>
      </c>
      <c r="AC120">
        <v>2</v>
      </c>
      <c r="AD120">
        <v>2</v>
      </c>
      <c r="AE120">
        <v>1</v>
      </c>
      <c r="AF120">
        <v>1</v>
      </c>
      <c r="AG120">
        <v>0</v>
      </c>
      <c r="AJ120">
        <v>1</v>
      </c>
      <c r="AK120">
        <v>1</v>
      </c>
      <c r="AL120">
        <v>50</v>
      </c>
      <c r="AM120">
        <v>2</v>
      </c>
      <c r="AN120">
        <v>1</v>
      </c>
      <c r="AO120">
        <v>0</v>
      </c>
      <c r="AP120">
        <v>0</v>
      </c>
      <c r="AQ120">
        <v>0</v>
      </c>
      <c r="AR120">
        <v>0</v>
      </c>
      <c r="AU120">
        <v>2</v>
      </c>
      <c r="AV120">
        <v>1</v>
      </c>
      <c r="AW120">
        <v>30</v>
      </c>
      <c r="AX120">
        <v>2</v>
      </c>
      <c r="AY120">
        <v>1</v>
      </c>
      <c r="AZ120">
        <v>0</v>
      </c>
      <c r="BA120">
        <v>0</v>
      </c>
      <c r="BB120">
        <v>0</v>
      </c>
      <c r="BC120">
        <v>0</v>
      </c>
    </row>
    <row r="121" spans="1:57" x14ac:dyDescent="0.2">
      <c r="A121">
        <v>119</v>
      </c>
      <c r="B121">
        <v>50</v>
      </c>
      <c r="C121">
        <v>0</v>
      </c>
      <c r="D121">
        <v>87.6</v>
      </c>
      <c r="E121">
        <v>1.71</v>
      </c>
      <c r="F121" s="5">
        <f t="shared" si="2"/>
        <v>29.95793577511029</v>
      </c>
      <c r="G121" s="13">
        <v>2</v>
      </c>
      <c r="H121">
        <v>1</v>
      </c>
      <c r="I121">
        <v>2</v>
      </c>
      <c r="J121">
        <v>2</v>
      </c>
      <c r="K121" s="6">
        <v>0.83333333333333337</v>
      </c>
      <c r="L121" s="6">
        <v>0.875</v>
      </c>
      <c r="M121">
        <v>50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t="s">
        <v>31</v>
      </c>
      <c r="X121" t="s">
        <v>32</v>
      </c>
      <c r="Y121">
        <v>4</v>
      </c>
      <c r="Z121">
        <v>4</v>
      </c>
      <c r="AA121">
        <v>360</v>
      </c>
      <c r="AB121">
        <v>7</v>
      </c>
      <c r="AC121">
        <v>4</v>
      </c>
      <c r="AD121">
        <v>5</v>
      </c>
      <c r="AE121">
        <v>1</v>
      </c>
      <c r="AF121">
        <v>2</v>
      </c>
      <c r="AG121">
        <v>1</v>
      </c>
      <c r="AH121" t="s">
        <v>54</v>
      </c>
      <c r="AI121" t="s">
        <v>55</v>
      </c>
      <c r="AJ121">
        <v>7</v>
      </c>
      <c r="AK121">
        <v>3</v>
      </c>
      <c r="AL121">
        <v>90</v>
      </c>
      <c r="AM121">
        <v>7</v>
      </c>
      <c r="AN121">
        <v>3</v>
      </c>
      <c r="AO121">
        <v>5</v>
      </c>
      <c r="AP121">
        <v>2</v>
      </c>
      <c r="AQ121">
        <v>3</v>
      </c>
      <c r="AR121">
        <v>1</v>
      </c>
      <c r="AS121" t="s">
        <v>54</v>
      </c>
      <c r="AT121" t="s">
        <v>55</v>
      </c>
      <c r="AU121">
        <v>3</v>
      </c>
      <c r="AV121">
        <v>2</v>
      </c>
      <c r="AW121">
        <v>60</v>
      </c>
      <c r="AX121">
        <v>2</v>
      </c>
      <c r="AY121">
        <v>2</v>
      </c>
      <c r="AZ121">
        <v>1</v>
      </c>
      <c r="BA121">
        <v>1</v>
      </c>
      <c r="BB121">
        <v>2</v>
      </c>
      <c r="BC121">
        <v>1</v>
      </c>
      <c r="BD121" t="s">
        <v>54</v>
      </c>
      <c r="BE121" t="s">
        <v>55</v>
      </c>
    </row>
    <row r="122" spans="1:57" x14ac:dyDescent="0.2">
      <c r="A122">
        <v>120</v>
      </c>
      <c r="B122">
        <v>50</v>
      </c>
      <c r="C122">
        <v>0</v>
      </c>
      <c r="D122">
        <v>105</v>
      </c>
      <c r="E122">
        <v>1.64</v>
      </c>
      <c r="F122" s="5">
        <f t="shared" si="2"/>
        <v>39.039262343842957</v>
      </c>
      <c r="G122" s="13">
        <v>3</v>
      </c>
      <c r="H122">
        <v>2</v>
      </c>
      <c r="I122">
        <v>3</v>
      </c>
      <c r="J122">
        <v>2</v>
      </c>
      <c r="K122" s="6">
        <v>0.54166666666666663</v>
      </c>
      <c r="L122">
        <v>20.13</v>
      </c>
      <c r="M122">
        <v>60</v>
      </c>
      <c r="N122">
        <v>0</v>
      </c>
      <c r="O122">
        <v>0</v>
      </c>
      <c r="P122">
        <v>1</v>
      </c>
      <c r="Q122">
        <v>3</v>
      </c>
      <c r="R122">
        <v>2</v>
      </c>
      <c r="S122">
        <v>0</v>
      </c>
      <c r="T122">
        <v>0</v>
      </c>
      <c r="U122">
        <v>0</v>
      </c>
      <c r="V122">
        <v>1</v>
      </c>
      <c r="W122" t="s">
        <v>29</v>
      </c>
      <c r="X122" t="s">
        <v>30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</row>
    <row r="123" spans="1:57" x14ac:dyDescent="0.2">
      <c r="A123">
        <v>121</v>
      </c>
      <c r="B123">
        <v>40</v>
      </c>
      <c r="C123">
        <v>0</v>
      </c>
      <c r="D123">
        <v>110.8</v>
      </c>
      <c r="E123">
        <v>1.7</v>
      </c>
      <c r="F123" s="5">
        <f t="shared" si="2"/>
        <v>38.339100346020764</v>
      </c>
      <c r="G123" s="13">
        <v>2</v>
      </c>
      <c r="H123">
        <v>2</v>
      </c>
      <c r="I123">
        <v>1</v>
      </c>
      <c r="J123">
        <v>1</v>
      </c>
      <c r="K123" s="6">
        <v>0.54166666666666663</v>
      </c>
      <c r="L123" s="6">
        <v>0.83333333333333337</v>
      </c>
      <c r="M123">
        <v>40</v>
      </c>
      <c r="N123">
        <v>0</v>
      </c>
      <c r="O123">
        <v>0</v>
      </c>
      <c r="P123">
        <v>1</v>
      </c>
      <c r="Q123">
        <v>2</v>
      </c>
      <c r="R123">
        <v>1</v>
      </c>
      <c r="S123">
        <v>0</v>
      </c>
      <c r="T123">
        <v>0</v>
      </c>
      <c r="U123">
        <v>0</v>
      </c>
      <c r="V123">
        <v>1</v>
      </c>
      <c r="W123" t="s">
        <v>29</v>
      </c>
      <c r="X123" t="s">
        <v>30</v>
      </c>
      <c r="Y123">
        <v>0</v>
      </c>
      <c r="Z123">
        <v>0</v>
      </c>
      <c r="AA123">
        <v>180</v>
      </c>
      <c r="AB123">
        <v>2</v>
      </c>
      <c r="AC123">
        <v>1</v>
      </c>
      <c r="AD123">
        <v>0</v>
      </c>
      <c r="AE123">
        <v>0</v>
      </c>
      <c r="AF123">
        <v>0</v>
      </c>
      <c r="AG123">
        <v>0</v>
      </c>
      <c r="AJ123">
        <v>0</v>
      </c>
      <c r="AK123">
        <v>0</v>
      </c>
      <c r="AL123">
        <v>120</v>
      </c>
      <c r="AM123">
        <v>3</v>
      </c>
      <c r="AN123">
        <v>1</v>
      </c>
      <c r="AO123">
        <v>0</v>
      </c>
      <c r="AP123">
        <v>0</v>
      </c>
      <c r="AQ123">
        <v>0</v>
      </c>
      <c r="AR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</row>
    <row r="124" spans="1:57" x14ac:dyDescent="0.2">
      <c r="A124">
        <v>122</v>
      </c>
      <c r="B124">
        <v>33</v>
      </c>
      <c r="C124">
        <v>9</v>
      </c>
      <c r="D124">
        <v>115.4</v>
      </c>
      <c r="E124">
        <v>1.69</v>
      </c>
      <c r="F124" s="5">
        <f t="shared" si="2"/>
        <v>40.404747732922523</v>
      </c>
      <c r="G124" s="13">
        <v>3</v>
      </c>
      <c r="H124">
        <v>2</v>
      </c>
      <c r="I124">
        <v>2</v>
      </c>
      <c r="J124">
        <v>2</v>
      </c>
      <c r="K124" s="6">
        <v>0.4375</v>
      </c>
      <c r="L124" s="6">
        <v>0.625</v>
      </c>
      <c r="M124">
        <v>45</v>
      </c>
      <c r="N124">
        <v>0</v>
      </c>
      <c r="O124">
        <v>0</v>
      </c>
      <c r="P124">
        <v>1</v>
      </c>
      <c r="Q124">
        <v>1</v>
      </c>
      <c r="R124">
        <v>2</v>
      </c>
      <c r="S124">
        <v>0</v>
      </c>
      <c r="T124">
        <v>0</v>
      </c>
      <c r="U124">
        <v>0</v>
      </c>
      <c r="V124">
        <v>1</v>
      </c>
      <c r="W124" t="s">
        <v>35</v>
      </c>
      <c r="X124" t="s">
        <v>49</v>
      </c>
      <c r="Y124">
        <v>0</v>
      </c>
      <c r="Z124">
        <v>0</v>
      </c>
      <c r="AA124">
        <v>180</v>
      </c>
      <c r="AB124">
        <v>3</v>
      </c>
      <c r="AC124">
        <v>1</v>
      </c>
      <c r="AD124">
        <v>0</v>
      </c>
      <c r="AE124">
        <v>0</v>
      </c>
      <c r="AF124">
        <v>0</v>
      </c>
      <c r="AG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</row>
    <row r="125" spans="1:57" x14ac:dyDescent="0.2">
      <c r="A125">
        <v>123</v>
      </c>
      <c r="B125">
        <v>47</v>
      </c>
      <c r="C125">
        <v>0</v>
      </c>
      <c r="D125">
        <v>157</v>
      </c>
      <c r="E125">
        <v>1.69</v>
      </c>
      <c r="F125" s="5">
        <f t="shared" si="2"/>
        <v>54.970064073386794</v>
      </c>
      <c r="G125" s="13">
        <v>3</v>
      </c>
      <c r="H125">
        <v>1</v>
      </c>
      <c r="I125">
        <v>3</v>
      </c>
      <c r="J125">
        <v>2</v>
      </c>
      <c r="K125" s="6">
        <v>0.44791666666666669</v>
      </c>
      <c r="L125" s="6">
        <v>0.5</v>
      </c>
      <c r="M125">
        <v>62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t="s">
        <v>31</v>
      </c>
      <c r="X125" t="s">
        <v>33</v>
      </c>
      <c r="Y125">
        <v>0</v>
      </c>
      <c r="Z125">
        <v>0</v>
      </c>
      <c r="AA125">
        <v>30</v>
      </c>
      <c r="AB125">
        <v>1</v>
      </c>
      <c r="AC125">
        <v>1</v>
      </c>
      <c r="AD125">
        <v>0</v>
      </c>
      <c r="AE125">
        <v>0</v>
      </c>
      <c r="AF125">
        <v>0</v>
      </c>
      <c r="AG125">
        <v>0</v>
      </c>
      <c r="AJ125">
        <v>1</v>
      </c>
      <c r="AK125">
        <v>1</v>
      </c>
      <c r="AL125">
        <v>90</v>
      </c>
      <c r="AM125">
        <v>3</v>
      </c>
      <c r="AN125">
        <v>1</v>
      </c>
      <c r="AO125">
        <v>0</v>
      </c>
      <c r="AP125">
        <v>0</v>
      </c>
      <c r="AQ125">
        <v>0</v>
      </c>
      <c r="AR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 spans="1:57" x14ac:dyDescent="0.2">
      <c r="A126">
        <v>124</v>
      </c>
      <c r="B126">
        <v>32</v>
      </c>
      <c r="C126">
        <v>0</v>
      </c>
      <c r="D126">
        <v>127.9</v>
      </c>
      <c r="E126">
        <v>1.69</v>
      </c>
      <c r="F126" s="5">
        <f t="shared" si="2"/>
        <v>44.78134519099472</v>
      </c>
      <c r="G126" s="13">
        <v>2</v>
      </c>
      <c r="H126">
        <v>2</v>
      </c>
      <c r="I126">
        <v>1</v>
      </c>
      <c r="J126">
        <v>1</v>
      </c>
      <c r="K126" s="6">
        <v>0.45833333333333331</v>
      </c>
      <c r="L126" s="6">
        <v>0.54166666666666663</v>
      </c>
      <c r="M126">
        <v>30</v>
      </c>
      <c r="N126">
        <v>4</v>
      </c>
      <c r="O126">
        <v>2</v>
      </c>
      <c r="P126">
        <v>0</v>
      </c>
      <c r="Q126">
        <v>2</v>
      </c>
      <c r="R126">
        <v>2</v>
      </c>
      <c r="S126">
        <v>0</v>
      </c>
      <c r="T126">
        <v>0</v>
      </c>
      <c r="U126">
        <v>0</v>
      </c>
      <c r="V126">
        <v>1</v>
      </c>
      <c r="W126" t="s">
        <v>29</v>
      </c>
      <c r="X126" t="s">
        <v>30</v>
      </c>
      <c r="Y126">
        <v>2</v>
      </c>
      <c r="Z126">
        <v>1</v>
      </c>
      <c r="AA126">
        <v>180</v>
      </c>
      <c r="AB126">
        <v>4</v>
      </c>
      <c r="AC126">
        <v>1</v>
      </c>
      <c r="AD126">
        <v>0</v>
      </c>
      <c r="AE126">
        <v>0</v>
      </c>
      <c r="AF126">
        <v>0</v>
      </c>
      <c r="AG126">
        <v>0</v>
      </c>
      <c r="AJ126">
        <v>4</v>
      </c>
      <c r="AK126">
        <v>1</v>
      </c>
      <c r="AL126">
        <v>300</v>
      </c>
      <c r="AM126">
        <v>5</v>
      </c>
      <c r="AN126">
        <v>1</v>
      </c>
      <c r="AO126">
        <v>0</v>
      </c>
      <c r="AP126">
        <v>0</v>
      </c>
      <c r="AQ126">
        <v>0</v>
      </c>
      <c r="AR126">
        <v>0</v>
      </c>
      <c r="AU126">
        <v>0</v>
      </c>
      <c r="AV126">
        <v>0</v>
      </c>
      <c r="AW126">
        <v>300</v>
      </c>
      <c r="AX126">
        <v>6</v>
      </c>
      <c r="AY126">
        <v>1</v>
      </c>
      <c r="AZ126">
        <v>0</v>
      </c>
      <c r="BA126">
        <v>0</v>
      </c>
      <c r="BB126">
        <v>0</v>
      </c>
      <c r="BC126">
        <v>0</v>
      </c>
    </row>
    <row r="127" spans="1:57" x14ac:dyDescent="0.2">
      <c r="A127">
        <v>125</v>
      </c>
      <c r="B127">
        <v>29</v>
      </c>
      <c r="C127">
        <v>0</v>
      </c>
      <c r="D127">
        <v>82.4</v>
      </c>
      <c r="E127">
        <v>1.6</v>
      </c>
      <c r="F127" s="5">
        <f t="shared" si="2"/>
        <v>32.187499999999993</v>
      </c>
      <c r="G127" s="13">
        <v>2</v>
      </c>
      <c r="H127">
        <v>2</v>
      </c>
      <c r="I127">
        <v>2</v>
      </c>
      <c r="J127">
        <v>2</v>
      </c>
      <c r="K127" s="6">
        <v>0.45833333333333331</v>
      </c>
      <c r="L127" s="6">
        <v>0.67222222222222217</v>
      </c>
      <c r="M127">
        <v>50</v>
      </c>
      <c r="N127">
        <v>3</v>
      </c>
      <c r="O127">
        <v>2</v>
      </c>
      <c r="P127">
        <v>1</v>
      </c>
      <c r="Q127">
        <v>3</v>
      </c>
      <c r="R127">
        <v>2</v>
      </c>
      <c r="S127">
        <v>1</v>
      </c>
      <c r="T127">
        <v>1</v>
      </c>
      <c r="U127">
        <v>1</v>
      </c>
      <c r="V127">
        <v>1</v>
      </c>
      <c r="W127" t="s">
        <v>56</v>
      </c>
      <c r="X127" t="s">
        <v>57</v>
      </c>
      <c r="Y127">
        <v>0</v>
      </c>
      <c r="Z127">
        <v>0</v>
      </c>
      <c r="AA127">
        <v>180</v>
      </c>
      <c r="AB127">
        <v>3</v>
      </c>
      <c r="AC127">
        <v>2</v>
      </c>
      <c r="AD127">
        <v>3</v>
      </c>
      <c r="AE127">
        <v>1</v>
      </c>
      <c r="AF127">
        <v>2</v>
      </c>
      <c r="AG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 spans="1:57" x14ac:dyDescent="0.2">
      <c r="A128">
        <v>126</v>
      </c>
      <c r="B128">
        <v>32</v>
      </c>
      <c r="C128">
        <v>0</v>
      </c>
      <c r="D128">
        <v>75.2</v>
      </c>
      <c r="E128">
        <v>1.65</v>
      </c>
      <c r="F128" s="5">
        <f t="shared" si="2"/>
        <v>27.621671258034898</v>
      </c>
      <c r="G128" s="13">
        <v>2</v>
      </c>
      <c r="H128">
        <v>1</v>
      </c>
      <c r="I128">
        <v>3</v>
      </c>
      <c r="J128">
        <v>2</v>
      </c>
      <c r="K128" s="6">
        <v>0.45833333333333331</v>
      </c>
      <c r="L128" s="6">
        <v>0.5</v>
      </c>
      <c r="M128">
        <v>30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1</v>
      </c>
      <c r="W128" t="s">
        <v>58</v>
      </c>
      <c r="X128" t="s">
        <v>59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 spans="1:55" x14ac:dyDescent="0.2">
      <c r="A129">
        <v>127</v>
      </c>
      <c r="B129">
        <v>53</v>
      </c>
      <c r="C129">
        <v>0</v>
      </c>
      <c r="D129">
        <v>87</v>
      </c>
      <c r="E129">
        <v>1.72</v>
      </c>
      <c r="F129" s="5">
        <f t="shared" si="2"/>
        <v>29.407787993510009</v>
      </c>
      <c r="G129" s="13">
        <v>1</v>
      </c>
      <c r="H129">
        <v>2</v>
      </c>
      <c r="I129">
        <v>1</v>
      </c>
      <c r="J129">
        <v>1</v>
      </c>
      <c r="K129" s="6">
        <v>0.45833333333333331</v>
      </c>
      <c r="L129" s="6">
        <v>0.54861111111111105</v>
      </c>
      <c r="M129">
        <v>45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J129">
        <v>0</v>
      </c>
      <c r="AK129">
        <v>0</v>
      </c>
      <c r="AL129">
        <v>120</v>
      </c>
      <c r="AM129">
        <v>2</v>
      </c>
      <c r="AN129">
        <v>1</v>
      </c>
      <c r="AO129">
        <v>4</v>
      </c>
      <c r="AP129">
        <v>1</v>
      </c>
      <c r="AQ129">
        <v>1</v>
      </c>
      <c r="AR129">
        <v>0</v>
      </c>
      <c r="AU129">
        <v>0</v>
      </c>
      <c r="AV129">
        <v>0</v>
      </c>
      <c r="AW129">
        <v>30</v>
      </c>
      <c r="AX129">
        <v>2</v>
      </c>
      <c r="AY129">
        <v>1</v>
      </c>
      <c r="AZ129">
        <v>2</v>
      </c>
      <c r="BA129">
        <v>1</v>
      </c>
      <c r="BB129">
        <v>1</v>
      </c>
      <c r="BC129">
        <v>0</v>
      </c>
    </row>
    <row r="130" spans="1:55" x14ac:dyDescent="0.2">
      <c r="A130">
        <v>128</v>
      </c>
      <c r="B130">
        <v>51</v>
      </c>
      <c r="C130">
        <v>0</v>
      </c>
      <c r="D130">
        <v>92.2</v>
      </c>
      <c r="E130">
        <v>1.69</v>
      </c>
      <c r="F130" s="5">
        <f t="shared" si="2"/>
        <v>32.281782850740527</v>
      </c>
      <c r="G130" s="13">
        <v>3</v>
      </c>
      <c r="H130">
        <v>2</v>
      </c>
      <c r="I130">
        <v>2</v>
      </c>
      <c r="J130">
        <v>2</v>
      </c>
      <c r="K130" s="6">
        <v>0.45833333333333331</v>
      </c>
      <c r="L130" s="6">
        <v>0.55208333333333337</v>
      </c>
      <c r="M130">
        <v>35</v>
      </c>
      <c r="N130">
        <v>0</v>
      </c>
      <c r="O130">
        <v>2</v>
      </c>
      <c r="P130">
        <v>1</v>
      </c>
      <c r="Q130">
        <v>3</v>
      </c>
      <c r="R130">
        <v>2</v>
      </c>
      <c r="S130">
        <v>1</v>
      </c>
      <c r="T130">
        <v>1</v>
      </c>
      <c r="U130">
        <v>1</v>
      </c>
      <c r="V130">
        <v>1</v>
      </c>
      <c r="W130" t="s">
        <v>60</v>
      </c>
      <c r="X130" t="s">
        <v>61</v>
      </c>
      <c r="Y130">
        <v>1</v>
      </c>
      <c r="Z130">
        <v>1</v>
      </c>
      <c r="AA130">
        <v>30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</row>
    <row r="131" spans="1:55" x14ac:dyDescent="0.2">
      <c r="A131">
        <v>129</v>
      </c>
      <c r="B131">
        <v>35</v>
      </c>
      <c r="C131">
        <v>0</v>
      </c>
      <c r="D131">
        <v>157.80000000000001</v>
      </c>
      <c r="E131">
        <v>1.71</v>
      </c>
      <c r="F131" s="5">
        <f t="shared" si="2"/>
        <v>53.965322663383617</v>
      </c>
      <c r="G131" s="13">
        <v>2</v>
      </c>
      <c r="H131">
        <v>3</v>
      </c>
      <c r="I131">
        <v>3</v>
      </c>
      <c r="J131">
        <v>2</v>
      </c>
      <c r="K131" s="6">
        <v>0.45833333333333331</v>
      </c>
      <c r="L131" s="6">
        <v>0.61805555555555558</v>
      </c>
      <c r="M131">
        <v>40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 t="s">
        <v>29</v>
      </c>
      <c r="X131" t="s">
        <v>30</v>
      </c>
      <c r="Y131">
        <v>1</v>
      </c>
      <c r="Z131">
        <v>1</v>
      </c>
      <c r="AA131">
        <v>50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J131">
        <v>1</v>
      </c>
      <c r="AK131">
        <v>2</v>
      </c>
      <c r="AL131">
        <v>30</v>
      </c>
      <c r="AM131">
        <v>2</v>
      </c>
      <c r="AN131">
        <v>2</v>
      </c>
      <c r="AO131">
        <v>0</v>
      </c>
      <c r="AP131">
        <v>0</v>
      </c>
      <c r="AQ131">
        <v>0</v>
      </c>
      <c r="AR131">
        <v>0</v>
      </c>
      <c r="AU131">
        <v>0</v>
      </c>
      <c r="AV131">
        <v>0</v>
      </c>
      <c r="AW131">
        <v>60</v>
      </c>
      <c r="AX131">
        <v>2</v>
      </c>
      <c r="AY131">
        <v>1</v>
      </c>
      <c r="AZ131">
        <v>0</v>
      </c>
      <c r="BA131">
        <v>0</v>
      </c>
      <c r="BB131">
        <v>0</v>
      </c>
      <c r="BC131">
        <v>0</v>
      </c>
    </row>
    <row r="132" spans="1:55" x14ac:dyDescent="0.2">
      <c r="A132">
        <v>130</v>
      </c>
      <c r="B132">
        <v>53</v>
      </c>
      <c r="C132">
        <v>0</v>
      </c>
      <c r="D132">
        <v>111.1</v>
      </c>
      <c r="E132">
        <v>1.7</v>
      </c>
      <c r="F132" s="5">
        <f t="shared" si="2"/>
        <v>38.442906574394463</v>
      </c>
      <c r="G132" s="13">
        <v>2</v>
      </c>
      <c r="H132">
        <v>2</v>
      </c>
      <c r="I132">
        <v>1</v>
      </c>
      <c r="J132">
        <v>1</v>
      </c>
      <c r="K132" s="6">
        <v>0.46527777777777773</v>
      </c>
      <c r="L132" s="6">
        <v>0.57638888888888895</v>
      </c>
      <c r="M132">
        <v>40</v>
      </c>
      <c r="N132">
        <v>2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 t="s">
        <v>58</v>
      </c>
      <c r="X132" t="s">
        <v>59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J132">
        <v>0</v>
      </c>
      <c r="AK132">
        <v>0</v>
      </c>
      <c r="AL132">
        <v>120</v>
      </c>
      <c r="AM132">
        <v>2</v>
      </c>
      <c r="AN132">
        <v>1</v>
      </c>
      <c r="AO132">
        <v>0</v>
      </c>
      <c r="AP132">
        <v>0</v>
      </c>
      <c r="AQ132">
        <v>0</v>
      </c>
      <c r="AR132">
        <v>0</v>
      </c>
      <c r="AU132">
        <v>0</v>
      </c>
      <c r="AV132">
        <v>0</v>
      </c>
      <c r="AW132">
        <v>120</v>
      </c>
      <c r="AX132">
        <v>1</v>
      </c>
      <c r="AY132">
        <v>1</v>
      </c>
      <c r="AZ132">
        <v>0</v>
      </c>
      <c r="BA132">
        <v>0</v>
      </c>
      <c r="BB132">
        <v>0</v>
      </c>
      <c r="BC132">
        <v>0</v>
      </c>
    </row>
    <row r="133" spans="1:55" x14ac:dyDescent="0.2">
      <c r="A133">
        <v>131</v>
      </c>
      <c r="B133">
        <v>35</v>
      </c>
      <c r="C133">
        <v>0</v>
      </c>
      <c r="D133">
        <v>130.1</v>
      </c>
      <c r="E133">
        <v>1.78</v>
      </c>
      <c r="F133" s="5">
        <f t="shared" si="2"/>
        <v>41.061734629465974</v>
      </c>
      <c r="G133" s="13">
        <v>3</v>
      </c>
      <c r="H133">
        <v>2</v>
      </c>
      <c r="I133">
        <v>2</v>
      </c>
      <c r="J133">
        <v>2</v>
      </c>
      <c r="K133" s="6">
        <v>0.54166666666666663</v>
      </c>
      <c r="L133" s="6">
        <v>0.67222222222222217</v>
      </c>
      <c r="M133">
        <v>50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1</v>
      </c>
      <c r="W133" t="s">
        <v>35</v>
      </c>
      <c r="X133" t="s">
        <v>49</v>
      </c>
      <c r="Y133">
        <v>0</v>
      </c>
      <c r="Z133">
        <v>0</v>
      </c>
      <c r="AA133">
        <v>180</v>
      </c>
      <c r="AB133">
        <v>5</v>
      </c>
      <c r="AC133">
        <v>2</v>
      </c>
      <c r="AD133">
        <v>0</v>
      </c>
      <c r="AE133">
        <v>0</v>
      </c>
      <c r="AF133">
        <v>0</v>
      </c>
      <c r="AG133">
        <v>0</v>
      </c>
      <c r="AJ133">
        <v>0</v>
      </c>
      <c r="AK133">
        <v>0</v>
      </c>
      <c r="AL133">
        <v>360</v>
      </c>
      <c r="AM133">
        <v>7</v>
      </c>
      <c r="AN133">
        <v>2</v>
      </c>
      <c r="AO133">
        <v>0</v>
      </c>
      <c r="AP133">
        <v>0</v>
      </c>
      <c r="AQ133">
        <v>0</v>
      </c>
      <c r="AR133">
        <v>0</v>
      </c>
      <c r="AU133">
        <v>0</v>
      </c>
      <c r="AV133">
        <v>0</v>
      </c>
      <c r="AW133">
        <v>360</v>
      </c>
      <c r="AX133">
        <v>4</v>
      </c>
      <c r="AY133">
        <v>2</v>
      </c>
      <c r="AZ133">
        <v>0</v>
      </c>
      <c r="BA133">
        <v>0</v>
      </c>
      <c r="BB133">
        <v>0</v>
      </c>
      <c r="BC133">
        <v>0</v>
      </c>
    </row>
    <row r="134" spans="1:55" x14ac:dyDescent="0.2">
      <c r="A134">
        <v>132</v>
      </c>
      <c r="B134">
        <v>36</v>
      </c>
      <c r="C134">
        <v>0</v>
      </c>
      <c r="D134">
        <v>92.8</v>
      </c>
      <c r="E134">
        <v>1.62</v>
      </c>
      <c r="F134" s="5">
        <f t="shared" si="2"/>
        <v>35.360463344002433</v>
      </c>
      <c r="G134" s="13">
        <v>2</v>
      </c>
      <c r="H134">
        <v>1</v>
      </c>
      <c r="I134">
        <v>3</v>
      </c>
      <c r="J134">
        <v>2</v>
      </c>
      <c r="K134" s="6">
        <v>0.49305555555555558</v>
      </c>
      <c r="L134" s="6">
        <v>0.65277777777777779</v>
      </c>
      <c r="M134">
        <v>30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t="s">
        <v>31</v>
      </c>
      <c r="X134" t="s">
        <v>32</v>
      </c>
      <c r="Y134">
        <v>1</v>
      </c>
      <c r="Z134">
        <v>1</v>
      </c>
      <c r="AA134">
        <v>120</v>
      </c>
      <c r="AB134">
        <v>5</v>
      </c>
      <c r="AC134">
        <v>2</v>
      </c>
      <c r="AD134">
        <v>0</v>
      </c>
      <c r="AE134">
        <v>0</v>
      </c>
      <c r="AF134">
        <v>0</v>
      </c>
      <c r="AG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</row>
    <row r="135" spans="1:55" x14ac:dyDescent="0.2">
      <c r="A135">
        <v>133</v>
      </c>
      <c r="B135">
        <v>38</v>
      </c>
      <c r="C135">
        <v>0</v>
      </c>
      <c r="D135">
        <v>117.7</v>
      </c>
      <c r="E135">
        <v>1.72</v>
      </c>
      <c r="F135" s="5">
        <f t="shared" si="2"/>
        <v>39.785018929150894</v>
      </c>
      <c r="G135" s="13">
        <v>3</v>
      </c>
      <c r="H135">
        <v>2</v>
      </c>
      <c r="I135">
        <v>1</v>
      </c>
      <c r="J135">
        <v>1</v>
      </c>
      <c r="K135" s="6">
        <v>0.49305555555555558</v>
      </c>
      <c r="L135" s="6">
        <v>0.71527777777777779</v>
      </c>
      <c r="M135">
        <v>66</v>
      </c>
      <c r="N135">
        <v>0</v>
      </c>
      <c r="O135">
        <v>0</v>
      </c>
      <c r="P135">
        <v>1</v>
      </c>
      <c r="Q135">
        <v>4</v>
      </c>
      <c r="R135">
        <v>2</v>
      </c>
      <c r="S135">
        <v>0</v>
      </c>
      <c r="T135">
        <v>0</v>
      </c>
      <c r="U135">
        <v>0</v>
      </c>
      <c r="V135">
        <v>1</v>
      </c>
      <c r="W135" t="s">
        <v>53</v>
      </c>
      <c r="X135" t="s">
        <v>30</v>
      </c>
      <c r="Y135">
        <v>1</v>
      </c>
      <c r="Z135">
        <v>2</v>
      </c>
      <c r="AA135">
        <v>300</v>
      </c>
      <c r="AB135">
        <v>4</v>
      </c>
      <c r="AC135">
        <v>2</v>
      </c>
      <c r="AD135">
        <v>0</v>
      </c>
      <c r="AE135">
        <v>0</v>
      </c>
      <c r="AF135">
        <v>0</v>
      </c>
      <c r="AG135">
        <v>0</v>
      </c>
      <c r="AJ135">
        <v>0</v>
      </c>
      <c r="AK135">
        <v>0</v>
      </c>
      <c r="AL135">
        <v>300</v>
      </c>
      <c r="AM135">
        <v>2</v>
      </c>
      <c r="AN135">
        <v>1</v>
      </c>
      <c r="AO135">
        <v>0</v>
      </c>
      <c r="AP135">
        <v>0</v>
      </c>
      <c r="AQ135">
        <v>0</v>
      </c>
      <c r="AR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</row>
    <row r="136" spans="1:55" x14ac:dyDescent="0.2">
      <c r="A136">
        <v>134</v>
      </c>
      <c r="B136">
        <v>30</v>
      </c>
      <c r="C136">
        <v>0</v>
      </c>
      <c r="D136">
        <v>119.5</v>
      </c>
      <c r="E136">
        <v>1.66</v>
      </c>
      <c r="F136" s="5">
        <f t="shared" si="2"/>
        <v>43.366236028451155</v>
      </c>
      <c r="G136" s="13">
        <v>1</v>
      </c>
      <c r="H136">
        <v>2</v>
      </c>
      <c r="I136">
        <v>2</v>
      </c>
      <c r="J136">
        <v>2</v>
      </c>
      <c r="K136" s="6">
        <v>0.49305555555555558</v>
      </c>
      <c r="L136" s="6">
        <v>0.65625</v>
      </c>
      <c r="M136">
        <v>40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 spans="1:55" x14ac:dyDescent="0.2">
      <c r="A137">
        <v>135</v>
      </c>
      <c r="B137">
        <v>28</v>
      </c>
      <c r="C137">
        <v>0</v>
      </c>
      <c r="D137">
        <v>147</v>
      </c>
      <c r="E137">
        <v>1.66</v>
      </c>
      <c r="F137" s="5">
        <f t="shared" si="2"/>
        <v>53.345913775584265</v>
      </c>
      <c r="G137" s="13">
        <v>1</v>
      </c>
      <c r="H137">
        <v>2</v>
      </c>
      <c r="I137">
        <v>3</v>
      </c>
      <c r="J137">
        <v>2</v>
      </c>
      <c r="K137" s="6">
        <v>0.49305555555555558</v>
      </c>
      <c r="L137" s="6">
        <v>0.79513888888888884</v>
      </c>
      <c r="M137">
        <v>30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t="s">
        <v>31</v>
      </c>
      <c r="X137" t="s">
        <v>32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</row>
    <row r="138" spans="1:55" x14ac:dyDescent="0.2">
      <c r="A138">
        <v>136</v>
      </c>
      <c r="B138">
        <v>28</v>
      </c>
      <c r="C138">
        <v>0</v>
      </c>
      <c r="D138">
        <v>144.6</v>
      </c>
      <c r="E138">
        <v>1.76</v>
      </c>
      <c r="F138" s="5">
        <f t="shared" si="2"/>
        <v>46.681301652892564</v>
      </c>
      <c r="G138" s="13">
        <v>2</v>
      </c>
      <c r="H138">
        <v>2</v>
      </c>
      <c r="I138">
        <v>1</v>
      </c>
      <c r="J138">
        <v>1</v>
      </c>
      <c r="K138" s="6">
        <v>0.51041666666666663</v>
      </c>
      <c r="L138" s="6">
        <v>0.77777777777777779</v>
      </c>
      <c r="M138">
        <v>50</v>
      </c>
      <c r="N138">
        <v>0</v>
      </c>
      <c r="O138">
        <v>0</v>
      </c>
      <c r="P138">
        <v>1</v>
      </c>
      <c r="Q138">
        <v>4</v>
      </c>
      <c r="R138">
        <v>2</v>
      </c>
      <c r="S138">
        <v>0</v>
      </c>
      <c r="T138">
        <v>0</v>
      </c>
      <c r="U138">
        <v>0</v>
      </c>
      <c r="V138">
        <v>1</v>
      </c>
      <c r="W138" t="s">
        <v>62</v>
      </c>
      <c r="X138" t="s">
        <v>63</v>
      </c>
      <c r="Y138">
        <v>0</v>
      </c>
      <c r="Z138">
        <v>0</v>
      </c>
      <c r="AA138">
        <v>180</v>
      </c>
      <c r="AB138">
        <v>4</v>
      </c>
      <c r="AC138">
        <v>1</v>
      </c>
      <c r="AD138">
        <v>0</v>
      </c>
      <c r="AE138">
        <v>0</v>
      </c>
      <c r="AF138">
        <v>0</v>
      </c>
      <c r="AG138">
        <v>0</v>
      </c>
      <c r="AJ138">
        <v>0</v>
      </c>
      <c r="AK138">
        <v>0</v>
      </c>
      <c r="AL138">
        <v>300</v>
      </c>
      <c r="AM138">
        <v>3</v>
      </c>
      <c r="AN138">
        <v>1</v>
      </c>
      <c r="AO138">
        <v>0</v>
      </c>
      <c r="AP138">
        <v>0</v>
      </c>
      <c r="AQ138">
        <v>0</v>
      </c>
      <c r="AR138">
        <v>0</v>
      </c>
      <c r="AU138">
        <v>0</v>
      </c>
      <c r="AV138">
        <v>0</v>
      </c>
      <c r="AW138">
        <v>240</v>
      </c>
      <c r="AX138">
        <v>3</v>
      </c>
      <c r="AY138">
        <v>1</v>
      </c>
      <c r="AZ138">
        <v>0</v>
      </c>
      <c r="BA138">
        <v>0</v>
      </c>
      <c r="BB138">
        <v>0</v>
      </c>
      <c r="BC138">
        <v>0</v>
      </c>
    </row>
    <row r="139" spans="1:55" x14ac:dyDescent="0.2">
      <c r="A139">
        <v>137</v>
      </c>
      <c r="B139">
        <v>50</v>
      </c>
      <c r="C139">
        <v>0</v>
      </c>
      <c r="D139">
        <v>97.6</v>
      </c>
      <c r="E139">
        <v>1.7</v>
      </c>
      <c r="F139" s="5">
        <f t="shared" si="2"/>
        <v>33.771626297577853</v>
      </c>
      <c r="G139" s="13">
        <v>1</v>
      </c>
      <c r="H139">
        <v>2</v>
      </c>
      <c r="I139">
        <v>2</v>
      </c>
      <c r="J139">
        <v>2</v>
      </c>
      <c r="K139" s="6">
        <v>0.50694444444444442</v>
      </c>
      <c r="L139" s="6">
        <v>0.67361111111111116</v>
      </c>
      <c r="M139">
        <v>44</v>
      </c>
      <c r="N139">
        <v>0</v>
      </c>
      <c r="O139">
        <v>0</v>
      </c>
      <c r="P139">
        <v>1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1</v>
      </c>
      <c r="W139" t="s">
        <v>29</v>
      </c>
      <c r="X139" t="s">
        <v>30</v>
      </c>
      <c r="Y139">
        <v>0</v>
      </c>
      <c r="Z139">
        <v>0</v>
      </c>
      <c r="AA139">
        <v>240</v>
      </c>
      <c r="AB139">
        <v>5</v>
      </c>
      <c r="AC139">
        <v>2</v>
      </c>
      <c r="AD139">
        <v>0</v>
      </c>
      <c r="AE139">
        <v>0</v>
      </c>
      <c r="AF139">
        <v>0</v>
      </c>
      <c r="AG139">
        <v>0</v>
      </c>
      <c r="AJ139">
        <v>0</v>
      </c>
      <c r="AK139">
        <v>0</v>
      </c>
      <c r="AL139">
        <v>360</v>
      </c>
      <c r="AM139">
        <v>7</v>
      </c>
      <c r="AN139">
        <v>2</v>
      </c>
      <c r="AO139">
        <v>0</v>
      </c>
      <c r="AP139">
        <v>0</v>
      </c>
      <c r="AQ139">
        <v>0</v>
      </c>
      <c r="AR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</row>
    <row r="140" spans="1:55" x14ac:dyDescent="0.2">
      <c r="A140">
        <v>138</v>
      </c>
      <c r="B140">
        <v>51</v>
      </c>
      <c r="C140">
        <v>0</v>
      </c>
      <c r="D140">
        <v>95.2</v>
      </c>
      <c r="E140">
        <v>1.66</v>
      </c>
      <c r="F140" s="5">
        <f t="shared" si="2"/>
        <v>34.54782987371172</v>
      </c>
      <c r="G140" s="13">
        <v>1</v>
      </c>
      <c r="H140">
        <v>2</v>
      </c>
      <c r="I140">
        <v>3</v>
      </c>
      <c r="J140">
        <v>2</v>
      </c>
      <c r="K140" s="6">
        <v>0.50694444444444442</v>
      </c>
      <c r="L140" s="6">
        <v>0.60763888888888895</v>
      </c>
      <c r="M140">
        <v>40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t="s">
        <v>31</v>
      </c>
      <c r="X140" t="s">
        <v>33</v>
      </c>
      <c r="Y140">
        <v>1</v>
      </c>
      <c r="Z140">
        <v>1</v>
      </c>
      <c r="AA140">
        <v>120</v>
      </c>
      <c r="AB140">
        <v>3</v>
      </c>
      <c r="AC140">
        <v>1</v>
      </c>
      <c r="AD140">
        <v>0</v>
      </c>
      <c r="AE140">
        <v>0</v>
      </c>
      <c r="AF140">
        <v>0</v>
      </c>
      <c r="AG140">
        <v>0</v>
      </c>
      <c r="AJ140">
        <v>0</v>
      </c>
      <c r="AK140">
        <v>0</v>
      </c>
      <c r="AL140">
        <v>360</v>
      </c>
      <c r="AM140">
        <v>5</v>
      </c>
      <c r="AN140">
        <v>1</v>
      </c>
      <c r="AO140">
        <v>0</v>
      </c>
      <c r="AP140">
        <v>0</v>
      </c>
      <c r="AQ140">
        <v>0</v>
      </c>
      <c r="AR140">
        <v>0</v>
      </c>
      <c r="AU140">
        <v>0</v>
      </c>
      <c r="AV140">
        <v>0</v>
      </c>
      <c r="AW140">
        <v>90</v>
      </c>
      <c r="AX140">
        <v>2</v>
      </c>
      <c r="AY140">
        <v>1</v>
      </c>
      <c r="AZ140">
        <v>0</v>
      </c>
      <c r="BA140">
        <v>0</v>
      </c>
      <c r="BB140">
        <v>0</v>
      </c>
      <c r="BC140">
        <v>0</v>
      </c>
    </row>
    <row r="141" spans="1:55" x14ac:dyDescent="0.2">
      <c r="A141">
        <v>139</v>
      </c>
      <c r="B141">
        <v>55</v>
      </c>
      <c r="C141">
        <v>0</v>
      </c>
      <c r="D141">
        <v>104.3</v>
      </c>
      <c r="E141">
        <v>1.68</v>
      </c>
      <c r="F141" s="5">
        <f t="shared" si="2"/>
        <v>36.954365079365083</v>
      </c>
      <c r="G141" s="13">
        <v>1</v>
      </c>
      <c r="H141">
        <v>1</v>
      </c>
      <c r="I141">
        <v>1</v>
      </c>
      <c r="J141">
        <v>1</v>
      </c>
      <c r="K141" s="6">
        <v>0.51041666666666663</v>
      </c>
      <c r="L141" s="6">
        <v>0.70138888888888884</v>
      </c>
      <c r="M141">
        <v>30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</row>
    <row r="142" spans="1:55" x14ac:dyDescent="0.2">
      <c r="A142">
        <v>140</v>
      </c>
      <c r="B142">
        <v>48</v>
      </c>
      <c r="C142">
        <v>0</v>
      </c>
      <c r="D142">
        <v>102.8</v>
      </c>
      <c r="E142">
        <v>1.75</v>
      </c>
      <c r="F142" s="5">
        <f t="shared" si="2"/>
        <v>33.567346938775508</v>
      </c>
      <c r="G142" s="13">
        <v>2</v>
      </c>
      <c r="H142">
        <v>1</v>
      </c>
      <c r="I142">
        <v>2</v>
      </c>
      <c r="J142">
        <v>2</v>
      </c>
      <c r="K142" s="6">
        <v>0.51041666666666663</v>
      </c>
      <c r="L142" s="6">
        <v>0.6875</v>
      </c>
      <c r="M142">
        <v>40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 spans="1:55" x14ac:dyDescent="0.2">
      <c r="A143">
        <v>141</v>
      </c>
      <c r="B143">
        <v>36</v>
      </c>
      <c r="C143">
        <v>0</v>
      </c>
      <c r="D143">
        <v>104</v>
      </c>
      <c r="E143">
        <v>1.6</v>
      </c>
      <c r="F143" s="5">
        <f t="shared" si="2"/>
        <v>40.624999999999993</v>
      </c>
      <c r="G143" s="13">
        <v>1</v>
      </c>
      <c r="H143">
        <v>1</v>
      </c>
      <c r="I143">
        <v>3</v>
      </c>
      <c r="J143">
        <v>2</v>
      </c>
      <c r="K143" s="6">
        <v>0.52083333333333337</v>
      </c>
      <c r="L143" s="6">
        <v>0.74652777777777779</v>
      </c>
      <c r="M143">
        <v>45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 spans="1:55" x14ac:dyDescent="0.2">
      <c r="A144">
        <v>142</v>
      </c>
      <c r="B144">
        <v>44</v>
      </c>
      <c r="C144">
        <v>0</v>
      </c>
      <c r="D144">
        <v>117.1</v>
      </c>
      <c r="E144">
        <v>1.55</v>
      </c>
      <c r="F144" s="5">
        <f t="shared" si="2"/>
        <v>48.740894901144635</v>
      </c>
      <c r="G144" s="13">
        <v>3</v>
      </c>
      <c r="H144">
        <v>2</v>
      </c>
      <c r="I144">
        <v>1</v>
      </c>
      <c r="J144">
        <v>1</v>
      </c>
      <c r="K144" s="6">
        <v>0.52083333333333337</v>
      </c>
      <c r="L144" s="6">
        <v>0.77222222222222225</v>
      </c>
      <c r="M144">
        <v>66</v>
      </c>
      <c r="N144">
        <v>0</v>
      </c>
      <c r="O144">
        <v>0</v>
      </c>
      <c r="P144">
        <v>1</v>
      </c>
      <c r="Q144">
        <v>2</v>
      </c>
      <c r="R144">
        <v>1</v>
      </c>
      <c r="S144">
        <v>0</v>
      </c>
      <c r="T144">
        <v>0</v>
      </c>
      <c r="U144">
        <v>0</v>
      </c>
      <c r="V144">
        <v>1</v>
      </c>
      <c r="W144" t="s">
        <v>35</v>
      </c>
      <c r="X144" t="s">
        <v>49</v>
      </c>
      <c r="Y144">
        <v>0</v>
      </c>
      <c r="Z144">
        <v>0</v>
      </c>
      <c r="AA144">
        <v>50</v>
      </c>
      <c r="AB144">
        <v>2</v>
      </c>
      <c r="AC144">
        <v>1</v>
      </c>
      <c r="AD144">
        <v>0</v>
      </c>
      <c r="AE144">
        <v>0</v>
      </c>
      <c r="AF144">
        <v>0</v>
      </c>
      <c r="AG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</row>
    <row r="145" spans="1:55" x14ac:dyDescent="0.2">
      <c r="A145">
        <v>143</v>
      </c>
      <c r="B145">
        <v>20</v>
      </c>
      <c r="C145">
        <v>0</v>
      </c>
      <c r="D145">
        <v>101</v>
      </c>
      <c r="E145">
        <v>1.67</v>
      </c>
      <c r="F145" s="5">
        <f t="shared" si="2"/>
        <v>36.214995159381836</v>
      </c>
      <c r="G145" s="13">
        <v>3</v>
      </c>
      <c r="H145">
        <v>2</v>
      </c>
      <c r="I145">
        <v>2</v>
      </c>
      <c r="J145">
        <v>2</v>
      </c>
      <c r="K145" s="6">
        <v>0.53472222222222221</v>
      </c>
      <c r="L145" s="6">
        <v>0.92013888888888884</v>
      </c>
      <c r="M145">
        <v>95</v>
      </c>
      <c r="N145">
        <v>0</v>
      </c>
      <c r="O145">
        <v>0</v>
      </c>
      <c r="P145">
        <v>1</v>
      </c>
      <c r="Q145">
        <v>3</v>
      </c>
      <c r="R145">
        <v>2</v>
      </c>
      <c r="S145">
        <v>0</v>
      </c>
      <c r="T145">
        <v>0</v>
      </c>
      <c r="U145">
        <v>0</v>
      </c>
      <c r="V145">
        <v>1</v>
      </c>
      <c r="W145" t="s">
        <v>35</v>
      </c>
      <c r="X145" t="s">
        <v>49</v>
      </c>
      <c r="Y145">
        <v>0</v>
      </c>
      <c r="Z145">
        <v>0</v>
      </c>
      <c r="AA145">
        <v>180</v>
      </c>
      <c r="AB145">
        <v>5</v>
      </c>
      <c r="AC145">
        <v>2</v>
      </c>
      <c r="AD145">
        <v>0</v>
      </c>
      <c r="AE145">
        <v>0</v>
      </c>
      <c r="AF145">
        <v>0</v>
      </c>
      <c r="AG145">
        <v>0</v>
      </c>
      <c r="AJ145">
        <v>0</v>
      </c>
      <c r="AK145">
        <v>0</v>
      </c>
      <c r="AL145">
        <v>180</v>
      </c>
      <c r="AM145">
        <v>3</v>
      </c>
      <c r="AN145">
        <v>2</v>
      </c>
      <c r="AO145">
        <v>0</v>
      </c>
      <c r="AP145">
        <v>0</v>
      </c>
      <c r="AQ145">
        <v>0</v>
      </c>
      <c r="AR145">
        <v>0</v>
      </c>
      <c r="AU145">
        <v>0</v>
      </c>
      <c r="AV145">
        <v>0</v>
      </c>
      <c r="AW145">
        <v>60</v>
      </c>
      <c r="AX145">
        <v>2</v>
      </c>
      <c r="AY145">
        <v>1</v>
      </c>
      <c r="AZ145">
        <v>0</v>
      </c>
      <c r="BA145">
        <v>0</v>
      </c>
      <c r="BB145">
        <v>0</v>
      </c>
      <c r="BC145">
        <v>0</v>
      </c>
    </row>
    <row r="146" spans="1:55" x14ac:dyDescent="0.2">
      <c r="A146">
        <v>144</v>
      </c>
      <c r="B146">
        <v>31</v>
      </c>
      <c r="C146">
        <v>0</v>
      </c>
      <c r="D146">
        <v>122</v>
      </c>
      <c r="E146">
        <v>1.77</v>
      </c>
      <c r="F146" s="5">
        <f t="shared" si="2"/>
        <v>38.941555747071398</v>
      </c>
      <c r="G146" s="13">
        <v>1</v>
      </c>
      <c r="H146">
        <v>2</v>
      </c>
      <c r="I146">
        <v>3</v>
      </c>
      <c r="J146">
        <v>2</v>
      </c>
      <c r="K146" s="6">
        <v>0.53472222222222221</v>
      </c>
      <c r="L146" s="6">
        <v>0.88541666666666663</v>
      </c>
      <c r="M146">
        <v>55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t="s">
        <v>31</v>
      </c>
      <c r="X146" t="s">
        <v>33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 spans="1:55" x14ac:dyDescent="0.2">
      <c r="A147">
        <v>145</v>
      </c>
      <c r="B147">
        <v>56</v>
      </c>
      <c r="C147">
        <v>0</v>
      </c>
      <c r="D147">
        <v>128.69999999999999</v>
      </c>
      <c r="E147">
        <v>1.62</v>
      </c>
      <c r="F147" s="5">
        <f t="shared" si="2"/>
        <v>49.039780521261989</v>
      </c>
      <c r="G147" s="13">
        <v>3</v>
      </c>
      <c r="H147">
        <v>2</v>
      </c>
      <c r="I147">
        <v>1</v>
      </c>
      <c r="J147">
        <v>1</v>
      </c>
      <c r="K147" s="6">
        <v>0.56805555555555554</v>
      </c>
      <c r="L147" s="6">
        <v>0.83333333333333337</v>
      </c>
      <c r="M147">
        <v>110</v>
      </c>
      <c r="N147">
        <v>0</v>
      </c>
      <c r="O147">
        <v>0</v>
      </c>
      <c r="P147">
        <v>1</v>
      </c>
      <c r="Q147">
        <v>2</v>
      </c>
      <c r="R147">
        <v>2</v>
      </c>
      <c r="S147">
        <v>0</v>
      </c>
      <c r="T147">
        <v>0</v>
      </c>
      <c r="U147">
        <v>0</v>
      </c>
      <c r="V147">
        <v>1</v>
      </c>
      <c r="W147" t="s">
        <v>29</v>
      </c>
      <c r="X147" t="s">
        <v>30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J147">
        <v>0</v>
      </c>
      <c r="AK147">
        <v>0</v>
      </c>
      <c r="AL147">
        <v>120</v>
      </c>
      <c r="AM147">
        <v>2</v>
      </c>
      <c r="AN147">
        <v>1</v>
      </c>
      <c r="AO147">
        <v>0</v>
      </c>
      <c r="AP147">
        <v>0</v>
      </c>
      <c r="AQ147">
        <v>0</v>
      </c>
      <c r="AR147">
        <v>0</v>
      </c>
      <c r="AU147">
        <v>0</v>
      </c>
      <c r="AV147">
        <v>0</v>
      </c>
      <c r="AW147">
        <v>180</v>
      </c>
      <c r="AX147">
        <v>3</v>
      </c>
      <c r="AY147">
        <v>1</v>
      </c>
      <c r="AZ147">
        <v>0</v>
      </c>
      <c r="BA147">
        <v>0</v>
      </c>
      <c r="BB147">
        <v>0</v>
      </c>
      <c r="BC147">
        <v>0</v>
      </c>
    </row>
    <row r="148" spans="1:55" x14ac:dyDescent="0.2">
      <c r="A148">
        <v>146</v>
      </c>
      <c r="B148">
        <v>49</v>
      </c>
      <c r="C148">
        <v>0</v>
      </c>
      <c r="D148">
        <v>130.9</v>
      </c>
      <c r="E148">
        <v>1.71</v>
      </c>
      <c r="F148" s="5">
        <f t="shared" si="2"/>
        <v>44.765910878560931</v>
      </c>
      <c r="G148" s="13">
        <v>1</v>
      </c>
      <c r="H148">
        <v>2</v>
      </c>
      <c r="I148">
        <v>2</v>
      </c>
      <c r="J148">
        <v>2</v>
      </c>
      <c r="K148" s="6">
        <v>0.45833333333333331</v>
      </c>
      <c r="L148" s="6">
        <v>0.51111111111111118</v>
      </c>
      <c r="M148">
        <v>35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</row>
    <row r="149" spans="1:55" x14ac:dyDescent="0.2">
      <c r="A149">
        <v>147</v>
      </c>
      <c r="B149">
        <v>36</v>
      </c>
      <c r="C149">
        <v>0</v>
      </c>
      <c r="D149">
        <v>93.2</v>
      </c>
      <c r="E149">
        <v>1.7</v>
      </c>
      <c r="F149" s="5">
        <f t="shared" si="2"/>
        <v>32.249134948096888</v>
      </c>
      <c r="G149" s="13">
        <v>2</v>
      </c>
      <c r="H149">
        <v>2</v>
      </c>
      <c r="I149">
        <v>3</v>
      </c>
      <c r="J149">
        <v>2</v>
      </c>
      <c r="K149" s="6">
        <v>0.45833333333333331</v>
      </c>
      <c r="L149" s="6">
        <v>0.50694444444444442</v>
      </c>
      <c r="M149">
        <v>30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</row>
    <row r="150" spans="1:55" x14ac:dyDescent="0.2">
      <c r="A150">
        <v>148</v>
      </c>
      <c r="B150">
        <v>29</v>
      </c>
      <c r="C150">
        <v>0</v>
      </c>
      <c r="D150">
        <v>116.8</v>
      </c>
      <c r="E150">
        <v>1.66</v>
      </c>
      <c r="F150" s="5">
        <f t="shared" si="2"/>
        <v>42.386413122368992</v>
      </c>
      <c r="G150" s="13">
        <v>3</v>
      </c>
      <c r="H150">
        <v>2</v>
      </c>
      <c r="I150">
        <v>1</v>
      </c>
      <c r="J150">
        <v>1</v>
      </c>
      <c r="K150" s="6">
        <v>0.45833333333333331</v>
      </c>
      <c r="L150">
        <v>12.15</v>
      </c>
      <c r="M150">
        <v>47</v>
      </c>
      <c r="N150">
        <v>0</v>
      </c>
      <c r="O150">
        <v>0</v>
      </c>
      <c r="P150">
        <v>1</v>
      </c>
      <c r="Q150">
        <v>2</v>
      </c>
      <c r="R150">
        <v>1</v>
      </c>
      <c r="S150">
        <v>0</v>
      </c>
      <c r="T150">
        <v>0</v>
      </c>
      <c r="U150">
        <v>0</v>
      </c>
      <c r="V150">
        <v>1</v>
      </c>
      <c r="W150" t="s">
        <v>35</v>
      </c>
      <c r="X150" t="s">
        <v>49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</row>
    <row r="151" spans="1:55" x14ac:dyDescent="0.2">
      <c r="A151">
        <v>149</v>
      </c>
      <c r="B151">
        <v>25</v>
      </c>
      <c r="C151">
        <v>0</v>
      </c>
      <c r="D151">
        <v>102.7</v>
      </c>
      <c r="E151">
        <v>1.63</v>
      </c>
      <c r="F151" s="5">
        <f t="shared" si="2"/>
        <v>38.654070533328316</v>
      </c>
      <c r="G151" s="13">
        <v>3</v>
      </c>
      <c r="H151">
        <v>2</v>
      </c>
      <c r="I151">
        <v>2</v>
      </c>
      <c r="J151">
        <v>2</v>
      </c>
      <c r="K151" s="6">
        <v>0.45833333333333331</v>
      </c>
      <c r="L151" s="6">
        <v>0.55277777777777781</v>
      </c>
      <c r="M151">
        <v>50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</row>
    <row r="152" spans="1:55" x14ac:dyDescent="0.2">
      <c r="A152">
        <v>150</v>
      </c>
      <c r="B152">
        <v>33</v>
      </c>
      <c r="C152">
        <v>0</v>
      </c>
      <c r="D152">
        <v>139.1</v>
      </c>
      <c r="E152">
        <v>1.68</v>
      </c>
      <c r="F152" s="5">
        <f t="shared" ref="F152:F215" si="3">D152/(E152*E152)</f>
        <v>49.284297052154201</v>
      </c>
      <c r="G152" s="13">
        <v>1</v>
      </c>
      <c r="H152">
        <v>2</v>
      </c>
      <c r="I152">
        <v>3</v>
      </c>
      <c r="J152">
        <v>2</v>
      </c>
      <c r="K152" s="6">
        <v>0.45833333333333331</v>
      </c>
      <c r="L152">
        <v>13.22</v>
      </c>
      <c r="M152">
        <v>33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 spans="1:55" x14ac:dyDescent="0.2">
      <c r="A153">
        <v>151</v>
      </c>
      <c r="B153">
        <v>38</v>
      </c>
      <c r="C153">
        <v>0</v>
      </c>
      <c r="D153">
        <v>114.5</v>
      </c>
      <c r="E153">
        <v>1.7</v>
      </c>
      <c r="F153" s="5">
        <f t="shared" si="3"/>
        <v>39.61937716262976</v>
      </c>
      <c r="G153" s="13">
        <v>3</v>
      </c>
      <c r="H153">
        <v>2</v>
      </c>
      <c r="I153">
        <v>1</v>
      </c>
      <c r="J153">
        <v>1</v>
      </c>
      <c r="K153" s="6">
        <v>0.45833333333333331</v>
      </c>
      <c r="L153" s="6">
        <v>0.60902777777777783</v>
      </c>
      <c r="M153">
        <v>53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t="s">
        <v>31</v>
      </c>
      <c r="X153" t="s">
        <v>33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</row>
    <row r="154" spans="1:55" x14ac:dyDescent="0.2">
      <c r="A154">
        <v>152</v>
      </c>
      <c r="B154">
        <v>45</v>
      </c>
      <c r="C154">
        <v>0</v>
      </c>
      <c r="D154">
        <v>108</v>
      </c>
      <c r="E154">
        <v>1.6</v>
      </c>
      <c r="F154" s="5">
        <f t="shared" si="3"/>
        <v>42.187499999999993</v>
      </c>
      <c r="G154" s="13">
        <v>2</v>
      </c>
      <c r="H154">
        <v>2</v>
      </c>
      <c r="I154">
        <v>2</v>
      </c>
      <c r="J154">
        <v>2</v>
      </c>
      <c r="K154" s="6">
        <v>0.45833333333333331</v>
      </c>
      <c r="L154" s="6">
        <v>0.54861111111111105</v>
      </c>
      <c r="M154">
        <v>30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</row>
    <row r="155" spans="1:55" x14ac:dyDescent="0.2">
      <c r="A155">
        <v>153</v>
      </c>
      <c r="B155">
        <v>46</v>
      </c>
      <c r="C155">
        <v>0</v>
      </c>
      <c r="D155">
        <v>114.3</v>
      </c>
      <c r="E155">
        <v>1.68</v>
      </c>
      <c r="F155" s="5">
        <f t="shared" si="3"/>
        <v>40.497448979591844</v>
      </c>
      <c r="G155" s="13">
        <v>3</v>
      </c>
      <c r="H155">
        <v>2</v>
      </c>
      <c r="I155">
        <v>3</v>
      </c>
      <c r="J155">
        <v>2</v>
      </c>
      <c r="K155" s="6">
        <v>0.46875</v>
      </c>
      <c r="L155" s="6">
        <v>0.71180555555555547</v>
      </c>
      <c r="M155">
        <v>70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</row>
    <row r="156" spans="1:55" x14ac:dyDescent="0.2">
      <c r="A156">
        <v>154</v>
      </c>
      <c r="B156">
        <v>52</v>
      </c>
      <c r="C156">
        <v>0</v>
      </c>
      <c r="D156">
        <v>88.2</v>
      </c>
      <c r="E156">
        <v>1.56</v>
      </c>
      <c r="F156" s="5">
        <f t="shared" si="3"/>
        <v>36.242603550295854</v>
      </c>
      <c r="G156" s="13">
        <v>1</v>
      </c>
      <c r="H156">
        <v>2</v>
      </c>
      <c r="I156">
        <v>1</v>
      </c>
      <c r="J156">
        <v>1</v>
      </c>
      <c r="K156" s="6">
        <v>0.46875</v>
      </c>
      <c r="L156">
        <v>14.18</v>
      </c>
      <c r="M156">
        <v>42</v>
      </c>
      <c r="N156">
        <v>0</v>
      </c>
      <c r="O156">
        <v>0</v>
      </c>
      <c r="P156">
        <v>1</v>
      </c>
      <c r="Q156">
        <v>2</v>
      </c>
      <c r="R156">
        <v>1</v>
      </c>
      <c r="S156">
        <v>0</v>
      </c>
      <c r="T156">
        <v>0</v>
      </c>
      <c r="U156">
        <v>0</v>
      </c>
      <c r="V156">
        <v>0</v>
      </c>
      <c r="W156" t="s">
        <v>31</v>
      </c>
      <c r="X156" t="s">
        <v>33</v>
      </c>
      <c r="Y156">
        <v>0</v>
      </c>
      <c r="Z156">
        <v>0</v>
      </c>
      <c r="AA156">
        <v>180</v>
      </c>
      <c r="AB156">
        <v>4</v>
      </c>
      <c r="AC156">
        <v>1</v>
      </c>
      <c r="AD156">
        <v>0</v>
      </c>
      <c r="AE156">
        <v>0</v>
      </c>
      <c r="AF156">
        <v>0</v>
      </c>
      <c r="AG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</row>
    <row r="157" spans="1:55" x14ac:dyDescent="0.2">
      <c r="A157">
        <v>155</v>
      </c>
      <c r="B157">
        <v>43</v>
      </c>
      <c r="C157">
        <v>0</v>
      </c>
      <c r="D157">
        <v>82.9</v>
      </c>
      <c r="E157">
        <v>1.63</v>
      </c>
      <c r="F157" s="5">
        <f t="shared" si="3"/>
        <v>31.201776506454895</v>
      </c>
      <c r="G157" s="13">
        <v>2</v>
      </c>
      <c r="H157">
        <v>2</v>
      </c>
      <c r="I157">
        <v>2</v>
      </c>
      <c r="J157">
        <v>2</v>
      </c>
      <c r="K157" s="6">
        <v>0.46875</v>
      </c>
      <c r="L157" s="6">
        <v>0.57638888888888895</v>
      </c>
      <c r="M157">
        <v>40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</row>
    <row r="158" spans="1:55" x14ac:dyDescent="0.2">
      <c r="A158">
        <v>156</v>
      </c>
      <c r="B158">
        <v>50</v>
      </c>
      <c r="C158">
        <v>0</v>
      </c>
      <c r="D158">
        <v>138.69999999999999</v>
      </c>
      <c r="E158">
        <v>1.61</v>
      </c>
      <c r="F158" s="5">
        <f t="shared" si="3"/>
        <v>53.508738088808293</v>
      </c>
      <c r="G158" s="13">
        <v>3</v>
      </c>
      <c r="H158">
        <v>2</v>
      </c>
      <c r="I158">
        <v>3</v>
      </c>
      <c r="J158">
        <v>2</v>
      </c>
      <c r="K158" s="6">
        <v>0.60416666666666663</v>
      </c>
      <c r="L158">
        <v>19.41</v>
      </c>
      <c r="M158">
        <v>62</v>
      </c>
      <c r="N158">
        <v>0</v>
      </c>
      <c r="O158">
        <v>0</v>
      </c>
      <c r="P158">
        <v>1</v>
      </c>
      <c r="Q158">
        <v>4</v>
      </c>
      <c r="R158">
        <v>2</v>
      </c>
      <c r="S158">
        <v>0</v>
      </c>
      <c r="T158">
        <v>0</v>
      </c>
      <c r="U158">
        <v>0</v>
      </c>
      <c r="V158">
        <v>1</v>
      </c>
      <c r="W158" t="s">
        <v>35</v>
      </c>
      <c r="X158" t="s">
        <v>49</v>
      </c>
      <c r="Y158">
        <v>0</v>
      </c>
      <c r="Z158">
        <v>0</v>
      </c>
      <c r="AA158">
        <v>50</v>
      </c>
      <c r="AB158">
        <v>1</v>
      </c>
      <c r="AC158">
        <v>1</v>
      </c>
      <c r="AD158">
        <v>0</v>
      </c>
      <c r="AE158">
        <v>0</v>
      </c>
      <c r="AF158">
        <v>0</v>
      </c>
      <c r="AG158">
        <v>0</v>
      </c>
      <c r="AJ158">
        <v>0</v>
      </c>
      <c r="AK158">
        <v>0</v>
      </c>
      <c r="AL158">
        <v>120</v>
      </c>
      <c r="AM158">
        <v>1</v>
      </c>
      <c r="AN158">
        <v>1</v>
      </c>
      <c r="AO158">
        <v>0</v>
      </c>
      <c r="AP158">
        <v>0</v>
      </c>
      <c r="AQ158">
        <v>0</v>
      </c>
      <c r="AR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</row>
    <row r="159" spans="1:55" x14ac:dyDescent="0.2">
      <c r="A159">
        <v>157</v>
      </c>
      <c r="B159">
        <v>45</v>
      </c>
      <c r="C159">
        <v>0</v>
      </c>
      <c r="D159">
        <v>115</v>
      </c>
      <c r="E159">
        <v>1.6</v>
      </c>
      <c r="F159" s="5">
        <f t="shared" si="3"/>
        <v>44.921874999999993</v>
      </c>
      <c r="G159" s="13">
        <v>1</v>
      </c>
      <c r="H159">
        <v>2</v>
      </c>
      <c r="I159">
        <v>1</v>
      </c>
      <c r="J159">
        <v>1</v>
      </c>
      <c r="K159" s="6">
        <v>0.60416666666666663</v>
      </c>
      <c r="L159" s="6">
        <v>0.76874999999999993</v>
      </c>
      <c r="M159">
        <v>46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t="s">
        <v>31</v>
      </c>
      <c r="X159" t="s">
        <v>33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</row>
    <row r="160" spans="1:55" s="8" customFormat="1" x14ac:dyDescent="0.2">
      <c r="A160" s="8">
        <v>158</v>
      </c>
      <c r="B160" s="8">
        <v>34</v>
      </c>
      <c r="C160" s="8">
        <v>0</v>
      </c>
      <c r="D160" s="8">
        <v>120</v>
      </c>
      <c r="E160" s="8">
        <v>1.7</v>
      </c>
      <c r="F160" s="9">
        <f t="shared" si="3"/>
        <v>41.522491349480973</v>
      </c>
      <c r="G160" s="14">
        <v>1</v>
      </c>
      <c r="H160" s="8">
        <v>2</v>
      </c>
      <c r="I160" s="8">
        <v>1</v>
      </c>
      <c r="J160" s="8">
        <v>1</v>
      </c>
      <c r="K160" s="6">
        <v>0.60416666666666663</v>
      </c>
      <c r="L160" s="6">
        <v>0.78333333333333333</v>
      </c>
      <c r="M160" s="8">
        <v>35</v>
      </c>
      <c r="N160" s="8">
        <v>2</v>
      </c>
      <c r="O160" s="8">
        <v>2</v>
      </c>
      <c r="P160" s="8">
        <v>1</v>
      </c>
      <c r="Q160" s="8">
        <v>4</v>
      </c>
      <c r="R160" s="8">
        <v>1</v>
      </c>
      <c r="S160" s="8">
        <v>0</v>
      </c>
      <c r="T160" s="8">
        <v>0</v>
      </c>
      <c r="U160" s="8">
        <v>0</v>
      </c>
      <c r="V160" s="8">
        <v>1</v>
      </c>
      <c r="W160" s="8" t="s">
        <v>29</v>
      </c>
      <c r="X160" t="s">
        <v>30</v>
      </c>
      <c r="Y160" s="8">
        <v>2</v>
      </c>
      <c r="Z160" s="8">
        <v>1</v>
      </c>
      <c r="AA160">
        <v>50</v>
      </c>
      <c r="AB160" s="8">
        <v>2</v>
      </c>
      <c r="AC160" s="8">
        <v>1</v>
      </c>
      <c r="AD160" s="8">
        <v>0</v>
      </c>
      <c r="AE160" s="8">
        <v>0</v>
      </c>
      <c r="AF160" s="8">
        <v>0</v>
      </c>
      <c r="AG160" s="8">
        <v>0</v>
      </c>
      <c r="AJ160" s="8">
        <v>1</v>
      </c>
      <c r="AK160" s="8">
        <v>1</v>
      </c>
      <c r="AL160">
        <v>50</v>
      </c>
      <c r="AM160" s="8">
        <v>2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U160" s="8">
        <v>0</v>
      </c>
      <c r="AV160" s="8">
        <v>0</v>
      </c>
      <c r="AW160">
        <v>30</v>
      </c>
      <c r="AX160" s="8">
        <v>2</v>
      </c>
      <c r="AY160" s="8">
        <v>1</v>
      </c>
      <c r="AZ160" s="8">
        <v>0</v>
      </c>
      <c r="BA160" s="8">
        <v>0</v>
      </c>
      <c r="BB160" s="8">
        <v>0</v>
      </c>
      <c r="BC160" s="8">
        <v>0</v>
      </c>
    </row>
    <row r="161" spans="1:55" x14ac:dyDescent="0.2">
      <c r="A161">
        <v>159</v>
      </c>
      <c r="B161">
        <v>47</v>
      </c>
      <c r="C161">
        <v>0</v>
      </c>
      <c r="D161">
        <v>100</v>
      </c>
      <c r="E161">
        <v>1.66</v>
      </c>
      <c r="F161" s="5">
        <f t="shared" si="3"/>
        <v>36.289737262302225</v>
      </c>
      <c r="G161" s="13">
        <v>3</v>
      </c>
      <c r="H161">
        <v>2</v>
      </c>
      <c r="I161">
        <v>3</v>
      </c>
      <c r="J161">
        <v>2</v>
      </c>
      <c r="K161" s="6">
        <v>0.60416666666666663</v>
      </c>
      <c r="L161" s="6">
        <v>0.67013888888888884</v>
      </c>
      <c r="M161">
        <v>50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1</v>
      </c>
      <c r="W161" t="s">
        <v>53</v>
      </c>
      <c r="X161" t="s">
        <v>30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 spans="1:55" x14ac:dyDescent="0.2">
      <c r="A162">
        <v>160</v>
      </c>
      <c r="B162">
        <v>48</v>
      </c>
      <c r="C162">
        <v>0</v>
      </c>
      <c r="D162">
        <v>110.9</v>
      </c>
      <c r="E162">
        <v>1.63</v>
      </c>
      <c r="F162" s="5">
        <f t="shared" si="3"/>
        <v>41.740374120215293</v>
      </c>
      <c r="G162" s="13">
        <v>2</v>
      </c>
      <c r="H162">
        <v>2</v>
      </c>
      <c r="I162">
        <v>1</v>
      </c>
      <c r="J162">
        <v>1</v>
      </c>
      <c r="K162" s="6">
        <v>0.60416666666666663</v>
      </c>
      <c r="L162" s="6">
        <v>0.72916666666666663</v>
      </c>
      <c r="M162">
        <v>50</v>
      </c>
      <c r="N162">
        <v>0</v>
      </c>
      <c r="O162">
        <v>0</v>
      </c>
      <c r="P162">
        <v>1</v>
      </c>
      <c r="Q162">
        <v>2</v>
      </c>
      <c r="R162">
        <v>1</v>
      </c>
      <c r="S162">
        <v>0</v>
      </c>
      <c r="T162">
        <v>0</v>
      </c>
      <c r="U162">
        <v>0</v>
      </c>
      <c r="V162">
        <v>0</v>
      </c>
      <c r="Y162">
        <v>0</v>
      </c>
      <c r="Z162">
        <v>0</v>
      </c>
      <c r="AA162">
        <v>180</v>
      </c>
      <c r="AB162">
        <v>4</v>
      </c>
      <c r="AC162">
        <v>1</v>
      </c>
      <c r="AD162">
        <v>0</v>
      </c>
      <c r="AE162">
        <v>0</v>
      </c>
      <c r="AF162">
        <v>0</v>
      </c>
      <c r="AG162">
        <v>0</v>
      </c>
      <c r="AJ162">
        <v>0</v>
      </c>
      <c r="AK162">
        <v>0</v>
      </c>
      <c r="AL162">
        <v>300</v>
      </c>
      <c r="AM162">
        <v>3</v>
      </c>
      <c r="AN162">
        <v>1</v>
      </c>
      <c r="AO162">
        <v>5</v>
      </c>
      <c r="AP162">
        <v>1</v>
      </c>
      <c r="AQ162">
        <v>2</v>
      </c>
      <c r="AR162">
        <v>1</v>
      </c>
      <c r="AS162" t="s">
        <v>29</v>
      </c>
      <c r="AT162" t="s">
        <v>30</v>
      </c>
      <c r="AU162">
        <v>0</v>
      </c>
      <c r="AV162">
        <v>0</v>
      </c>
      <c r="AW162">
        <v>120</v>
      </c>
      <c r="AX162">
        <v>6</v>
      </c>
      <c r="AY162">
        <v>1</v>
      </c>
      <c r="AZ162">
        <v>0</v>
      </c>
      <c r="BA162">
        <v>0</v>
      </c>
      <c r="BB162">
        <v>0</v>
      </c>
      <c r="BC162">
        <v>0</v>
      </c>
    </row>
    <row r="163" spans="1:55" x14ac:dyDescent="0.2">
      <c r="A163">
        <v>161</v>
      </c>
      <c r="B163">
        <v>25</v>
      </c>
      <c r="C163">
        <v>0</v>
      </c>
      <c r="D163">
        <v>117.1</v>
      </c>
      <c r="E163">
        <v>1.71</v>
      </c>
      <c r="F163" s="5">
        <f t="shared" si="3"/>
        <v>40.046510037276427</v>
      </c>
      <c r="G163" s="13">
        <v>3</v>
      </c>
      <c r="H163">
        <v>2</v>
      </c>
      <c r="I163">
        <v>2</v>
      </c>
      <c r="J163">
        <v>2</v>
      </c>
      <c r="K163" s="6">
        <v>0.60416666666666663</v>
      </c>
      <c r="L163" s="6">
        <v>0.71666666666666667</v>
      </c>
      <c r="M163">
        <v>50</v>
      </c>
      <c r="N163">
        <v>0</v>
      </c>
      <c r="O163">
        <v>0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1</v>
      </c>
      <c r="W163" t="s">
        <v>29</v>
      </c>
      <c r="X163" t="s">
        <v>30</v>
      </c>
      <c r="Y163">
        <v>0</v>
      </c>
      <c r="Z163">
        <v>0</v>
      </c>
      <c r="AA163">
        <v>120</v>
      </c>
      <c r="AB163">
        <v>6</v>
      </c>
      <c r="AC163">
        <v>1</v>
      </c>
      <c r="AD163">
        <v>0</v>
      </c>
      <c r="AE163">
        <v>0</v>
      </c>
      <c r="AF163">
        <v>0</v>
      </c>
      <c r="AG163">
        <v>0</v>
      </c>
      <c r="AJ163">
        <v>0</v>
      </c>
      <c r="AK163">
        <v>0</v>
      </c>
      <c r="AL163">
        <v>120</v>
      </c>
      <c r="AM163">
        <v>2</v>
      </c>
      <c r="AN163">
        <v>1</v>
      </c>
      <c r="AO163">
        <v>0</v>
      </c>
      <c r="AP163">
        <v>0</v>
      </c>
      <c r="AQ163">
        <v>0</v>
      </c>
      <c r="AR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</row>
    <row r="164" spans="1:55" x14ac:dyDescent="0.2">
      <c r="A164">
        <v>162</v>
      </c>
      <c r="B164">
        <v>43</v>
      </c>
      <c r="C164">
        <v>0</v>
      </c>
      <c r="D164">
        <v>100.7</v>
      </c>
      <c r="E164">
        <v>1.64</v>
      </c>
      <c r="F164" s="5">
        <f t="shared" si="3"/>
        <v>37.440511600237961</v>
      </c>
      <c r="G164" s="13">
        <v>1</v>
      </c>
      <c r="H164">
        <v>2</v>
      </c>
      <c r="I164">
        <v>3</v>
      </c>
      <c r="J164">
        <v>2</v>
      </c>
      <c r="K164" s="6">
        <v>0.60416666666666663</v>
      </c>
      <c r="L164" s="6">
        <v>0.84583333333333333</v>
      </c>
      <c r="M164">
        <v>37</v>
      </c>
      <c r="N164">
        <v>0</v>
      </c>
      <c r="O164">
        <v>0</v>
      </c>
      <c r="P164">
        <v>1</v>
      </c>
      <c r="Q164">
        <v>3</v>
      </c>
      <c r="R164">
        <v>2</v>
      </c>
      <c r="S164">
        <v>0</v>
      </c>
      <c r="T164">
        <v>0</v>
      </c>
      <c r="U164">
        <v>0</v>
      </c>
      <c r="V164">
        <v>1</v>
      </c>
      <c r="W164" t="s">
        <v>35</v>
      </c>
      <c r="X164" t="s">
        <v>49</v>
      </c>
      <c r="Y164">
        <v>0</v>
      </c>
      <c r="Z164">
        <v>0</v>
      </c>
      <c r="AA164">
        <v>120</v>
      </c>
      <c r="AB164">
        <v>3</v>
      </c>
      <c r="AC164">
        <v>1</v>
      </c>
      <c r="AD164">
        <v>0</v>
      </c>
      <c r="AE164">
        <v>0</v>
      </c>
      <c r="AF164">
        <v>0</v>
      </c>
      <c r="AG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</row>
    <row r="165" spans="1:55" x14ac:dyDescent="0.2">
      <c r="A165">
        <v>163</v>
      </c>
      <c r="B165">
        <v>35</v>
      </c>
      <c r="C165">
        <v>0</v>
      </c>
      <c r="D165">
        <v>107.4</v>
      </c>
      <c r="E165">
        <v>1.73</v>
      </c>
      <c r="F165" s="5">
        <f t="shared" si="3"/>
        <v>35.88492766213372</v>
      </c>
      <c r="G165" s="13">
        <v>1</v>
      </c>
      <c r="H165">
        <v>2</v>
      </c>
      <c r="I165">
        <v>3</v>
      </c>
      <c r="J165">
        <v>2</v>
      </c>
      <c r="K165" s="6">
        <v>0.60138888888888886</v>
      </c>
      <c r="L165" s="6">
        <v>0.84375</v>
      </c>
      <c r="M165">
        <v>35</v>
      </c>
      <c r="N165">
        <v>0</v>
      </c>
      <c r="O165">
        <v>0</v>
      </c>
      <c r="P165">
        <v>1</v>
      </c>
      <c r="Q165">
        <v>4</v>
      </c>
      <c r="R165">
        <v>2</v>
      </c>
      <c r="S165">
        <v>0</v>
      </c>
      <c r="T165">
        <v>0</v>
      </c>
      <c r="U165">
        <v>0</v>
      </c>
      <c r="V165">
        <v>1</v>
      </c>
      <c r="W165" t="s">
        <v>35</v>
      </c>
      <c r="X165" t="s">
        <v>64</v>
      </c>
      <c r="Y165">
        <v>0</v>
      </c>
      <c r="Z165">
        <v>0</v>
      </c>
      <c r="AA165">
        <v>120</v>
      </c>
      <c r="AB165">
        <v>3</v>
      </c>
      <c r="AC165">
        <v>1</v>
      </c>
      <c r="AD165">
        <v>0</v>
      </c>
      <c r="AE165">
        <v>0</v>
      </c>
      <c r="AF165">
        <v>0</v>
      </c>
      <c r="AG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</row>
    <row r="166" spans="1:55" s="8" customFormat="1" x14ac:dyDescent="0.2">
      <c r="A166" s="8">
        <v>164</v>
      </c>
      <c r="B166" s="8">
        <v>36</v>
      </c>
      <c r="C166" s="8">
        <v>0</v>
      </c>
      <c r="D166" s="8">
        <v>103</v>
      </c>
      <c r="E166" s="8">
        <v>1.6</v>
      </c>
      <c r="F166" s="9">
        <f t="shared" si="3"/>
        <v>40.234374999999993</v>
      </c>
      <c r="G166" s="14">
        <v>1</v>
      </c>
      <c r="H166" s="8">
        <v>2</v>
      </c>
      <c r="I166" s="8">
        <v>1</v>
      </c>
      <c r="J166" s="8">
        <v>1</v>
      </c>
      <c r="K166" s="6">
        <v>0.60416666666666663</v>
      </c>
      <c r="L166" s="6">
        <v>0.81666666666666676</v>
      </c>
      <c r="M166" s="8">
        <v>38</v>
      </c>
      <c r="N166" s="8">
        <v>0</v>
      </c>
      <c r="O166" s="8">
        <v>0</v>
      </c>
      <c r="P166" s="8">
        <v>1</v>
      </c>
      <c r="Q166" s="8">
        <v>4</v>
      </c>
      <c r="R166" s="8">
        <v>2</v>
      </c>
      <c r="S166" s="8">
        <v>1</v>
      </c>
      <c r="T166" s="8">
        <v>1</v>
      </c>
      <c r="U166" s="8">
        <v>1</v>
      </c>
      <c r="V166" s="8">
        <v>1</v>
      </c>
      <c r="W166" t="s">
        <v>29</v>
      </c>
      <c r="X166" t="s">
        <v>30</v>
      </c>
      <c r="Y166" s="8">
        <v>0</v>
      </c>
      <c r="Z166" s="8">
        <v>0</v>
      </c>
      <c r="AA166">
        <v>50</v>
      </c>
      <c r="AB166" s="8">
        <v>4</v>
      </c>
      <c r="AC166" s="8">
        <v>2</v>
      </c>
      <c r="AD166" s="8">
        <v>0</v>
      </c>
      <c r="AE166" s="8">
        <v>0</v>
      </c>
      <c r="AF166" s="8">
        <v>0</v>
      </c>
      <c r="AG166" s="8">
        <v>1</v>
      </c>
      <c r="AH166" t="s">
        <v>29</v>
      </c>
      <c r="AI166" t="s">
        <v>30</v>
      </c>
      <c r="AJ166" s="8">
        <v>0</v>
      </c>
      <c r="AK166" s="8">
        <v>0</v>
      </c>
      <c r="AL166">
        <v>30</v>
      </c>
      <c r="AM166" s="8">
        <v>2</v>
      </c>
      <c r="AN166" s="8">
        <v>1</v>
      </c>
      <c r="AO166" s="8">
        <v>0</v>
      </c>
      <c r="AP166" s="8">
        <v>0</v>
      </c>
      <c r="AQ166" s="8">
        <v>0</v>
      </c>
      <c r="AR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</row>
    <row r="167" spans="1:55" x14ac:dyDescent="0.2">
      <c r="A167">
        <v>165</v>
      </c>
      <c r="B167">
        <v>21</v>
      </c>
      <c r="C167">
        <v>0</v>
      </c>
      <c r="D167">
        <v>110</v>
      </c>
      <c r="E167">
        <v>1.61</v>
      </c>
      <c r="F167" s="5">
        <f t="shared" si="3"/>
        <v>42.43663438910535</v>
      </c>
      <c r="G167" s="13">
        <v>1</v>
      </c>
      <c r="H167">
        <v>2</v>
      </c>
      <c r="I167">
        <v>3</v>
      </c>
      <c r="J167">
        <v>2</v>
      </c>
      <c r="K167" s="6">
        <v>0.45833333333333331</v>
      </c>
      <c r="L167" s="6">
        <v>0.61527777777777781</v>
      </c>
      <c r="M167">
        <v>30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</row>
    <row r="168" spans="1:55" x14ac:dyDescent="0.2">
      <c r="A168">
        <v>166</v>
      </c>
      <c r="B168">
        <v>55</v>
      </c>
      <c r="C168">
        <v>0</v>
      </c>
      <c r="D168">
        <v>122.5</v>
      </c>
      <c r="E168">
        <v>1.6</v>
      </c>
      <c r="F168" s="5">
        <f t="shared" si="3"/>
        <v>47.851562499999993</v>
      </c>
      <c r="G168" s="13">
        <v>2</v>
      </c>
      <c r="H168">
        <v>2</v>
      </c>
      <c r="I168">
        <v>1</v>
      </c>
      <c r="J168">
        <v>1</v>
      </c>
      <c r="K168" s="6">
        <v>0.45833333333333331</v>
      </c>
      <c r="L168" s="6">
        <v>0.56944444444444442</v>
      </c>
      <c r="M168">
        <v>40</v>
      </c>
      <c r="N168">
        <v>0</v>
      </c>
      <c r="O168">
        <v>0</v>
      </c>
      <c r="P168">
        <v>1</v>
      </c>
      <c r="Q168">
        <v>3</v>
      </c>
      <c r="R168">
        <v>2</v>
      </c>
      <c r="S168">
        <v>0</v>
      </c>
      <c r="T168">
        <v>0</v>
      </c>
      <c r="U168">
        <v>0</v>
      </c>
      <c r="V168">
        <v>1</v>
      </c>
      <c r="W168" t="s">
        <v>29</v>
      </c>
      <c r="X168" t="s">
        <v>30</v>
      </c>
      <c r="Y168">
        <v>1</v>
      </c>
      <c r="Z168">
        <v>2</v>
      </c>
      <c r="AA168">
        <v>180</v>
      </c>
      <c r="AB168">
        <v>4</v>
      </c>
      <c r="AC168">
        <v>2</v>
      </c>
      <c r="AD168">
        <v>3</v>
      </c>
      <c r="AE168">
        <v>1</v>
      </c>
      <c r="AF168">
        <v>2</v>
      </c>
      <c r="AG168">
        <v>1</v>
      </c>
      <c r="AH168" t="s">
        <v>29</v>
      </c>
      <c r="AI168" t="s">
        <v>30</v>
      </c>
      <c r="AJ168">
        <v>4</v>
      </c>
      <c r="AK168">
        <v>1</v>
      </c>
      <c r="AL168">
        <v>360</v>
      </c>
      <c r="AM168">
        <v>7</v>
      </c>
      <c r="AN168">
        <v>2</v>
      </c>
      <c r="AO168">
        <v>2</v>
      </c>
      <c r="AP168">
        <v>1</v>
      </c>
      <c r="AQ168">
        <v>1</v>
      </c>
      <c r="AR168">
        <v>1</v>
      </c>
      <c r="AS168" t="s">
        <v>29</v>
      </c>
      <c r="AT168" s="12" t="s">
        <v>30</v>
      </c>
      <c r="AU168">
        <v>0</v>
      </c>
      <c r="AV168">
        <v>0</v>
      </c>
      <c r="AW168">
        <v>120</v>
      </c>
      <c r="AX168">
        <v>2</v>
      </c>
      <c r="AY168">
        <v>1</v>
      </c>
      <c r="AZ168">
        <v>0</v>
      </c>
      <c r="BA168">
        <v>0</v>
      </c>
      <c r="BB168">
        <v>0</v>
      </c>
      <c r="BC168">
        <v>0</v>
      </c>
    </row>
    <row r="169" spans="1:55" x14ac:dyDescent="0.2">
      <c r="A169">
        <v>167</v>
      </c>
      <c r="B169">
        <v>29</v>
      </c>
      <c r="C169">
        <v>0</v>
      </c>
      <c r="D169">
        <v>150.80000000000001</v>
      </c>
      <c r="E169">
        <v>1.78</v>
      </c>
      <c r="F169" s="5">
        <f t="shared" si="3"/>
        <v>47.595000631233432</v>
      </c>
      <c r="G169" s="13">
        <v>3</v>
      </c>
      <c r="H169">
        <v>2</v>
      </c>
      <c r="I169">
        <v>2</v>
      </c>
      <c r="J169">
        <v>2</v>
      </c>
      <c r="K169" s="6">
        <v>0.45833333333333331</v>
      </c>
      <c r="L169" s="6">
        <v>0.67361111111111116</v>
      </c>
      <c r="M169">
        <v>42</v>
      </c>
      <c r="N169">
        <v>0</v>
      </c>
      <c r="O169">
        <v>0</v>
      </c>
      <c r="P169">
        <v>1</v>
      </c>
      <c r="Q169">
        <v>4</v>
      </c>
      <c r="R169">
        <v>1</v>
      </c>
      <c r="S169">
        <v>0</v>
      </c>
      <c r="T169">
        <v>0</v>
      </c>
      <c r="U169">
        <v>0</v>
      </c>
      <c r="V169">
        <v>1</v>
      </c>
      <c r="W169" t="s">
        <v>35</v>
      </c>
      <c r="X169" t="s">
        <v>49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</row>
    <row r="170" spans="1:55" x14ac:dyDescent="0.2">
      <c r="A170">
        <v>168</v>
      </c>
      <c r="B170">
        <v>33</v>
      </c>
      <c r="C170">
        <v>0</v>
      </c>
      <c r="D170">
        <v>107</v>
      </c>
      <c r="E170">
        <v>1.63</v>
      </c>
      <c r="F170" s="5">
        <f t="shared" si="3"/>
        <v>40.272498024012947</v>
      </c>
      <c r="G170" s="13">
        <v>3</v>
      </c>
      <c r="H170">
        <v>1</v>
      </c>
      <c r="I170">
        <v>3</v>
      </c>
      <c r="J170">
        <v>2</v>
      </c>
      <c r="K170" s="6">
        <v>0.45833333333333331</v>
      </c>
      <c r="L170" s="6">
        <v>0.71388888888888891</v>
      </c>
      <c r="M170">
        <v>52</v>
      </c>
      <c r="N170">
        <v>0</v>
      </c>
      <c r="O170">
        <v>0</v>
      </c>
      <c r="P170">
        <v>1</v>
      </c>
      <c r="Q170">
        <v>1</v>
      </c>
      <c r="R170">
        <v>2</v>
      </c>
      <c r="S170">
        <v>0</v>
      </c>
      <c r="T170">
        <v>0</v>
      </c>
      <c r="U170">
        <v>0</v>
      </c>
      <c r="V170">
        <v>1</v>
      </c>
      <c r="W170" t="s">
        <v>35</v>
      </c>
      <c r="X170" t="s">
        <v>49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</row>
    <row r="171" spans="1:55" x14ac:dyDescent="0.2">
      <c r="A171">
        <v>169</v>
      </c>
      <c r="B171">
        <v>31</v>
      </c>
      <c r="C171">
        <v>0</v>
      </c>
      <c r="D171">
        <v>105.6</v>
      </c>
      <c r="E171">
        <v>1.67</v>
      </c>
      <c r="F171" s="5">
        <f t="shared" si="3"/>
        <v>37.864390978521996</v>
      </c>
      <c r="G171" s="13">
        <v>2</v>
      </c>
      <c r="H171">
        <v>2</v>
      </c>
      <c r="I171">
        <v>1</v>
      </c>
      <c r="J171">
        <v>1</v>
      </c>
      <c r="K171" s="6">
        <v>0.45833333333333331</v>
      </c>
      <c r="L171" s="6">
        <v>0.61111111111111105</v>
      </c>
      <c r="M171">
        <v>40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Y171">
        <v>0</v>
      </c>
      <c r="Z171">
        <v>0</v>
      </c>
      <c r="AA171">
        <v>180</v>
      </c>
      <c r="AB171">
        <v>8</v>
      </c>
      <c r="AC171">
        <v>2</v>
      </c>
      <c r="AD171">
        <v>6</v>
      </c>
      <c r="AE171">
        <v>2</v>
      </c>
      <c r="AF171">
        <v>2</v>
      </c>
      <c r="AG171">
        <v>0</v>
      </c>
      <c r="AJ171">
        <v>0</v>
      </c>
      <c r="AK171">
        <v>0</v>
      </c>
      <c r="AL171">
        <v>300</v>
      </c>
      <c r="AM171">
        <v>4</v>
      </c>
      <c r="AN171">
        <v>2</v>
      </c>
      <c r="AO171">
        <v>0</v>
      </c>
      <c r="AP171">
        <v>0</v>
      </c>
      <c r="AQ171">
        <v>0</v>
      </c>
      <c r="AR171">
        <v>0</v>
      </c>
      <c r="AU171">
        <v>0</v>
      </c>
      <c r="AV171">
        <v>0</v>
      </c>
      <c r="AW171">
        <v>120</v>
      </c>
      <c r="AX171">
        <v>2</v>
      </c>
      <c r="AY171">
        <v>1</v>
      </c>
      <c r="AZ171">
        <v>0</v>
      </c>
      <c r="BA171">
        <v>0</v>
      </c>
      <c r="BB171">
        <v>0</v>
      </c>
      <c r="BC171">
        <v>0</v>
      </c>
    </row>
    <row r="172" spans="1:55" x14ac:dyDescent="0.2">
      <c r="A172">
        <v>170</v>
      </c>
      <c r="B172">
        <v>31</v>
      </c>
      <c r="C172">
        <v>0</v>
      </c>
      <c r="D172">
        <v>131.6</v>
      </c>
      <c r="E172">
        <v>1.71</v>
      </c>
      <c r="F172" s="5">
        <f t="shared" si="3"/>
        <v>45.005300776307244</v>
      </c>
      <c r="G172" s="13">
        <v>2</v>
      </c>
      <c r="H172">
        <v>2</v>
      </c>
      <c r="I172">
        <v>2</v>
      </c>
      <c r="J172">
        <v>2</v>
      </c>
      <c r="K172" s="6">
        <v>0.46527777777777773</v>
      </c>
      <c r="L172" s="6">
        <v>0.52777777777777779</v>
      </c>
      <c r="M172">
        <v>30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Y172">
        <v>1</v>
      </c>
      <c r="Z172">
        <v>2</v>
      </c>
      <c r="AA172">
        <v>120</v>
      </c>
      <c r="AB172">
        <v>3</v>
      </c>
      <c r="AC172">
        <v>2</v>
      </c>
      <c r="AD172">
        <v>1</v>
      </c>
      <c r="AE172">
        <v>1</v>
      </c>
      <c r="AF172">
        <v>2</v>
      </c>
      <c r="AG172">
        <v>1</v>
      </c>
      <c r="AH172" t="s">
        <v>29</v>
      </c>
      <c r="AI172" t="s">
        <v>30</v>
      </c>
      <c r="AJ172">
        <v>3</v>
      </c>
      <c r="AK172">
        <v>2</v>
      </c>
      <c r="AL172">
        <v>90</v>
      </c>
      <c r="AM172">
        <v>7</v>
      </c>
      <c r="AN172">
        <v>2</v>
      </c>
      <c r="AO172">
        <v>5</v>
      </c>
      <c r="AP172">
        <v>1</v>
      </c>
      <c r="AQ172">
        <v>2</v>
      </c>
      <c r="AR172">
        <v>1</v>
      </c>
      <c r="AS172" t="s">
        <v>29</v>
      </c>
      <c r="AT172" t="s">
        <v>30</v>
      </c>
      <c r="AU172">
        <v>1</v>
      </c>
      <c r="AV172">
        <v>2</v>
      </c>
      <c r="AW172">
        <v>360</v>
      </c>
      <c r="AX172">
        <v>3</v>
      </c>
      <c r="AY172">
        <v>1</v>
      </c>
      <c r="AZ172">
        <v>0</v>
      </c>
      <c r="BA172">
        <v>0</v>
      </c>
      <c r="BB172">
        <v>0</v>
      </c>
      <c r="BC172">
        <v>0</v>
      </c>
    </row>
    <row r="173" spans="1:55" x14ac:dyDescent="0.2">
      <c r="A173">
        <v>171</v>
      </c>
      <c r="B173">
        <v>35</v>
      </c>
      <c r="C173">
        <v>0</v>
      </c>
      <c r="D173">
        <v>122.3</v>
      </c>
      <c r="E173">
        <v>1.7</v>
      </c>
      <c r="F173" s="5">
        <f t="shared" si="3"/>
        <v>42.318339100346023</v>
      </c>
      <c r="G173" s="13">
        <v>3</v>
      </c>
      <c r="H173">
        <v>2</v>
      </c>
      <c r="I173">
        <v>3</v>
      </c>
      <c r="J173">
        <v>2</v>
      </c>
      <c r="K173" s="6">
        <v>0.46527777777777773</v>
      </c>
      <c r="L173">
        <v>12.41</v>
      </c>
      <c r="M173">
        <v>46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 t="s">
        <v>31</v>
      </c>
      <c r="X173" t="s">
        <v>33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</row>
    <row r="174" spans="1:55" x14ac:dyDescent="0.2">
      <c r="A174">
        <v>172</v>
      </c>
      <c r="B174">
        <v>30</v>
      </c>
      <c r="C174">
        <v>0</v>
      </c>
      <c r="D174">
        <v>114.3</v>
      </c>
      <c r="E174">
        <v>1.63</v>
      </c>
      <c r="F174" s="5">
        <f t="shared" si="3"/>
        <v>43.02006097331477</v>
      </c>
      <c r="G174" s="13">
        <v>1</v>
      </c>
      <c r="H174">
        <v>2</v>
      </c>
      <c r="I174">
        <v>1</v>
      </c>
      <c r="J174">
        <v>1</v>
      </c>
      <c r="K174" s="6">
        <v>0.46527777777777773</v>
      </c>
      <c r="L174" s="6">
        <v>0.82500000000000007</v>
      </c>
      <c r="M174">
        <v>40</v>
      </c>
      <c r="N174">
        <v>0</v>
      </c>
      <c r="O174">
        <v>0</v>
      </c>
      <c r="P174">
        <v>1</v>
      </c>
      <c r="Q174">
        <v>1</v>
      </c>
      <c r="R174">
        <v>2</v>
      </c>
      <c r="S174">
        <v>0</v>
      </c>
      <c r="T174">
        <v>0</v>
      </c>
      <c r="U174">
        <v>0</v>
      </c>
      <c r="V174">
        <v>1</v>
      </c>
      <c r="W174" t="s">
        <v>29</v>
      </c>
      <c r="X174" t="s">
        <v>30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</row>
    <row r="175" spans="1:55" x14ac:dyDescent="0.2">
      <c r="A175">
        <v>173</v>
      </c>
      <c r="B175">
        <v>34</v>
      </c>
      <c r="C175">
        <v>0</v>
      </c>
      <c r="D175">
        <v>78.28</v>
      </c>
      <c r="E175">
        <v>1.58</v>
      </c>
      <c r="F175" s="5">
        <f t="shared" si="3"/>
        <v>31.357154302195156</v>
      </c>
      <c r="G175" s="13">
        <v>3</v>
      </c>
      <c r="H175">
        <v>2</v>
      </c>
      <c r="I175">
        <v>2</v>
      </c>
      <c r="J175">
        <v>2</v>
      </c>
      <c r="K175">
        <v>11.1</v>
      </c>
      <c r="L175" s="6">
        <v>0.8041666666666667</v>
      </c>
      <c r="M175">
        <v>47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t="s">
        <v>31</v>
      </c>
      <c r="X175" t="s">
        <v>33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</row>
    <row r="176" spans="1:55" x14ac:dyDescent="0.2">
      <c r="A176">
        <v>174</v>
      </c>
      <c r="B176">
        <v>31</v>
      </c>
      <c r="C176">
        <v>0</v>
      </c>
      <c r="D176">
        <v>156</v>
      </c>
      <c r="E176">
        <v>1.74</v>
      </c>
      <c r="F176" s="5">
        <f t="shared" si="3"/>
        <v>51.525961157352356</v>
      </c>
      <c r="G176" s="13">
        <v>1</v>
      </c>
      <c r="H176">
        <v>2</v>
      </c>
      <c r="I176">
        <v>2</v>
      </c>
      <c r="J176">
        <v>2</v>
      </c>
      <c r="K176" s="6">
        <v>0.52777777777777779</v>
      </c>
      <c r="L176" s="6">
        <v>0.86805555555555547</v>
      </c>
      <c r="M176">
        <v>25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Y176">
        <v>0</v>
      </c>
      <c r="Z176">
        <v>0</v>
      </c>
      <c r="AA176">
        <v>50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0</v>
      </c>
      <c r="AJ176">
        <v>0</v>
      </c>
      <c r="AK176">
        <v>0</v>
      </c>
      <c r="AL176">
        <v>360</v>
      </c>
      <c r="AM176">
        <v>5</v>
      </c>
      <c r="AN176">
        <v>2</v>
      </c>
      <c r="AO176">
        <v>0</v>
      </c>
      <c r="AP176">
        <v>0</v>
      </c>
      <c r="AQ176">
        <v>0</v>
      </c>
      <c r="AR176">
        <v>0</v>
      </c>
      <c r="AU176">
        <v>0</v>
      </c>
      <c r="AV176">
        <v>0</v>
      </c>
      <c r="AW176">
        <v>60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</row>
    <row r="177" spans="1:55" x14ac:dyDescent="0.2">
      <c r="A177">
        <v>175</v>
      </c>
      <c r="B177">
        <v>20</v>
      </c>
      <c r="C177">
        <v>0</v>
      </c>
      <c r="D177">
        <v>133.80000000000001</v>
      </c>
      <c r="E177">
        <v>1.64</v>
      </c>
      <c r="F177" s="5">
        <f t="shared" si="3"/>
        <v>49.747174301011313</v>
      </c>
      <c r="G177" s="13">
        <v>3</v>
      </c>
      <c r="H177">
        <v>2</v>
      </c>
      <c r="I177">
        <v>2</v>
      </c>
      <c r="J177">
        <v>2</v>
      </c>
      <c r="K177" s="6">
        <v>0.58333333333333337</v>
      </c>
      <c r="L177" s="6">
        <v>0.84722222222222221</v>
      </c>
      <c r="M177">
        <v>48</v>
      </c>
      <c r="N177">
        <v>0</v>
      </c>
      <c r="O177">
        <v>0</v>
      </c>
      <c r="P177">
        <v>1</v>
      </c>
      <c r="Q177">
        <v>3</v>
      </c>
      <c r="R177">
        <v>2</v>
      </c>
      <c r="S177">
        <v>0</v>
      </c>
      <c r="T177">
        <v>0</v>
      </c>
      <c r="U177">
        <v>0</v>
      </c>
      <c r="V177">
        <v>1</v>
      </c>
      <c r="W177" t="s">
        <v>35</v>
      </c>
      <c r="X177" t="s">
        <v>49</v>
      </c>
      <c r="Y177">
        <v>0</v>
      </c>
      <c r="Z177">
        <v>0</v>
      </c>
      <c r="AA177">
        <v>180</v>
      </c>
      <c r="AB177">
        <v>7</v>
      </c>
      <c r="AC177">
        <v>2</v>
      </c>
      <c r="AD177">
        <v>0</v>
      </c>
      <c r="AE177">
        <v>0</v>
      </c>
      <c r="AF177">
        <v>0</v>
      </c>
      <c r="AG177">
        <v>0</v>
      </c>
      <c r="AJ177">
        <v>0</v>
      </c>
      <c r="AK177">
        <v>0</v>
      </c>
      <c r="AL177">
        <v>120</v>
      </c>
      <c r="AM177">
        <v>3</v>
      </c>
      <c r="AN177">
        <v>1</v>
      </c>
      <c r="AO177">
        <v>0</v>
      </c>
      <c r="AP177">
        <v>0</v>
      </c>
      <c r="AQ177">
        <v>0</v>
      </c>
      <c r="AR177">
        <v>0</v>
      </c>
      <c r="AU177">
        <v>0</v>
      </c>
      <c r="AV177">
        <v>2</v>
      </c>
      <c r="AW177">
        <v>60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</row>
    <row r="178" spans="1:55" x14ac:dyDescent="0.2">
      <c r="A178">
        <v>176</v>
      </c>
      <c r="B178">
        <v>55</v>
      </c>
      <c r="C178">
        <v>0</v>
      </c>
      <c r="D178">
        <v>131.69999999999999</v>
      </c>
      <c r="E178">
        <v>1.71</v>
      </c>
      <c r="F178" s="5">
        <f t="shared" si="3"/>
        <v>45.039499333128141</v>
      </c>
      <c r="G178" s="13">
        <v>3</v>
      </c>
      <c r="H178">
        <v>2</v>
      </c>
      <c r="I178">
        <v>2</v>
      </c>
      <c r="J178">
        <v>2</v>
      </c>
      <c r="K178" s="6">
        <v>0.53472222222222221</v>
      </c>
      <c r="L178" s="6">
        <v>0.76041666666666663</v>
      </c>
      <c r="M178">
        <v>47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</row>
    <row r="179" spans="1:55" x14ac:dyDescent="0.2">
      <c r="A179">
        <v>177</v>
      </c>
      <c r="B179">
        <v>46</v>
      </c>
      <c r="C179">
        <v>0</v>
      </c>
      <c r="D179">
        <v>147.19999999999999</v>
      </c>
      <c r="E179">
        <v>1.65</v>
      </c>
      <c r="F179" s="5">
        <f t="shared" si="3"/>
        <v>54.067952249770435</v>
      </c>
      <c r="G179" s="13">
        <v>1</v>
      </c>
      <c r="H179">
        <v>2</v>
      </c>
      <c r="I179">
        <v>1</v>
      </c>
      <c r="J179">
        <v>1</v>
      </c>
      <c r="K179">
        <v>12.5</v>
      </c>
      <c r="L179" s="6">
        <v>0.77708333333333324</v>
      </c>
      <c r="M179">
        <v>40</v>
      </c>
      <c r="N179">
        <v>0</v>
      </c>
      <c r="O179">
        <v>0</v>
      </c>
      <c r="P179">
        <v>1</v>
      </c>
      <c r="Q179">
        <v>3</v>
      </c>
      <c r="R179">
        <v>2</v>
      </c>
      <c r="S179">
        <v>0</v>
      </c>
      <c r="T179">
        <v>0</v>
      </c>
      <c r="U179">
        <v>0</v>
      </c>
      <c r="V179">
        <v>1</v>
      </c>
      <c r="W179" t="s">
        <v>53</v>
      </c>
      <c r="X179" t="s">
        <v>30</v>
      </c>
      <c r="Y179">
        <v>0</v>
      </c>
      <c r="Z179">
        <v>0</v>
      </c>
      <c r="AA179">
        <v>180</v>
      </c>
      <c r="AB179">
        <v>6</v>
      </c>
      <c r="AC179">
        <v>3</v>
      </c>
      <c r="AD179">
        <v>0</v>
      </c>
      <c r="AE179">
        <v>0</v>
      </c>
      <c r="AF179">
        <v>0</v>
      </c>
      <c r="AG179">
        <v>0</v>
      </c>
      <c r="AJ179">
        <v>0</v>
      </c>
      <c r="AK179">
        <v>0</v>
      </c>
      <c r="AL179">
        <v>300</v>
      </c>
      <c r="AM179">
        <v>2</v>
      </c>
      <c r="AN179">
        <v>1</v>
      </c>
      <c r="AO179">
        <v>0</v>
      </c>
      <c r="AP179">
        <v>0</v>
      </c>
      <c r="AQ179">
        <v>0</v>
      </c>
      <c r="AR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</row>
    <row r="180" spans="1:55" x14ac:dyDescent="0.2">
      <c r="A180">
        <v>178</v>
      </c>
      <c r="B180">
        <v>34</v>
      </c>
      <c r="C180">
        <v>0</v>
      </c>
      <c r="D180">
        <v>82.7</v>
      </c>
      <c r="E180">
        <v>1.64</v>
      </c>
      <c r="F180" s="5">
        <f t="shared" si="3"/>
        <v>30.748066627007741</v>
      </c>
      <c r="G180" s="13">
        <v>3</v>
      </c>
      <c r="H180">
        <v>2</v>
      </c>
      <c r="I180">
        <v>2</v>
      </c>
      <c r="J180">
        <v>2</v>
      </c>
      <c r="K180" s="6">
        <v>0.54861111111111105</v>
      </c>
      <c r="L180" s="6">
        <v>0.90972222222222221</v>
      </c>
      <c r="M180">
        <v>68</v>
      </c>
      <c r="N180">
        <v>0</v>
      </c>
      <c r="O180">
        <v>0</v>
      </c>
      <c r="P180">
        <v>1</v>
      </c>
      <c r="Q180">
        <v>3</v>
      </c>
      <c r="R180">
        <v>1</v>
      </c>
      <c r="S180">
        <v>0</v>
      </c>
      <c r="T180">
        <v>0</v>
      </c>
      <c r="U180">
        <v>0</v>
      </c>
      <c r="V180">
        <v>1</v>
      </c>
      <c r="W180" t="s">
        <v>35</v>
      </c>
      <c r="X180" t="s">
        <v>49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</row>
    <row r="181" spans="1:55" x14ac:dyDescent="0.2">
      <c r="A181">
        <v>179</v>
      </c>
      <c r="B181">
        <v>33</v>
      </c>
      <c r="C181">
        <v>0</v>
      </c>
      <c r="D181">
        <v>105.5</v>
      </c>
      <c r="E181">
        <v>1.62</v>
      </c>
      <c r="F181" s="5">
        <f t="shared" si="3"/>
        <v>40.199664685261382</v>
      </c>
      <c r="G181" s="13">
        <v>1</v>
      </c>
      <c r="H181">
        <v>2</v>
      </c>
      <c r="I181">
        <v>1</v>
      </c>
      <c r="J181">
        <v>1</v>
      </c>
      <c r="K181" s="6">
        <v>0.54861111111111105</v>
      </c>
      <c r="L181" s="6">
        <v>0.91041666666666676</v>
      </c>
      <c r="M181">
        <v>44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Y181">
        <v>0</v>
      </c>
      <c r="Z181">
        <v>0</v>
      </c>
      <c r="AA181">
        <v>180</v>
      </c>
      <c r="AB181">
        <v>4</v>
      </c>
      <c r="AC181">
        <v>1</v>
      </c>
      <c r="AD181">
        <v>0</v>
      </c>
      <c r="AE181">
        <v>0</v>
      </c>
      <c r="AF181">
        <v>0</v>
      </c>
      <c r="AG181">
        <v>0</v>
      </c>
      <c r="AJ181">
        <v>0</v>
      </c>
      <c r="AK181">
        <v>0</v>
      </c>
      <c r="AL181">
        <v>180</v>
      </c>
      <c r="AM181">
        <v>4</v>
      </c>
      <c r="AN181">
        <v>1</v>
      </c>
      <c r="AO181">
        <v>0</v>
      </c>
      <c r="AP181">
        <v>0</v>
      </c>
      <c r="AQ181">
        <v>0</v>
      </c>
      <c r="AR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</row>
    <row r="182" spans="1:55" x14ac:dyDescent="0.2">
      <c r="A182">
        <v>180</v>
      </c>
      <c r="B182">
        <v>44</v>
      </c>
      <c r="C182">
        <v>0</v>
      </c>
      <c r="D182">
        <v>102</v>
      </c>
      <c r="E182">
        <v>1.82</v>
      </c>
      <c r="F182" s="5">
        <f t="shared" si="3"/>
        <v>30.793382441734089</v>
      </c>
      <c r="G182" s="13">
        <v>2</v>
      </c>
      <c r="H182">
        <v>2</v>
      </c>
      <c r="I182">
        <v>2</v>
      </c>
      <c r="J182">
        <v>2</v>
      </c>
      <c r="K182" s="6">
        <v>0.5</v>
      </c>
      <c r="L182" s="6">
        <v>0.5625</v>
      </c>
      <c r="M182">
        <v>30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</row>
    <row r="183" spans="1:55" x14ac:dyDescent="0.2">
      <c r="A183">
        <v>181</v>
      </c>
      <c r="B183">
        <v>45</v>
      </c>
      <c r="C183">
        <v>0</v>
      </c>
      <c r="D183">
        <v>100.7</v>
      </c>
      <c r="E183">
        <v>1.74</v>
      </c>
      <c r="F183" s="5">
        <f t="shared" si="3"/>
        <v>33.260668516316557</v>
      </c>
      <c r="G183" s="13">
        <v>1</v>
      </c>
      <c r="H183">
        <v>1</v>
      </c>
      <c r="I183">
        <v>1</v>
      </c>
      <c r="J183">
        <v>1</v>
      </c>
      <c r="K183" s="6">
        <v>0.5</v>
      </c>
      <c r="L183" s="6">
        <v>0.63194444444444442</v>
      </c>
      <c r="M183">
        <v>50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t="s">
        <v>31</v>
      </c>
      <c r="X183" t="s">
        <v>33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</row>
    <row r="184" spans="1:55" x14ac:dyDescent="0.2">
      <c r="A184">
        <v>182</v>
      </c>
      <c r="B184">
        <v>45</v>
      </c>
      <c r="C184">
        <v>0</v>
      </c>
      <c r="D184">
        <v>97.1</v>
      </c>
      <c r="E184">
        <v>1.66</v>
      </c>
      <c r="F184" s="5">
        <f t="shared" si="3"/>
        <v>35.237334881695453</v>
      </c>
      <c r="G184" s="13">
        <v>1</v>
      </c>
      <c r="H184">
        <v>2</v>
      </c>
      <c r="I184">
        <v>2</v>
      </c>
      <c r="J184">
        <v>2</v>
      </c>
      <c r="K184" s="6">
        <v>0.5</v>
      </c>
      <c r="L184" s="6">
        <v>0.73263888888888884</v>
      </c>
      <c r="M184">
        <v>38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</row>
    <row r="185" spans="1:55" x14ac:dyDescent="0.2">
      <c r="A185">
        <v>183</v>
      </c>
      <c r="B185">
        <v>28</v>
      </c>
      <c r="C185">
        <v>0</v>
      </c>
      <c r="D185">
        <v>104.6</v>
      </c>
      <c r="E185">
        <v>1.63</v>
      </c>
      <c r="F185" s="5">
        <f t="shared" si="3"/>
        <v>39.3691896571192</v>
      </c>
      <c r="G185" s="13">
        <v>3</v>
      </c>
      <c r="H185">
        <v>1</v>
      </c>
      <c r="I185">
        <v>1</v>
      </c>
      <c r="J185">
        <v>1</v>
      </c>
      <c r="K185" s="6">
        <v>0.5</v>
      </c>
      <c r="L185" s="6">
        <v>0.56805555555555554</v>
      </c>
      <c r="M185">
        <v>47</v>
      </c>
      <c r="N185">
        <v>0</v>
      </c>
      <c r="O185">
        <v>0</v>
      </c>
      <c r="P185">
        <v>1</v>
      </c>
      <c r="Q185">
        <v>2</v>
      </c>
      <c r="R185">
        <v>1</v>
      </c>
      <c r="S185">
        <v>0</v>
      </c>
      <c r="T185">
        <v>0</v>
      </c>
      <c r="U185">
        <v>0</v>
      </c>
      <c r="V185">
        <v>1</v>
      </c>
      <c r="W185" t="s">
        <v>29</v>
      </c>
      <c r="X185" t="s">
        <v>30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</row>
    <row r="186" spans="1:55" x14ac:dyDescent="0.2">
      <c r="A186">
        <v>184</v>
      </c>
      <c r="B186">
        <v>34</v>
      </c>
      <c r="C186">
        <v>0</v>
      </c>
      <c r="D186">
        <v>114</v>
      </c>
      <c r="E186">
        <v>1.67</v>
      </c>
      <c r="F186" s="5">
        <f t="shared" si="3"/>
        <v>40.876331169995339</v>
      </c>
      <c r="G186" s="13">
        <v>1</v>
      </c>
      <c r="H186">
        <v>2</v>
      </c>
      <c r="I186">
        <v>2</v>
      </c>
      <c r="J186">
        <v>2</v>
      </c>
      <c r="K186" s="6">
        <v>0.5</v>
      </c>
      <c r="L186" s="6">
        <v>0.57500000000000007</v>
      </c>
      <c r="M186">
        <v>27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</row>
    <row r="187" spans="1:55" x14ac:dyDescent="0.2">
      <c r="A187">
        <v>185</v>
      </c>
      <c r="B187">
        <v>44</v>
      </c>
      <c r="C187">
        <v>0</v>
      </c>
      <c r="D187">
        <v>90.7</v>
      </c>
      <c r="E187">
        <v>1.67</v>
      </c>
      <c r="F187" s="5">
        <f t="shared" si="3"/>
        <v>32.521782781741905</v>
      </c>
      <c r="G187" s="13">
        <v>3</v>
      </c>
      <c r="H187">
        <v>2</v>
      </c>
      <c r="I187">
        <v>2</v>
      </c>
      <c r="J187">
        <v>2</v>
      </c>
      <c r="K187" s="6">
        <v>0.5</v>
      </c>
      <c r="L187" s="6">
        <v>0.61944444444444446</v>
      </c>
      <c r="M187">
        <v>67</v>
      </c>
      <c r="N187">
        <v>0</v>
      </c>
      <c r="O187">
        <v>0</v>
      </c>
      <c r="P187">
        <v>1</v>
      </c>
      <c r="Q187">
        <v>3</v>
      </c>
      <c r="R187">
        <v>2</v>
      </c>
      <c r="S187">
        <v>0</v>
      </c>
      <c r="T187">
        <v>0</v>
      </c>
      <c r="U187">
        <v>0</v>
      </c>
      <c r="V187">
        <v>1</v>
      </c>
      <c r="W187" t="s">
        <v>65</v>
      </c>
      <c r="X187" t="s">
        <v>49</v>
      </c>
      <c r="Y187">
        <v>0</v>
      </c>
      <c r="Z187">
        <v>0</v>
      </c>
      <c r="AA187">
        <v>120</v>
      </c>
      <c r="AB187">
        <v>3</v>
      </c>
      <c r="AC187">
        <v>1</v>
      </c>
      <c r="AD187">
        <v>0</v>
      </c>
      <c r="AE187">
        <v>0</v>
      </c>
      <c r="AF187">
        <v>0</v>
      </c>
      <c r="AG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</row>
    <row r="188" spans="1:55" x14ac:dyDescent="0.2">
      <c r="A188">
        <v>186</v>
      </c>
      <c r="B188">
        <v>44</v>
      </c>
      <c r="C188">
        <v>0</v>
      </c>
      <c r="D188">
        <v>105.6</v>
      </c>
      <c r="E188">
        <v>1.71</v>
      </c>
      <c r="F188" s="5">
        <f t="shared" si="3"/>
        <v>36.11367600287268</v>
      </c>
      <c r="G188" s="13">
        <v>2</v>
      </c>
      <c r="H188">
        <v>2</v>
      </c>
      <c r="I188">
        <v>2</v>
      </c>
      <c r="J188">
        <v>2</v>
      </c>
      <c r="K188" s="6">
        <v>0.50694444444444442</v>
      </c>
      <c r="L188" s="6">
        <v>0.625</v>
      </c>
      <c r="M188">
        <v>50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</row>
    <row r="189" spans="1:55" x14ac:dyDescent="0.2">
      <c r="A189">
        <v>187</v>
      </c>
      <c r="B189">
        <v>30</v>
      </c>
      <c r="C189">
        <v>0</v>
      </c>
      <c r="D189">
        <v>83.6</v>
      </c>
      <c r="E189">
        <v>1.64</v>
      </c>
      <c r="F189" s="5">
        <f t="shared" si="3"/>
        <v>31.082688875669248</v>
      </c>
      <c r="G189" s="13">
        <v>1</v>
      </c>
      <c r="H189">
        <v>1</v>
      </c>
      <c r="I189">
        <v>1</v>
      </c>
      <c r="J189">
        <v>1</v>
      </c>
      <c r="K189" s="6">
        <v>0.50694444444444442</v>
      </c>
      <c r="L189" s="6">
        <v>0.67361111111111116</v>
      </c>
      <c r="M189">
        <v>30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</row>
    <row r="190" spans="1:55" x14ac:dyDescent="0.2">
      <c r="A190">
        <v>188</v>
      </c>
      <c r="B190">
        <v>29</v>
      </c>
      <c r="C190">
        <v>0</v>
      </c>
      <c r="D190">
        <v>161.30000000000001</v>
      </c>
      <c r="E190">
        <v>1.66</v>
      </c>
      <c r="F190" s="5">
        <f t="shared" si="3"/>
        <v>58.535346204093493</v>
      </c>
      <c r="G190" s="13">
        <v>3</v>
      </c>
      <c r="H190">
        <v>2</v>
      </c>
      <c r="I190">
        <v>2</v>
      </c>
      <c r="J190">
        <v>2</v>
      </c>
      <c r="K190" s="6">
        <v>0.5</v>
      </c>
      <c r="L190" s="6">
        <v>0.68680555555555556</v>
      </c>
      <c r="M190">
        <v>35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Y190">
        <v>0</v>
      </c>
      <c r="Z190">
        <v>0</v>
      </c>
      <c r="AA190">
        <v>120</v>
      </c>
      <c r="AB190">
        <v>3</v>
      </c>
      <c r="AC190">
        <v>1</v>
      </c>
      <c r="AD190">
        <v>0</v>
      </c>
      <c r="AE190">
        <v>0</v>
      </c>
      <c r="AF190">
        <v>0</v>
      </c>
      <c r="AG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</row>
    <row r="191" spans="1:55" x14ac:dyDescent="0.2">
      <c r="A191">
        <v>189</v>
      </c>
      <c r="B191">
        <v>43</v>
      </c>
      <c r="C191">
        <v>0</v>
      </c>
      <c r="D191">
        <v>125.2</v>
      </c>
      <c r="E191">
        <v>1.76</v>
      </c>
      <c r="F191" s="5">
        <f t="shared" si="3"/>
        <v>40.418388429752071</v>
      </c>
      <c r="G191" s="13">
        <v>3</v>
      </c>
      <c r="H191">
        <v>2</v>
      </c>
      <c r="I191">
        <v>1</v>
      </c>
      <c r="J191">
        <v>1</v>
      </c>
      <c r="K191" s="6">
        <v>0.51041666666666663</v>
      </c>
      <c r="L191" s="6">
        <v>0.67361111111111116</v>
      </c>
      <c r="M191">
        <v>34</v>
      </c>
      <c r="N191">
        <v>0</v>
      </c>
      <c r="O191">
        <v>0</v>
      </c>
      <c r="P191">
        <v>1</v>
      </c>
      <c r="Q191">
        <v>3</v>
      </c>
      <c r="R191">
        <v>2</v>
      </c>
      <c r="S191">
        <v>0</v>
      </c>
      <c r="T191">
        <v>0</v>
      </c>
      <c r="U191">
        <v>0</v>
      </c>
      <c r="V191">
        <v>1</v>
      </c>
      <c r="W191" t="s">
        <v>65</v>
      </c>
      <c r="X191" t="s">
        <v>49</v>
      </c>
      <c r="Y191">
        <v>0</v>
      </c>
      <c r="Z191">
        <v>0</v>
      </c>
      <c r="AA191">
        <v>180</v>
      </c>
      <c r="AB191">
        <v>1</v>
      </c>
      <c r="AC191">
        <v>1</v>
      </c>
      <c r="AD191">
        <v>0</v>
      </c>
      <c r="AE191">
        <v>0</v>
      </c>
      <c r="AF191">
        <v>0</v>
      </c>
      <c r="AG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</row>
    <row r="192" spans="1:55" x14ac:dyDescent="0.2">
      <c r="A192">
        <v>190</v>
      </c>
      <c r="B192">
        <v>49</v>
      </c>
      <c r="C192">
        <v>0</v>
      </c>
      <c r="D192">
        <v>146.9</v>
      </c>
      <c r="E192">
        <v>1.66</v>
      </c>
      <c r="F192" s="5">
        <f t="shared" si="3"/>
        <v>53.309624038321971</v>
      </c>
      <c r="G192" s="13">
        <v>3</v>
      </c>
      <c r="H192">
        <v>3</v>
      </c>
      <c r="I192">
        <v>2</v>
      </c>
      <c r="J192">
        <v>2</v>
      </c>
      <c r="K192" s="6">
        <v>0.54166666666666663</v>
      </c>
      <c r="L192" s="6">
        <v>0.75694444444444453</v>
      </c>
      <c r="M192">
        <v>68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</row>
    <row r="193" spans="1:57" x14ac:dyDescent="0.2">
      <c r="A193">
        <v>191</v>
      </c>
      <c r="B193">
        <v>34</v>
      </c>
      <c r="C193">
        <v>0</v>
      </c>
      <c r="D193">
        <v>185.2</v>
      </c>
      <c r="E193">
        <v>1.87</v>
      </c>
      <c r="F193" s="5">
        <f t="shared" si="3"/>
        <v>52.961194200577644</v>
      </c>
      <c r="G193" s="13">
        <v>3</v>
      </c>
      <c r="H193">
        <v>3</v>
      </c>
      <c r="I193">
        <v>1</v>
      </c>
      <c r="J193">
        <v>1</v>
      </c>
      <c r="K193" s="6">
        <v>0.54166666666666663</v>
      </c>
      <c r="L193" s="6">
        <v>0.70624999999999993</v>
      </c>
      <c r="M193">
        <v>56</v>
      </c>
      <c r="N193">
        <v>0</v>
      </c>
      <c r="O193">
        <v>0</v>
      </c>
      <c r="P193">
        <v>1</v>
      </c>
      <c r="Q193">
        <v>3</v>
      </c>
      <c r="R193">
        <v>2</v>
      </c>
      <c r="S193">
        <v>0</v>
      </c>
      <c r="T193">
        <v>0</v>
      </c>
      <c r="U193">
        <v>0</v>
      </c>
      <c r="V193">
        <v>1</v>
      </c>
      <c r="W193" t="s">
        <v>65</v>
      </c>
      <c r="X193" t="s">
        <v>49</v>
      </c>
      <c r="Y193">
        <v>0</v>
      </c>
      <c r="Z193">
        <v>0</v>
      </c>
      <c r="AA193">
        <v>300</v>
      </c>
      <c r="AB193">
        <v>6</v>
      </c>
      <c r="AC193">
        <v>2</v>
      </c>
      <c r="AD193">
        <v>0</v>
      </c>
      <c r="AE193">
        <v>0</v>
      </c>
      <c r="AF193">
        <v>0</v>
      </c>
      <c r="AG193">
        <v>0</v>
      </c>
      <c r="AJ193">
        <v>0</v>
      </c>
      <c r="AK193">
        <v>0</v>
      </c>
      <c r="AL193">
        <v>30</v>
      </c>
      <c r="AM193">
        <v>1</v>
      </c>
      <c r="AN193">
        <v>1</v>
      </c>
      <c r="AO193">
        <v>0</v>
      </c>
      <c r="AP193">
        <v>0</v>
      </c>
      <c r="AQ193">
        <v>0</v>
      </c>
      <c r="AR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</row>
    <row r="194" spans="1:57" x14ac:dyDescent="0.2">
      <c r="A194">
        <v>192</v>
      </c>
      <c r="B194">
        <v>36</v>
      </c>
      <c r="C194">
        <v>0</v>
      </c>
      <c r="D194">
        <v>101.9</v>
      </c>
      <c r="E194">
        <v>1.69</v>
      </c>
      <c r="F194" s="5">
        <f t="shared" si="3"/>
        <v>35.678022478204554</v>
      </c>
      <c r="G194" s="13">
        <v>3</v>
      </c>
      <c r="H194">
        <v>2</v>
      </c>
      <c r="I194">
        <v>2</v>
      </c>
      <c r="J194">
        <v>2</v>
      </c>
      <c r="K194" s="6">
        <v>0.54166666666666663</v>
      </c>
      <c r="L194" s="6">
        <v>0.81944444444444453</v>
      </c>
      <c r="M194">
        <v>56</v>
      </c>
      <c r="N194">
        <v>0</v>
      </c>
      <c r="O194">
        <v>0</v>
      </c>
      <c r="P194">
        <v>1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1</v>
      </c>
      <c r="W194" t="s">
        <v>35</v>
      </c>
      <c r="X194" t="s">
        <v>49</v>
      </c>
      <c r="Y194">
        <v>0</v>
      </c>
      <c r="Z194">
        <v>0</v>
      </c>
      <c r="AA194">
        <v>120</v>
      </c>
      <c r="AB194">
        <v>1</v>
      </c>
      <c r="AC194">
        <v>1</v>
      </c>
      <c r="AD194">
        <v>0</v>
      </c>
      <c r="AE194">
        <v>0</v>
      </c>
      <c r="AF194">
        <v>0</v>
      </c>
      <c r="AG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</row>
    <row r="195" spans="1:57" x14ac:dyDescent="0.2">
      <c r="A195">
        <v>193</v>
      </c>
      <c r="B195">
        <v>40</v>
      </c>
      <c r="C195">
        <v>0</v>
      </c>
      <c r="D195">
        <v>119.9</v>
      </c>
      <c r="E195">
        <v>1.63</v>
      </c>
      <c r="F195" s="5">
        <f t="shared" si="3"/>
        <v>45.127780496066848</v>
      </c>
      <c r="G195" s="13">
        <v>1</v>
      </c>
      <c r="H195">
        <v>2</v>
      </c>
      <c r="I195">
        <v>1</v>
      </c>
      <c r="J195">
        <v>1</v>
      </c>
      <c r="K195" s="6">
        <v>0.60416666666666663</v>
      </c>
      <c r="L195" s="6">
        <v>0.82986111111111116</v>
      </c>
      <c r="M195">
        <v>40</v>
      </c>
      <c r="N195">
        <v>1</v>
      </c>
      <c r="O195">
        <v>1</v>
      </c>
      <c r="P195">
        <v>1</v>
      </c>
      <c r="Q195">
        <v>4</v>
      </c>
      <c r="R195">
        <v>1</v>
      </c>
      <c r="S195">
        <v>0</v>
      </c>
      <c r="T195">
        <v>0</v>
      </c>
      <c r="U195">
        <v>0</v>
      </c>
      <c r="V195">
        <v>1</v>
      </c>
      <c r="W195" t="s">
        <v>29</v>
      </c>
      <c r="X195" t="s">
        <v>30</v>
      </c>
      <c r="Y195">
        <v>0</v>
      </c>
      <c r="Z195">
        <v>0</v>
      </c>
      <c r="AA195">
        <v>180</v>
      </c>
      <c r="AB195">
        <v>4</v>
      </c>
      <c r="AC195">
        <v>2</v>
      </c>
      <c r="AD195">
        <v>0</v>
      </c>
      <c r="AE195">
        <v>0</v>
      </c>
      <c r="AF195">
        <v>0</v>
      </c>
      <c r="AG195">
        <v>0</v>
      </c>
      <c r="AJ195">
        <v>0</v>
      </c>
      <c r="AK195">
        <v>0</v>
      </c>
      <c r="AL195">
        <v>30</v>
      </c>
      <c r="AM195">
        <v>6</v>
      </c>
      <c r="AN195">
        <v>2</v>
      </c>
      <c r="AO195">
        <v>0</v>
      </c>
      <c r="AP195">
        <v>0</v>
      </c>
      <c r="AQ195">
        <v>0</v>
      </c>
      <c r="AR195">
        <v>0</v>
      </c>
      <c r="AU195">
        <v>0</v>
      </c>
      <c r="AV195">
        <v>0</v>
      </c>
      <c r="AW195">
        <v>30</v>
      </c>
      <c r="AX195">
        <v>4</v>
      </c>
      <c r="AY195">
        <v>1</v>
      </c>
      <c r="AZ195">
        <v>0</v>
      </c>
      <c r="BA195">
        <v>0</v>
      </c>
      <c r="BB195">
        <v>0</v>
      </c>
      <c r="BC195">
        <v>0</v>
      </c>
    </row>
    <row r="196" spans="1:57" x14ac:dyDescent="0.2">
      <c r="A196">
        <v>194</v>
      </c>
      <c r="B196">
        <v>50</v>
      </c>
      <c r="C196">
        <v>0</v>
      </c>
      <c r="D196">
        <v>101.8</v>
      </c>
      <c r="E196">
        <v>1.62</v>
      </c>
      <c r="F196" s="5">
        <f t="shared" si="3"/>
        <v>38.789818625209563</v>
      </c>
      <c r="G196" s="13">
        <v>1</v>
      </c>
      <c r="H196">
        <v>2</v>
      </c>
      <c r="I196">
        <v>2</v>
      </c>
      <c r="J196">
        <v>2</v>
      </c>
      <c r="K196" s="6">
        <v>0.60416666666666663</v>
      </c>
      <c r="L196">
        <v>21.05</v>
      </c>
      <c r="M196">
        <v>40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</row>
    <row r="197" spans="1:57" x14ac:dyDescent="0.2">
      <c r="A197">
        <v>195</v>
      </c>
      <c r="B197">
        <v>24</v>
      </c>
      <c r="C197">
        <v>0</v>
      </c>
      <c r="D197">
        <v>101.3</v>
      </c>
      <c r="E197">
        <v>1.51</v>
      </c>
      <c r="F197" s="5">
        <f t="shared" si="3"/>
        <v>44.427875970352176</v>
      </c>
      <c r="G197" s="13">
        <v>3</v>
      </c>
      <c r="H197">
        <v>2</v>
      </c>
      <c r="I197">
        <v>1</v>
      </c>
      <c r="J197">
        <v>1</v>
      </c>
      <c r="K197" s="6">
        <v>0.60416666666666663</v>
      </c>
      <c r="L197" s="6">
        <v>0.85625000000000007</v>
      </c>
      <c r="M197">
        <v>60</v>
      </c>
      <c r="N197">
        <v>0</v>
      </c>
      <c r="O197">
        <v>0</v>
      </c>
      <c r="P197">
        <v>1</v>
      </c>
      <c r="Q197">
        <v>4</v>
      </c>
      <c r="R197">
        <v>2</v>
      </c>
      <c r="S197">
        <v>0</v>
      </c>
      <c r="T197">
        <v>0</v>
      </c>
      <c r="U197">
        <v>0</v>
      </c>
      <c r="V197">
        <v>1</v>
      </c>
      <c r="W197" t="s">
        <v>29</v>
      </c>
      <c r="X197" t="s">
        <v>30</v>
      </c>
      <c r="Y197">
        <v>0</v>
      </c>
      <c r="Z197">
        <v>0</v>
      </c>
      <c r="AA197">
        <v>50</v>
      </c>
      <c r="AB197">
        <v>1</v>
      </c>
      <c r="AC197">
        <v>1</v>
      </c>
      <c r="AD197">
        <v>0</v>
      </c>
      <c r="AE197">
        <v>0</v>
      </c>
      <c r="AF197">
        <v>0</v>
      </c>
      <c r="AG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</row>
    <row r="198" spans="1:57" x14ac:dyDescent="0.2">
      <c r="A198">
        <v>196</v>
      </c>
      <c r="B198">
        <v>37</v>
      </c>
      <c r="C198">
        <v>0</v>
      </c>
      <c r="D198">
        <v>91.9</v>
      </c>
      <c r="E198">
        <v>1.66</v>
      </c>
      <c r="F198" s="5">
        <f t="shared" si="3"/>
        <v>33.350268544055744</v>
      </c>
      <c r="G198" s="13">
        <v>3</v>
      </c>
      <c r="H198">
        <v>1</v>
      </c>
      <c r="I198">
        <v>2</v>
      </c>
      <c r="J198">
        <v>2</v>
      </c>
      <c r="K198" s="6">
        <v>0.47222222222222227</v>
      </c>
      <c r="L198" s="6">
        <v>0.5756944444444444</v>
      </c>
      <c r="M198">
        <v>50</v>
      </c>
      <c r="N198">
        <v>0</v>
      </c>
      <c r="O198">
        <v>0</v>
      </c>
      <c r="P198">
        <v>1</v>
      </c>
      <c r="Q198">
        <v>3</v>
      </c>
      <c r="R198">
        <v>2</v>
      </c>
      <c r="S198">
        <v>0</v>
      </c>
      <c r="T198">
        <v>0</v>
      </c>
      <c r="U198">
        <v>0</v>
      </c>
      <c r="V198">
        <v>1</v>
      </c>
      <c r="W198" t="s">
        <v>35</v>
      </c>
      <c r="X198" t="s">
        <v>49</v>
      </c>
      <c r="Y198">
        <v>0</v>
      </c>
      <c r="Z198">
        <v>0</v>
      </c>
      <c r="AA198">
        <v>120</v>
      </c>
      <c r="AB198">
        <v>3</v>
      </c>
      <c r="AC198">
        <v>1</v>
      </c>
      <c r="AD198">
        <v>0</v>
      </c>
      <c r="AE198">
        <v>0</v>
      </c>
      <c r="AF198">
        <v>0</v>
      </c>
      <c r="AG198">
        <v>0</v>
      </c>
      <c r="AJ198">
        <v>0</v>
      </c>
      <c r="AK198">
        <v>0</v>
      </c>
      <c r="AL198">
        <v>120</v>
      </c>
      <c r="AM198">
        <v>3</v>
      </c>
      <c r="AN198">
        <v>1</v>
      </c>
      <c r="AO198">
        <v>0</v>
      </c>
      <c r="AP198">
        <v>0</v>
      </c>
      <c r="AQ198">
        <v>0</v>
      </c>
      <c r="AR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</row>
    <row r="199" spans="1:57" x14ac:dyDescent="0.2">
      <c r="A199">
        <v>197</v>
      </c>
      <c r="B199">
        <v>31</v>
      </c>
      <c r="C199">
        <v>0</v>
      </c>
      <c r="D199">
        <v>130.1</v>
      </c>
      <c r="E199">
        <v>1.66</v>
      </c>
      <c r="F199" s="5">
        <f t="shared" si="3"/>
        <v>47.212948178255189</v>
      </c>
      <c r="G199" s="13">
        <v>1</v>
      </c>
      <c r="H199">
        <v>2</v>
      </c>
      <c r="I199">
        <v>1</v>
      </c>
      <c r="J199">
        <v>1</v>
      </c>
      <c r="K199" s="6">
        <v>0.47222222222222227</v>
      </c>
      <c r="L199" s="6">
        <v>0.71111111111111114</v>
      </c>
      <c r="M199">
        <v>32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</row>
    <row r="200" spans="1:57" x14ac:dyDescent="0.2">
      <c r="A200">
        <v>198</v>
      </c>
      <c r="B200">
        <v>44</v>
      </c>
      <c r="C200">
        <v>0</v>
      </c>
      <c r="D200">
        <v>99.9</v>
      </c>
      <c r="E200">
        <v>1.73</v>
      </c>
      <c r="F200" s="5">
        <f t="shared" si="3"/>
        <v>33.378996959470747</v>
      </c>
      <c r="G200" s="13">
        <v>3</v>
      </c>
      <c r="H200">
        <v>1</v>
      </c>
      <c r="I200">
        <v>2</v>
      </c>
      <c r="J200">
        <v>2</v>
      </c>
      <c r="K200" s="6">
        <v>0.47222222222222227</v>
      </c>
      <c r="L200">
        <v>14.51</v>
      </c>
      <c r="M200">
        <v>50</v>
      </c>
      <c r="N200">
        <v>0</v>
      </c>
      <c r="O200">
        <v>0</v>
      </c>
      <c r="P200">
        <v>1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1</v>
      </c>
      <c r="W200" t="s">
        <v>35</v>
      </c>
      <c r="X200" t="s">
        <v>49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</row>
    <row r="201" spans="1:57" x14ac:dyDescent="0.2">
      <c r="A201">
        <v>199</v>
      </c>
      <c r="B201">
        <v>27</v>
      </c>
      <c r="C201">
        <v>0</v>
      </c>
      <c r="D201">
        <v>115.9</v>
      </c>
      <c r="E201">
        <v>1.8</v>
      </c>
      <c r="F201" s="5">
        <f t="shared" si="3"/>
        <v>35.771604938271601</v>
      </c>
      <c r="G201" s="13">
        <v>2</v>
      </c>
      <c r="H201">
        <v>2</v>
      </c>
      <c r="I201">
        <v>1</v>
      </c>
      <c r="J201">
        <v>1</v>
      </c>
      <c r="K201" s="6">
        <v>0.4826388888888889</v>
      </c>
      <c r="L201" s="6">
        <v>0.6875</v>
      </c>
      <c r="M201">
        <v>30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Y201">
        <v>7</v>
      </c>
      <c r="Z201">
        <v>4</v>
      </c>
      <c r="AA201">
        <v>360</v>
      </c>
      <c r="AB201">
        <v>6</v>
      </c>
      <c r="AC201">
        <v>4</v>
      </c>
      <c r="AD201">
        <v>3</v>
      </c>
      <c r="AE201">
        <v>1</v>
      </c>
      <c r="AF201">
        <v>3</v>
      </c>
      <c r="AG201">
        <v>1</v>
      </c>
      <c r="AH201" t="s">
        <v>66</v>
      </c>
      <c r="AI201" t="s">
        <v>30</v>
      </c>
      <c r="AJ201">
        <v>3</v>
      </c>
      <c r="AK201">
        <v>3</v>
      </c>
      <c r="AL201">
        <v>180</v>
      </c>
      <c r="AM201">
        <v>4</v>
      </c>
      <c r="AN201">
        <v>2</v>
      </c>
      <c r="AO201">
        <v>4</v>
      </c>
      <c r="AP201">
        <v>1</v>
      </c>
      <c r="AQ201">
        <v>2</v>
      </c>
      <c r="AR201">
        <v>1</v>
      </c>
      <c r="AS201" t="s">
        <v>29</v>
      </c>
      <c r="AT201" t="s">
        <v>30</v>
      </c>
      <c r="AU201">
        <v>2</v>
      </c>
      <c r="AV201">
        <v>2</v>
      </c>
      <c r="AW201">
        <v>120</v>
      </c>
      <c r="AX201">
        <v>4</v>
      </c>
      <c r="AY201">
        <v>2</v>
      </c>
      <c r="AZ201">
        <v>0</v>
      </c>
      <c r="BA201">
        <v>0</v>
      </c>
      <c r="BB201">
        <v>0</v>
      </c>
      <c r="BC201">
        <v>0</v>
      </c>
    </row>
    <row r="202" spans="1:57" x14ac:dyDescent="0.2">
      <c r="A202">
        <v>200</v>
      </c>
      <c r="B202">
        <v>29</v>
      </c>
      <c r="C202">
        <v>0</v>
      </c>
      <c r="D202">
        <v>115.9</v>
      </c>
      <c r="E202">
        <v>1.8</v>
      </c>
      <c r="F202" s="5">
        <f t="shared" si="3"/>
        <v>35.771604938271601</v>
      </c>
      <c r="G202" s="13">
        <v>3</v>
      </c>
      <c r="H202">
        <v>2</v>
      </c>
      <c r="I202">
        <v>2</v>
      </c>
      <c r="J202">
        <v>2</v>
      </c>
      <c r="K202" s="6">
        <v>0.4826388888888889</v>
      </c>
      <c r="L202" s="6">
        <v>0.66666666666666663</v>
      </c>
      <c r="M202">
        <v>50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</row>
    <row r="203" spans="1:57" x14ac:dyDescent="0.2">
      <c r="A203">
        <v>201</v>
      </c>
      <c r="B203">
        <v>39</v>
      </c>
      <c r="C203">
        <v>0</v>
      </c>
      <c r="D203">
        <v>139.30000000000001</v>
      </c>
      <c r="E203">
        <v>1.6</v>
      </c>
      <c r="F203" s="5">
        <f t="shared" si="3"/>
        <v>54.414062499999993</v>
      </c>
      <c r="G203" s="13">
        <v>2</v>
      </c>
      <c r="H203">
        <v>3</v>
      </c>
      <c r="I203">
        <v>1</v>
      </c>
      <c r="J203">
        <v>1</v>
      </c>
      <c r="K203" s="6">
        <v>0.47569444444444442</v>
      </c>
      <c r="L203" s="6">
        <v>0.61111111111111105</v>
      </c>
      <c r="M203">
        <v>30</v>
      </c>
      <c r="N203">
        <v>2</v>
      </c>
      <c r="O203">
        <v>3</v>
      </c>
      <c r="P203">
        <v>1</v>
      </c>
      <c r="Q203">
        <v>4</v>
      </c>
      <c r="R203">
        <v>2</v>
      </c>
      <c r="S203">
        <v>4</v>
      </c>
      <c r="T203">
        <v>1</v>
      </c>
      <c r="U203">
        <v>2</v>
      </c>
      <c r="V203">
        <v>1</v>
      </c>
      <c r="W203" t="s">
        <v>67</v>
      </c>
      <c r="X203" t="s">
        <v>68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</row>
    <row r="204" spans="1:57" x14ac:dyDescent="0.2">
      <c r="A204">
        <v>202</v>
      </c>
      <c r="B204">
        <v>38</v>
      </c>
      <c r="C204">
        <v>0</v>
      </c>
      <c r="D204">
        <v>101.8</v>
      </c>
      <c r="E204">
        <v>1.69</v>
      </c>
      <c r="F204" s="5">
        <f t="shared" si="3"/>
        <v>35.64300969853997</v>
      </c>
      <c r="G204" s="13">
        <v>1</v>
      </c>
      <c r="H204">
        <v>2</v>
      </c>
      <c r="I204">
        <v>2</v>
      </c>
      <c r="J204">
        <v>2</v>
      </c>
      <c r="K204" s="6">
        <v>0.4826388888888889</v>
      </c>
      <c r="L204" s="6">
        <v>0.625</v>
      </c>
      <c r="M204">
        <v>35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Y204">
        <v>2</v>
      </c>
      <c r="Z204">
        <v>1</v>
      </c>
      <c r="AA204">
        <v>120</v>
      </c>
      <c r="AB204">
        <v>5</v>
      </c>
      <c r="AC204">
        <v>1</v>
      </c>
      <c r="AD204">
        <v>0</v>
      </c>
      <c r="AE204">
        <v>0</v>
      </c>
      <c r="AF204">
        <v>0</v>
      </c>
      <c r="AG204">
        <v>0</v>
      </c>
      <c r="AJ204">
        <v>0</v>
      </c>
      <c r="AK204">
        <v>0</v>
      </c>
      <c r="AL204">
        <v>180</v>
      </c>
      <c r="AM204">
        <v>3</v>
      </c>
      <c r="AN204">
        <v>2</v>
      </c>
      <c r="AO204">
        <v>0</v>
      </c>
      <c r="AP204">
        <v>0</v>
      </c>
      <c r="AQ204">
        <v>0</v>
      </c>
      <c r="AR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</row>
    <row r="205" spans="1:57" x14ac:dyDescent="0.2">
      <c r="A205">
        <v>203</v>
      </c>
      <c r="B205">
        <v>44</v>
      </c>
      <c r="C205">
        <v>0</v>
      </c>
      <c r="D205">
        <v>83.6</v>
      </c>
      <c r="E205">
        <v>1.73</v>
      </c>
      <c r="F205" s="5">
        <f t="shared" si="3"/>
        <v>27.932774232349892</v>
      </c>
      <c r="G205" s="13">
        <v>2</v>
      </c>
      <c r="H205">
        <v>2</v>
      </c>
      <c r="I205">
        <v>1</v>
      </c>
      <c r="J205">
        <v>1</v>
      </c>
      <c r="K205" s="6">
        <v>0.4861111111111111</v>
      </c>
      <c r="L205" s="6">
        <v>0.64583333333333337</v>
      </c>
      <c r="M205">
        <v>40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J205">
        <v>2</v>
      </c>
      <c r="AK205">
        <v>1</v>
      </c>
      <c r="AL205">
        <v>120</v>
      </c>
      <c r="AM205">
        <v>4</v>
      </c>
      <c r="AN205">
        <v>1</v>
      </c>
      <c r="AO205">
        <v>0</v>
      </c>
      <c r="AP205">
        <v>0</v>
      </c>
      <c r="AQ205">
        <v>0</v>
      </c>
      <c r="AR205">
        <v>1</v>
      </c>
      <c r="AS205" t="s">
        <v>29</v>
      </c>
      <c r="AT205" t="s">
        <v>30</v>
      </c>
      <c r="AU205">
        <v>0</v>
      </c>
      <c r="AV205">
        <v>0</v>
      </c>
      <c r="AW205">
        <v>180</v>
      </c>
      <c r="AX205">
        <v>6</v>
      </c>
      <c r="AY205">
        <v>2</v>
      </c>
      <c r="AZ205">
        <v>0</v>
      </c>
      <c r="BA205">
        <v>0</v>
      </c>
      <c r="BB205">
        <v>0</v>
      </c>
      <c r="BC205">
        <v>1</v>
      </c>
      <c r="BD205" t="s">
        <v>29</v>
      </c>
      <c r="BE205" t="s">
        <v>30</v>
      </c>
    </row>
    <row r="206" spans="1:57" x14ac:dyDescent="0.2">
      <c r="A206">
        <v>204</v>
      </c>
      <c r="B206">
        <v>47</v>
      </c>
      <c r="C206">
        <v>0</v>
      </c>
      <c r="D206">
        <v>90.1</v>
      </c>
      <c r="E206">
        <v>1.66</v>
      </c>
      <c r="F206" s="5">
        <f t="shared" si="3"/>
        <v>32.697053273334298</v>
      </c>
      <c r="G206" s="13">
        <v>1</v>
      </c>
      <c r="H206">
        <v>2</v>
      </c>
      <c r="I206">
        <v>2</v>
      </c>
      <c r="J206">
        <v>2</v>
      </c>
      <c r="K206" s="6">
        <v>0.4861111111111111</v>
      </c>
      <c r="L206" s="6">
        <v>0.66666666666666663</v>
      </c>
      <c r="M206">
        <v>32</v>
      </c>
      <c r="N206">
        <v>0</v>
      </c>
      <c r="O206">
        <v>0</v>
      </c>
      <c r="P206">
        <v>1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1</v>
      </c>
      <c r="W206" t="s">
        <v>29</v>
      </c>
      <c r="X206" t="s">
        <v>30</v>
      </c>
      <c r="Y206">
        <v>2</v>
      </c>
      <c r="Z206">
        <v>2</v>
      </c>
      <c r="AA206">
        <v>180</v>
      </c>
      <c r="AB206">
        <v>5</v>
      </c>
      <c r="AC206">
        <v>2</v>
      </c>
      <c r="AD206">
        <v>0</v>
      </c>
      <c r="AE206">
        <v>0</v>
      </c>
      <c r="AF206">
        <v>0</v>
      </c>
      <c r="AG206">
        <v>0</v>
      </c>
      <c r="AJ206">
        <v>7</v>
      </c>
      <c r="AK206">
        <v>2</v>
      </c>
      <c r="AL206">
        <v>90</v>
      </c>
      <c r="AM206">
        <v>5</v>
      </c>
      <c r="AN206">
        <v>2</v>
      </c>
      <c r="AO206">
        <v>0</v>
      </c>
      <c r="AP206">
        <v>0</v>
      </c>
      <c r="AQ206">
        <v>0</v>
      </c>
      <c r="AR206">
        <v>0</v>
      </c>
      <c r="AU206">
        <v>0</v>
      </c>
      <c r="AV206">
        <v>0</v>
      </c>
      <c r="AW206">
        <v>60</v>
      </c>
      <c r="AX206">
        <v>2</v>
      </c>
      <c r="AY206">
        <v>2</v>
      </c>
      <c r="AZ206">
        <v>0</v>
      </c>
      <c r="BA206">
        <v>0</v>
      </c>
      <c r="BB206">
        <v>0</v>
      </c>
      <c r="BC206">
        <v>0</v>
      </c>
    </row>
    <row r="207" spans="1:57" x14ac:dyDescent="0.2">
      <c r="A207">
        <v>205</v>
      </c>
      <c r="B207">
        <v>39</v>
      </c>
      <c r="C207">
        <v>0</v>
      </c>
      <c r="D207">
        <v>84.2</v>
      </c>
      <c r="E207">
        <v>1.58</v>
      </c>
      <c r="F207" s="5">
        <f t="shared" si="3"/>
        <v>33.72856913956096</v>
      </c>
      <c r="G207" s="13">
        <v>3</v>
      </c>
      <c r="H207">
        <v>2</v>
      </c>
      <c r="I207">
        <v>1</v>
      </c>
      <c r="J207">
        <v>1</v>
      </c>
      <c r="K207" s="6">
        <v>0.54166666666666663</v>
      </c>
      <c r="L207" s="6">
        <v>0.71319444444444446</v>
      </c>
      <c r="M207">
        <v>48</v>
      </c>
      <c r="N207">
        <v>0</v>
      </c>
      <c r="O207">
        <v>0</v>
      </c>
      <c r="P207">
        <v>1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1</v>
      </c>
      <c r="W207" t="s">
        <v>35</v>
      </c>
      <c r="X207" t="s">
        <v>49</v>
      </c>
      <c r="Y207">
        <v>0</v>
      </c>
      <c r="Z207">
        <v>0</v>
      </c>
      <c r="AA207">
        <v>180</v>
      </c>
      <c r="AB207">
        <v>1</v>
      </c>
      <c r="AC207">
        <v>1</v>
      </c>
      <c r="AD207">
        <v>0</v>
      </c>
      <c r="AE207">
        <v>0</v>
      </c>
      <c r="AF207">
        <v>0</v>
      </c>
      <c r="AG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</row>
    <row r="208" spans="1:57" x14ac:dyDescent="0.2">
      <c r="A208">
        <v>206</v>
      </c>
      <c r="B208">
        <v>47</v>
      </c>
      <c r="C208">
        <v>0</v>
      </c>
      <c r="D208">
        <v>108.8</v>
      </c>
      <c r="E208">
        <v>1.63</v>
      </c>
      <c r="F208" s="5">
        <f t="shared" si="3"/>
        <v>40.949979299183262</v>
      </c>
      <c r="G208" s="13">
        <v>1</v>
      </c>
      <c r="H208">
        <v>2</v>
      </c>
      <c r="I208">
        <v>2</v>
      </c>
      <c r="J208">
        <v>2</v>
      </c>
      <c r="K208" s="6">
        <v>0.54166666666666663</v>
      </c>
      <c r="L208" s="6">
        <v>0.75</v>
      </c>
      <c r="M208">
        <v>40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Y208">
        <v>0</v>
      </c>
      <c r="Z208">
        <v>0</v>
      </c>
      <c r="AA208">
        <v>120</v>
      </c>
      <c r="AB208">
        <v>5</v>
      </c>
      <c r="AC208">
        <v>2</v>
      </c>
      <c r="AD208">
        <v>0</v>
      </c>
      <c r="AE208">
        <v>0</v>
      </c>
      <c r="AF208">
        <v>0</v>
      </c>
      <c r="AG208">
        <v>0</v>
      </c>
      <c r="AJ208">
        <v>0</v>
      </c>
      <c r="AK208">
        <v>0</v>
      </c>
      <c r="AL208">
        <v>120</v>
      </c>
      <c r="AM208">
        <v>3</v>
      </c>
      <c r="AN208">
        <v>1</v>
      </c>
      <c r="AO208">
        <v>0</v>
      </c>
      <c r="AP208">
        <v>0</v>
      </c>
      <c r="AQ208">
        <v>0</v>
      </c>
      <c r="AR208">
        <v>0</v>
      </c>
      <c r="AU208">
        <v>0</v>
      </c>
      <c r="AV208">
        <v>0</v>
      </c>
      <c r="AW208">
        <v>60</v>
      </c>
      <c r="AX208">
        <v>3</v>
      </c>
      <c r="AY208">
        <v>1</v>
      </c>
      <c r="AZ208">
        <v>0</v>
      </c>
      <c r="BA208">
        <v>0</v>
      </c>
      <c r="BB208">
        <v>0</v>
      </c>
      <c r="BC208">
        <v>0</v>
      </c>
    </row>
    <row r="209" spans="1:57" x14ac:dyDescent="0.2">
      <c r="A209">
        <v>207</v>
      </c>
      <c r="B209">
        <v>44</v>
      </c>
      <c r="C209">
        <v>0</v>
      </c>
      <c r="D209">
        <v>90.1</v>
      </c>
      <c r="E209">
        <v>1.69</v>
      </c>
      <c r="F209" s="5">
        <f t="shared" si="3"/>
        <v>31.546514477784392</v>
      </c>
      <c r="G209" s="13">
        <v>2</v>
      </c>
      <c r="H209">
        <v>2</v>
      </c>
      <c r="I209">
        <v>1</v>
      </c>
      <c r="J209">
        <v>1</v>
      </c>
      <c r="K209" s="6">
        <v>0.54166666666666663</v>
      </c>
      <c r="L209" s="6">
        <v>0.72222222222222221</v>
      </c>
      <c r="M209">
        <v>40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Y209">
        <v>0</v>
      </c>
      <c r="Z209">
        <v>0</v>
      </c>
      <c r="AA209">
        <v>90</v>
      </c>
      <c r="AB209">
        <v>6</v>
      </c>
      <c r="AC209">
        <v>2</v>
      </c>
      <c r="AD209">
        <v>0</v>
      </c>
      <c r="AE209">
        <v>0</v>
      </c>
      <c r="AF209">
        <v>0</v>
      </c>
      <c r="AG209">
        <v>0</v>
      </c>
      <c r="AJ209">
        <v>0</v>
      </c>
      <c r="AK209">
        <v>0</v>
      </c>
      <c r="AL209">
        <v>180</v>
      </c>
      <c r="AM209">
        <v>8</v>
      </c>
      <c r="AN209">
        <v>1</v>
      </c>
      <c r="AO209">
        <v>0</v>
      </c>
      <c r="AP209">
        <v>0</v>
      </c>
      <c r="AQ209">
        <v>0</v>
      </c>
      <c r="AR209">
        <v>0</v>
      </c>
      <c r="AU209">
        <v>0</v>
      </c>
      <c r="AV209">
        <v>0</v>
      </c>
      <c r="AW209">
        <v>120</v>
      </c>
      <c r="AX209">
        <v>4</v>
      </c>
      <c r="AY209">
        <v>1</v>
      </c>
      <c r="AZ209">
        <v>0</v>
      </c>
      <c r="BA209">
        <v>0</v>
      </c>
      <c r="BB209">
        <v>0</v>
      </c>
      <c r="BC209">
        <v>0</v>
      </c>
    </row>
    <row r="210" spans="1:57" x14ac:dyDescent="0.2">
      <c r="A210">
        <v>208</v>
      </c>
      <c r="B210">
        <v>39</v>
      </c>
      <c r="C210">
        <v>0</v>
      </c>
      <c r="D210">
        <v>151.30000000000001</v>
      </c>
      <c r="E210">
        <v>1.74</v>
      </c>
      <c r="F210" s="5">
        <f t="shared" si="3"/>
        <v>49.973576430175719</v>
      </c>
      <c r="G210" s="13">
        <v>3</v>
      </c>
      <c r="H210">
        <v>3</v>
      </c>
      <c r="I210">
        <v>2</v>
      </c>
      <c r="J210">
        <v>2</v>
      </c>
      <c r="K210" s="6">
        <v>0.54166666666666663</v>
      </c>
      <c r="L210" s="6">
        <v>0.79722222222222217</v>
      </c>
      <c r="M210">
        <v>46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</row>
    <row r="211" spans="1:57" x14ac:dyDescent="0.2">
      <c r="A211">
        <v>209</v>
      </c>
      <c r="B211">
        <v>23</v>
      </c>
      <c r="C211">
        <v>0</v>
      </c>
      <c r="D211">
        <v>145.1</v>
      </c>
      <c r="E211">
        <v>1.64</v>
      </c>
      <c r="F211" s="5">
        <f t="shared" si="3"/>
        <v>53.948542534205835</v>
      </c>
      <c r="G211" s="13">
        <v>2</v>
      </c>
      <c r="H211">
        <v>3</v>
      </c>
      <c r="I211">
        <v>1</v>
      </c>
      <c r="J211">
        <v>1</v>
      </c>
      <c r="K211" s="6">
        <v>0.54166666666666663</v>
      </c>
      <c r="L211" s="6">
        <v>0.79861111111111116</v>
      </c>
      <c r="M211">
        <v>40</v>
      </c>
      <c r="N211">
        <v>8</v>
      </c>
      <c r="O211">
        <v>3</v>
      </c>
      <c r="P211">
        <v>1</v>
      </c>
      <c r="Q211">
        <v>4</v>
      </c>
      <c r="R211">
        <v>3</v>
      </c>
      <c r="S211">
        <v>2</v>
      </c>
      <c r="T211">
        <v>1</v>
      </c>
      <c r="U211">
        <v>3</v>
      </c>
      <c r="V211">
        <v>1</v>
      </c>
      <c r="W211" t="s">
        <v>69</v>
      </c>
      <c r="X211" t="s">
        <v>70</v>
      </c>
      <c r="Y211">
        <v>6</v>
      </c>
      <c r="Z211">
        <v>2</v>
      </c>
      <c r="AA211">
        <v>300</v>
      </c>
      <c r="AB211">
        <v>8</v>
      </c>
      <c r="AC211">
        <v>2</v>
      </c>
      <c r="AD211">
        <v>5</v>
      </c>
      <c r="AE211">
        <v>1</v>
      </c>
      <c r="AF211">
        <v>2</v>
      </c>
      <c r="AG211">
        <v>1</v>
      </c>
      <c r="AH211" t="s">
        <v>71</v>
      </c>
      <c r="AI211" t="s">
        <v>72</v>
      </c>
      <c r="AJ211">
        <v>2</v>
      </c>
      <c r="AK211">
        <v>2</v>
      </c>
      <c r="AL211">
        <v>120</v>
      </c>
      <c r="AM211">
        <v>3</v>
      </c>
      <c r="AN211">
        <v>2</v>
      </c>
      <c r="AO211">
        <v>2</v>
      </c>
      <c r="AP211">
        <v>1</v>
      </c>
      <c r="AQ211">
        <v>2</v>
      </c>
      <c r="AR211">
        <v>1</v>
      </c>
      <c r="AS211" t="s">
        <v>71</v>
      </c>
      <c r="AT211" t="s">
        <v>73</v>
      </c>
      <c r="AU211">
        <v>0</v>
      </c>
      <c r="AV211">
        <v>0</v>
      </c>
      <c r="AW211">
        <v>120</v>
      </c>
      <c r="AX211">
        <v>4</v>
      </c>
      <c r="AY211">
        <v>1</v>
      </c>
      <c r="AZ211">
        <v>0</v>
      </c>
      <c r="BA211">
        <v>0</v>
      </c>
      <c r="BB211">
        <v>0</v>
      </c>
      <c r="BC211">
        <v>1</v>
      </c>
      <c r="BD211" t="s">
        <v>71</v>
      </c>
      <c r="BE211" t="s">
        <v>72</v>
      </c>
    </row>
    <row r="212" spans="1:57" x14ac:dyDescent="0.2">
      <c r="A212">
        <v>210</v>
      </c>
      <c r="B212">
        <v>44</v>
      </c>
      <c r="C212">
        <v>0</v>
      </c>
      <c r="D212">
        <v>113.1</v>
      </c>
      <c r="E212">
        <v>1.69</v>
      </c>
      <c r="F212" s="5">
        <f t="shared" si="3"/>
        <v>39.599453800637235</v>
      </c>
      <c r="G212" s="13">
        <v>2</v>
      </c>
      <c r="H212">
        <v>2</v>
      </c>
      <c r="I212">
        <v>1</v>
      </c>
      <c r="J212">
        <v>1</v>
      </c>
      <c r="K212" s="6">
        <v>0.56944444444444442</v>
      </c>
      <c r="L212" s="6">
        <v>0.76388888888888884</v>
      </c>
      <c r="M212">
        <v>30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t="s">
        <v>31</v>
      </c>
      <c r="X212" t="s">
        <v>32</v>
      </c>
      <c r="Y212">
        <v>0</v>
      </c>
      <c r="Z212">
        <v>0</v>
      </c>
      <c r="AA212">
        <v>90</v>
      </c>
      <c r="AB212">
        <v>2</v>
      </c>
      <c r="AC212">
        <v>1</v>
      </c>
      <c r="AD212">
        <v>0</v>
      </c>
      <c r="AE212">
        <v>0</v>
      </c>
      <c r="AF212">
        <v>0</v>
      </c>
      <c r="AG212">
        <v>0</v>
      </c>
      <c r="AJ212">
        <v>0</v>
      </c>
      <c r="AK212">
        <v>0</v>
      </c>
      <c r="AL212">
        <v>180</v>
      </c>
      <c r="AM212">
        <v>1</v>
      </c>
      <c r="AN212">
        <v>1</v>
      </c>
      <c r="AO212">
        <v>0</v>
      </c>
      <c r="AP212">
        <v>0</v>
      </c>
      <c r="AQ212">
        <v>0</v>
      </c>
      <c r="AR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</row>
    <row r="213" spans="1:57" x14ac:dyDescent="0.2">
      <c r="A213">
        <v>211</v>
      </c>
      <c r="B213">
        <v>50</v>
      </c>
      <c r="C213">
        <v>0</v>
      </c>
      <c r="D213">
        <v>76.099999999999994</v>
      </c>
      <c r="E213">
        <v>1.59</v>
      </c>
      <c r="F213" s="5">
        <f t="shared" si="3"/>
        <v>30.101657371148288</v>
      </c>
      <c r="G213" s="13">
        <v>3</v>
      </c>
      <c r="H213">
        <v>2</v>
      </c>
      <c r="I213">
        <v>1</v>
      </c>
      <c r="J213">
        <v>1</v>
      </c>
      <c r="K213" s="6">
        <v>0.56944444444444442</v>
      </c>
      <c r="L213" s="6">
        <v>0.79861111111111116</v>
      </c>
      <c r="M213">
        <v>40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</row>
    <row r="214" spans="1:57" x14ac:dyDescent="0.2">
      <c r="A214">
        <v>212</v>
      </c>
      <c r="B214">
        <v>46</v>
      </c>
      <c r="C214">
        <v>0</v>
      </c>
      <c r="D214">
        <v>134.80000000000001</v>
      </c>
      <c r="E214">
        <v>1.62</v>
      </c>
      <c r="F214" s="5">
        <f t="shared" si="3"/>
        <v>51.364121322969055</v>
      </c>
      <c r="G214" s="13">
        <v>1</v>
      </c>
      <c r="H214">
        <v>2</v>
      </c>
      <c r="I214">
        <v>2</v>
      </c>
      <c r="J214">
        <v>2</v>
      </c>
      <c r="K214" s="6">
        <v>0.53125</v>
      </c>
      <c r="L214" s="6">
        <v>0.72569444444444453</v>
      </c>
      <c r="M214">
        <v>40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</row>
    <row r="215" spans="1:57" x14ac:dyDescent="0.2">
      <c r="A215">
        <v>213</v>
      </c>
      <c r="B215">
        <v>41</v>
      </c>
      <c r="C215">
        <v>0</v>
      </c>
      <c r="D215">
        <v>106.3</v>
      </c>
      <c r="E215">
        <v>1.68</v>
      </c>
      <c r="F215" s="5">
        <f t="shared" si="3"/>
        <v>37.662981859410436</v>
      </c>
      <c r="G215" s="13">
        <v>3</v>
      </c>
      <c r="H215">
        <v>2</v>
      </c>
      <c r="I215">
        <v>1</v>
      </c>
      <c r="J215">
        <v>1</v>
      </c>
      <c r="K215" s="6">
        <v>0.53125</v>
      </c>
      <c r="L215" s="6">
        <v>0.71388888888888891</v>
      </c>
      <c r="M215">
        <v>58</v>
      </c>
      <c r="N215">
        <v>0</v>
      </c>
      <c r="O215">
        <v>0</v>
      </c>
      <c r="P215">
        <v>1</v>
      </c>
      <c r="Q215">
        <v>4</v>
      </c>
      <c r="R215">
        <v>1</v>
      </c>
      <c r="S215">
        <v>0</v>
      </c>
      <c r="T215">
        <v>0</v>
      </c>
      <c r="U215">
        <v>0</v>
      </c>
      <c r="V215">
        <v>1</v>
      </c>
      <c r="W215" t="s">
        <v>35</v>
      </c>
      <c r="X215" t="s">
        <v>49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</row>
    <row r="216" spans="1:57" x14ac:dyDescent="0.2">
      <c r="A216">
        <v>214</v>
      </c>
      <c r="B216">
        <v>44</v>
      </c>
      <c r="C216">
        <v>0</v>
      </c>
      <c r="D216">
        <v>93.8</v>
      </c>
      <c r="E216">
        <v>1.7</v>
      </c>
      <c r="F216" s="5">
        <f t="shared" ref="F216:F279" si="4">D216/(E216*E216)</f>
        <v>32.456747404844293</v>
      </c>
      <c r="G216" s="13">
        <v>3</v>
      </c>
      <c r="H216">
        <v>1</v>
      </c>
      <c r="I216">
        <v>2</v>
      </c>
      <c r="J216">
        <v>2</v>
      </c>
      <c r="K216" s="6">
        <v>0.51388888888888895</v>
      </c>
      <c r="L216" s="6">
        <v>0.56388888888888888</v>
      </c>
      <c r="M216">
        <v>64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</row>
    <row r="217" spans="1:57" x14ac:dyDescent="0.2">
      <c r="A217">
        <v>215</v>
      </c>
      <c r="B217">
        <v>50</v>
      </c>
      <c r="C217">
        <v>0</v>
      </c>
      <c r="D217">
        <v>130.30000000000001</v>
      </c>
      <c r="E217">
        <v>1.65</v>
      </c>
      <c r="F217" s="5">
        <f t="shared" si="4"/>
        <v>47.86042240587696</v>
      </c>
      <c r="G217" s="13">
        <v>2</v>
      </c>
      <c r="H217">
        <v>2</v>
      </c>
      <c r="I217">
        <v>1</v>
      </c>
      <c r="J217">
        <v>1</v>
      </c>
      <c r="K217" s="6">
        <v>0.51388888888888895</v>
      </c>
      <c r="L217" s="6">
        <v>0.6875</v>
      </c>
      <c r="M217">
        <v>40</v>
      </c>
      <c r="N217">
        <v>1</v>
      </c>
      <c r="O217">
        <v>2</v>
      </c>
      <c r="P217">
        <v>1</v>
      </c>
      <c r="Q217">
        <v>2</v>
      </c>
      <c r="R217">
        <v>2</v>
      </c>
      <c r="S217">
        <v>0</v>
      </c>
      <c r="T217">
        <v>0</v>
      </c>
      <c r="U217">
        <v>0</v>
      </c>
      <c r="V217">
        <v>1</v>
      </c>
      <c r="W217" t="s">
        <v>35</v>
      </c>
      <c r="X217" t="s">
        <v>49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t="s">
        <v>31</v>
      </c>
      <c r="AI217" t="s">
        <v>32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</row>
    <row r="218" spans="1:57" x14ac:dyDescent="0.2">
      <c r="A218">
        <v>216</v>
      </c>
      <c r="B218">
        <v>48</v>
      </c>
      <c r="C218">
        <v>0</v>
      </c>
      <c r="D218">
        <v>114.3</v>
      </c>
      <c r="E218">
        <v>1.73</v>
      </c>
      <c r="F218" s="5">
        <f t="shared" si="4"/>
        <v>38.190383908583648</v>
      </c>
      <c r="G218" s="13">
        <v>2</v>
      </c>
      <c r="H218">
        <v>1</v>
      </c>
      <c r="I218">
        <v>2</v>
      </c>
      <c r="J218">
        <v>2</v>
      </c>
      <c r="K218" s="6">
        <v>0.52083333333333337</v>
      </c>
      <c r="L218" s="6">
        <v>0.55555555555555558</v>
      </c>
      <c r="M218">
        <v>30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</row>
    <row r="219" spans="1:57" x14ac:dyDescent="0.2">
      <c r="A219">
        <v>217</v>
      </c>
      <c r="B219">
        <v>41</v>
      </c>
      <c r="C219">
        <v>0</v>
      </c>
      <c r="D219">
        <v>124.5</v>
      </c>
      <c r="E219">
        <v>1.54</v>
      </c>
      <c r="F219" s="5">
        <f t="shared" si="4"/>
        <v>52.496205093607692</v>
      </c>
      <c r="G219" s="13">
        <v>2</v>
      </c>
      <c r="H219">
        <v>2</v>
      </c>
      <c r="I219">
        <v>1</v>
      </c>
      <c r="J219">
        <v>1</v>
      </c>
      <c r="K219" s="6">
        <v>0.52083333333333337</v>
      </c>
      <c r="L219" s="6">
        <v>0.64583333333333337</v>
      </c>
      <c r="M219">
        <v>40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Y219">
        <v>0</v>
      </c>
      <c r="Z219">
        <v>0</v>
      </c>
      <c r="AA219">
        <v>50</v>
      </c>
      <c r="AB219">
        <v>2</v>
      </c>
      <c r="AC219">
        <v>1</v>
      </c>
      <c r="AD219">
        <v>0</v>
      </c>
      <c r="AE219">
        <v>0</v>
      </c>
      <c r="AF219">
        <v>0</v>
      </c>
      <c r="AG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</row>
    <row r="220" spans="1:57" x14ac:dyDescent="0.2">
      <c r="A220">
        <v>218</v>
      </c>
      <c r="B220">
        <v>35</v>
      </c>
      <c r="C220">
        <v>0</v>
      </c>
      <c r="D220">
        <v>113.3</v>
      </c>
      <c r="E220">
        <v>1.57</v>
      </c>
      <c r="F220" s="5">
        <f t="shared" si="4"/>
        <v>45.965353564039106</v>
      </c>
      <c r="G220" s="13">
        <v>2</v>
      </c>
      <c r="H220">
        <v>2</v>
      </c>
      <c r="I220">
        <v>2</v>
      </c>
      <c r="J220">
        <v>2</v>
      </c>
      <c r="K220" s="6">
        <v>0.52083333333333337</v>
      </c>
      <c r="L220" s="6">
        <v>0.59722222222222221</v>
      </c>
      <c r="M220">
        <v>50</v>
      </c>
      <c r="N220">
        <v>0</v>
      </c>
      <c r="O220">
        <v>0</v>
      </c>
      <c r="P220">
        <v>1</v>
      </c>
      <c r="Q220">
        <v>3</v>
      </c>
      <c r="R220">
        <v>2</v>
      </c>
      <c r="S220">
        <v>0</v>
      </c>
      <c r="T220">
        <v>0</v>
      </c>
      <c r="U220">
        <v>0</v>
      </c>
      <c r="V220">
        <v>1</v>
      </c>
      <c r="W220" t="s">
        <v>35</v>
      </c>
      <c r="X220" t="s">
        <v>49</v>
      </c>
      <c r="Y220">
        <v>0</v>
      </c>
      <c r="Z220">
        <v>0</v>
      </c>
      <c r="AA220">
        <v>120</v>
      </c>
      <c r="AB220">
        <v>1</v>
      </c>
      <c r="AC220">
        <v>1</v>
      </c>
      <c r="AD220">
        <v>0</v>
      </c>
      <c r="AE220">
        <v>0</v>
      </c>
      <c r="AF220">
        <v>0</v>
      </c>
      <c r="AG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</row>
    <row r="221" spans="1:57" x14ac:dyDescent="0.2">
      <c r="A221">
        <v>219</v>
      </c>
      <c r="B221">
        <v>24</v>
      </c>
      <c r="C221">
        <v>0</v>
      </c>
      <c r="D221">
        <v>94.1</v>
      </c>
      <c r="E221">
        <v>1.61</v>
      </c>
      <c r="F221" s="5">
        <f t="shared" si="4"/>
        <v>36.302611781952848</v>
      </c>
      <c r="G221" s="13">
        <v>1</v>
      </c>
      <c r="H221">
        <v>2</v>
      </c>
      <c r="I221">
        <v>1</v>
      </c>
      <c r="J221">
        <v>1</v>
      </c>
      <c r="K221" s="6">
        <v>0.52083333333333337</v>
      </c>
      <c r="L221" s="6">
        <v>0.63194444444444442</v>
      </c>
      <c r="M221">
        <v>38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t="s">
        <v>31</v>
      </c>
      <c r="X221" t="s">
        <v>32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</row>
    <row r="222" spans="1:57" x14ac:dyDescent="0.2">
      <c r="A222">
        <v>220</v>
      </c>
      <c r="B222">
        <v>47</v>
      </c>
      <c r="C222">
        <v>0</v>
      </c>
      <c r="D222">
        <v>116.4</v>
      </c>
      <c r="E222">
        <v>1.81</v>
      </c>
      <c r="F222" s="5">
        <f t="shared" si="4"/>
        <v>35.530050975244954</v>
      </c>
      <c r="G222" s="13">
        <v>1</v>
      </c>
      <c r="H222">
        <v>2</v>
      </c>
      <c r="I222">
        <v>2</v>
      </c>
      <c r="J222">
        <v>2</v>
      </c>
      <c r="K222" s="6">
        <v>0.52083333333333337</v>
      </c>
      <c r="L222" s="6">
        <v>0.6777777777777777</v>
      </c>
      <c r="M222">
        <v>35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</row>
    <row r="223" spans="1:57" x14ac:dyDescent="0.2">
      <c r="A223">
        <v>221</v>
      </c>
      <c r="B223">
        <v>44</v>
      </c>
      <c r="C223">
        <v>0</v>
      </c>
      <c r="D223">
        <v>118.4</v>
      </c>
      <c r="E223">
        <v>1.7</v>
      </c>
      <c r="F223" s="5">
        <f t="shared" si="4"/>
        <v>40.968858131487899</v>
      </c>
      <c r="G223" s="13">
        <v>3</v>
      </c>
      <c r="H223">
        <v>2</v>
      </c>
      <c r="I223">
        <v>1</v>
      </c>
      <c r="J223">
        <v>1</v>
      </c>
      <c r="K223" s="6">
        <v>0.52083333333333337</v>
      </c>
      <c r="L223" s="6">
        <v>0.67291666666666661</v>
      </c>
      <c r="M223">
        <v>41</v>
      </c>
      <c r="N223">
        <v>2</v>
      </c>
      <c r="O223">
        <v>2</v>
      </c>
      <c r="P223">
        <v>1</v>
      </c>
      <c r="Q223">
        <v>4</v>
      </c>
      <c r="R223">
        <v>2</v>
      </c>
      <c r="S223">
        <v>0</v>
      </c>
      <c r="T223">
        <v>0</v>
      </c>
      <c r="U223">
        <v>0</v>
      </c>
      <c r="V223">
        <v>1</v>
      </c>
      <c r="W223" t="s">
        <v>35</v>
      </c>
      <c r="X223" t="s">
        <v>49</v>
      </c>
      <c r="Y223">
        <v>0</v>
      </c>
      <c r="Z223">
        <v>0</v>
      </c>
      <c r="AA223">
        <v>50</v>
      </c>
      <c r="AB223">
        <v>2</v>
      </c>
      <c r="AC223">
        <v>1</v>
      </c>
      <c r="AD223">
        <v>0</v>
      </c>
      <c r="AE223">
        <v>0</v>
      </c>
      <c r="AF223">
        <v>0</v>
      </c>
      <c r="AG223">
        <v>0</v>
      </c>
      <c r="AJ223">
        <v>0</v>
      </c>
      <c r="AK223">
        <v>0</v>
      </c>
      <c r="AL223">
        <v>120</v>
      </c>
      <c r="AM223">
        <v>2</v>
      </c>
      <c r="AN223">
        <v>1</v>
      </c>
      <c r="AO223">
        <v>0</v>
      </c>
      <c r="AP223">
        <v>0</v>
      </c>
      <c r="AQ223">
        <v>0</v>
      </c>
      <c r="AR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</row>
    <row r="224" spans="1:57" x14ac:dyDescent="0.2">
      <c r="A224">
        <v>222</v>
      </c>
      <c r="B224">
        <v>27</v>
      </c>
      <c r="C224">
        <v>0</v>
      </c>
      <c r="D224">
        <v>127.3</v>
      </c>
      <c r="E224">
        <v>1.81</v>
      </c>
      <c r="F224" s="5">
        <f t="shared" si="4"/>
        <v>38.857177741827172</v>
      </c>
      <c r="G224" s="13">
        <v>1</v>
      </c>
      <c r="H224">
        <v>2</v>
      </c>
      <c r="I224">
        <v>2</v>
      </c>
      <c r="J224">
        <v>2</v>
      </c>
      <c r="K224" s="6">
        <v>0.52083333333333337</v>
      </c>
      <c r="L224" s="6">
        <v>0.57361111111111118</v>
      </c>
      <c r="M224">
        <v>50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</row>
    <row r="225" spans="1:55" x14ac:dyDescent="0.2">
      <c r="A225">
        <v>223</v>
      </c>
      <c r="B225">
        <v>32</v>
      </c>
      <c r="C225">
        <v>0</v>
      </c>
      <c r="D225">
        <v>169</v>
      </c>
      <c r="E225">
        <v>1.64</v>
      </c>
      <c r="F225" s="5">
        <f t="shared" si="4"/>
        <v>62.834622248661525</v>
      </c>
      <c r="G225" s="13">
        <v>1</v>
      </c>
      <c r="H225">
        <v>3</v>
      </c>
      <c r="I225">
        <v>1</v>
      </c>
      <c r="J225">
        <v>1</v>
      </c>
      <c r="K225" s="6">
        <v>0.54166666666666663</v>
      </c>
      <c r="L225" s="6">
        <v>0.83333333333333337</v>
      </c>
      <c r="M225">
        <v>35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 t="s">
        <v>31</v>
      </c>
      <c r="X225" t="s">
        <v>32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</row>
    <row r="226" spans="1:55" x14ac:dyDescent="0.2">
      <c r="A226">
        <v>224</v>
      </c>
      <c r="B226">
        <v>30</v>
      </c>
      <c r="C226">
        <v>0</v>
      </c>
      <c r="D226">
        <v>110.4</v>
      </c>
      <c r="E226">
        <v>1.78</v>
      </c>
      <c r="F226" s="5">
        <f t="shared" si="4"/>
        <v>34.844085342759755</v>
      </c>
      <c r="G226" s="13">
        <v>3</v>
      </c>
      <c r="H226">
        <v>2</v>
      </c>
      <c r="I226">
        <v>2</v>
      </c>
      <c r="J226">
        <v>2</v>
      </c>
      <c r="K226" s="6">
        <v>0.54166666666666663</v>
      </c>
      <c r="L226" s="6">
        <v>0.63194444444444442</v>
      </c>
      <c r="M226">
        <v>43</v>
      </c>
      <c r="N226">
        <v>0</v>
      </c>
      <c r="O226">
        <v>0</v>
      </c>
      <c r="P226">
        <v>1</v>
      </c>
      <c r="Q226">
        <v>3</v>
      </c>
      <c r="R226">
        <v>1</v>
      </c>
      <c r="S226">
        <v>0</v>
      </c>
      <c r="T226">
        <v>0</v>
      </c>
      <c r="U226">
        <v>0</v>
      </c>
      <c r="V226">
        <v>1</v>
      </c>
      <c r="W226" t="s">
        <v>35</v>
      </c>
      <c r="X226" t="s">
        <v>49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</row>
    <row r="227" spans="1:55" x14ac:dyDescent="0.2">
      <c r="A227">
        <v>225</v>
      </c>
      <c r="B227">
        <v>43</v>
      </c>
      <c r="C227">
        <v>0</v>
      </c>
      <c r="D227">
        <v>101.7</v>
      </c>
      <c r="E227">
        <v>1.69</v>
      </c>
      <c r="F227" s="5">
        <f t="shared" si="4"/>
        <v>35.607996918875394</v>
      </c>
      <c r="G227" s="13">
        <v>3</v>
      </c>
      <c r="H227">
        <v>2</v>
      </c>
      <c r="I227">
        <v>1</v>
      </c>
      <c r="J227">
        <v>1</v>
      </c>
      <c r="K227" s="6">
        <v>0.54166666666666663</v>
      </c>
      <c r="L227" s="6">
        <v>0.75</v>
      </c>
      <c r="M227">
        <v>77</v>
      </c>
      <c r="N227">
        <v>0</v>
      </c>
      <c r="O227">
        <v>0</v>
      </c>
      <c r="P227">
        <v>1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1</v>
      </c>
      <c r="W227" t="s">
        <v>35</v>
      </c>
      <c r="X227" t="s">
        <v>49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</row>
    <row r="228" spans="1:55" x14ac:dyDescent="0.2">
      <c r="A228">
        <v>226</v>
      </c>
      <c r="B228">
        <v>33</v>
      </c>
      <c r="C228">
        <v>0</v>
      </c>
      <c r="D228">
        <v>96.1</v>
      </c>
      <c r="E228">
        <v>1.46</v>
      </c>
      <c r="F228" s="5">
        <f t="shared" si="4"/>
        <v>45.083505348095329</v>
      </c>
      <c r="G228" s="13">
        <v>2</v>
      </c>
      <c r="H228">
        <v>2</v>
      </c>
      <c r="I228">
        <v>2</v>
      </c>
      <c r="J228">
        <v>2</v>
      </c>
      <c r="K228" s="6">
        <v>0.54166666666666663</v>
      </c>
      <c r="L228" s="6">
        <v>0.72916666666666663</v>
      </c>
      <c r="M228">
        <v>40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</row>
    <row r="229" spans="1:55" x14ac:dyDescent="0.2">
      <c r="A229">
        <v>227</v>
      </c>
      <c r="B229">
        <v>43</v>
      </c>
      <c r="C229">
        <v>0</v>
      </c>
      <c r="D229">
        <v>137.5</v>
      </c>
      <c r="E229">
        <v>1.69</v>
      </c>
      <c r="F229" s="5">
        <f t="shared" si="4"/>
        <v>48.142572038794164</v>
      </c>
      <c r="G229" s="13">
        <v>3</v>
      </c>
      <c r="H229">
        <v>2</v>
      </c>
      <c r="I229">
        <v>1</v>
      </c>
      <c r="J229">
        <v>1</v>
      </c>
      <c r="K229" s="6">
        <v>0.54166666666666663</v>
      </c>
      <c r="L229" s="6">
        <v>0.92013888888888884</v>
      </c>
      <c r="M229">
        <v>55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</row>
    <row r="230" spans="1:55" x14ac:dyDescent="0.2">
      <c r="A230">
        <v>228</v>
      </c>
      <c r="B230">
        <v>40</v>
      </c>
      <c r="C230">
        <v>0</v>
      </c>
      <c r="D230">
        <v>141.80000000000001</v>
      </c>
      <c r="E230">
        <v>1.68</v>
      </c>
      <c r="F230" s="5">
        <f t="shared" si="4"/>
        <v>50.240929705215429</v>
      </c>
      <c r="G230" s="13">
        <v>3</v>
      </c>
      <c r="H230">
        <v>2</v>
      </c>
      <c r="I230">
        <v>2</v>
      </c>
      <c r="J230">
        <v>2</v>
      </c>
      <c r="K230" s="6">
        <v>0.60416666666666663</v>
      </c>
      <c r="L230" s="6">
        <v>0.76041666666666663</v>
      </c>
      <c r="M230">
        <v>55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</row>
    <row r="231" spans="1:55" x14ac:dyDescent="0.2">
      <c r="A231">
        <v>229</v>
      </c>
      <c r="B231">
        <v>47</v>
      </c>
      <c r="C231">
        <v>0</v>
      </c>
      <c r="D231">
        <v>93.9</v>
      </c>
      <c r="E231">
        <v>1.64</v>
      </c>
      <c r="F231" s="5">
        <f t="shared" si="4"/>
        <v>34.912254610350992</v>
      </c>
      <c r="G231" s="13">
        <v>1</v>
      </c>
      <c r="H231">
        <v>2</v>
      </c>
      <c r="I231">
        <v>1</v>
      </c>
      <c r="J231">
        <v>1</v>
      </c>
      <c r="K231" s="6">
        <v>0.51041666666666663</v>
      </c>
      <c r="L231" s="6">
        <v>0.77777777777777779</v>
      </c>
      <c r="M231">
        <v>50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</row>
    <row r="232" spans="1:55" x14ac:dyDescent="0.2">
      <c r="A232">
        <v>230</v>
      </c>
      <c r="B232">
        <v>40</v>
      </c>
      <c r="C232">
        <v>0</v>
      </c>
      <c r="D232">
        <v>143.1</v>
      </c>
      <c r="E232">
        <v>1.64</v>
      </c>
      <c r="F232" s="5">
        <f t="shared" si="4"/>
        <v>53.204937537180257</v>
      </c>
      <c r="G232" s="13">
        <v>1</v>
      </c>
      <c r="H232">
        <v>3</v>
      </c>
      <c r="I232">
        <v>2</v>
      </c>
      <c r="J232">
        <v>2</v>
      </c>
      <c r="K232" s="6">
        <v>0.60416666666666663</v>
      </c>
      <c r="L232" s="6">
        <v>0.88402777777777775</v>
      </c>
      <c r="M232">
        <v>50</v>
      </c>
      <c r="N232">
        <v>0</v>
      </c>
      <c r="O232">
        <v>0</v>
      </c>
      <c r="P232">
        <v>1</v>
      </c>
      <c r="Q232">
        <v>3</v>
      </c>
      <c r="R232">
        <v>2</v>
      </c>
      <c r="S232">
        <v>0</v>
      </c>
      <c r="T232">
        <v>0</v>
      </c>
      <c r="U232">
        <v>0</v>
      </c>
      <c r="V232">
        <v>1</v>
      </c>
      <c r="W232" t="s">
        <v>29</v>
      </c>
      <c r="X232" t="s">
        <v>30</v>
      </c>
      <c r="Y232">
        <v>1</v>
      </c>
      <c r="Z232">
        <v>1</v>
      </c>
      <c r="AA232">
        <v>50</v>
      </c>
      <c r="AB232">
        <v>1</v>
      </c>
      <c r="AC232">
        <v>1</v>
      </c>
      <c r="AD232">
        <v>0</v>
      </c>
      <c r="AE232">
        <v>0</v>
      </c>
      <c r="AF232">
        <v>0</v>
      </c>
      <c r="AG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</row>
    <row r="233" spans="1:55" x14ac:dyDescent="0.2">
      <c r="A233">
        <v>231</v>
      </c>
      <c r="B233">
        <v>48</v>
      </c>
      <c r="C233">
        <v>0</v>
      </c>
      <c r="D233">
        <v>93</v>
      </c>
      <c r="E233">
        <v>1.61</v>
      </c>
      <c r="F233" s="5">
        <f t="shared" si="4"/>
        <v>35.878245438061796</v>
      </c>
      <c r="G233" s="13">
        <v>3</v>
      </c>
      <c r="H233">
        <v>2</v>
      </c>
      <c r="I233">
        <v>1</v>
      </c>
      <c r="J233">
        <v>1</v>
      </c>
      <c r="K233" s="6">
        <v>0.60416666666666663</v>
      </c>
      <c r="L233" s="6">
        <v>0.86041666666666661</v>
      </c>
      <c r="M233">
        <v>70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</row>
    <row r="234" spans="1:55" x14ac:dyDescent="0.2">
      <c r="A234">
        <v>232</v>
      </c>
      <c r="B234">
        <v>50</v>
      </c>
      <c r="C234">
        <v>0</v>
      </c>
      <c r="D234">
        <v>157.4</v>
      </c>
      <c r="E234">
        <v>1.48</v>
      </c>
      <c r="F234" s="5">
        <f t="shared" si="4"/>
        <v>71.859021183345519</v>
      </c>
      <c r="G234" s="13">
        <v>2</v>
      </c>
      <c r="H234">
        <v>2</v>
      </c>
      <c r="I234">
        <v>2</v>
      </c>
      <c r="J234">
        <v>2</v>
      </c>
      <c r="K234" s="6">
        <v>0.4375</v>
      </c>
      <c r="L234" s="6">
        <v>0.5625</v>
      </c>
      <c r="M234">
        <v>40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</row>
    <row r="235" spans="1:55" x14ac:dyDescent="0.2">
      <c r="A235">
        <v>233</v>
      </c>
      <c r="B235">
        <v>42</v>
      </c>
      <c r="C235">
        <v>0</v>
      </c>
      <c r="D235">
        <v>84.4</v>
      </c>
      <c r="E235">
        <v>1.54</v>
      </c>
      <c r="F235" s="5">
        <f t="shared" si="4"/>
        <v>35.587788834542081</v>
      </c>
      <c r="G235" s="13">
        <v>2</v>
      </c>
      <c r="H235">
        <v>2</v>
      </c>
      <c r="I235">
        <v>1</v>
      </c>
      <c r="J235">
        <v>1</v>
      </c>
      <c r="K235" s="6">
        <v>0.4375</v>
      </c>
      <c r="L235" s="6">
        <v>0.68055555555555547</v>
      </c>
      <c r="M235">
        <v>30</v>
      </c>
      <c r="N235">
        <v>0</v>
      </c>
      <c r="O235">
        <v>0</v>
      </c>
      <c r="P235">
        <v>1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1</v>
      </c>
      <c r="W235" t="s">
        <v>31</v>
      </c>
      <c r="X235" t="s">
        <v>32</v>
      </c>
      <c r="Y235">
        <v>3</v>
      </c>
      <c r="Z235">
        <v>2</v>
      </c>
      <c r="AA235">
        <v>90</v>
      </c>
      <c r="AB235">
        <v>4</v>
      </c>
      <c r="AC235">
        <v>2</v>
      </c>
      <c r="AD235">
        <v>4</v>
      </c>
      <c r="AE235">
        <v>2</v>
      </c>
      <c r="AF235">
        <v>1</v>
      </c>
      <c r="AG235">
        <v>1</v>
      </c>
      <c r="AH235" t="s">
        <v>74</v>
      </c>
      <c r="AI235" t="s">
        <v>75</v>
      </c>
      <c r="AJ235">
        <v>0</v>
      </c>
      <c r="AK235">
        <v>0</v>
      </c>
      <c r="AL235">
        <v>180</v>
      </c>
      <c r="AM235">
        <v>5</v>
      </c>
      <c r="AN235">
        <v>2</v>
      </c>
      <c r="AO235">
        <v>0</v>
      </c>
      <c r="AP235">
        <v>0</v>
      </c>
      <c r="AQ235">
        <v>0</v>
      </c>
      <c r="AR235">
        <v>1</v>
      </c>
      <c r="AS235" t="s">
        <v>29</v>
      </c>
      <c r="AT235" t="s">
        <v>30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</row>
    <row r="236" spans="1:55" x14ac:dyDescent="0.2">
      <c r="A236">
        <v>234</v>
      </c>
      <c r="B236">
        <v>40</v>
      </c>
      <c r="C236">
        <v>0</v>
      </c>
      <c r="D236">
        <v>98</v>
      </c>
      <c r="E236">
        <v>1.6</v>
      </c>
      <c r="F236" s="5">
        <f t="shared" si="4"/>
        <v>38.281249999999993</v>
      </c>
      <c r="G236" s="13">
        <v>1</v>
      </c>
      <c r="H236">
        <v>2</v>
      </c>
      <c r="I236">
        <v>1</v>
      </c>
      <c r="J236">
        <v>1</v>
      </c>
      <c r="K236" s="6">
        <v>0.4375</v>
      </c>
      <c r="L236">
        <v>15.29</v>
      </c>
      <c r="M236">
        <v>31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Y236">
        <v>0</v>
      </c>
      <c r="Z236">
        <v>0</v>
      </c>
      <c r="AA236">
        <v>50</v>
      </c>
      <c r="AB236">
        <v>1</v>
      </c>
      <c r="AC236">
        <v>1</v>
      </c>
      <c r="AD236">
        <v>0</v>
      </c>
      <c r="AE236">
        <v>0</v>
      </c>
      <c r="AF236">
        <v>0</v>
      </c>
      <c r="AG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</row>
    <row r="237" spans="1:55" x14ac:dyDescent="0.2">
      <c r="A237">
        <v>235</v>
      </c>
      <c r="B237">
        <v>42</v>
      </c>
      <c r="C237">
        <v>0</v>
      </c>
      <c r="D237">
        <v>125.4</v>
      </c>
      <c r="E237">
        <v>1.74</v>
      </c>
      <c r="F237" s="5">
        <f t="shared" si="4"/>
        <v>41.418945699564013</v>
      </c>
      <c r="G237" s="13">
        <v>1</v>
      </c>
      <c r="H237">
        <v>2</v>
      </c>
      <c r="I237">
        <v>1</v>
      </c>
      <c r="J237">
        <v>1</v>
      </c>
      <c r="K237" s="6">
        <v>0.4375</v>
      </c>
      <c r="L237" s="6">
        <v>0.7416666666666667</v>
      </c>
      <c r="M237">
        <v>52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Y237">
        <v>0</v>
      </c>
      <c r="Z237">
        <v>0</v>
      </c>
      <c r="AA237">
        <v>50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</row>
    <row r="238" spans="1:55" x14ac:dyDescent="0.2">
      <c r="A238">
        <v>236</v>
      </c>
      <c r="B238">
        <v>27</v>
      </c>
      <c r="C238">
        <v>0</v>
      </c>
      <c r="D238">
        <v>132.5</v>
      </c>
      <c r="E238">
        <v>1.78</v>
      </c>
      <c r="F238" s="5">
        <f t="shared" si="4"/>
        <v>41.819214745612925</v>
      </c>
      <c r="G238" s="13">
        <v>3</v>
      </c>
      <c r="H238">
        <v>2</v>
      </c>
      <c r="I238">
        <v>2</v>
      </c>
      <c r="J238">
        <v>2</v>
      </c>
      <c r="K238" s="6">
        <v>0.44444444444444442</v>
      </c>
      <c r="L238" s="6">
        <v>0.6875</v>
      </c>
      <c r="M238">
        <v>65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</row>
    <row r="239" spans="1:55" x14ac:dyDescent="0.2">
      <c r="A239">
        <v>237</v>
      </c>
      <c r="B239">
        <v>39</v>
      </c>
      <c r="C239">
        <v>0</v>
      </c>
      <c r="D239">
        <v>90.4</v>
      </c>
      <c r="E239">
        <v>1.62</v>
      </c>
      <c r="F239" s="5">
        <f t="shared" si="4"/>
        <v>34.4459686023472</v>
      </c>
      <c r="G239" s="13">
        <v>2</v>
      </c>
      <c r="H239">
        <v>2</v>
      </c>
      <c r="I239">
        <v>1</v>
      </c>
      <c r="J239">
        <v>1</v>
      </c>
      <c r="K239" s="6">
        <v>0.44444444444444442</v>
      </c>
      <c r="L239" s="6">
        <v>0.76388888888888884</v>
      </c>
      <c r="M239">
        <v>40</v>
      </c>
      <c r="N239">
        <v>0</v>
      </c>
      <c r="O239">
        <v>0</v>
      </c>
      <c r="P239">
        <v>1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1</v>
      </c>
      <c r="W239" t="s">
        <v>29</v>
      </c>
      <c r="X239" t="s">
        <v>30</v>
      </c>
      <c r="Y239">
        <v>0</v>
      </c>
      <c r="Z239">
        <v>0</v>
      </c>
      <c r="AA239">
        <v>90</v>
      </c>
      <c r="AB239">
        <v>3</v>
      </c>
      <c r="AC239">
        <v>1</v>
      </c>
      <c r="AD239">
        <v>0</v>
      </c>
      <c r="AE239">
        <v>0</v>
      </c>
      <c r="AF239">
        <v>0</v>
      </c>
      <c r="AG239">
        <v>0</v>
      </c>
      <c r="AJ239">
        <v>0</v>
      </c>
      <c r="AK239">
        <v>0</v>
      </c>
      <c r="AL239">
        <v>180</v>
      </c>
      <c r="AM239">
        <v>5</v>
      </c>
      <c r="AN239">
        <v>2</v>
      </c>
      <c r="AO239">
        <v>0</v>
      </c>
      <c r="AP239">
        <v>0</v>
      </c>
      <c r="AQ239">
        <v>0</v>
      </c>
      <c r="AR239">
        <v>1</v>
      </c>
      <c r="AS239" t="s">
        <v>76</v>
      </c>
      <c r="AT239" t="s">
        <v>42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</row>
    <row r="240" spans="1:55" x14ac:dyDescent="0.2">
      <c r="A240">
        <v>238</v>
      </c>
      <c r="B240">
        <v>51</v>
      </c>
      <c r="C240">
        <v>0</v>
      </c>
      <c r="D240">
        <v>110.6</v>
      </c>
      <c r="E240">
        <v>1.65</v>
      </c>
      <c r="F240" s="5">
        <f t="shared" si="4"/>
        <v>40.624426078971538</v>
      </c>
      <c r="G240" s="13">
        <v>3</v>
      </c>
      <c r="H240">
        <v>2</v>
      </c>
      <c r="I240">
        <v>2</v>
      </c>
      <c r="J240">
        <v>2</v>
      </c>
      <c r="K240" s="6">
        <v>0.44444444444444442</v>
      </c>
      <c r="L240" s="6">
        <v>0.56388888888888888</v>
      </c>
      <c r="M240">
        <v>47</v>
      </c>
      <c r="N240">
        <v>0</v>
      </c>
      <c r="O240">
        <v>0</v>
      </c>
      <c r="P240">
        <v>1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1</v>
      </c>
      <c r="W240" t="s">
        <v>35</v>
      </c>
      <c r="X240" t="s">
        <v>49</v>
      </c>
      <c r="Y240">
        <v>0</v>
      </c>
      <c r="Z240">
        <v>0</v>
      </c>
      <c r="AA240">
        <v>120</v>
      </c>
      <c r="AB240">
        <v>3</v>
      </c>
      <c r="AC240">
        <v>1</v>
      </c>
      <c r="AD240">
        <v>0</v>
      </c>
      <c r="AE240">
        <v>0</v>
      </c>
      <c r="AF240">
        <v>0</v>
      </c>
      <c r="AG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</row>
    <row r="241" spans="1:55" x14ac:dyDescent="0.2">
      <c r="A241">
        <v>239</v>
      </c>
      <c r="B241">
        <v>31</v>
      </c>
      <c r="C241">
        <v>0</v>
      </c>
      <c r="D241">
        <v>137.9</v>
      </c>
      <c r="E241">
        <v>1.76</v>
      </c>
      <c r="F241" s="5">
        <f t="shared" si="4"/>
        <v>44.518336776859506</v>
      </c>
      <c r="G241" s="13">
        <v>1</v>
      </c>
      <c r="H241">
        <v>2</v>
      </c>
      <c r="I241">
        <v>1</v>
      </c>
      <c r="J241">
        <v>1</v>
      </c>
      <c r="K241" s="6">
        <v>0.4513888888888889</v>
      </c>
      <c r="L241" s="6">
        <v>0.57291666666666663</v>
      </c>
      <c r="M241">
        <v>20</v>
      </c>
      <c r="N241">
        <v>0</v>
      </c>
      <c r="O241">
        <v>0</v>
      </c>
      <c r="P241">
        <v>1</v>
      </c>
      <c r="Q241">
        <v>2</v>
      </c>
      <c r="R241">
        <v>1</v>
      </c>
      <c r="S241">
        <v>0</v>
      </c>
      <c r="T241">
        <v>0</v>
      </c>
      <c r="U241">
        <v>0</v>
      </c>
      <c r="V241">
        <v>1</v>
      </c>
      <c r="W241" t="s">
        <v>35</v>
      </c>
      <c r="X241" t="s">
        <v>49</v>
      </c>
      <c r="Y241">
        <v>0</v>
      </c>
      <c r="Z241">
        <v>0</v>
      </c>
      <c r="AA241">
        <v>90</v>
      </c>
      <c r="AB241">
        <v>2</v>
      </c>
      <c r="AC241">
        <v>2</v>
      </c>
      <c r="AD241">
        <v>0</v>
      </c>
      <c r="AE241">
        <v>0</v>
      </c>
      <c r="AF241">
        <v>0</v>
      </c>
      <c r="AG241">
        <v>0</v>
      </c>
      <c r="AJ241">
        <v>0</v>
      </c>
      <c r="AK241">
        <v>0</v>
      </c>
      <c r="AL241">
        <v>120</v>
      </c>
      <c r="AM241">
        <v>2</v>
      </c>
      <c r="AN241">
        <v>1</v>
      </c>
      <c r="AO241">
        <v>0</v>
      </c>
      <c r="AP241">
        <v>0</v>
      </c>
      <c r="AQ241">
        <v>0</v>
      </c>
      <c r="AR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</row>
    <row r="242" spans="1:55" x14ac:dyDescent="0.2">
      <c r="A242">
        <v>240</v>
      </c>
      <c r="B242">
        <v>58</v>
      </c>
      <c r="C242">
        <v>0</v>
      </c>
      <c r="D242">
        <v>90.8</v>
      </c>
      <c r="E242">
        <v>1.56</v>
      </c>
      <c r="F242" s="5">
        <f t="shared" si="4"/>
        <v>37.310979618671922</v>
      </c>
      <c r="G242" s="13">
        <v>2</v>
      </c>
      <c r="H242">
        <v>2</v>
      </c>
      <c r="I242">
        <v>2</v>
      </c>
      <c r="J242">
        <v>2</v>
      </c>
      <c r="K242" s="6">
        <v>0.44791666666666669</v>
      </c>
      <c r="L242" s="6">
        <v>0.64583333333333337</v>
      </c>
      <c r="M242">
        <v>50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</row>
    <row r="243" spans="1:55" x14ac:dyDescent="0.2">
      <c r="A243">
        <v>241</v>
      </c>
      <c r="B243">
        <v>30</v>
      </c>
      <c r="C243">
        <v>0</v>
      </c>
      <c r="D243">
        <v>124.2</v>
      </c>
      <c r="E243">
        <v>1.56</v>
      </c>
      <c r="F243" s="5">
        <f t="shared" si="4"/>
        <v>51.035502958579876</v>
      </c>
      <c r="G243" s="13">
        <v>3</v>
      </c>
      <c r="H243">
        <v>2</v>
      </c>
      <c r="I243">
        <v>1</v>
      </c>
      <c r="J243">
        <v>1</v>
      </c>
      <c r="K243" s="6">
        <v>0.44791666666666669</v>
      </c>
      <c r="L243" s="6">
        <v>0.64027777777777783</v>
      </c>
      <c r="M243">
        <v>60</v>
      </c>
      <c r="N243">
        <v>0</v>
      </c>
      <c r="O243">
        <v>0</v>
      </c>
      <c r="P243">
        <v>1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1</v>
      </c>
      <c r="W243" t="s">
        <v>35</v>
      </c>
      <c r="X243" t="s">
        <v>49</v>
      </c>
      <c r="Y243">
        <v>0</v>
      </c>
      <c r="Z243">
        <v>0</v>
      </c>
      <c r="AA243">
        <v>90</v>
      </c>
      <c r="AB243">
        <v>2</v>
      </c>
      <c r="AC243">
        <v>1</v>
      </c>
      <c r="AD243">
        <v>0</v>
      </c>
      <c r="AE243">
        <v>0</v>
      </c>
      <c r="AF243">
        <v>0</v>
      </c>
      <c r="AG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</row>
    <row r="244" spans="1:55" x14ac:dyDescent="0.2">
      <c r="A244">
        <v>242</v>
      </c>
      <c r="B244">
        <v>52</v>
      </c>
      <c r="C244">
        <v>0</v>
      </c>
      <c r="D244">
        <v>69</v>
      </c>
      <c r="E244">
        <v>1.5</v>
      </c>
      <c r="F244" s="5">
        <f t="shared" si="4"/>
        <v>30.666666666666668</v>
      </c>
      <c r="G244" s="13">
        <v>1</v>
      </c>
      <c r="H244">
        <v>2</v>
      </c>
      <c r="I244">
        <v>2</v>
      </c>
      <c r="J244">
        <v>2</v>
      </c>
      <c r="K244" s="6">
        <v>0.54166666666666663</v>
      </c>
      <c r="L244" s="6">
        <v>0.79513888888888884</v>
      </c>
      <c r="M244">
        <v>38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Y244">
        <v>0</v>
      </c>
      <c r="Z244">
        <v>0</v>
      </c>
      <c r="AA244">
        <v>120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</row>
    <row r="245" spans="1:55" x14ac:dyDescent="0.2">
      <c r="A245">
        <v>243</v>
      </c>
      <c r="B245">
        <v>27</v>
      </c>
      <c r="C245">
        <v>0</v>
      </c>
      <c r="D245">
        <v>115</v>
      </c>
      <c r="E245">
        <v>1.68</v>
      </c>
      <c r="F245" s="5">
        <f t="shared" si="4"/>
        <v>40.745464852607718</v>
      </c>
      <c r="G245" s="13">
        <v>1</v>
      </c>
      <c r="H245">
        <v>1</v>
      </c>
      <c r="I245">
        <v>1</v>
      </c>
      <c r="J245">
        <v>1</v>
      </c>
      <c r="K245" s="6">
        <v>0.54166666666666663</v>
      </c>
      <c r="L245" s="6">
        <v>0.90625</v>
      </c>
      <c r="M245">
        <v>40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 t="s">
        <v>31</v>
      </c>
      <c r="X245" t="s">
        <v>32</v>
      </c>
      <c r="Y245">
        <v>0</v>
      </c>
      <c r="Z245">
        <v>0</v>
      </c>
      <c r="AA245">
        <v>50</v>
      </c>
      <c r="AB245">
        <v>2</v>
      </c>
      <c r="AC245">
        <v>1</v>
      </c>
      <c r="AD245">
        <v>0</v>
      </c>
      <c r="AE245">
        <v>0</v>
      </c>
      <c r="AF245">
        <v>0</v>
      </c>
      <c r="AG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</row>
    <row r="246" spans="1:55" x14ac:dyDescent="0.2">
      <c r="A246">
        <v>244</v>
      </c>
      <c r="B246">
        <v>25</v>
      </c>
      <c r="C246">
        <v>0</v>
      </c>
      <c r="D246">
        <v>108.2</v>
      </c>
      <c r="E246">
        <v>1.58</v>
      </c>
      <c r="F246" s="5">
        <f t="shared" si="4"/>
        <v>43.342413074827746</v>
      </c>
      <c r="G246" s="13">
        <v>2</v>
      </c>
      <c r="H246">
        <v>1</v>
      </c>
      <c r="I246">
        <v>2</v>
      </c>
      <c r="J246">
        <v>2</v>
      </c>
      <c r="K246" s="6">
        <v>0.54166666666666663</v>
      </c>
      <c r="L246" s="6">
        <v>0.80555555555555547</v>
      </c>
      <c r="M246">
        <v>40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</row>
    <row r="247" spans="1:55" x14ac:dyDescent="0.2">
      <c r="A247">
        <v>245</v>
      </c>
      <c r="B247">
        <v>34</v>
      </c>
      <c r="C247">
        <v>0</v>
      </c>
      <c r="D247">
        <v>118.4</v>
      </c>
      <c r="E247">
        <v>1.65</v>
      </c>
      <c r="F247" s="5">
        <f t="shared" si="4"/>
        <v>43.48943985307622</v>
      </c>
      <c r="G247" s="13">
        <v>3</v>
      </c>
      <c r="H247">
        <v>3</v>
      </c>
      <c r="I247">
        <v>1</v>
      </c>
      <c r="J247">
        <v>1</v>
      </c>
      <c r="K247" s="6">
        <v>0.58333333333333337</v>
      </c>
      <c r="L247" s="6">
        <v>0.86111111111111116</v>
      </c>
      <c r="M247">
        <v>38</v>
      </c>
      <c r="N247">
        <v>0</v>
      </c>
      <c r="O247">
        <v>0</v>
      </c>
      <c r="P247">
        <v>1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1</v>
      </c>
      <c r="W247" t="s">
        <v>35</v>
      </c>
      <c r="X247" t="s">
        <v>36</v>
      </c>
      <c r="Y247">
        <v>0</v>
      </c>
      <c r="Z247">
        <v>0</v>
      </c>
      <c r="AA247">
        <v>90</v>
      </c>
      <c r="AB247">
        <v>4</v>
      </c>
      <c r="AC247">
        <v>3</v>
      </c>
      <c r="AD247">
        <v>1</v>
      </c>
      <c r="AE247">
        <v>1</v>
      </c>
      <c r="AF247">
        <v>1</v>
      </c>
      <c r="AG247">
        <v>1</v>
      </c>
      <c r="AH247" t="s">
        <v>53</v>
      </c>
      <c r="AI247" t="s">
        <v>30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</row>
    <row r="248" spans="1:55" x14ac:dyDescent="0.2">
      <c r="A248">
        <v>246</v>
      </c>
      <c r="B248">
        <v>41</v>
      </c>
      <c r="C248">
        <v>0</v>
      </c>
      <c r="D248">
        <v>110.1</v>
      </c>
      <c r="E248">
        <v>1.63</v>
      </c>
      <c r="F248" s="5">
        <f t="shared" si="4"/>
        <v>41.439271331250708</v>
      </c>
      <c r="G248" s="13">
        <v>1</v>
      </c>
      <c r="H248">
        <v>2</v>
      </c>
      <c r="I248">
        <v>2</v>
      </c>
      <c r="J248">
        <v>2</v>
      </c>
      <c r="K248" s="6">
        <v>0.54166666666666663</v>
      </c>
      <c r="L248" s="6">
        <v>0.99652777777777779</v>
      </c>
      <c r="M248">
        <v>56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Y248">
        <v>0</v>
      </c>
      <c r="Z248">
        <v>0</v>
      </c>
      <c r="AA248">
        <v>50</v>
      </c>
      <c r="AB248">
        <v>1</v>
      </c>
      <c r="AC248">
        <v>1</v>
      </c>
      <c r="AD248">
        <v>0</v>
      </c>
      <c r="AE248">
        <v>0</v>
      </c>
      <c r="AF248">
        <v>0</v>
      </c>
      <c r="AG248">
        <v>0</v>
      </c>
      <c r="AH248" t="s">
        <v>31</v>
      </c>
      <c r="AI248" t="s">
        <v>33</v>
      </c>
      <c r="AJ248">
        <v>0</v>
      </c>
      <c r="AK248">
        <v>0</v>
      </c>
      <c r="AL248">
        <v>90</v>
      </c>
      <c r="AM248">
        <v>1</v>
      </c>
      <c r="AN248">
        <v>1</v>
      </c>
      <c r="AO248">
        <v>0</v>
      </c>
      <c r="AP248">
        <v>0</v>
      </c>
      <c r="AQ248">
        <v>0</v>
      </c>
      <c r="AR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</row>
    <row r="249" spans="1:55" x14ac:dyDescent="0.2">
      <c r="A249">
        <v>247</v>
      </c>
      <c r="B249">
        <v>48</v>
      </c>
      <c r="C249">
        <v>0</v>
      </c>
      <c r="D249">
        <v>86.2</v>
      </c>
      <c r="E249">
        <v>1.58</v>
      </c>
      <c r="F249" s="5">
        <f t="shared" si="4"/>
        <v>34.529722800833198</v>
      </c>
      <c r="G249" s="13">
        <v>1</v>
      </c>
      <c r="H249">
        <v>2</v>
      </c>
      <c r="I249">
        <v>1</v>
      </c>
      <c r="J249">
        <v>1</v>
      </c>
      <c r="K249" s="6">
        <v>0.54166666666666663</v>
      </c>
      <c r="L249" s="6">
        <v>0.95138888888888884</v>
      </c>
      <c r="M249">
        <v>30</v>
      </c>
      <c r="N249">
        <v>0</v>
      </c>
      <c r="O249">
        <v>0</v>
      </c>
      <c r="P249">
        <v>1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Y249">
        <v>1</v>
      </c>
      <c r="Z249">
        <v>0</v>
      </c>
      <c r="AA249">
        <v>90</v>
      </c>
      <c r="AB249">
        <v>4</v>
      </c>
      <c r="AC249">
        <v>1</v>
      </c>
      <c r="AD249">
        <v>0</v>
      </c>
      <c r="AE249">
        <v>0</v>
      </c>
      <c r="AF249">
        <v>0</v>
      </c>
      <c r="AG249">
        <v>1</v>
      </c>
      <c r="AH249" t="s">
        <v>47</v>
      </c>
      <c r="AI249" t="s">
        <v>42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</row>
    <row r="250" spans="1:55" x14ac:dyDescent="0.2">
      <c r="A250">
        <v>248</v>
      </c>
      <c r="B250">
        <v>42</v>
      </c>
      <c r="C250">
        <v>0</v>
      </c>
      <c r="D250">
        <v>146.9</v>
      </c>
      <c r="E250">
        <v>1.78</v>
      </c>
      <c r="F250" s="5">
        <f t="shared" si="4"/>
        <v>46.364095442494637</v>
      </c>
      <c r="G250" s="13">
        <v>3</v>
      </c>
      <c r="H250">
        <v>2</v>
      </c>
      <c r="I250">
        <v>2</v>
      </c>
      <c r="J250">
        <v>2</v>
      </c>
      <c r="K250" s="6">
        <v>0.54166666666666663</v>
      </c>
      <c r="L250" s="6">
        <v>0.89722222222222225</v>
      </c>
      <c r="M250">
        <v>50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t="s">
        <v>31</v>
      </c>
      <c r="X250" t="s">
        <v>32</v>
      </c>
      <c r="Y250">
        <v>1</v>
      </c>
      <c r="Z250">
        <v>0</v>
      </c>
      <c r="AA250">
        <v>120</v>
      </c>
      <c r="AB250">
        <v>1</v>
      </c>
      <c r="AC250">
        <v>1</v>
      </c>
      <c r="AD250">
        <v>0</v>
      </c>
      <c r="AE250">
        <v>0</v>
      </c>
      <c r="AF250">
        <v>0</v>
      </c>
      <c r="AG250">
        <v>1</v>
      </c>
      <c r="AH250" t="s">
        <v>29</v>
      </c>
      <c r="AI250" t="s">
        <v>30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</row>
    <row r="251" spans="1:55" x14ac:dyDescent="0.2">
      <c r="A251">
        <v>249</v>
      </c>
      <c r="B251">
        <v>44</v>
      </c>
      <c r="C251">
        <v>0</v>
      </c>
      <c r="D251">
        <v>113.3</v>
      </c>
      <c r="E251">
        <v>1.61</v>
      </c>
      <c r="F251" s="5">
        <f t="shared" si="4"/>
        <v>43.709733420778512</v>
      </c>
      <c r="G251" s="13">
        <v>3</v>
      </c>
      <c r="H251">
        <v>2</v>
      </c>
      <c r="I251">
        <v>1</v>
      </c>
      <c r="J251">
        <v>1</v>
      </c>
      <c r="K251" s="6">
        <v>0.58333333333333337</v>
      </c>
      <c r="L251" s="6">
        <v>0.94374999999999998</v>
      </c>
      <c r="M251">
        <v>65</v>
      </c>
      <c r="N251">
        <v>0</v>
      </c>
      <c r="O251">
        <v>0</v>
      </c>
      <c r="P251">
        <v>1</v>
      </c>
      <c r="Q251">
        <v>1</v>
      </c>
      <c r="R251">
        <v>1</v>
      </c>
      <c r="S251">
        <v>0</v>
      </c>
      <c r="T251">
        <v>0</v>
      </c>
      <c r="U251">
        <v>0</v>
      </c>
      <c r="V251">
        <v>1</v>
      </c>
      <c r="W251" t="s">
        <v>35</v>
      </c>
      <c r="X251" t="s">
        <v>49</v>
      </c>
      <c r="Y251">
        <v>0</v>
      </c>
      <c r="Z251">
        <v>0</v>
      </c>
      <c r="AA251">
        <v>90</v>
      </c>
      <c r="AB251">
        <v>4</v>
      </c>
      <c r="AC251">
        <v>2</v>
      </c>
      <c r="AD251">
        <v>0</v>
      </c>
      <c r="AE251">
        <v>0</v>
      </c>
      <c r="AF251">
        <v>0</v>
      </c>
      <c r="AG251">
        <v>1</v>
      </c>
      <c r="AH251" t="s">
        <v>56</v>
      </c>
      <c r="AI251" t="s">
        <v>57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</row>
    <row r="252" spans="1:55" x14ac:dyDescent="0.2">
      <c r="A252">
        <v>250</v>
      </c>
      <c r="B252">
        <v>25</v>
      </c>
      <c r="C252">
        <v>0</v>
      </c>
      <c r="D252">
        <v>94.3</v>
      </c>
      <c r="E252">
        <v>1.57</v>
      </c>
      <c r="F252" s="5">
        <f t="shared" si="4"/>
        <v>38.257130106698035</v>
      </c>
      <c r="G252" s="13">
        <v>3</v>
      </c>
      <c r="H252">
        <v>2</v>
      </c>
      <c r="I252">
        <v>2</v>
      </c>
      <c r="J252">
        <v>2</v>
      </c>
      <c r="K252" s="6">
        <v>0.39930555555555558</v>
      </c>
      <c r="L252" s="6">
        <v>0.56736111111111109</v>
      </c>
      <c r="M252">
        <v>45</v>
      </c>
      <c r="N252">
        <v>2</v>
      </c>
      <c r="O252">
        <v>1</v>
      </c>
      <c r="P252">
        <v>1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</row>
    <row r="253" spans="1:55" x14ac:dyDescent="0.2">
      <c r="A253">
        <v>251</v>
      </c>
      <c r="B253">
        <v>29</v>
      </c>
      <c r="C253">
        <v>0</v>
      </c>
      <c r="D253">
        <v>117.5</v>
      </c>
      <c r="E253">
        <v>1.66</v>
      </c>
      <c r="F253" s="5">
        <f t="shared" si="4"/>
        <v>42.640441283205114</v>
      </c>
      <c r="G253" s="13">
        <v>1</v>
      </c>
      <c r="H253">
        <v>2</v>
      </c>
      <c r="I253">
        <v>3</v>
      </c>
      <c r="J253">
        <v>2</v>
      </c>
      <c r="K253" s="6">
        <v>0.40277777777777773</v>
      </c>
      <c r="L253" s="6">
        <v>0.61597222222222225</v>
      </c>
      <c r="M253">
        <v>60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</row>
    <row r="254" spans="1:55" x14ac:dyDescent="0.2">
      <c r="A254">
        <v>252</v>
      </c>
      <c r="B254">
        <v>34</v>
      </c>
      <c r="C254">
        <v>0</v>
      </c>
      <c r="D254">
        <v>118.9</v>
      </c>
      <c r="E254">
        <v>1.78</v>
      </c>
      <c r="F254" s="5">
        <f t="shared" si="4"/>
        <v>37.526827420780208</v>
      </c>
      <c r="G254" s="13">
        <v>2</v>
      </c>
      <c r="H254">
        <v>2</v>
      </c>
      <c r="I254">
        <v>1</v>
      </c>
      <c r="J254">
        <v>1</v>
      </c>
      <c r="K254" s="6">
        <v>0.40277777777777773</v>
      </c>
      <c r="L254" s="6">
        <v>0.75694444444444453</v>
      </c>
      <c r="M254">
        <v>60</v>
      </c>
      <c r="N254">
        <v>2</v>
      </c>
      <c r="O254">
        <v>1</v>
      </c>
      <c r="P254">
        <v>1</v>
      </c>
      <c r="Q254">
        <v>2</v>
      </c>
      <c r="R254">
        <v>1</v>
      </c>
      <c r="S254">
        <v>0</v>
      </c>
      <c r="T254">
        <v>0</v>
      </c>
      <c r="U254">
        <v>0</v>
      </c>
      <c r="V254">
        <v>1</v>
      </c>
      <c r="W254" t="s">
        <v>29</v>
      </c>
      <c r="X254" t="s">
        <v>30</v>
      </c>
      <c r="Y254">
        <v>0</v>
      </c>
      <c r="Z254">
        <v>0</v>
      </c>
      <c r="AA254">
        <v>0</v>
      </c>
      <c r="AB254">
        <v>6</v>
      </c>
      <c r="AC254">
        <v>3</v>
      </c>
      <c r="AD254">
        <v>0</v>
      </c>
      <c r="AE254">
        <v>0</v>
      </c>
      <c r="AF254">
        <v>0</v>
      </c>
      <c r="AG254">
        <v>0</v>
      </c>
      <c r="AJ254">
        <v>0</v>
      </c>
      <c r="AK254">
        <v>0</v>
      </c>
      <c r="AL254">
        <v>30</v>
      </c>
      <c r="AM254">
        <v>2</v>
      </c>
      <c r="AN254">
        <v>1</v>
      </c>
      <c r="AO254">
        <v>0</v>
      </c>
      <c r="AP254">
        <v>0</v>
      </c>
      <c r="AQ254">
        <v>0</v>
      </c>
      <c r="AR254">
        <v>0</v>
      </c>
      <c r="AU254">
        <v>0</v>
      </c>
      <c r="AV254">
        <v>0</v>
      </c>
      <c r="AW254">
        <v>120</v>
      </c>
      <c r="AX254">
        <v>4</v>
      </c>
      <c r="AY254">
        <v>1</v>
      </c>
      <c r="AZ254">
        <v>0</v>
      </c>
      <c r="BA254">
        <v>0</v>
      </c>
      <c r="BB254">
        <v>0</v>
      </c>
      <c r="BC254">
        <v>0</v>
      </c>
    </row>
    <row r="255" spans="1:55" x14ac:dyDescent="0.2">
      <c r="A255">
        <v>253</v>
      </c>
      <c r="B255">
        <v>30</v>
      </c>
      <c r="C255">
        <v>0</v>
      </c>
      <c r="D255">
        <v>92.8</v>
      </c>
      <c r="E255">
        <v>1.5</v>
      </c>
      <c r="F255" s="5">
        <f t="shared" si="4"/>
        <v>41.24444444444444</v>
      </c>
      <c r="G255" s="13">
        <v>1</v>
      </c>
      <c r="H255">
        <v>2</v>
      </c>
      <c r="I255">
        <v>2</v>
      </c>
      <c r="J255">
        <v>2</v>
      </c>
      <c r="K255" s="6">
        <v>0.40625</v>
      </c>
      <c r="L255" s="6">
        <v>0.72638888888888886</v>
      </c>
      <c r="M255">
        <v>40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t="s">
        <v>31</v>
      </c>
      <c r="X255" t="s">
        <v>32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</row>
    <row r="256" spans="1:55" x14ac:dyDescent="0.2">
      <c r="A256">
        <v>254</v>
      </c>
      <c r="B256">
        <v>29</v>
      </c>
      <c r="C256">
        <v>0</v>
      </c>
      <c r="D256">
        <v>127.9</v>
      </c>
      <c r="E256">
        <v>1.65</v>
      </c>
      <c r="F256" s="5">
        <f t="shared" si="4"/>
        <v>46.978879706152441</v>
      </c>
      <c r="G256" s="13">
        <v>3</v>
      </c>
      <c r="H256">
        <v>2</v>
      </c>
      <c r="I256">
        <v>3</v>
      </c>
      <c r="J256">
        <v>2</v>
      </c>
      <c r="K256" s="6">
        <v>0.40625</v>
      </c>
      <c r="L256" s="6">
        <v>0.80069444444444438</v>
      </c>
      <c r="M256">
        <v>45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</row>
    <row r="257" spans="1:55" x14ac:dyDescent="0.2">
      <c r="A257">
        <v>255</v>
      </c>
      <c r="B257">
        <v>47</v>
      </c>
      <c r="C257">
        <v>0</v>
      </c>
      <c r="D257">
        <v>111.2</v>
      </c>
      <c r="E257">
        <v>1.6</v>
      </c>
      <c r="F257" s="5">
        <f t="shared" si="4"/>
        <v>43.437499999999993</v>
      </c>
      <c r="G257" s="13">
        <v>1</v>
      </c>
      <c r="H257">
        <v>2</v>
      </c>
      <c r="I257">
        <v>1</v>
      </c>
      <c r="J257">
        <v>1</v>
      </c>
      <c r="K257" s="6">
        <v>0.41111111111111115</v>
      </c>
      <c r="L257" s="6">
        <v>0.56944444444444442</v>
      </c>
      <c r="M257">
        <v>27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</row>
    <row r="258" spans="1:55" x14ac:dyDescent="0.2">
      <c r="A258">
        <v>256</v>
      </c>
      <c r="B258">
        <v>48</v>
      </c>
      <c r="C258">
        <v>0</v>
      </c>
      <c r="D258">
        <v>91</v>
      </c>
      <c r="E258">
        <v>1.66</v>
      </c>
      <c r="F258" s="5">
        <f t="shared" si="4"/>
        <v>33.023660908695021</v>
      </c>
      <c r="G258" s="13">
        <v>3</v>
      </c>
      <c r="H258">
        <v>2</v>
      </c>
      <c r="I258">
        <v>2</v>
      </c>
      <c r="J258">
        <v>2</v>
      </c>
      <c r="K258" s="6">
        <v>0.41319444444444442</v>
      </c>
      <c r="L258" s="6">
        <v>0.73749999999999993</v>
      </c>
      <c r="M258">
        <v>20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</row>
    <row r="259" spans="1:55" x14ac:dyDescent="0.2">
      <c r="A259">
        <v>257</v>
      </c>
      <c r="B259">
        <v>33</v>
      </c>
      <c r="C259">
        <v>0</v>
      </c>
      <c r="D259">
        <v>90.8</v>
      </c>
      <c r="E259">
        <v>1.63</v>
      </c>
      <c r="F259" s="5">
        <f t="shared" si="4"/>
        <v>34.175166547480146</v>
      </c>
      <c r="G259" s="13">
        <v>3</v>
      </c>
      <c r="H259">
        <v>1</v>
      </c>
      <c r="I259">
        <v>3</v>
      </c>
      <c r="J259">
        <v>2</v>
      </c>
      <c r="K259" s="6">
        <v>0.41666666666666669</v>
      </c>
      <c r="L259" s="6">
        <v>0.62361111111111112</v>
      </c>
      <c r="M259">
        <v>36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</row>
    <row r="260" spans="1:55" x14ac:dyDescent="0.2">
      <c r="A260">
        <v>258</v>
      </c>
      <c r="B260">
        <v>42</v>
      </c>
      <c r="C260">
        <v>0</v>
      </c>
      <c r="D260">
        <v>128.80000000000001</v>
      </c>
      <c r="E260">
        <v>1.66</v>
      </c>
      <c r="F260" s="5">
        <f t="shared" si="4"/>
        <v>46.741181593845269</v>
      </c>
      <c r="G260" s="13">
        <v>2</v>
      </c>
      <c r="H260">
        <v>2</v>
      </c>
      <c r="I260">
        <v>1</v>
      </c>
      <c r="J260">
        <v>1</v>
      </c>
      <c r="K260" s="6">
        <v>0.42708333333333331</v>
      </c>
      <c r="L260" s="6">
        <v>0.61805555555555558</v>
      </c>
      <c r="M260">
        <v>60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t="s">
        <v>77</v>
      </c>
      <c r="X260" t="s">
        <v>33</v>
      </c>
      <c r="Y260">
        <v>0</v>
      </c>
      <c r="Z260">
        <v>1</v>
      </c>
      <c r="AA260">
        <v>50</v>
      </c>
      <c r="AB260">
        <v>2</v>
      </c>
      <c r="AC260">
        <v>1</v>
      </c>
      <c r="AD260">
        <v>1</v>
      </c>
      <c r="AE260">
        <v>1</v>
      </c>
      <c r="AF260">
        <v>1</v>
      </c>
      <c r="AG260">
        <v>1</v>
      </c>
      <c r="AJ260">
        <v>0</v>
      </c>
      <c r="AK260">
        <v>0</v>
      </c>
      <c r="AL260">
        <v>180</v>
      </c>
      <c r="AM260">
        <v>6</v>
      </c>
      <c r="AN260">
        <v>2</v>
      </c>
      <c r="AO260">
        <v>0</v>
      </c>
      <c r="AP260">
        <v>0</v>
      </c>
      <c r="AQ260">
        <v>0</v>
      </c>
      <c r="AR260">
        <v>0</v>
      </c>
      <c r="AU260">
        <v>0</v>
      </c>
      <c r="AV260">
        <v>0</v>
      </c>
      <c r="AW260">
        <v>120</v>
      </c>
      <c r="AX260">
        <v>3</v>
      </c>
      <c r="AY260">
        <v>1</v>
      </c>
      <c r="AZ260">
        <v>0</v>
      </c>
      <c r="BA260">
        <v>0</v>
      </c>
      <c r="BB260">
        <v>0</v>
      </c>
      <c r="BC260">
        <v>0</v>
      </c>
    </row>
    <row r="261" spans="1:55" x14ac:dyDescent="0.2">
      <c r="A261">
        <v>259</v>
      </c>
      <c r="B261">
        <v>27</v>
      </c>
      <c r="C261">
        <v>0</v>
      </c>
      <c r="D261">
        <v>107.2</v>
      </c>
      <c r="E261">
        <v>1.64</v>
      </c>
      <c r="F261" s="5">
        <f t="shared" si="4"/>
        <v>39.857227840571099</v>
      </c>
      <c r="G261" s="13">
        <v>2</v>
      </c>
      <c r="H261">
        <v>2</v>
      </c>
      <c r="I261">
        <v>2</v>
      </c>
      <c r="J261">
        <v>2</v>
      </c>
      <c r="K261" s="6">
        <v>0.41666666666666669</v>
      </c>
      <c r="L261" s="6">
        <v>0.70833333333333337</v>
      </c>
      <c r="M261">
        <v>50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 t="s">
        <v>31</v>
      </c>
      <c r="X261" t="s">
        <v>33</v>
      </c>
      <c r="Y261">
        <v>1</v>
      </c>
      <c r="Z261">
        <v>1</v>
      </c>
      <c r="AA261">
        <v>120</v>
      </c>
      <c r="AB261">
        <v>0</v>
      </c>
      <c r="AC261">
        <v>2</v>
      </c>
      <c r="AD261">
        <v>1</v>
      </c>
      <c r="AE261">
        <v>1</v>
      </c>
      <c r="AF261">
        <v>1</v>
      </c>
      <c r="AG261">
        <v>1</v>
      </c>
      <c r="AH261" t="s">
        <v>78</v>
      </c>
      <c r="AI261" t="s">
        <v>42</v>
      </c>
      <c r="AJ261">
        <v>0</v>
      </c>
      <c r="AK261">
        <v>0</v>
      </c>
      <c r="AL261">
        <v>120</v>
      </c>
      <c r="AM261">
        <v>7</v>
      </c>
      <c r="AN261">
        <v>1</v>
      </c>
      <c r="AO261">
        <v>0</v>
      </c>
      <c r="AP261">
        <v>0</v>
      </c>
      <c r="AQ261">
        <v>0</v>
      </c>
      <c r="AR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</row>
    <row r="262" spans="1:55" x14ac:dyDescent="0.2">
      <c r="A262">
        <v>260</v>
      </c>
      <c r="B262">
        <v>28</v>
      </c>
      <c r="C262">
        <v>0</v>
      </c>
      <c r="D262">
        <v>117</v>
      </c>
      <c r="E262">
        <v>1.63</v>
      </c>
      <c r="F262" s="5">
        <f t="shared" si="4"/>
        <v>44.036282886070232</v>
      </c>
      <c r="G262" s="13">
        <v>1</v>
      </c>
      <c r="H262">
        <v>2</v>
      </c>
      <c r="I262">
        <v>3</v>
      </c>
      <c r="J262">
        <v>2</v>
      </c>
      <c r="K262" s="6">
        <v>0.61111111111111105</v>
      </c>
      <c r="L262" s="6">
        <v>0.68125000000000002</v>
      </c>
      <c r="M262">
        <v>30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</row>
    <row r="263" spans="1:55" x14ac:dyDescent="0.2">
      <c r="A263">
        <v>261</v>
      </c>
      <c r="B263">
        <v>55</v>
      </c>
      <c r="C263">
        <v>0</v>
      </c>
      <c r="D263">
        <v>99.5</v>
      </c>
      <c r="E263">
        <v>1.68</v>
      </c>
      <c r="F263" s="5">
        <f t="shared" si="4"/>
        <v>35.253684807256242</v>
      </c>
      <c r="G263" s="13">
        <v>3</v>
      </c>
      <c r="H263">
        <v>2</v>
      </c>
      <c r="I263">
        <v>1</v>
      </c>
      <c r="J263">
        <v>1</v>
      </c>
      <c r="K263" s="6">
        <v>0.61805555555555558</v>
      </c>
      <c r="L263" s="6">
        <v>0.66666666666666663</v>
      </c>
      <c r="M263">
        <v>25</v>
      </c>
      <c r="N263">
        <v>0</v>
      </c>
      <c r="O263">
        <v>0</v>
      </c>
      <c r="P263">
        <v>1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0</v>
      </c>
      <c r="Y263">
        <v>0</v>
      </c>
      <c r="Z263">
        <v>0</v>
      </c>
      <c r="AA263">
        <v>50</v>
      </c>
      <c r="AB263">
        <v>2</v>
      </c>
      <c r="AC263">
        <v>2</v>
      </c>
      <c r="AD263">
        <v>2</v>
      </c>
      <c r="AE263">
        <v>0</v>
      </c>
      <c r="AF263">
        <v>0</v>
      </c>
      <c r="AG263">
        <v>0</v>
      </c>
      <c r="AJ263">
        <v>0</v>
      </c>
      <c r="AK263">
        <v>0</v>
      </c>
      <c r="AL263">
        <v>180</v>
      </c>
      <c r="AM263">
        <v>5</v>
      </c>
      <c r="AN263">
        <v>2</v>
      </c>
      <c r="AO263">
        <v>0</v>
      </c>
      <c r="AP263">
        <v>0</v>
      </c>
      <c r="AQ263">
        <v>0</v>
      </c>
      <c r="AR263">
        <v>0</v>
      </c>
      <c r="AU263">
        <v>0</v>
      </c>
      <c r="AV263">
        <v>0</v>
      </c>
      <c r="AW263">
        <v>360</v>
      </c>
      <c r="AX263">
        <v>7</v>
      </c>
      <c r="AY263">
        <v>1</v>
      </c>
      <c r="AZ263">
        <v>0</v>
      </c>
      <c r="BA263">
        <v>0</v>
      </c>
      <c r="BB263">
        <v>0</v>
      </c>
      <c r="BC263">
        <v>0</v>
      </c>
    </row>
    <row r="264" spans="1:55" x14ac:dyDescent="0.2">
      <c r="A264">
        <v>262</v>
      </c>
      <c r="B264">
        <v>34</v>
      </c>
      <c r="C264">
        <v>0</v>
      </c>
      <c r="D264">
        <v>114</v>
      </c>
      <c r="E264">
        <v>1.76</v>
      </c>
      <c r="F264" s="5">
        <f t="shared" si="4"/>
        <v>36.802685950413228</v>
      </c>
      <c r="G264" s="13">
        <v>2</v>
      </c>
      <c r="H264">
        <v>2</v>
      </c>
      <c r="I264">
        <v>2</v>
      </c>
      <c r="J264">
        <v>2</v>
      </c>
      <c r="K264" s="6">
        <v>0.61805555555555558</v>
      </c>
      <c r="L264" s="6">
        <v>0.67361111111111116</v>
      </c>
      <c r="M264">
        <v>30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</row>
    <row r="265" spans="1:55" x14ac:dyDescent="0.2">
      <c r="A265">
        <v>263</v>
      </c>
      <c r="B265">
        <v>55</v>
      </c>
      <c r="C265">
        <v>0</v>
      </c>
      <c r="D265">
        <v>78.3</v>
      </c>
      <c r="E265">
        <v>1.61</v>
      </c>
      <c r="F265" s="5">
        <f t="shared" si="4"/>
        <v>30.207167933335899</v>
      </c>
      <c r="G265" s="13">
        <v>1</v>
      </c>
      <c r="H265">
        <v>2</v>
      </c>
      <c r="I265">
        <v>3</v>
      </c>
      <c r="J265">
        <v>2</v>
      </c>
      <c r="K265" s="6">
        <v>0.625</v>
      </c>
      <c r="L265" s="6">
        <v>0.77986111111111101</v>
      </c>
      <c r="M265">
        <v>40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t="s">
        <v>31</v>
      </c>
      <c r="X265" t="s">
        <v>33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</row>
    <row r="266" spans="1:55" x14ac:dyDescent="0.2">
      <c r="A266">
        <v>264</v>
      </c>
      <c r="B266">
        <v>40</v>
      </c>
      <c r="C266">
        <v>0</v>
      </c>
      <c r="D266">
        <v>127</v>
      </c>
      <c r="E266">
        <v>1.65</v>
      </c>
      <c r="F266" s="5">
        <f t="shared" si="4"/>
        <v>46.648301193755742</v>
      </c>
      <c r="G266" s="13">
        <v>3</v>
      </c>
      <c r="H266">
        <v>2</v>
      </c>
      <c r="I266">
        <v>1</v>
      </c>
      <c r="J266">
        <v>1</v>
      </c>
      <c r="K266" s="6">
        <v>0.625</v>
      </c>
      <c r="L266" s="6">
        <v>0.85416666666666663</v>
      </c>
      <c r="M266">
        <v>60</v>
      </c>
      <c r="N266">
        <v>0</v>
      </c>
      <c r="O266">
        <v>0</v>
      </c>
      <c r="P266">
        <v>1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0</v>
      </c>
      <c r="Y266">
        <v>0</v>
      </c>
      <c r="Z266">
        <v>0</v>
      </c>
      <c r="AA266">
        <v>30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</row>
    <row r="267" spans="1:55" x14ac:dyDescent="0.2">
      <c r="A267">
        <v>265</v>
      </c>
      <c r="B267">
        <v>59</v>
      </c>
      <c r="C267">
        <v>0</v>
      </c>
      <c r="D267">
        <v>97</v>
      </c>
      <c r="E267">
        <v>1.59</v>
      </c>
      <c r="F267" s="5">
        <f t="shared" si="4"/>
        <v>38.368735413947228</v>
      </c>
      <c r="G267" s="13">
        <v>1</v>
      </c>
      <c r="H267">
        <v>2</v>
      </c>
      <c r="I267">
        <v>2</v>
      </c>
      <c r="J267">
        <v>2</v>
      </c>
      <c r="K267" s="6">
        <v>0.625</v>
      </c>
      <c r="L267" s="6">
        <v>0.90833333333333333</v>
      </c>
      <c r="M267">
        <v>40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</row>
    <row r="268" spans="1:55" x14ac:dyDescent="0.2">
      <c r="A268">
        <v>266</v>
      </c>
      <c r="B268">
        <v>32</v>
      </c>
      <c r="C268">
        <v>0</v>
      </c>
      <c r="D268">
        <v>124.5</v>
      </c>
      <c r="E268">
        <v>1.6</v>
      </c>
      <c r="F268" s="5">
        <f t="shared" si="4"/>
        <v>48.632812499999993</v>
      </c>
      <c r="G268" s="13">
        <v>3</v>
      </c>
      <c r="H268">
        <v>2</v>
      </c>
      <c r="I268">
        <v>3</v>
      </c>
      <c r="J268">
        <v>2</v>
      </c>
      <c r="K268" s="6">
        <v>0.625</v>
      </c>
      <c r="L268" s="6">
        <v>0.90625</v>
      </c>
      <c r="M268">
        <v>50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Y268">
        <v>0</v>
      </c>
      <c r="Z268">
        <v>0</v>
      </c>
      <c r="AA268">
        <v>50</v>
      </c>
      <c r="AB268">
        <v>1</v>
      </c>
      <c r="AC268">
        <v>1</v>
      </c>
      <c r="AD268">
        <v>0</v>
      </c>
      <c r="AE268">
        <v>0</v>
      </c>
      <c r="AF268">
        <v>0</v>
      </c>
      <c r="AG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</row>
    <row r="269" spans="1:55" x14ac:dyDescent="0.2">
      <c r="A269">
        <v>267</v>
      </c>
      <c r="B269">
        <v>41</v>
      </c>
      <c r="C269">
        <v>0</v>
      </c>
      <c r="D269">
        <v>106</v>
      </c>
      <c r="E269">
        <v>1.61</v>
      </c>
      <c r="F269" s="5">
        <f t="shared" si="4"/>
        <v>40.893484047683344</v>
      </c>
      <c r="G269" s="13">
        <v>1</v>
      </c>
      <c r="H269">
        <v>2</v>
      </c>
      <c r="I269">
        <v>1</v>
      </c>
      <c r="J269">
        <v>1</v>
      </c>
      <c r="K269" s="6">
        <v>0.625</v>
      </c>
      <c r="L269" s="6">
        <v>0.82777777777777783</v>
      </c>
      <c r="M269">
        <v>26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Y269">
        <v>0</v>
      </c>
      <c r="Z269">
        <v>0</v>
      </c>
      <c r="AA269">
        <v>30</v>
      </c>
      <c r="AB269">
        <v>4</v>
      </c>
      <c r="AC269">
        <v>1</v>
      </c>
      <c r="AD269">
        <v>0</v>
      </c>
      <c r="AE269">
        <v>0</v>
      </c>
      <c r="AF269">
        <v>0</v>
      </c>
      <c r="AG269">
        <v>0</v>
      </c>
      <c r="AJ269">
        <v>0</v>
      </c>
      <c r="AK269">
        <v>0</v>
      </c>
      <c r="AL269">
        <v>120</v>
      </c>
      <c r="AM269">
        <v>2</v>
      </c>
      <c r="AN269">
        <v>1</v>
      </c>
      <c r="AO269">
        <v>0</v>
      </c>
      <c r="AP269">
        <v>0</v>
      </c>
      <c r="AQ269">
        <v>0</v>
      </c>
      <c r="AR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</row>
    <row r="270" spans="1:55" x14ac:dyDescent="0.2">
      <c r="A270">
        <v>268</v>
      </c>
      <c r="B270">
        <v>32</v>
      </c>
      <c r="C270">
        <v>0</v>
      </c>
      <c r="D270">
        <v>115.9</v>
      </c>
      <c r="E270">
        <v>1.64</v>
      </c>
      <c r="F270" s="5">
        <f t="shared" si="4"/>
        <v>43.091909577632372</v>
      </c>
      <c r="G270" s="13">
        <v>2</v>
      </c>
      <c r="H270">
        <v>2</v>
      </c>
      <c r="I270">
        <v>2</v>
      </c>
      <c r="J270">
        <v>2</v>
      </c>
      <c r="K270" s="6">
        <v>0.41666666666666669</v>
      </c>
      <c r="L270" s="6">
        <v>0.57638888888888895</v>
      </c>
      <c r="M270">
        <v>30</v>
      </c>
      <c r="N270">
        <v>0</v>
      </c>
      <c r="O270">
        <v>0</v>
      </c>
      <c r="P270">
        <v>1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</row>
    <row r="271" spans="1:55" x14ac:dyDescent="0.2">
      <c r="A271">
        <v>269</v>
      </c>
      <c r="B271">
        <v>33</v>
      </c>
      <c r="C271">
        <v>0</v>
      </c>
      <c r="D271">
        <v>135</v>
      </c>
      <c r="E271">
        <v>1.66</v>
      </c>
      <c r="F271" s="5">
        <f t="shared" si="4"/>
        <v>48.991145304108002</v>
      </c>
      <c r="G271" s="13">
        <v>2</v>
      </c>
      <c r="H271">
        <v>2</v>
      </c>
      <c r="I271">
        <v>3</v>
      </c>
      <c r="J271">
        <v>2</v>
      </c>
      <c r="K271" s="6">
        <v>0.41666666666666669</v>
      </c>
      <c r="L271" s="6">
        <v>0.60416666666666663</v>
      </c>
      <c r="M271">
        <v>30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t="s">
        <v>77</v>
      </c>
      <c r="X271" t="s">
        <v>33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</row>
    <row r="272" spans="1:55" x14ac:dyDescent="0.2">
      <c r="A272">
        <v>270</v>
      </c>
      <c r="B272">
        <v>34</v>
      </c>
      <c r="C272">
        <v>0</v>
      </c>
      <c r="D272">
        <v>147.4</v>
      </c>
      <c r="E272">
        <v>1.84</v>
      </c>
      <c r="F272" s="5">
        <f t="shared" si="4"/>
        <v>43.53733459357278</v>
      </c>
      <c r="G272" s="13">
        <v>1</v>
      </c>
      <c r="H272">
        <v>1</v>
      </c>
      <c r="I272">
        <v>1</v>
      </c>
      <c r="J272">
        <v>1</v>
      </c>
      <c r="K272" s="6">
        <v>0.43055555555555558</v>
      </c>
      <c r="L272" s="6">
        <v>0.57638888888888895</v>
      </c>
      <c r="M272">
        <v>43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Y272">
        <v>0</v>
      </c>
      <c r="Z272">
        <v>0</v>
      </c>
      <c r="AA272">
        <v>90</v>
      </c>
      <c r="AB272">
        <v>1</v>
      </c>
      <c r="AC272">
        <v>1</v>
      </c>
      <c r="AD272">
        <v>0</v>
      </c>
      <c r="AE272">
        <v>0</v>
      </c>
      <c r="AF272">
        <v>0</v>
      </c>
      <c r="AG272">
        <v>0</v>
      </c>
      <c r="AJ272">
        <v>0</v>
      </c>
      <c r="AK272">
        <v>0</v>
      </c>
      <c r="AL272">
        <v>180</v>
      </c>
      <c r="AM272">
        <v>6</v>
      </c>
      <c r="AN272">
        <v>2</v>
      </c>
      <c r="AO272">
        <v>0</v>
      </c>
      <c r="AP272">
        <v>0</v>
      </c>
      <c r="AQ272">
        <v>0</v>
      </c>
      <c r="AR272">
        <v>1</v>
      </c>
      <c r="AS272" t="s">
        <v>76</v>
      </c>
      <c r="AT272" t="s">
        <v>42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</row>
    <row r="273" spans="1:55" x14ac:dyDescent="0.2">
      <c r="A273">
        <v>271</v>
      </c>
      <c r="B273">
        <v>47</v>
      </c>
      <c r="C273">
        <v>0</v>
      </c>
      <c r="D273">
        <v>137.4</v>
      </c>
      <c r="E273">
        <v>1.67</v>
      </c>
      <c r="F273" s="5">
        <f t="shared" si="4"/>
        <v>49.266735989099651</v>
      </c>
      <c r="G273" s="13">
        <v>3</v>
      </c>
      <c r="H273">
        <v>2</v>
      </c>
      <c r="I273">
        <v>2</v>
      </c>
      <c r="J273">
        <v>2</v>
      </c>
      <c r="K273" s="6">
        <v>0.4236111111111111</v>
      </c>
      <c r="L273" s="6">
        <v>0.67152777777777783</v>
      </c>
      <c r="M273">
        <v>55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t="s">
        <v>77</v>
      </c>
      <c r="X273" t="s">
        <v>33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</row>
    <row r="274" spans="1:55" x14ac:dyDescent="0.2">
      <c r="A274">
        <v>272</v>
      </c>
      <c r="B274">
        <v>56</v>
      </c>
      <c r="C274">
        <v>0</v>
      </c>
      <c r="D274">
        <v>98.5</v>
      </c>
      <c r="E274">
        <v>1.62</v>
      </c>
      <c r="F274" s="5">
        <f t="shared" si="4"/>
        <v>37.532388355433618</v>
      </c>
      <c r="G274" s="13">
        <v>2</v>
      </c>
      <c r="H274">
        <v>2</v>
      </c>
      <c r="I274">
        <v>3</v>
      </c>
      <c r="J274">
        <v>2</v>
      </c>
      <c r="K274" s="6">
        <v>0.41666666666666669</v>
      </c>
      <c r="L274" s="6">
        <v>0.64583333333333337</v>
      </c>
      <c r="M274">
        <v>40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</row>
    <row r="275" spans="1:55" x14ac:dyDescent="0.2">
      <c r="A275">
        <v>273</v>
      </c>
      <c r="B275">
        <v>40</v>
      </c>
      <c r="C275">
        <v>0</v>
      </c>
      <c r="D275">
        <v>117</v>
      </c>
      <c r="E275">
        <v>1.75</v>
      </c>
      <c r="F275" s="5">
        <f t="shared" si="4"/>
        <v>38.204081632653065</v>
      </c>
      <c r="G275" s="13">
        <v>2</v>
      </c>
      <c r="H275">
        <v>2</v>
      </c>
      <c r="I275">
        <v>1</v>
      </c>
      <c r="J275">
        <v>1</v>
      </c>
      <c r="K275" s="6">
        <v>0.41666666666666669</v>
      </c>
      <c r="L275" s="6">
        <v>0.6875</v>
      </c>
      <c r="M275">
        <v>70</v>
      </c>
      <c r="N275">
        <v>1</v>
      </c>
      <c r="O275">
        <v>1</v>
      </c>
      <c r="P275">
        <v>1</v>
      </c>
      <c r="Q275">
        <v>2</v>
      </c>
      <c r="R275">
        <v>1</v>
      </c>
      <c r="S275">
        <v>0</v>
      </c>
      <c r="T275">
        <v>0</v>
      </c>
      <c r="U275">
        <v>0</v>
      </c>
      <c r="V275">
        <v>1</v>
      </c>
      <c r="W275" t="s">
        <v>53</v>
      </c>
      <c r="X275" t="s">
        <v>30</v>
      </c>
      <c r="Y275">
        <v>0</v>
      </c>
      <c r="Z275">
        <v>0</v>
      </c>
      <c r="AA275">
        <v>90</v>
      </c>
      <c r="AB275">
        <v>4</v>
      </c>
      <c r="AC275">
        <v>2</v>
      </c>
      <c r="AD275">
        <v>0</v>
      </c>
      <c r="AE275">
        <v>0</v>
      </c>
      <c r="AF275">
        <v>0</v>
      </c>
      <c r="AG275">
        <v>1</v>
      </c>
      <c r="AH275" t="s">
        <v>47</v>
      </c>
      <c r="AI275" t="s">
        <v>42</v>
      </c>
      <c r="AJ275">
        <v>0</v>
      </c>
      <c r="AK275">
        <v>0</v>
      </c>
      <c r="AL275">
        <v>30</v>
      </c>
      <c r="AM275">
        <v>2</v>
      </c>
      <c r="AN275">
        <v>1</v>
      </c>
      <c r="AO275">
        <v>0</v>
      </c>
      <c r="AP275">
        <v>0</v>
      </c>
      <c r="AQ275">
        <v>0</v>
      </c>
      <c r="AR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</row>
    <row r="276" spans="1:55" x14ac:dyDescent="0.2">
      <c r="A276">
        <v>274</v>
      </c>
      <c r="B276">
        <v>28</v>
      </c>
      <c r="C276">
        <v>0</v>
      </c>
      <c r="D276">
        <v>112.8</v>
      </c>
      <c r="E276">
        <v>1.71</v>
      </c>
      <c r="F276" s="5">
        <f t="shared" si="4"/>
        <v>38.57597209397764</v>
      </c>
      <c r="G276" s="13">
        <v>1</v>
      </c>
      <c r="H276">
        <v>2</v>
      </c>
      <c r="I276">
        <v>2</v>
      </c>
      <c r="J276">
        <v>2</v>
      </c>
      <c r="K276" s="6">
        <v>0.41666666666666669</v>
      </c>
      <c r="L276" s="6">
        <v>0.65625</v>
      </c>
      <c r="M276">
        <v>70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t="s">
        <v>77</v>
      </c>
      <c r="X276" t="s">
        <v>32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</row>
    <row r="277" spans="1:55" x14ac:dyDescent="0.2">
      <c r="A277">
        <v>275</v>
      </c>
      <c r="B277">
        <v>22</v>
      </c>
      <c r="C277">
        <v>0</v>
      </c>
      <c r="D277">
        <v>170</v>
      </c>
      <c r="E277">
        <v>1.59</v>
      </c>
      <c r="F277" s="5">
        <f t="shared" si="4"/>
        <v>67.244175467742565</v>
      </c>
      <c r="G277" s="13">
        <v>3</v>
      </c>
      <c r="H277">
        <v>3</v>
      </c>
      <c r="I277">
        <v>3</v>
      </c>
      <c r="J277">
        <v>2</v>
      </c>
      <c r="K277" s="6">
        <v>0.45833333333333331</v>
      </c>
      <c r="L277" s="6">
        <v>0.625</v>
      </c>
      <c r="M277">
        <v>52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Y277">
        <v>0</v>
      </c>
      <c r="Z277">
        <v>0</v>
      </c>
      <c r="AA277">
        <v>50</v>
      </c>
      <c r="AB277">
        <v>1</v>
      </c>
      <c r="AC277">
        <v>1</v>
      </c>
      <c r="AD277">
        <v>0</v>
      </c>
      <c r="AE277">
        <v>0</v>
      </c>
      <c r="AF277">
        <v>0</v>
      </c>
      <c r="AG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</row>
    <row r="278" spans="1:55" x14ac:dyDescent="0.2">
      <c r="A278">
        <v>276</v>
      </c>
      <c r="B278">
        <v>29</v>
      </c>
      <c r="C278">
        <v>0</v>
      </c>
      <c r="D278">
        <v>147.19999999999999</v>
      </c>
      <c r="E278">
        <v>1.8</v>
      </c>
      <c r="F278" s="5">
        <f t="shared" si="4"/>
        <v>45.432098765432094</v>
      </c>
      <c r="G278" s="13">
        <v>1</v>
      </c>
      <c r="H278">
        <v>1</v>
      </c>
      <c r="I278">
        <v>1</v>
      </c>
      <c r="J278">
        <v>1</v>
      </c>
      <c r="K278" s="6">
        <v>0.45833333333333331</v>
      </c>
      <c r="L278" s="6">
        <v>0.61388888888888882</v>
      </c>
      <c r="M278">
        <v>30</v>
      </c>
      <c r="N278">
        <v>0</v>
      </c>
      <c r="O278">
        <v>0</v>
      </c>
      <c r="P278">
        <v>1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1</v>
      </c>
      <c r="W278" t="s">
        <v>35</v>
      </c>
      <c r="X278" t="s">
        <v>36</v>
      </c>
      <c r="Y278">
        <v>2</v>
      </c>
      <c r="Z278">
        <v>3</v>
      </c>
      <c r="AA278">
        <v>30</v>
      </c>
      <c r="AB278">
        <v>5</v>
      </c>
      <c r="AC278">
        <v>2</v>
      </c>
      <c r="AD278">
        <v>0</v>
      </c>
      <c r="AE278">
        <v>0</v>
      </c>
      <c r="AF278">
        <v>0</v>
      </c>
      <c r="AG278">
        <v>0</v>
      </c>
      <c r="AJ278">
        <v>0</v>
      </c>
      <c r="AK278">
        <v>0</v>
      </c>
      <c r="AL278">
        <v>120</v>
      </c>
      <c r="AM278">
        <v>2</v>
      </c>
      <c r="AN278">
        <v>1</v>
      </c>
      <c r="AO278">
        <v>0</v>
      </c>
      <c r="AP278">
        <v>0</v>
      </c>
      <c r="AQ278">
        <v>0</v>
      </c>
      <c r="AR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</row>
    <row r="279" spans="1:55" x14ac:dyDescent="0.2">
      <c r="A279">
        <v>277</v>
      </c>
      <c r="B279">
        <v>43</v>
      </c>
      <c r="C279">
        <v>0</v>
      </c>
      <c r="D279">
        <v>131.80000000000001</v>
      </c>
      <c r="E279">
        <v>1.71</v>
      </c>
      <c r="F279" s="5">
        <f t="shared" si="4"/>
        <v>45.073697889949052</v>
      </c>
      <c r="G279" s="13">
        <v>1</v>
      </c>
      <c r="H279">
        <v>2</v>
      </c>
      <c r="I279">
        <v>2</v>
      </c>
      <c r="J279">
        <v>2</v>
      </c>
      <c r="K279" s="6">
        <v>0.54166666666666663</v>
      </c>
      <c r="L279" s="6">
        <v>0.62361111111111112</v>
      </c>
      <c r="M279">
        <v>35</v>
      </c>
      <c r="N279">
        <v>0</v>
      </c>
      <c r="O279">
        <v>0</v>
      </c>
      <c r="P279">
        <v>1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1</v>
      </c>
      <c r="W279" t="s">
        <v>29</v>
      </c>
      <c r="X279" t="s">
        <v>30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</row>
    <row r="280" spans="1:55" x14ac:dyDescent="0.2">
      <c r="A280">
        <v>278</v>
      </c>
      <c r="B280">
        <v>57</v>
      </c>
      <c r="C280">
        <v>0</v>
      </c>
      <c r="D280">
        <v>110</v>
      </c>
      <c r="E280">
        <v>1.67</v>
      </c>
      <c r="F280" s="5">
        <f t="shared" ref="F280:F343" si="5">D280/(E280*E280)</f>
        <v>39.442073935960416</v>
      </c>
      <c r="G280" s="13">
        <v>3</v>
      </c>
      <c r="H280">
        <v>2</v>
      </c>
      <c r="I280">
        <v>3</v>
      </c>
      <c r="J280">
        <v>2</v>
      </c>
      <c r="K280" s="6">
        <v>0.58333333333333337</v>
      </c>
      <c r="L280" s="6">
        <v>0.7729166666666667</v>
      </c>
      <c r="M280">
        <v>65</v>
      </c>
      <c r="N280">
        <v>0</v>
      </c>
      <c r="O280">
        <v>0</v>
      </c>
      <c r="P280">
        <v>1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 t="s">
        <v>77</v>
      </c>
      <c r="X280" t="s">
        <v>32</v>
      </c>
      <c r="Y280">
        <v>1</v>
      </c>
      <c r="Z280">
        <v>1</v>
      </c>
      <c r="AA280">
        <v>30</v>
      </c>
      <c r="AB280">
        <v>1</v>
      </c>
      <c r="AC280">
        <v>1</v>
      </c>
      <c r="AD280">
        <v>0</v>
      </c>
      <c r="AE280">
        <v>0</v>
      </c>
      <c r="AF280">
        <v>0</v>
      </c>
      <c r="AG280">
        <v>0</v>
      </c>
      <c r="AJ280">
        <v>0</v>
      </c>
      <c r="AK280">
        <v>0</v>
      </c>
      <c r="AL280">
        <v>30</v>
      </c>
      <c r="AM280">
        <v>1</v>
      </c>
      <c r="AN280">
        <v>1</v>
      </c>
      <c r="AO280">
        <v>0</v>
      </c>
      <c r="AP280">
        <v>0</v>
      </c>
      <c r="AQ280">
        <v>0</v>
      </c>
      <c r="AR280">
        <v>0</v>
      </c>
      <c r="AU280">
        <v>0</v>
      </c>
      <c r="AV280">
        <v>0</v>
      </c>
      <c r="AW280">
        <v>30</v>
      </c>
      <c r="AX280">
        <v>1</v>
      </c>
      <c r="AY280">
        <v>1</v>
      </c>
      <c r="AZ280">
        <v>0</v>
      </c>
      <c r="BA280">
        <v>0</v>
      </c>
      <c r="BB280">
        <v>0</v>
      </c>
      <c r="BC280">
        <v>0</v>
      </c>
    </row>
    <row r="281" spans="1:55" x14ac:dyDescent="0.2">
      <c r="A281">
        <v>279</v>
      </c>
      <c r="B281">
        <v>27</v>
      </c>
      <c r="C281">
        <v>0</v>
      </c>
      <c r="D281">
        <v>102.1</v>
      </c>
      <c r="E281">
        <v>1.55</v>
      </c>
      <c r="F281" s="5">
        <f t="shared" si="5"/>
        <v>42.497398543184175</v>
      </c>
      <c r="G281" s="13">
        <v>1</v>
      </c>
      <c r="H281">
        <v>2</v>
      </c>
      <c r="I281">
        <v>1</v>
      </c>
      <c r="J281">
        <v>1</v>
      </c>
      <c r="K281" s="6">
        <v>0.41666666666666669</v>
      </c>
      <c r="L281" s="6">
        <v>0.77013888888888893</v>
      </c>
      <c r="M281">
        <v>35</v>
      </c>
      <c r="N281">
        <v>2</v>
      </c>
      <c r="O281">
        <v>1</v>
      </c>
      <c r="P281">
        <v>1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1</v>
      </c>
      <c r="W281" t="s">
        <v>29</v>
      </c>
      <c r="X281" t="s">
        <v>30</v>
      </c>
      <c r="Y281">
        <v>0</v>
      </c>
      <c r="Z281">
        <v>0</v>
      </c>
      <c r="AA281">
        <v>300</v>
      </c>
      <c r="AB281">
        <v>5</v>
      </c>
      <c r="AC281">
        <v>2</v>
      </c>
      <c r="AD281">
        <v>0</v>
      </c>
      <c r="AE281">
        <v>0</v>
      </c>
      <c r="AF281">
        <v>0</v>
      </c>
      <c r="AG281">
        <v>1</v>
      </c>
      <c r="AH281" t="s">
        <v>79</v>
      </c>
      <c r="AI281" t="s">
        <v>75</v>
      </c>
      <c r="AJ281">
        <v>0</v>
      </c>
      <c r="AK281">
        <v>0</v>
      </c>
      <c r="AL281">
        <v>120</v>
      </c>
      <c r="AM281">
        <v>4</v>
      </c>
      <c r="AN281">
        <v>2</v>
      </c>
      <c r="AO281">
        <v>0</v>
      </c>
      <c r="AP281">
        <v>0</v>
      </c>
      <c r="AQ281">
        <v>0</v>
      </c>
      <c r="AR281">
        <v>0</v>
      </c>
      <c r="AU281">
        <v>0</v>
      </c>
      <c r="AV281">
        <v>0</v>
      </c>
      <c r="AW281">
        <v>120</v>
      </c>
      <c r="AX281">
        <v>2</v>
      </c>
      <c r="AY281">
        <v>1</v>
      </c>
      <c r="AZ281">
        <v>0</v>
      </c>
      <c r="BA281">
        <v>0</v>
      </c>
      <c r="BB281">
        <v>0</v>
      </c>
      <c r="BC281">
        <v>0</v>
      </c>
    </row>
    <row r="282" spans="1:55" x14ac:dyDescent="0.2">
      <c r="A282">
        <v>280</v>
      </c>
      <c r="B282">
        <v>22</v>
      </c>
      <c r="C282">
        <v>0</v>
      </c>
      <c r="D282">
        <v>101.6</v>
      </c>
      <c r="E282">
        <v>1.74</v>
      </c>
      <c r="F282" s="5">
        <f t="shared" si="5"/>
        <v>33.557933676839738</v>
      </c>
      <c r="G282" s="13">
        <v>1</v>
      </c>
      <c r="H282">
        <v>2</v>
      </c>
      <c r="I282">
        <v>2</v>
      </c>
      <c r="J282">
        <v>2</v>
      </c>
      <c r="K282" s="6">
        <v>0.41666666666666669</v>
      </c>
      <c r="L282" s="6">
        <v>0.875</v>
      </c>
      <c r="M282">
        <v>35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</row>
    <row r="283" spans="1:55" x14ac:dyDescent="0.2">
      <c r="A283">
        <v>281</v>
      </c>
      <c r="B283">
        <v>29</v>
      </c>
      <c r="C283">
        <v>0</v>
      </c>
      <c r="D283">
        <v>128.9</v>
      </c>
      <c r="E283">
        <v>1.69</v>
      </c>
      <c r="F283" s="5">
        <f t="shared" si="5"/>
        <v>45.1314729876405</v>
      </c>
      <c r="G283" s="13">
        <v>1</v>
      </c>
      <c r="H283">
        <v>2</v>
      </c>
      <c r="I283">
        <v>1</v>
      </c>
      <c r="J283">
        <v>1</v>
      </c>
      <c r="K283" s="6">
        <v>0.41666666666666669</v>
      </c>
      <c r="L283" s="6">
        <v>0.7319444444444444</v>
      </c>
      <c r="M283">
        <v>30</v>
      </c>
      <c r="N283">
        <v>0</v>
      </c>
      <c r="O283">
        <v>0</v>
      </c>
      <c r="P283">
        <v>1</v>
      </c>
      <c r="Q283">
        <v>2</v>
      </c>
      <c r="R283">
        <v>1</v>
      </c>
      <c r="S283">
        <v>0</v>
      </c>
      <c r="T283">
        <v>0</v>
      </c>
      <c r="U283">
        <v>0</v>
      </c>
      <c r="V283">
        <v>1</v>
      </c>
      <c r="W283" t="s">
        <v>29</v>
      </c>
      <c r="X283" t="s">
        <v>30</v>
      </c>
      <c r="Y283">
        <v>0</v>
      </c>
      <c r="Z283">
        <v>0</v>
      </c>
      <c r="AA283">
        <v>90</v>
      </c>
      <c r="AB283">
        <v>3</v>
      </c>
      <c r="AC283">
        <v>2</v>
      </c>
      <c r="AD283">
        <v>0</v>
      </c>
      <c r="AE283">
        <v>0</v>
      </c>
      <c r="AF283">
        <v>0</v>
      </c>
      <c r="AG283">
        <v>1</v>
      </c>
      <c r="AH283" t="s">
        <v>76</v>
      </c>
      <c r="AI283" t="s">
        <v>42</v>
      </c>
      <c r="AJ283">
        <v>0</v>
      </c>
      <c r="AK283">
        <v>0</v>
      </c>
      <c r="AL283">
        <v>30</v>
      </c>
      <c r="AM283">
        <v>2</v>
      </c>
      <c r="AN283">
        <v>1</v>
      </c>
      <c r="AO283">
        <v>0</v>
      </c>
      <c r="AP283">
        <v>0</v>
      </c>
      <c r="AQ283">
        <v>0</v>
      </c>
      <c r="AR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</row>
    <row r="284" spans="1:55" x14ac:dyDescent="0.2">
      <c r="A284">
        <v>282</v>
      </c>
      <c r="B284">
        <v>39</v>
      </c>
      <c r="C284">
        <v>0</v>
      </c>
      <c r="D284">
        <v>94.1</v>
      </c>
      <c r="E284">
        <v>1.62</v>
      </c>
      <c r="F284" s="5">
        <f t="shared" si="5"/>
        <v>35.855814662399013</v>
      </c>
      <c r="G284" s="13">
        <v>1</v>
      </c>
      <c r="H284">
        <v>2</v>
      </c>
      <c r="I284">
        <v>2</v>
      </c>
      <c r="J284">
        <v>2</v>
      </c>
      <c r="K284" s="6">
        <v>0.41666666666666669</v>
      </c>
      <c r="L284" s="6">
        <v>0.89236111111111116</v>
      </c>
      <c r="M284">
        <v>60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</row>
    <row r="285" spans="1:55" x14ac:dyDescent="0.2">
      <c r="A285">
        <v>283</v>
      </c>
      <c r="B285">
        <v>51</v>
      </c>
      <c r="C285">
        <v>0</v>
      </c>
      <c r="D285">
        <v>137.69999999999999</v>
      </c>
      <c r="E285">
        <v>1.64</v>
      </c>
      <c r="F285" s="5">
        <f t="shared" si="5"/>
        <v>51.197204045211187</v>
      </c>
      <c r="G285" s="13">
        <v>3</v>
      </c>
      <c r="H285">
        <v>3</v>
      </c>
      <c r="I285">
        <v>1</v>
      </c>
      <c r="J285">
        <v>1</v>
      </c>
      <c r="K285" s="6">
        <v>0.54166666666666663</v>
      </c>
      <c r="L285" s="6">
        <v>0.83472222222222225</v>
      </c>
      <c r="M285">
        <v>60</v>
      </c>
      <c r="N285">
        <v>0</v>
      </c>
      <c r="O285">
        <v>0</v>
      </c>
      <c r="P285">
        <v>1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1</v>
      </c>
      <c r="W285" t="s">
        <v>29</v>
      </c>
      <c r="X285" t="s">
        <v>30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J285">
        <v>0</v>
      </c>
      <c r="AK285">
        <v>0</v>
      </c>
      <c r="AL285">
        <v>30</v>
      </c>
      <c r="AM285">
        <v>2</v>
      </c>
      <c r="AN285">
        <v>1</v>
      </c>
      <c r="AO285">
        <v>0</v>
      </c>
      <c r="AP285">
        <v>0</v>
      </c>
      <c r="AQ285">
        <v>0</v>
      </c>
      <c r="AR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</row>
    <row r="286" spans="1:55" x14ac:dyDescent="0.2">
      <c r="A286">
        <v>284</v>
      </c>
      <c r="B286">
        <v>29</v>
      </c>
      <c r="C286">
        <v>0</v>
      </c>
      <c r="D286">
        <v>139.30000000000001</v>
      </c>
      <c r="E286">
        <v>1.7</v>
      </c>
      <c r="F286" s="5">
        <f t="shared" si="5"/>
        <v>48.200692041522501</v>
      </c>
      <c r="G286" s="13">
        <v>3</v>
      </c>
      <c r="H286">
        <v>2</v>
      </c>
      <c r="I286">
        <v>2</v>
      </c>
      <c r="J286">
        <v>2</v>
      </c>
      <c r="K286" s="6">
        <v>0.41666666666666669</v>
      </c>
      <c r="L286" s="6">
        <v>0.69930555555555562</v>
      </c>
      <c r="M286">
        <v>55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1</v>
      </c>
      <c r="W286" t="s">
        <v>35</v>
      </c>
      <c r="X286" t="s">
        <v>36</v>
      </c>
      <c r="Y286">
        <v>0</v>
      </c>
      <c r="Z286">
        <v>0</v>
      </c>
      <c r="AA286">
        <v>120</v>
      </c>
      <c r="AB286">
        <v>3</v>
      </c>
      <c r="AC286">
        <v>1</v>
      </c>
      <c r="AD286">
        <v>0</v>
      </c>
      <c r="AE286">
        <v>0</v>
      </c>
      <c r="AF286">
        <v>0</v>
      </c>
      <c r="AG286">
        <v>0</v>
      </c>
      <c r="AJ286">
        <v>0</v>
      </c>
      <c r="AK286">
        <v>0</v>
      </c>
      <c r="AL286">
        <v>180</v>
      </c>
      <c r="AM286">
        <v>5</v>
      </c>
      <c r="AN286">
        <v>0</v>
      </c>
      <c r="AO286">
        <v>0</v>
      </c>
      <c r="AP286">
        <v>0</v>
      </c>
      <c r="AQ286">
        <v>0</v>
      </c>
      <c r="AR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</row>
    <row r="287" spans="1:55" x14ac:dyDescent="0.2">
      <c r="A287">
        <v>285</v>
      </c>
      <c r="B287">
        <v>48</v>
      </c>
      <c r="C287">
        <v>0</v>
      </c>
      <c r="D287">
        <v>85</v>
      </c>
      <c r="E287">
        <v>1.6</v>
      </c>
      <c r="F287" s="5">
        <f t="shared" si="5"/>
        <v>33.203124999999993</v>
      </c>
      <c r="G287" s="13">
        <v>2</v>
      </c>
      <c r="H287">
        <v>2</v>
      </c>
      <c r="I287">
        <v>1</v>
      </c>
      <c r="J287">
        <v>1</v>
      </c>
      <c r="K287" s="6">
        <v>0.41666666666666669</v>
      </c>
      <c r="L287" s="6">
        <v>0.68055555555555547</v>
      </c>
      <c r="M287">
        <v>30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t="s">
        <v>31</v>
      </c>
      <c r="X287" t="s">
        <v>33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</row>
    <row r="288" spans="1:55" x14ac:dyDescent="0.2">
      <c r="A288">
        <v>286</v>
      </c>
      <c r="B288">
        <v>32</v>
      </c>
      <c r="C288">
        <v>0</v>
      </c>
      <c r="D288">
        <v>103.5</v>
      </c>
      <c r="E288">
        <v>1.75</v>
      </c>
      <c r="F288" s="5">
        <f t="shared" si="5"/>
        <v>33.795918367346935</v>
      </c>
      <c r="G288" s="13">
        <v>1</v>
      </c>
      <c r="H288">
        <v>1</v>
      </c>
      <c r="I288">
        <v>2</v>
      </c>
      <c r="J288">
        <v>2</v>
      </c>
      <c r="K288" s="6">
        <v>0.41666666666666669</v>
      </c>
      <c r="L288" s="6">
        <v>0.74236111111111114</v>
      </c>
      <c r="M288">
        <v>35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</row>
    <row r="289" spans="1:57" x14ac:dyDescent="0.2">
      <c r="A289">
        <v>287</v>
      </c>
      <c r="B289">
        <v>41</v>
      </c>
      <c r="C289">
        <v>0</v>
      </c>
      <c r="D289">
        <v>101.2</v>
      </c>
      <c r="E289">
        <v>1.67</v>
      </c>
      <c r="F289" s="5">
        <f t="shared" si="5"/>
        <v>36.286708021083584</v>
      </c>
      <c r="G289" s="13">
        <v>3</v>
      </c>
      <c r="H289">
        <v>2</v>
      </c>
      <c r="I289">
        <v>1</v>
      </c>
      <c r="J289">
        <v>1</v>
      </c>
      <c r="K289" s="6">
        <v>0.41666666666666669</v>
      </c>
      <c r="L289" s="6">
        <v>0.75138888888888899</v>
      </c>
      <c r="M289">
        <v>47</v>
      </c>
      <c r="N289">
        <v>0</v>
      </c>
      <c r="O289">
        <v>0</v>
      </c>
      <c r="P289">
        <v>1</v>
      </c>
      <c r="Q289">
        <v>2</v>
      </c>
      <c r="R289">
        <v>1</v>
      </c>
      <c r="S289">
        <v>0</v>
      </c>
      <c r="T289">
        <v>0</v>
      </c>
      <c r="U289">
        <v>0</v>
      </c>
      <c r="V289">
        <v>1</v>
      </c>
      <c r="W289" t="s">
        <v>29</v>
      </c>
      <c r="X289" t="s">
        <v>30</v>
      </c>
      <c r="Y289">
        <v>0</v>
      </c>
      <c r="Z289">
        <v>0</v>
      </c>
      <c r="AA289">
        <v>90</v>
      </c>
      <c r="AB289">
        <v>3</v>
      </c>
      <c r="AC289">
        <v>1</v>
      </c>
      <c r="AD289">
        <v>0</v>
      </c>
      <c r="AE289">
        <v>0</v>
      </c>
      <c r="AF289">
        <v>0</v>
      </c>
      <c r="AG289">
        <v>0</v>
      </c>
      <c r="AJ289">
        <v>0</v>
      </c>
      <c r="AK289">
        <v>0</v>
      </c>
      <c r="AL289">
        <v>180</v>
      </c>
      <c r="AM289">
        <v>5</v>
      </c>
      <c r="AN289">
        <v>1</v>
      </c>
      <c r="AO289">
        <v>0</v>
      </c>
      <c r="AP289">
        <v>0</v>
      </c>
      <c r="AQ289">
        <v>0</v>
      </c>
      <c r="AR289">
        <v>0</v>
      </c>
      <c r="AU289">
        <v>0</v>
      </c>
      <c r="AV289">
        <v>0</v>
      </c>
      <c r="AW289">
        <v>30</v>
      </c>
      <c r="AX289">
        <v>2</v>
      </c>
      <c r="AY289">
        <v>1</v>
      </c>
      <c r="AZ289">
        <v>0</v>
      </c>
      <c r="BA289">
        <v>0</v>
      </c>
      <c r="BB289">
        <v>0</v>
      </c>
      <c r="BC289">
        <v>0</v>
      </c>
    </row>
    <row r="290" spans="1:57" x14ac:dyDescent="0.2">
      <c r="A290">
        <v>288</v>
      </c>
      <c r="B290">
        <v>49</v>
      </c>
      <c r="C290">
        <v>0</v>
      </c>
      <c r="D290">
        <v>114.3</v>
      </c>
      <c r="E290">
        <v>1.63</v>
      </c>
      <c r="F290" s="5">
        <f t="shared" si="5"/>
        <v>43.02006097331477</v>
      </c>
      <c r="G290" s="13">
        <v>3</v>
      </c>
      <c r="H290">
        <v>2</v>
      </c>
      <c r="I290">
        <v>2</v>
      </c>
      <c r="J290">
        <v>2</v>
      </c>
      <c r="K290" s="6">
        <v>0.41666666666666669</v>
      </c>
      <c r="L290" s="6">
        <v>0.84375</v>
      </c>
      <c r="M290">
        <v>60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</row>
    <row r="291" spans="1:57" x14ac:dyDescent="0.2">
      <c r="A291">
        <v>289</v>
      </c>
      <c r="B291">
        <v>36</v>
      </c>
      <c r="C291">
        <v>0</v>
      </c>
      <c r="D291">
        <v>135.80000000000001</v>
      </c>
      <c r="E291">
        <v>1.7</v>
      </c>
      <c r="F291" s="5">
        <f t="shared" si="5"/>
        <v>46.98961937716264</v>
      </c>
      <c r="G291" s="13">
        <v>1</v>
      </c>
      <c r="H291">
        <v>2</v>
      </c>
      <c r="I291">
        <v>1</v>
      </c>
      <c r="J291">
        <v>1</v>
      </c>
      <c r="K291" s="6">
        <v>0.41666666666666669</v>
      </c>
      <c r="L291" s="6">
        <v>0.59513888888888888</v>
      </c>
      <c r="M291">
        <v>30</v>
      </c>
      <c r="N291">
        <v>0</v>
      </c>
      <c r="O291">
        <v>0</v>
      </c>
      <c r="P291">
        <v>1</v>
      </c>
      <c r="Q291">
        <v>2</v>
      </c>
      <c r="R291">
        <v>1</v>
      </c>
      <c r="S291">
        <v>0</v>
      </c>
      <c r="T291">
        <v>0</v>
      </c>
      <c r="U291">
        <v>0</v>
      </c>
      <c r="V291">
        <v>1</v>
      </c>
      <c r="W291" t="s">
        <v>29</v>
      </c>
      <c r="X291" t="s">
        <v>30</v>
      </c>
      <c r="Y291">
        <v>0</v>
      </c>
      <c r="Z291">
        <v>0</v>
      </c>
      <c r="AA291">
        <v>30</v>
      </c>
      <c r="AB291">
        <v>2</v>
      </c>
      <c r="AC291">
        <v>1</v>
      </c>
      <c r="AD291">
        <v>0</v>
      </c>
      <c r="AE291">
        <v>0</v>
      </c>
      <c r="AF291">
        <v>0</v>
      </c>
      <c r="AG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</row>
    <row r="292" spans="1:57" x14ac:dyDescent="0.2">
      <c r="A292">
        <v>290</v>
      </c>
      <c r="B292">
        <v>36</v>
      </c>
      <c r="C292">
        <v>0</v>
      </c>
      <c r="D292">
        <v>152.4</v>
      </c>
      <c r="E292">
        <v>1.73</v>
      </c>
      <c r="F292" s="5">
        <f t="shared" si="5"/>
        <v>50.920511878111533</v>
      </c>
      <c r="G292" s="13">
        <v>2</v>
      </c>
      <c r="H292">
        <v>2</v>
      </c>
      <c r="I292">
        <v>2</v>
      </c>
      <c r="J292">
        <v>2</v>
      </c>
      <c r="K292" s="6">
        <v>0.41666666666666669</v>
      </c>
      <c r="L292" s="6">
        <v>0.64583333333333337</v>
      </c>
      <c r="M292">
        <v>30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t="s">
        <v>31</v>
      </c>
      <c r="X292" t="s">
        <v>33</v>
      </c>
      <c r="Y292">
        <v>0</v>
      </c>
      <c r="Z292">
        <v>0</v>
      </c>
      <c r="AA292">
        <v>30</v>
      </c>
      <c r="AB292">
        <v>3</v>
      </c>
      <c r="AC292">
        <v>1</v>
      </c>
      <c r="AD292">
        <v>0</v>
      </c>
      <c r="AE292">
        <v>0</v>
      </c>
      <c r="AF292">
        <v>0</v>
      </c>
      <c r="AG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</row>
    <row r="293" spans="1:57" x14ac:dyDescent="0.2">
      <c r="A293">
        <v>291</v>
      </c>
      <c r="B293">
        <v>39</v>
      </c>
      <c r="C293">
        <v>0</v>
      </c>
      <c r="D293">
        <v>100</v>
      </c>
      <c r="E293">
        <v>1.65</v>
      </c>
      <c r="F293" s="5">
        <f t="shared" si="5"/>
        <v>36.730945821854917</v>
      </c>
      <c r="G293" s="13">
        <v>3</v>
      </c>
      <c r="H293">
        <v>1</v>
      </c>
      <c r="I293">
        <v>1</v>
      </c>
      <c r="J293">
        <v>1</v>
      </c>
      <c r="K293" s="6">
        <v>0.49305555555555558</v>
      </c>
      <c r="L293" s="6">
        <v>0.57986111111111105</v>
      </c>
      <c r="M293">
        <v>60</v>
      </c>
      <c r="N293">
        <v>0</v>
      </c>
      <c r="O293">
        <v>0</v>
      </c>
      <c r="P293">
        <v>1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1</v>
      </c>
      <c r="W293" t="s">
        <v>29</v>
      </c>
      <c r="X293" t="s">
        <v>30</v>
      </c>
      <c r="Y293">
        <v>0</v>
      </c>
      <c r="Z293">
        <v>0</v>
      </c>
      <c r="AA293">
        <v>90</v>
      </c>
      <c r="AB293">
        <v>3</v>
      </c>
      <c r="AC293">
        <v>1</v>
      </c>
      <c r="AD293">
        <v>0</v>
      </c>
      <c r="AE293">
        <v>0</v>
      </c>
      <c r="AF293">
        <v>0</v>
      </c>
      <c r="AG293">
        <v>0</v>
      </c>
      <c r="AJ293">
        <v>0</v>
      </c>
      <c r="AK293">
        <v>0</v>
      </c>
      <c r="AL293">
        <v>30</v>
      </c>
      <c r="AM293">
        <v>1</v>
      </c>
      <c r="AN293">
        <v>1</v>
      </c>
      <c r="AO293">
        <v>0</v>
      </c>
      <c r="AP293">
        <v>0</v>
      </c>
      <c r="AQ293">
        <v>0</v>
      </c>
      <c r="AR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</row>
    <row r="294" spans="1:57" x14ac:dyDescent="0.2">
      <c r="A294">
        <v>292</v>
      </c>
      <c r="B294">
        <v>24</v>
      </c>
      <c r="C294">
        <v>0</v>
      </c>
      <c r="D294">
        <v>96.9</v>
      </c>
      <c r="E294">
        <v>1.58</v>
      </c>
      <c r="F294" s="5">
        <f t="shared" si="5"/>
        <v>38.81589488863964</v>
      </c>
      <c r="G294" s="13">
        <v>2</v>
      </c>
      <c r="H294">
        <v>2</v>
      </c>
      <c r="I294">
        <v>2</v>
      </c>
      <c r="J294">
        <v>2</v>
      </c>
      <c r="K294" s="6">
        <v>0.49305555555555558</v>
      </c>
      <c r="L294" s="6">
        <v>0.57638888888888895</v>
      </c>
      <c r="M294">
        <v>40</v>
      </c>
      <c r="N294">
        <v>0</v>
      </c>
      <c r="O294">
        <v>0</v>
      </c>
      <c r="P294">
        <v>1</v>
      </c>
      <c r="Q294">
        <v>3</v>
      </c>
      <c r="R294">
        <v>1</v>
      </c>
      <c r="S294">
        <v>0</v>
      </c>
      <c r="T294">
        <v>0</v>
      </c>
      <c r="U294">
        <v>0</v>
      </c>
      <c r="V294">
        <v>0</v>
      </c>
      <c r="Y294">
        <v>0</v>
      </c>
      <c r="Z294">
        <v>0</v>
      </c>
      <c r="AA294">
        <v>120</v>
      </c>
      <c r="AB294">
        <v>5</v>
      </c>
      <c r="AC294">
        <v>2</v>
      </c>
      <c r="AD294">
        <v>0</v>
      </c>
      <c r="AE294">
        <v>0</v>
      </c>
      <c r="AF294">
        <v>0</v>
      </c>
      <c r="AG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</row>
    <row r="295" spans="1:57" x14ac:dyDescent="0.2">
      <c r="A295">
        <v>293</v>
      </c>
      <c r="B295">
        <v>53</v>
      </c>
      <c r="C295">
        <v>0</v>
      </c>
      <c r="D295">
        <v>105.3</v>
      </c>
      <c r="E295">
        <v>1.61</v>
      </c>
      <c r="F295" s="5">
        <f t="shared" si="5"/>
        <v>40.623432737934486</v>
      </c>
      <c r="G295" s="13">
        <v>2</v>
      </c>
      <c r="H295">
        <v>2</v>
      </c>
      <c r="I295">
        <v>1</v>
      </c>
      <c r="J295">
        <v>1</v>
      </c>
      <c r="K295" s="6">
        <v>0.41666666666666669</v>
      </c>
      <c r="L295" s="6">
        <v>0.77083333333333337</v>
      </c>
      <c r="M295">
        <v>40</v>
      </c>
      <c r="N295">
        <v>0</v>
      </c>
      <c r="O295">
        <v>0</v>
      </c>
      <c r="P295">
        <v>1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1</v>
      </c>
      <c r="W295" t="s">
        <v>29</v>
      </c>
      <c r="X295" t="s">
        <v>30</v>
      </c>
      <c r="Y295">
        <v>0</v>
      </c>
      <c r="Z295">
        <v>0</v>
      </c>
      <c r="AA295">
        <v>90</v>
      </c>
      <c r="AB295">
        <v>5</v>
      </c>
      <c r="AC295">
        <v>2</v>
      </c>
      <c r="AD295">
        <v>0</v>
      </c>
      <c r="AE295">
        <v>0</v>
      </c>
      <c r="AF295">
        <v>0</v>
      </c>
      <c r="AG295">
        <v>1</v>
      </c>
      <c r="AH295" t="s">
        <v>76</v>
      </c>
      <c r="AI295" t="s">
        <v>42</v>
      </c>
      <c r="AJ295">
        <v>0</v>
      </c>
      <c r="AK295">
        <v>0</v>
      </c>
      <c r="AL295">
        <v>360</v>
      </c>
      <c r="AM295">
        <v>5</v>
      </c>
      <c r="AN295">
        <v>3</v>
      </c>
      <c r="AO295">
        <v>0</v>
      </c>
      <c r="AP295">
        <v>0</v>
      </c>
      <c r="AQ295">
        <v>0</v>
      </c>
      <c r="AR295">
        <v>1</v>
      </c>
      <c r="AS295" t="s">
        <v>29</v>
      </c>
      <c r="AT295" t="s">
        <v>30</v>
      </c>
      <c r="AU295">
        <v>0</v>
      </c>
      <c r="AV295">
        <v>0</v>
      </c>
      <c r="AW295">
        <v>120</v>
      </c>
      <c r="AX295">
        <v>3</v>
      </c>
      <c r="AY295">
        <v>2</v>
      </c>
      <c r="AZ295">
        <v>0</v>
      </c>
      <c r="BA295">
        <v>0</v>
      </c>
      <c r="BB295">
        <v>0</v>
      </c>
      <c r="BC295">
        <v>0</v>
      </c>
    </row>
    <row r="296" spans="1:57" x14ac:dyDescent="0.2">
      <c r="A296">
        <v>294</v>
      </c>
      <c r="B296">
        <v>34</v>
      </c>
      <c r="C296">
        <v>0</v>
      </c>
      <c r="D296">
        <v>138</v>
      </c>
      <c r="E296">
        <v>1.69</v>
      </c>
      <c r="F296" s="5">
        <f t="shared" si="5"/>
        <v>48.317635937117053</v>
      </c>
      <c r="G296" s="13">
        <v>1</v>
      </c>
      <c r="H296">
        <v>2</v>
      </c>
      <c r="I296">
        <v>2</v>
      </c>
      <c r="J296">
        <v>2</v>
      </c>
      <c r="K296" s="6">
        <v>0.41666666666666669</v>
      </c>
      <c r="L296" s="6">
        <v>0.58680555555555558</v>
      </c>
      <c r="M296">
        <v>35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</row>
    <row r="297" spans="1:57" x14ac:dyDescent="0.2">
      <c r="A297">
        <v>295</v>
      </c>
      <c r="B297">
        <v>56</v>
      </c>
      <c r="C297">
        <v>0</v>
      </c>
      <c r="D297">
        <v>121.4</v>
      </c>
      <c r="E297">
        <v>1.71</v>
      </c>
      <c r="F297" s="5">
        <f t="shared" si="5"/>
        <v>41.517047980575228</v>
      </c>
      <c r="G297" s="13">
        <v>2</v>
      </c>
      <c r="H297">
        <v>2</v>
      </c>
      <c r="I297">
        <v>1</v>
      </c>
      <c r="J297">
        <v>1</v>
      </c>
      <c r="K297" s="6">
        <v>0.41666666666666669</v>
      </c>
      <c r="L297" s="6">
        <v>0.63888888888888895</v>
      </c>
      <c r="M297">
        <v>40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Y297">
        <v>0</v>
      </c>
      <c r="Z297">
        <v>0</v>
      </c>
      <c r="AA297">
        <v>300</v>
      </c>
      <c r="AB297">
        <v>6</v>
      </c>
      <c r="AC297">
        <v>2</v>
      </c>
      <c r="AD297">
        <v>0</v>
      </c>
      <c r="AE297">
        <v>0</v>
      </c>
      <c r="AF297">
        <v>0</v>
      </c>
      <c r="AG297">
        <v>1</v>
      </c>
      <c r="AH297" t="s">
        <v>80</v>
      </c>
      <c r="AI297" t="s">
        <v>42</v>
      </c>
      <c r="AJ297">
        <v>0</v>
      </c>
      <c r="AK297">
        <v>0</v>
      </c>
      <c r="AL297">
        <v>360</v>
      </c>
      <c r="AM297">
        <v>7</v>
      </c>
      <c r="AN297">
        <v>2</v>
      </c>
      <c r="AO297">
        <v>0</v>
      </c>
      <c r="AP297">
        <v>0</v>
      </c>
      <c r="AQ297">
        <v>0</v>
      </c>
      <c r="AR297">
        <v>1</v>
      </c>
      <c r="AS297" t="s">
        <v>29</v>
      </c>
      <c r="AT297" t="s">
        <v>30</v>
      </c>
      <c r="AU297">
        <v>0</v>
      </c>
      <c r="AV297">
        <v>0</v>
      </c>
      <c r="AW297">
        <v>360</v>
      </c>
      <c r="AX297">
        <v>7</v>
      </c>
      <c r="AY297">
        <v>1</v>
      </c>
      <c r="AZ297">
        <v>0</v>
      </c>
      <c r="BA297">
        <v>0</v>
      </c>
      <c r="BB297">
        <v>0</v>
      </c>
      <c r="BC297">
        <v>0</v>
      </c>
    </row>
    <row r="298" spans="1:57" x14ac:dyDescent="0.2">
      <c r="A298">
        <v>296</v>
      </c>
      <c r="B298">
        <v>59</v>
      </c>
      <c r="C298">
        <v>0</v>
      </c>
      <c r="D298">
        <v>93.4</v>
      </c>
      <c r="E298">
        <v>1.67</v>
      </c>
      <c r="F298" s="5">
        <f t="shared" si="5"/>
        <v>33.489906414715485</v>
      </c>
      <c r="G298" s="13">
        <v>2</v>
      </c>
      <c r="H298">
        <v>2</v>
      </c>
      <c r="I298">
        <v>2</v>
      </c>
      <c r="J298">
        <v>2</v>
      </c>
      <c r="K298" s="6">
        <v>0.41666666666666669</v>
      </c>
      <c r="L298" s="6">
        <v>0.58333333333333337</v>
      </c>
      <c r="M298">
        <v>30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Y298">
        <v>0</v>
      </c>
      <c r="Z298">
        <v>0</v>
      </c>
      <c r="AA298">
        <v>180</v>
      </c>
      <c r="AB298">
        <v>3</v>
      </c>
      <c r="AC298">
        <v>2</v>
      </c>
      <c r="AD298">
        <v>0</v>
      </c>
      <c r="AE298">
        <v>0</v>
      </c>
      <c r="AF298">
        <v>0</v>
      </c>
      <c r="AG298">
        <v>1</v>
      </c>
      <c r="AH298" t="s">
        <v>29</v>
      </c>
      <c r="AI298" t="s">
        <v>30</v>
      </c>
      <c r="AJ298">
        <v>0</v>
      </c>
      <c r="AK298">
        <v>0</v>
      </c>
      <c r="AL298">
        <v>90</v>
      </c>
      <c r="AM298">
        <v>5</v>
      </c>
      <c r="AN298">
        <v>1</v>
      </c>
      <c r="AO298">
        <v>0</v>
      </c>
      <c r="AP298">
        <v>0</v>
      </c>
      <c r="AQ298">
        <v>0</v>
      </c>
      <c r="AR298">
        <v>0</v>
      </c>
      <c r="AU298">
        <v>0</v>
      </c>
      <c r="AV298">
        <v>0</v>
      </c>
      <c r="AW298">
        <v>30</v>
      </c>
      <c r="AX298">
        <v>1</v>
      </c>
      <c r="AY298">
        <v>1</v>
      </c>
      <c r="AZ298">
        <v>0</v>
      </c>
      <c r="BA298">
        <v>0</v>
      </c>
      <c r="BB298">
        <v>0</v>
      </c>
      <c r="BC298">
        <v>0</v>
      </c>
    </row>
    <row r="299" spans="1:57" x14ac:dyDescent="0.2">
      <c r="A299">
        <v>297</v>
      </c>
      <c r="B299">
        <v>35</v>
      </c>
      <c r="C299">
        <v>0</v>
      </c>
      <c r="D299">
        <v>128</v>
      </c>
      <c r="E299">
        <v>1.66</v>
      </c>
      <c r="F299" s="5">
        <f t="shared" si="5"/>
        <v>46.450863695746847</v>
      </c>
      <c r="G299" s="13">
        <v>3</v>
      </c>
      <c r="H299">
        <v>2</v>
      </c>
      <c r="I299">
        <v>1</v>
      </c>
      <c r="J299">
        <v>1</v>
      </c>
      <c r="K299" s="6">
        <v>0.41666666666666669</v>
      </c>
      <c r="L299" s="6">
        <v>0.58680555555555558</v>
      </c>
      <c r="M299">
        <v>67</v>
      </c>
      <c r="N299">
        <v>0</v>
      </c>
      <c r="O299">
        <v>0</v>
      </c>
      <c r="P299">
        <v>1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1</v>
      </c>
      <c r="W299" t="s">
        <v>29</v>
      </c>
      <c r="X299" t="s">
        <v>30</v>
      </c>
      <c r="Y299">
        <v>2</v>
      </c>
      <c r="Z299">
        <v>2</v>
      </c>
      <c r="AA299">
        <v>300</v>
      </c>
      <c r="AB299">
        <v>8</v>
      </c>
      <c r="AC299">
        <v>4</v>
      </c>
      <c r="AD299">
        <v>1</v>
      </c>
      <c r="AE299">
        <v>1</v>
      </c>
      <c r="AF299">
        <v>2</v>
      </c>
      <c r="AG299">
        <v>1</v>
      </c>
      <c r="AH299" t="s">
        <v>81</v>
      </c>
      <c r="AI299" t="s">
        <v>82</v>
      </c>
      <c r="AJ299">
        <v>2</v>
      </c>
      <c r="AK299">
        <v>2</v>
      </c>
      <c r="AL299">
        <v>120</v>
      </c>
      <c r="AM299">
        <v>7</v>
      </c>
      <c r="AN299">
        <v>4</v>
      </c>
      <c r="AO299">
        <v>0</v>
      </c>
      <c r="AP299">
        <v>0</v>
      </c>
      <c r="AQ299">
        <v>0</v>
      </c>
      <c r="AR299">
        <v>1</v>
      </c>
      <c r="AS299" t="s">
        <v>83</v>
      </c>
      <c r="AT299" t="s">
        <v>84</v>
      </c>
      <c r="AU299">
        <v>0</v>
      </c>
      <c r="AV299">
        <v>0</v>
      </c>
      <c r="AW299">
        <v>360</v>
      </c>
      <c r="AX299">
        <v>7</v>
      </c>
      <c r="AY299">
        <v>3</v>
      </c>
      <c r="AZ299">
        <v>0</v>
      </c>
      <c r="BA299">
        <v>0</v>
      </c>
      <c r="BB299">
        <v>0</v>
      </c>
      <c r="BC299">
        <v>1</v>
      </c>
      <c r="BD299" t="s">
        <v>83</v>
      </c>
      <c r="BE299" t="s">
        <v>84</v>
      </c>
    </row>
    <row r="300" spans="1:57" x14ac:dyDescent="0.2">
      <c r="A300">
        <v>298</v>
      </c>
      <c r="B300">
        <v>40</v>
      </c>
      <c r="C300">
        <v>0</v>
      </c>
      <c r="D300">
        <v>112.9</v>
      </c>
      <c r="E300">
        <v>1.55</v>
      </c>
      <c r="F300" s="5">
        <f t="shared" si="5"/>
        <v>46.992715920915707</v>
      </c>
      <c r="G300" s="13">
        <v>1</v>
      </c>
      <c r="H300">
        <v>2</v>
      </c>
      <c r="I300">
        <v>2</v>
      </c>
      <c r="J300">
        <v>2</v>
      </c>
      <c r="K300" s="6">
        <v>0.41666666666666669</v>
      </c>
      <c r="L300" s="6">
        <v>0.64374999999999993</v>
      </c>
      <c r="M300">
        <v>70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t="s">
        <v>31</v>
      </c>
      <c r="X300" t="s">
        <v>32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 t="s">
        <v>85</v>
      </c>
      <c r="AI300" t="s">
        <v>86</v>
      </c>
      <c r="AJ300">
        <v>0</v>
      </c>
      <c r="AK300">
        <v>0</v>
      </c>
      <c r="AL300">
        <v>120</v>
      </c>
      <c r="AM300">
        <v>3</v>
      </c>
      <c r="AN300">
        <v>1</v>
      </c>
      <c r="AO300">
        <v>0</v>
      </c>
      <c r="AP300">
        <v>0</v>
      </c>
      <c r="AQ300">
        <v>0</v>
      </c>
      <c r="AR300">
        <v>0</v>
      </c>
      <c r="AU300">
        <v>0</v>
      </c>
      <c r="AV300">
        <v>0</v>
      </c>
      <c r="AW300">
        <v>30</v>
      </c>
      <c r="AX300">
        <v>1</v>
      </c>
      <c r="AY300">
        <v>1</v>
      </c>
      <c r="AZ300">
        <v>0</v>
      </c>
      <c r="BA300">
        <v>0</v>
      </c>
      <c r="BB300">
        <v>0</v>
      </c>
      <c r="BC300">
        <v>0</v>
      </c>
    </row>
    <row r="301" spans="1:57" x14ac:dyDescent="0.2">
      <c r="A301">
        <v>299</v>
      </c>
      <c r="B301">
        <v>52</v>
      </c>
      <c r="C301">
        <v>0</v>
      </c>
      <c r="D301">
        <v>139.1</v>
      </c>
      <c r="E301">
        <v>1.69</v>
      </c>
      <c r="F301" s="5">
        <f t="shared" si="5"/>
        <v>48.702776513427402</v>
      </c>
      <c r="G301" s="13">
        <v>1</v>
      </c>
      <c r="H301">
        <v>2</v>
      </c>
      <c r="I301">
        <v>1</v>
      </c>
      <c r="J301">
        <v>1</v>
      </c>
      <c r="K301" s="6">
        <v>0.4375</v>
      </c>
      <c r="L301" s="6">
        <v>0.84305555555555556</v>
      </c>
      <c r="M301">
        <v>50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</row>
    <row r="302" spans="1:57" x14ac:dyDescent="0.2">
      <c r="A302">
        <v>300</v>
      </c>
      <c r="B302">
        <v>35</v>
      </c>
      <c r="C302">
        <v>0</v>
      </c>
      <c r="D302">
        <v>108.2</v>
      </c>
      <c r="E302">
        <v>1.59</v>
      </c>
      <c r="F302" s="5">
        <f t="shared" si="5"/>
        <v>42.798939915351447</v>
      </c>
      <c r="G302" s="13">
        <v>3</v>
      </c>
      <c r="H302">
        <v>2</v>
      </c>
      <c r="I302">
        <v>2</v>
      </c>
      <c r="J302">
        <v>2</v>
      </c>
      <c r="K302" s="6">
        <v>0.41666666666666669</v>
      </c>
      <c r="L302" s="6">
        <v>0.75347222222222221</v>
      </c>
      <c r="M302">
        <v>45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 t="s">
        <v>31</v>
      </c>
      <c r="X302" t="s">
        <v>32</v>
      </c>
      <c r="Y302">
        <v>0</v>
      </c>
      <c r="Z302">
        <v>0</v>
      </c>
      <c r="AA302">
        <v>30</v>
      </c>
      <c r="AB302">
        <v>1</v>
      </c>
      <c r="AC302">
        <v>1</v>
      </c>
      <c r="AD302">
        <v>0</v>
      </c>
      <c r="AE302">
        <v>0</v>
      </c>
      <c r="AF302">
        <v>0</v>
      </c>
      <c r="AG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</row>
    <row r="303" spans="1:57" x14ac:dyDescent="0.2">
      <c r="A303">
        <v>301</v>
      </c>
      <c r="B303">
        <v>33</v>
      </c>
      <c r="C303">
        <v>0</v>
      </c>
      <c r="D303">
        <v>124.9</v>
      </c>
      <c r="E303">
        <v>1.78</v>
      </c>
      <c r="F303" s="5">
        <f t="shared" si="5"/>
        <v>39.420527711147585</v>
      </c>
      <c r="G303" s="13">
        <v>1</v>
      </c>
      <c r="H303">
        <v>2</v>
      </c>
      <c r="I303">
        <v>1</v>
      </c>
      <c r="J303">
        <v>1</v>
      </c>
      <c r="K303" s="6">
        <v>0.41666666666666669</v>
      </c>
      <c r="L303" s="6">
        <v>0.94444444444444453</v>
      </c>
      <c r="M303">
        <v>40</v>
      </c>
      <c r="N303">
        <v>0</v>
      </c>
      <c r="O303">
        <v>0</v>
      </c>
      <c r="P303">
        <v>1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1</v>
      </c>
      <c r="W303" t="s">
        <v>29</v>
      </c>
      <c r="X303" t="s">
        <v>30</v>
      </c>
      <c r="Y303">
        <v>0</v>
      </c>
      <c r="Z303">
        <v>0</v>
      </c>
      <c r="AA303">
        <v>180</v>
      </c>
      <c r="AB303">
        <v>2</v>
      </c>
      <c r="AC303">
        <v>1</v>
      </c>
      <c r="AD303">
        <v>0</v>
      </c>
      <c r="AE303">
        <v>0</v>
      </c>
      <c r="AF303">
        <v>0</v>
      </c>
      <c r="AG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</row>
    <row r="304" spans="1:57" x14ac:dyDescent="0.2">
      <c r="A304">
        <v>302</v>
      </c>
      <c r="B304">
        <v>40</v>
      </c>
      <c r="C304">
        <v>0</v>
      </c>
      <c r="D304">
        <v>114.1</v>
      </c>
      <c r="E304">
        <v>1.64</v>
      </c>
      <c r="F304" s="5">
        <f t="shared" si="5"/>
        <v>42.422665080309343</v>
      </c>
      <c r="G304" s="13">
        <v>1</v>
      </c>
      <c r="H304">
        <v>2</v>
      </c>
      <c r="I304">
        <v>2</v>
      </c>
      <c r="J304">
        <v>2</v>
      </c>
      <c r="K304" s="6">
        <v>0.41666666666666669</v>
      </c>
      <c r="L304" s="6">
        <v>0.80138888888888893</v>
      </c>
      <c r="M304">
        <v>40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 t="s">
        <v>31</v>
      </c>
      <c r="X304" t="s">
        <v>32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</row>
    <row r="305" spans="1:57" x14ac:dyDescent="0.2">
      <c r="A305">
        <v>303</v>
      </c>
      <c r="B305">
        <v>37</v>
      </c>
      <c r="C305">
        <v>0</v>
      </c>
      <c r="D305">
        <v>101.6</v>
      </c>
      <c r="E305">
        <v>1.69</v>
      </c>
      <c r="F305" s="5">
        <f t="shared" si="5"/>
        <v>35.572984139210817</v>
      </c>
      <c r="G305" s="13">
        <v>2</v>
      </c>
      <c r="H305">
        <v>2</v>
      </c>
      <c r="I305">
        <v>1</v>
      </c>
      <c r="J305">
        <v>1</v>
      </c>
      <c r="K305" s="6">
        <v>0.41666666666666669</v>
      </c>
      <c r="L305" s="6">
        <v>0.58333333333333337</v>
      </c>
      <c r="M305">
        <v>30</v>
      </c>
      <c r="N305">
        <v>0</v>
      </c>
      <c r="O305">
        <v>0</v>
      </c>
      <c r="P305">
        <v>1</v>
      </c>
      <c r="Q305">
        <v>2</v>
      </c>
      <c r="R305">
        <v>1</v>
      </c>
      <c r="S305">
        <v>0</v>
      </c>
      <c r="T305">
        <v>0</v>
      </c>
      <c r="U305">
        <v>0</v>
      </c>
      <c r="V305">
        <v>1</v>
      </c>
      <c r="W305" t="s">
        <v>29</v>
      </c>
      <c r="X305" t="s">
        <v>30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</row>
    <row r="306" spans="1:57" x14ac:dyDescent="0.2">
      <c r="A306">
        <v>304</v>
      </c>
      <c r="B306">
        <v>37</v>
      </c>
      <c r="C306">
        <v>0</v>
      </c>
      <c r="D306">
        <v>100.5</v>
      </c>
      <c r="E306">
        <v>1.66</v>
      </c>
      <c r="F306" s="5">
        <f t="shared" si="5"/>
        <v>36.471185948613737</v>
      </c>
      <c r="G306" s="13">
        <v>1</v>
      </c>
      <c r="H306">
        <v>2</v>
      </c>
      <c r="I306">
        <v>2</v>
      </c>
      <c r="J306">
        <v>2</v>
      </c>
      <c r="K306" s="6">
        <v>0.41666666666666669</v>
      </c>
      <c r="L306" s="6">
        <v>0.59027777777777779</v>
      </c>
      <c r="M306">
        <v>30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Y306">
        <v>0</v>
      </c>
      <c r="Z306">
        <v>2</v>
      </c>
      <c r="AA306">
        <v>120</v>
      </c>
      <c r="AB306">
        <v>1</v>
      </c>
      <c r="AC306">
        <v>2</v>
      </c>
      <c r="AD306">
        <v>0</v>
      </c>
      <c r="AE306">
        <v>0</v>
      </c>
      <c r="AF306">
        <v>0</v>
      </c>
      <c r="AG306">
        <v>1</v>
      </c>
      <c r="AH306" t="s">
        <v>76</v>
      </c>
      <c r="AI306" t="s">
        <v>42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</row>
    <row r="307" spans="1:57" x14ac:dyDescent="0.2">
      <c r="A307">
        <v>305</v>
      </c>
      <c r="B307">
        <v>47</v>
      </c>
      <c r="C307">
        <v>0</v>
      </c>
      <c r="D307">
        <v>116.1</v>
      </c>
      <c r="E307">
        <v>1.56</v>
      </c>
      <c r="F307" s="5">
        <f t="shared" si="5"/>
        <v>47.707100591715971</v>
      </c>
      <c r="G307" s="13">
        <v>2</v>
      </c>
      <c r="H307">
        <v>2</v>
      </c>
      <c r="I307">
        <v>1</v>
      </c>
      <c r="J307">
        <v>1</v>
      </c>
      <c r="K307" s="6">
        <v>0.41666666666666669</v>
      </c>
      <c r="L307" s="6">
        <v>0.6875</v>
      </c>
      <c r="M307">
        <v>50</v>
      </c>
      <c r="N307">
        <v>0</v>
      </c>
      <c r="O307">
        <v>0</v>
      </c>
      <c r="P307">
        <v>1</v>
      </c>
      <c r="Q307">
        <v>2</v>
      </c>
      <c r="R307">
        <v>1</v>
      </c>
      <c r="S307">
        <v>0</v>
      </c>
      <c r="T307">
        <v>0</v>
      </c>
      <c r="U307">
        <v>0</v>
      </c>
      <c r="V307">
        <v>1</v>
      </c>
      <c r="W307" t="s">
        <v>29</v>
      </c>
      <c r="X307" t="s">
        <v>30</v>
      </c>
      <c r="Y307">
        <v>2</v>
      </c>
      <c r="Z307">
        <v>2</v>
      </c>
      <c r="AA307">
        <v>360</v>
      </c>
      <c r="AB307">
        <v>8</v>
      </c>
      <c r="AC307">
        <v>2</v>
      </c>
      <c r="AD307">
        <v>2</v>
      </c>
      <c r="AE307">
        <v>1</v>
      </c>
      <c r="AF307">
        <v>1</v>
      </c>
      <c r="AG307">
        <v>1</v>
      </c>
      <c r="AH307" t="s">
        <v>76</v>
      </c>
      <c r="AI307" t="s">
        <v>42</v>
      </c>
      <c r="AJ307">
        <v>3</v>
      </c>
      <c r="AK307">
        <v>2</v>
      </c>
      <c r="AL307">
        <v>360</v>
      </c>
      <c r="AM307">
        <v>7</v>
      </c>
      <c r="AN307">
        <v>2</v>
      </c>
      <c r="AO307">
        <v>0</v>
      </c>
      <c r="AP307">
        <v>0</v>
      </c>
      <c r="AQ307">
        <v>0</v>
      </c>
      <c r="AR307">
        <v>1</v>
      </c>
      <c r="AS307" t="s">
        <v>87</v>
      </c>
      <c r="AT307" t="s">
        <v>82</v>
      </c>
      <c r="AU307">
        <v>0</v>
      </c>
      <c r="AV307">
        <v>0</v>
      </c>
      <c r="AW307">
        <v>360</v>
      </c>
      <c r="AX307">
        <v>7</v>
      </c>
      <c r="AY307">
        <v>2</v>
      </c>
      <c r="AZ307">
        <v>0</v>
      </c>
      <c r="BA307">
        <v>0</v>
      </c>
      <c r="BB307">
        <v>0</v>
      </c>
      <c r="BC307">
        <v>0</v>
      </c>
    </row>
    <row r="308" spans="1:57" x14ac:dyDescent="0.2">
      <c r="A308">
        <v>306</v>
      </c>
      <c r="B308">
        <v>55</v>
      </c>
      <c r="C308">
        <v>0</v>
      </c>
      <c r="D308">
        <v>139.9</v>
      </c>
      <c r="E308">
        <v>1.64</v>
      </c>
      <c r="F308" s="5">
        <f t="shared" si="5"/>
        <v>52.015169541939329</v>
      </c>
      <c r="G308" s="13">
        <v>3</v>
      </c>
      <c r="H308">
        <v>2</v>
      </c>
      <c r="I308">
        <v>2</v>
      </c>
      <c r="J308">
        <v>2</v>
      </c>
      <c r="K308" s="6">
        <v>0.41666666666666669</v>
      </c>
      <c r="L308" s="6">
        <v>0.65625</v>
      </c>
      <c r="M308">
        <v>55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</row>
    <row r="309" spans="1:57" x14ac:dyDescent="0.2">
      <c r="A309">
        <v>307</v>
      </c>
      <c r="B309">
        <v>26</v>
      </c>
      <c r="C309">
        <v>0</v>
      </c>
      <c r="D309">
        <v>117.5</v>
      </c>
      <c r="E309">
        <v>1.65</v>
      </c>
      <c r="F309" s="5">
        <f t="shared" si="5"/>
        <v>43.158861340679529</v>
      </c>
      <c r="G309" s="13">
        <v>3</v>
      </c>
      <c r="H309">
        <v>2</v>
      </c>
      <c r="I309">
        <v>1</v>
      </c>
      <c r="J309">
        <v>1</v>
      </c>
      <c r="K309" s="6">
        <v>0.41666666666666669</v>
      </c>
      <c r="L309" s="6">
        <v>0.70624999999999993</v>
      </c>
      <c r="M309">
        <v>30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Y309">
        <v>0</v>
      </c>
      <c r="Z309">
        <v>0</v>
      </c>
      <c r="AA309">
        <v>300</v>
      </c>
      <c r="AB309">
        <v>3</v>
      </c>
      <c r="AC309">
        <v>2</v>
      </c>
      <c r="AD309">
        <v>0</v>
      </c>
      <c r="AE309">
        <v>0</v>
      </c>
      <c r="AF309">
        <v>0</v>
      </c>
      <c r="AG309">
        <v>0</v>
      </c>
      <c r="AH309" t="s">
        <v>85</v>
      </c>
      <c r="AI309" t="s">
        <v>86</v>
      </c>
      <c r="AJ309">
        <v>0</v>
      </c>
      <c r="AK309">
        <v>0</v>
      </c>
      <c r="AL309">
        <v>360</v>
      </c>
      <c r="AM309">
        <v>5</v>
      </c>
      <c r="AN309">
        <v>2</v>
      </c>
      <c r="AO309">
        <v>2</v>
      </c>
      <c r="AP309">
        <v>1</v>
      </c>
      <c r="AQ309">
        <v>2</v>
      </c>
      <c r="AR309">
        <v>1</v>
      </c>
      <c r="AS309" t="s">
        <v>76</v>
      </c>
      <c r="AT309" t="s">
        <v>42</v>
      </c>
      <c r="AU309">
        <v>0</v>
      </c>
      <c r="AV309">
        <v>0</v>
      </c>
      <c r="AW309">
        <v>180</v>
      </c>
      <c r="AX309">
        <v>4</v>
      </c>
      <c r="AY309">
        <v>1</v>
      </c>
      <c r="AZ309">
        <v>0</v>
      </c>
      <c r="BA309">
        <v>0</v>
      </c>
      <c r="BB309">
        <v>0</v>
      </c>
      <c r="BC309">
        <v>0</v>
      </c>
    </row>
    <row r="310" spans="1:57" x14ac:dyDescent="0.2">
      <c r="A310">
        <v>308</v>
      </c>
      <c r="B310">
        <v>25</v>
      </c>
      <c r="C310">
        <v>0</v>
      </c>
      <c r="D310">
        <v>112.8</v>
      </c>
      <c r="E310">
        <v>1.67</v>
      </c>
      <c r="F310" s="5">
        <f t="shared" si="5"/>
        <v>40.446053999784858</v>
      </c>
      <c r="G310" s="13">
        <v>1</v>
      </c>
      <c r="H310">
        <v>2</v>
      </c>
      <c r="I310">
        <v>2</v>
      </c>
      <c r="J310">
        <v>2</v>
      </c>
      <c r="K310" s="6">
        <v>0.5</v>
      </c>
      <c r="L310" s="6">
        <v>0.69444444444444453</v>
      </c>
      <c r="M310">
        <v>31</v>
      </c>
      <c r="N310">
        <v>0</v>
      </c>
      <c r="O310">
        <v>0</v>
      </c>
      <c r="P310">
        <v>1</v>
      </c>
      <c r="Q310">
        <v>1</v>
      </c>
      <c r="R310">
        <v>1</v>
      </c>
      <c r="S310">
        <v>0</v>
      </c>
      <c r="T310">
        <v>0</v>
      </c>
      <c r="U310">
        <v>0</v>
      </c>
      <c r="V310">
        <v>1</v>
      </c>
      <c r="W310" t="s">
        <v>29</v>
      </c>
      <c r="X310" t="s">
        <v>30</v>
      </c>
      <c r="Y310">
        <v>0</v>
      </c>
      <c r="Z310">
        <v>0</v>
      </c>
      <c r="AA310">
        <v>120</v>
      </c>
      <c r="AB310">
        <v>1</v>
      </c>
      <c r="AC310">
        <v>1</v>
      </c>
      <c r="AD310">
        <v>0</v>
      </c>
      <c r="AE310">
        <v>0</v>
      </c>
      <c r="AF310">
        <v>0</v>
      </c>
      <c r="AG310">
        <v>0</v>
      </c>
      <c r="AJ310">
        <v>0</v>
      </c>
      <c r="AK310">
        <v>0</v>
      </c>
      <c r="AL310">
        <v>30</v>
      </c>
      <c r="AM310">
        <v>1</v>
      </c>
      <c r="AN310">
        <v>1</v>
      </c>
      <c r="AO310">
        <v>0</v>
      </c>
      <c r="AP310">
        <v>0</v>
      </c>
      <c r="AQ310">
        <v>0</v>
      </c>
      <c r="AR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</row>
    <row r="311" spans="1:57" x14ac:dyDescent="0.2">
      <c r="A311">
        <v>309</v>
      </c>
      <c r="B311">
        <v>35</v>
      </c>
      <c r="C311">
        <v>0</v>
      </c>
      <c r="D311">
        <v>133</v>
      </c>
      <c r="E311">
        <v>1.68</v>
      </c>
      <c r="F311" s="5">
        <f t="shared" si="5"/>
        <v>47.123015873015881</v>
      </c>
      <c r="G311" s="13">
        <v>3</v>
      </c>
      <c r="H311">
        <v>2</v>
      </c>
      <c r="I311">
        <v>1</v>
      </c>
      <c r="J311">
        <v>1</v>
      </c>
      <c r="K311" s="6">
        <v>0.5</v>
      </c>
      <c r="L311" s="6">
        <v>0.625</v>
      </c>
      <c r="M311">
        <v>50</v>
      </c>
      <c r="N311">
        <v>0</v>
      </c>
      <c r="O311">
        <v>0</v>
      </c>
      <c r="P311">
        <v>1</v>
      </c>
      <c r="Q311">
        <v>2</v>
      </c>
      <c r="R311">
        <v>1</v>
      </c>
      <c r="S311">
        <v>0</v>
      </c>
      <c r="T311">
        <v>0</v>
      </c>
      <c r="U311">
        <v>0</v>
      </c>
      <c r="V311">
        <v>1</v>
      </c>
      <c r="W311" t="s">
        <v>29</v>
      </c>
      <c r="X311" t="s">
        <v>30</v>
      </c>
      <c r="Y311">
        <v>0</v>
      </c>
      <c r="Z311">
        <v>1</v>
      </c>
      <c r="AA311">
        <v>180</v>
      </c>
      <c r="AB311">
        <v>3</v>
      </c>
      <c r="AC311">
        <v>1</v>
      </c>
      <c r="AD311">
        <v>0</v>
      </c>
      <c r="AE311">
        <v>0</v>
      </c>
      <c r="AF311">
        <v>0</v>
      </c>
      <c r="AG311">
        <v>0</v>
      </c>
      <c r="AJ311">
        <v>0</v>
      </c>
      <c r="AK311">
        <v>0</v>
      </c>
      <c r="AL311">
        <v>120</v>
      </c>
      <c r="AM311">
        <v>1</v>
      </c>
      <c r="AN311">
        <v>1</v>
      </c>
      <c r="AO311">
        <v>0</v>
      </c>
      <c r="AP311">
        <v>0</v>
      </c>
      <c r="AQ311">
        <v>0</v>
      </c>
      <c r="AR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</row>
    <row r="312" spans="1:57" x14ac:dyDescent="0.2">
      <c r="A312">
        <v>310</v>
      </c>
      <c r="B312">
        <v>49</v>
      </c>
      <c r="C312">
        <v>0</v>
      </c>
      <c r="D312">
        <v>94</v>
      </c>
      <c r="E312">
        <v>1.69</v>
      </c>
      <c r="F312" s="5">
        <f t="shared" si="5"/>
        <v>32.912012884702918</v>
      </c>
      <c r="G312" s="13">
        <v>2</v>
      </c>
      <c r="H312">
        <v>1</v>
      </c>
      <c r="I312">
        <v>2</v>
      </c>
      <c r="J312">
        <v>2</v>
      </c>
      <c r="K312" s="6">
        <v>0.40972222222222227</v>
      </c>
      <c r="L312" s="6">
        <v>0.73611111111111116</v>
      </c>
      <c r="M312">
        <v>70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</row>
    <row r="313" spans="1:57" x14ac:dyDescent="0.2">
      <c r="A313">
        <v>311</v>
      </c>
      <c r="B313">
        <v>45</v>
      </c>
      <c r="C313">
        <v>0</v>
      </c>
      <c r="D313">
        <v>116.2</v>
      </c>
      <c r="E313">
        <v>1.63</v>
      </c>
      <c r="F313" s="5">
        <f t="shared" si="5"/>
        <v>43.735180097105655</v>
      </c>
      <c r="G313" s="13">
        <v>2</v>
      </c>
      <c r="H313">
        <v>2</v>
      </c>
      <c r="I313">
        <v>1</v>
      </c>
      <c r="J313">
        <v>1</v>
      </c>
      <c r="K313" s="6">
        <v>0.41666666666666669</v>
      </c>
      <c r="L313" s="6">
        <v>0.65277777777777779</v>
      </c>
      <c r="M313">
        <v>30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J313">
        <v>0</v>
      </c>
      <c r="AK313">
        <v>0</v>
      </c>
      <c r="AL313">
        <v>30</v>
      </c>
      <c r="AM313">
        <v>1</v>
      </c>
      <c r="AN313">
        <v>1</v>
      </c>
      <c r="AO313">
        <v>0</v>
      </c>
      <c r="AP313">
        <v>0</v>
      </c>
      <c r="AQ313">
        <v>0</v>
      </c>
      <c r="AR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</row>
    <row r="314" spans="1:57" x14ac:dyDescent="0.2">
      <c r="A314">
        <v>312</v>
      </c>
      <c r="B314">
        <v>24</v>
      </c>
      <c r="C314">
        <v>0</v>
      </c>
      <c r="D314">
        <v>103.4</v>
      </c>
      <c r="E314">
        <v>1.74</v>
      </c>
      <c r="F314" s="5">
        <f t="shared" si="5"/>
        <v>34.152463997886116</v>
      </c>
      <c r="G314" s="13">
        <v>3</v>
      </c>
      <c r="H314">
        <v>2</v>
      </c>
      <c r="I314">
        <v>2</v>
      </c>
      <c r="J314">
        <v>2</v>
      </c>
      <c r="K314" s="6">
        <v>0.4236111111111111</v>
      </c>
      <c r="L314" s="6">
        <v>0.58680555555555558</v>
      </c>
      <c r="M314">
        <v>60</v>
      </c>
      <c r="N314">
        <v>0</v>
      </c>
      <c r="O314">
        <v>0</v>
      </c>
      <c r="P314">
        <v>1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1</v>
      </c>
      <c r="W314" t="s">
        <v>35</v>
      </c>
      <c r="X314" t="s">
        <v>49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</row>
    <row r="315" spans="1:57" x14ac:dyDescent="0.2">
      <c r="A315">
        <v>313</v>
      </c>
      <c r="B315">
        <v>38</v>
      </c>
      <c r="C315">
        <v>0</v>
      </c>
      <c r="D315">
        <v>140.69999999999999</v>
      </c>
      <c r="E315">
        <v>1.71</v>
      </c>
      <c r="F315" s="5">
        <f t="shared" si="5"/>
        <v>48.117369447009338</v>
      </c>
      <c r="G315" s="13">
        <v>3</v>
      </c>
      <c r="H315">
        <v>2</v>
      </c>
      <c r="I315">
        <v>1</v>
      </c>
      <c r="J315">
        <v>1</v>
      </c>
      <c r="K315" s="6">
        <v>0.625</v>
      </c>
      <c r="L315" s="6">
        <v>0.97222222222222221</v>
      </c>
      <c r="M315">
        <v>50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 t="s">
        <v>31</v>
      </c>
      <c r="X315" t="s">
        <v>32</v>
      </c>
      <c r="Y315">
        <v>0</v>
      </c>
      <c r="Z315">
        <v>0</v>
      </c>
      <c r="AA315">
        <v>180</v>
      </c>
      <c r="AB315">
        <v>1</v>
      </c>
      <c r="AC315">
        <v>1</v>
      </c>
      <c r="AD315">
        <v>0</v>
      </c>
      <c r="AE315">
        <v>0</v>
      </c>
      <c r="AF315">
        <v>0</v>
      </c>
      <c r="AG315">
        <v>0</v>
      </c>
      <c r="AJ315">
        <v>0</v>
      </c>
      <c r="AK315">
        <v>0</v>
      </c>
      <c r="AL315">
        <v>30</v>
      </c>
      <c r="AM315">
        <v>2</v>
      </c>
      <c r="AN315">
        <v>1</v>
      </c>
      <c r="AO315">
        <v>0</v>
      </c>
      <c r="AP315">
        <v>0</v>
      </c>
      <c r="AQ315">
        <v>0</v>
      </c>
      <c r="AR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</row>
    <row r="316" spans="1:57" x14ac:dyDescent="0.2">
      <c r="A316">
        <v>314</v>
      </c>
      <c r="B316">
        <v>21</v>
      </c>
      <c r="C316">
        <v>0</v>
      </c>
      <c r="D316" s="15">
        <v>143.69999999999999</v>
      </c>
      <c r="E316">
        <v>1.66</v>
      </c>
      <c r="F316" s="5">
        <f t="shared" si="5"/>
        <v>52.148352445928289</v>
      </c>
      <c r="G316" s="13">
        <v>3</v>
      </c>
      <c r="H316">
        <v>2</v>
      </c>
      <c r="I316">
        <v>2</v>
      </c>
      <c r="J316">
        <v>2</v>
      </c>
      <c r="K316" s="6">
        <v>0.61805555555555558</v>
      </c>
      <c r="L316" s="6">
        <v>0.8125</v>
      </c>
      <c r="M316">
        <v>60</v>
      </c>
      <c r="N316">
        <v>0</v>
      </c>
      <c r="O316">
        <v>0</v>
      </c>
      <c r="P316">
        <v>1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1</v>
      </c>
      <c r="W316" t="s">
        <v>29</v>
      </c>
      <c r="X316" t="s">
        <v>30</v>
      </c>
      <c r="Y316">
        <v>0</v>
      </c>
      <c r="Z316">
        <v>0</v>
      </c>
      <c r="AA316">
        <v>180</v>
      </c>
      <c r="AB316">
        <v>5</v>
      </c>
      <c r="AC316">
        <v>2</v>
      </c>
      <c r="AD316">
        <v>1</v>
      </c>
      <c r="AE316">
        <v>1</v>
      </c>
      <c r="AF316">
        <v>1</v>
      </c>
      <c r="AG316">
        <v>1</v>
      </c>
      <c r="AH316" t="s">
        <v>74</v>
      </c>
      <c r="AI316" t="s">
        <v>75</v>
      </c>
      <c r="AJ316">
        <v>0</v>
      </c>
      <c r="AK316">
        <v>0</v>
      </c>
      <c r="AL316">
        <v>120</v>
      </c>
      <c r="AM316">
        <v>3</v>
      </c>
      <c r="AN316">
        <v>1</v>
      </c>
      <c r="AO316">
        <v>0</v>
      </c>
      <c r="AP316">
        <v>0</v>
      </c>
      <c r="AQ316">
        <v>0</v>
      </c>
      <c r="AR316">
        <v>0</v>
      </c>
      <c r="AU316">
        <v>0</v>
      </c>
      <c r="AV316">
        <v>0</v>
      </c>
      <c r="AW316">
        <v>90</v>
      </c>
      <c r="AX316">
        <v>3</v>
      </c>
      <c r="AY316">
        <v>2</v>
      </c>
      <c r="AZ316">
        <v>0</v>
      </c>
      <c r="BA316">
        <v>0</v>
      </c>
      <c r="BB316">
        <v>0</v>
      </c>
      <c r="BC316">
        <v>1</v>
      </c>
      <c r="BD316" t="s">
        <v>88</v>
      </c>
      <c r="BE316" t="s">
        <v>89</v>
      </c>
    </row>
    <row r="317" spans="1:57" x14ac:dyDescent="0.2">
      <c r="A317">
        <v>315</v>
      </c>
      <c r="B317">
        <v>31</v>
      </c>
      <c r="C317">
        <v>0</v>
      </c>
      <c r="D317">
        <v>100</v>
      </c>
      <c r="E317">
        <v>1.66</v>
      </c>
      <c r="F317" s="5">
        <f t="shared" si="5"/>
        <v>36.289737262302225</v>
      </c>
      <c r="G317" s="13">
        <v>1</v>
      </c>
      <c r="H317">
        <v>2</v>
      </c>
      <c r="I317">
        <v>1</v>
      </c>
      <c r="J317">
        <v>1</v>
      </c>
      <c r="K317" s="6">
        <v>0.40277777777777773</v>
      </c>
      <c r="L317" s="6">
        <v>0.76180555555555562</v>
      </c>
      <c r="M317">
        <v>30</v>
      </c>
      <c r="N317">
        <v>0</v>
      </c>
      <c r="O317">
        <v>0</v>
      </c>
      <c r="P317">
        <v>1</v>
      </c>
      <c r="Q317">
        <v>2</v>
      </c>
      <c r="R317">
        <v>1</v>
      </c>
      <c r="S317">
        <v>0</v>
      </c>
      <c r="T317">
        <v>0</v>
      </c>
      <c r="U317">
        <v>0</v>
      </c>
      <c r="V317">
        <v>0</v>
      </c>
      <c r="W317" t="s">
        <v>31</v>
      </c>
      <c r="X317" t="s">
        <v>33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</row>
    <row r="318" spans="1:57" x14ac:dyDescent="0.2">
      <c r="A318">
        <v>316</v>
      </c>
      <c r="B318">
        <v>41</v>
      </c>
      <c r="C318">
        <v>0</v>
      </c>
      <c r="D318">
        <v>133.1</v>
      </c>
      <c r="E318">
        <v>1.52</v>
      </c>
      <c r="F318" s="5">
        <f t="shared" si="5"/>
        <v>57.60907202216066</v>
      </c>
      <c r="G318" s="13">
        <v>2</v>
      </c>
      <c r="H318">
        <v>3</v>
      </c>
      <c r="I318">
        <v>2</v>
      </c>
      <c r="J318">
        <v>2</v>
      </c>
      <c r="K318" s="6">
        <v>0.625</v>
      </c>
      <c r="L318" s="6">
        <v>0.88194444444444453</v>
      </c>
      <c r="M318">
        <v>40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 t="s">
        <v>31</v>
      </c>
      <c r="X318" t="s">
        <v>33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</row>
    <row r="319" spans="1:57" x14ac:dyDescent="0.2">
      <c r="A319">
        <v>317</v>
      </c>
      <c r="B319">
        <v>23</v>
      </c>
      <c r="C319">
        <v>0</v>
      </c>
      <c r="D319">
        <v>125.6</v>
      </c>
      <c r="E319">
        <v>1.68</v>
      </c>
      <c r="F319" s="5">
        <f t="shared" si="5"/>
        <v>44.501133786848079</v>
      </c>
      <c r="G319" s="13">
        <v>3</v>
      </c>
      <c r="H319">
        <v>2</v>
      </c>
      <c r="I319">
        <v>1</v>
      </c>
      <c r="J319">
        <v>1</v>
      </c>
      <c r="K319" s="6">
        <v>0.41666666666666669</v>
      </c>
      <c r="L319" s="6">
        <v>0.74236111111111114</v>
      </c>
      <c r="M319">
        <v>50</v>
      </c>
      <c r="N319">
        <v>0</v>
      </c>
      <c r="O319">
        <v>0</v>
      </c>
      <c r="P319">
        <v>1</v>
      </c>
      <c r="Q319">
        <v>2</v>
      </c>
      <c r="R319">
        <v>1</v>
      </c>
      <c r="S319">
        <v>0</v>
      </c>
      <c r="T319">
        <v>0</v>
      </c>
      <c r="U319">
        <v>0</v>
      </c>
      <c r="V319">
        <v>1</v>
      </c>
      <c r="W319" t="s">
        <v>35</v>
      </c>
      <c r="X319" t="s">
        <v>36</v>
      </c>
      <c r="Y319">
        <v>2</v>
      </c>
      <c r="Z319">
        <v>2</v>
      </c>
      <c r="AA319">
        <v>300</v>
      </c>
      <c r="AB319">
        <v>3</v>
      </c>
      <c r="AC319">
        <v>2</v>
      </c>
      <c r="AD319">
        <v>0</v>
      </c>
      <c r="AE319">
        <v>0</v>
      </c>
      <c r="AF319">
        <v>0</v>
      </c>
      <c r="AG319">
        <v>0</v>
      </c>
      <c r="AJ319">
        <v>3</v>
      </c>
      <c r="AK319">
        <v>2</v>
      </c>
      <c r="AL319">
        <v>120</v>
      </c>
      <c r="AM319">
        <v>3</v>
      </c>
      <c r="AN319">
        <v>2</v>
      </c>
      <c r="AO319">
        <v>0</v>
      </c>
      <c r="AP319">
        <v>0</v>
      </c>
      <c r="AQ319">
        <v>0</v>
      </c>
      <c r="AR319">
        <v>0</v>
      </c>
      <c r="AU319">
        <v>0</v>
      </c>
      <c r="AV319">
        <v>0</v>
      </c>
      <c r="AW319">
        <v>30</v>
      </c>
      <c r="AX319">
        <v>1</v>
      </c>
      <c r="AY319">
        <v>1</v>
      </c>
      <c r="AZ319">
        <v>0</v>
      </c>
      <c r="BA319">
        <v>0</v>
      </c>
      <c r="BB319">
        <v>0</v>
      </c>
      <c r="BC319">
        <v>0</v>
      </c>
    </row>
    <row r="320" spans="1:57" x14ac:dyDescent="0.2">
      <c r="A320">
        <v>318</v>
      </c>
      <c r="B320">
        <v>41</v>
      </c>
      <c r="C320">
        <v>0</v>
      </c>
      <c r="D320">
        <v>106</v>
      </c>
      <c r="E320">
        <v>1.64</v>
      </c>
      <c r="F320" s="5">
        <f t="shared" si="5"/>
        <v>39.411064842355749</v>
      </c>
      <c r="G320" s="13">
        <v>1</v>
      </c>
      <c r="H320">
        <v>2</v>
      </c>
      <c r="I320">
        <v>2</v>
      </c>
      <c r="J320">
        <v>2</v>
      </c>
      <c r="K320" s="6">
        <v>0.61805555555555558</v>
      </c>
      <c r="L320" s="6">
        <v>0.90972222222222221</v>
      </c>
      <c r="M320">
        <v>45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</row>
    <row r="321" spans="1:57" x14ac:dyDescent="0.2">
      <c r="A321">
        <v>319</v>
      </c>
      <c r="B321">
        <v>49</v>
      </c>
      <c r="C321">
        <v>0</v>
      </c>
      <c r="D321">
        <v>107</v>
      </c>
      <c r="E321">
        <v>1.68</v>
      </c>
      <c r="F321" s="5">
        <f t="shared" si="5"/>
        <v>37.91099773242631</v>
      </c>
      <c r="G321" s="13">
        <v>2</v>
      </c>
      <c r="H321">
        <v>2</v>
      </c>
      <c r="I321">
        <v>1</v>
      </c>
      <c r="J321">
        <v>1</v>
      </c>
      <c r="K321" s="6">
        <v>0.41666666666666669</v>
      </c>
      <c r="L321" s="6">
        <v>0.59027777777777779</v>
      </c>
      <c r="M321">
        <v>30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</row>
    <row r="322" spans="1:57" x14ac:dyDescent="0.2">
      <c r="A322">
        <v>320</v>
      </c>
      <c r="B322">
        <v>30</v>
      </c>
      <c r="C322">
        <v>0</v>
      </c>
      <c r="D322">
        <v>165.8</v>
      </c>
      <c r="E322">
        <v>1.75</v>
      </c>
      <c r="F322" s="5">
        <f t="shared" si="5"/>
        <v>54.138775510204084</v>
      </c>
      <c r="G322" s="13">
        <v>3</v>
      </c>
      <c r="H322">
        <v>3</v>
      </c>
      <c r="I322">
        <v>2</v>
      </c>
      <c r="J322">
        <v>2</v>
      </c>
      <c r="K322" s="6">
        <v>0.59375</v>
      </c>
      <c r="L322" s="6">
        <v>0.91666666666666663</v>
      </c>
      <c r="M322">
        <v>60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</row>
    <row r="323" spans="1:57" x14ac:dyDescent="0.2">
      <c r="A323">
        <v>321</v>
      </c>
      <c r="B323">
        <v>32</v>
      </c>
      <c r="C323">
        <v>0</v>
      </c>
      <c r="D323">
        <v>137.5</v>
      </c>
      <c r="E323">
        <v>1.84</v>
      </c>
      <c r="F323" s="5">
        <f t="shared" si="5"/>
        <v>40.613185255198488</v>
      </c>
      <c r="G323" s="13">
        <v>1</v>
      </c>
      <c r="H323">
        <v>2</v>
      </c>
      <c r="I323">
        <v>1</v>
      </c>
      <c r="J323">
        <v>1</v>
      </c>
      <c r="K323" s="6">
        <v>0.375</v>
      </c>
      <c r="L323" s="6">
        <v>0.60416666666666663</v>
      </c>
      <c r="M323">
        <v>30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Y323">
        <v>0</v>
      </c>
      <c r="Z323">
        <v>0</v>
      </c>
      <c r="AA323">
        <v>180</v>
      </c>
      <c r="AB323">
        <v>2</v>
      </c>
      <c r="AC323">
        <v>1</v>
      </c>
      <c r="AD323">
        <v>0</v>
      </c>
      <c r="AE323">
        <v>0</v>
      </c>
      <c r="AF323">
        <v>0</v>
      </c>
      <c r="AG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</row>
    <row r="324" spans="1:57" x14ac:dyDescent="0.2">
      <c r="A324">
        <v>322</v>
      </c>
      <c r="B324">
        <v>32</v>
      </c>
      <c r="C324">
        <v>0</v>
      </c>
      <c r="D324">
        <v>137</v>
      </c>
      <c r="E324">
        <v>1.58</v>
      </c>
      <c r="F324" s="5">
        <f t="shared" si="5"/>
        <v>54.879025797147882</v>
      </c>
      <c r="G324" s="13">
        <v>1</v>
      </c>
      <c r="H324">
        <v>2</v>
      </c>
      <c r="I324">
        <v>2</v>
      </c>
      <c r="J324">
        <v>2</v>
      </c>
      <c r="K324" s="6">
        <v>0.625</v>
      </c>
      <c r="L324" s="6">
        <v>0.82638888888888884</v>
      </c>
      <c r="M324">
        <v>25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</row>
    <row r="325" spans="1:57" x14ac:dyDescent="0.2">
      <c r="A325">
        <v>323</v>
      </c>
      <c r="B325">
        <v>48</v>
      </c>
      <c r="C325">
        <v>0</v>
      </c>
      <c r="D325">
        <v>131.80000000000001</v>
      </c>
      <c r="E325">
        <v>1.72</v>
      </c>
      <c r="F325" s="5">
        <f t="shared" si="5"/>
        <v>44.551108707409419</v>
      </c>
      <c r="G325" s="13">
        <v>1</v>
      </c>
      <c r="H325">
        <v>2</v>
      </c>
      <c r="I325">
        <v>1</v>
      </c>
      <c r="J325">
        <v>1</v>
      </c>
      <c r="K325" s="6">
        <v>0.41666666666666669</v>
      </c>
      <c r="L325" s="6">
        <v>0.79166666666666663</v>
      </c>
      <c r="M325">
        <v>32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Y325">
        <v>0</v>
      </c>
      <c r="Z325">
        <v>0</v>
      </c>
      <c r="AA325">
        <v>180</v>
      </c>
      <c r="AB325">
        <v>1</v>
      </c>
      <c r="AC325">
        <v>1</v>
      </c>
      <c r="AD325">
        <v>0</v>
      </c>
      <c r="AE325">
        <v>0</v>
      </c>
      <c r="AF325">
        <v>0</v>
      </c>
      <c r="AG325">
        <v>0</v>
      </c>
      <c r="AJ325">
        <v>0</v>
      </c>
      <c r="AK325">
        <v>0</v>
      </c>
      <c r="AL325">
        <v>120</v>
      </c>
      <c r="AM325">
        <v>2</v>
      </c>
      <c r="AN325">
        <v>1</v>
      </c>
      <c r="AO325">
        <v>0</v>
      </c>
      <c r="AP325">
        <v>0</v>
      </c>
      <c r="AQ325">
        <v>0</v>
      </c>
      <c r="AR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</row>
    <row r="326" spans="1:57" x14ac:dyDescent="0.2">
      <c r="A326">
        <v>324</v>
      </c>
      <c r="B326">
        <v>27</v>
      </c>
      <c r="C326">
        <v>0</v>
      </c>
      <c r="D326">
        <v>105.2</v>
      </c>
      <c r="E326">
        <v>1.67</v>
      </c>
      <c r="F326" s="5">
        <f t="shared" si="5"/>
        <v>37.720965255118507</v>
      </c>
      <c r="G326" s="13">
        <v>2</v>
      </c>
      <c r="H326">
        <v>2</v>
      </c>
      <c r="I326">
        <v>2</v>
      </c>
      <c r="J326">
        <v>2</v>
      </c>
      <c r="K326" s="6">
        <v>0.63194444444444442</v>
      </c>
      <c r="L326" s="6">
        <v>0.84722222222222221</v>
      </c>
      <c r="M326">
        <v>30</v>
      </c>
      <c r="N326">
        <v>0</v>
      </c>
      <c r="O326">
        <v>0</v>
      </c>
      <c r="P326">
        <v>1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1</v>
      </c>
      <c r="W326" t="s">
        <v>29</v>
      </c>
      <c r="X326" t="s">
        <v>30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</row>
    <row r="327" spans="1:57" x14ac:dyDescent="0.2">
      <c r="A327">
        <v>325</v>
      </c>
      <c r="B327">
        <v>20</v>
      </c>
      <c r="C327">
        <v>0</v>
      </c>
      <c r="D327">
        <v>86.8</v>
      </c>
      <c r="E327">
        <v>1.71</v>
      </c>
      <c r="F327" s="5">
        <f t="shared" si="5"/>
        <v>29.684347320543075</v>
      </c>
      <c r="G327" s="13">
        <v>2</v>
      </c>
      <c r="H327">
        <v>2</v>
      </c>
      <c r="I327">
        <v>1</v>
      </c>
      <c r="J327">
        <v>1</v>
      </c>
      <c r="K327" s="6">
        <v>0.41666666666666669</v>
      </c>
      <c r="L327" s="6">
        <v>0.6875</v>
      </c>
      <c r="M327">
        <v>30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Y327">
        <v>4</v>
      </c>
      <c r="Z327">
        <v>1</v>
      </c>
      <c r="AA327">
        <v>180</v>
      </c>
      <c r="AB327">
        <v>3</v>
      </c>
      <c r="AC327">
        <v>2</v>
      </c>
      <c r="AD327">
        <v>1</v>
      </c>
      <c r="AE327">
        <v>1</v>
      </c>
      <c r="AF327">
        <v>2</v>
      </c>
      <c r="AG327">
        <v>1</v>
      </c>
      <c r="AH327" t="s">
        <v>74</v>
      </c>
      <c r="AI327" t="s">
        <v>75</v>
      </c>
      <c r="AJ327">
        <v>3</v>
      </c>
      <c r="AK327">
        <v>1</v>
      </c>
      <c r="AL327">
        <v>180</v>
      </c>
      <c r="AM327">
        <v>6</v>
      </c>
      <c r="AN327">
        <v>1</v>
      </c>
      <c r="AO327">
        <v>3</v>
      </c>
      <c r="AP327">
        <v>1</v>
      </c>
      <c r="AQ327">
        <v>2</v>
      </c>
      <c r="AR327">
        <v>1</v>
      </c>
      <c r="AS327" t="s">
        <v>74</v>
      </c>
      <c r="AT327" t="s">
        <v>75</v>
      </c>
      <c r="AU327">
        <v>0</v>
      </c>
      <c r="AV327">
        <v>0</v>
      </c>
      <c r="AW327">
        <v>180</v>
      </c>
      <c r="AX327">
        <v>5</v>
      </c>
      <c r="AY327">
        <v>1</v>
      </c>
      <c r="AZ327">
        <v>0</v>
      </c>
      <c r="BA327">
        <v>0</v>
      </c>
      <c r="BB327">
        <v>0</v>
      </c>
      <c r="BC327">
        <v>0</v>
      </c>
    </row>
    <row r="328" spans="1:57" x14ac:dyDescent="0.2">
      <c r="A328">
        <v>326</v>
      </c>
      <c r="B328">
        <v>56</v>
      </c>
      <c r="C328">
        <v>0</v>
      </c>
      <c r="D328">
        <v>131.80000000000001</v>
      </c>
      <c r="E328">
        <v>1.74</v>
      </c>
      <c r="F328" s="5">
        <f t="shared" si="5"/>
        <v>43.532831285506674</v>
      </c>
      <c r="G328" s="13">
        <v>1</v>
      </c>
      <c r="H328">
        <v>2</v>
      </c>
      <c r="I328">
        <v>1</v>
      </c>
      <c r="J328">
        <v>1</v>
      </c>
      <c r="K328" s="6">
        <v>0.41666666666666669</v>
      </c>
      <c r="L328" s="6">
        <v>0.80138888888888893</v>
      </c>
      <c r="M328">
        <v>80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</row>
    <row r="329" spans="1:57" x14ac:dyDescent="0.2">
      <c r="A329">
        <v>327</v>
      </c>
      <c r="B329">
        <v>50</v>
      </c>
      <c r="C329">
        <v>0</v>
      </c>
      <c r="D329">
        <v>85.1</v>
      </c>
      <c r="E329">
        <v>1.62</v>
      </c>
      <c r="F329" s="5">
        <f t="shared" si="5"/>
        <v>32.426459381191883</v>
      </c>
      <c r="G329" s="13">
        <v>3</v>
      </c>
      <c r="H329">
        <v>2</v>
      </c>
      <c r="I329">
        <v>1</v>
      </c>
      <c r="J329">
        <v>1</v>
      </c>
      <c r="K329" s="6">
        <v>0.43055555555555558</v>
      </c>
      <c r="L329" s="6">
        <v>0.88124999999999998</v>
      </c>
      <c r="M329">
        <v>65</v>
      </c>
      <c r="N329">
        <v>2</v>
      </c>
      <c r="O329">
        <v>2</v>
      </c>
      <c r="P329">
        <v>1</v>
      </c>
      <c r="Q329">
        <v>4</v>
      </c>
      <c r="R329">
        <v>2</v>
      </c>
      <c r="S329">
        <v>0</v>
      </c>
      <c r="T329">
        <v>0</v>
      </c>
      <c r="U329">
        <v>0</v>
      </c>
      <c r="V329">
        <v>0</v>
      </c>
      <c r="Y329">
        <v>0</v>
      </c>
      <c r="Z329">
        <v>0</v>
      </c>
      <c r="AA329">
        <v>30</v>
      </c>
      <c r="AB329">
        <v>2</v>
      </c>
      <c r="AC329">
        <v>1</v>
      </c>
      <c r="AD329">
        <v>0</v>
      </c>
      <c r="AE329">
        <v>0</v>
      </c>
      <c r="AF329">
        <v>0</v>
      </c>
      <c r="AG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</row>
    <row r="330" spans="1:57" x14ac:dyDescent="0.2">
      <c r="A330">
        <v>328</v>
      </c>
      <c r="B330">
        <v>32</v>
      </c>
      <c r="C330">
        <v>0</v>
      </c>
      <c r="D330">
        <v>97</v>
      </c>
      <c r="E330">
        <v>1.64</v>
      </c>
      <c r="F330" s="5">
        <f t="shared" si="5"/>
        <v>36.064842355740637</v>
      </c>
      <c r="G330" s="13">
        <v>1</v>
      </c>
      <c r="H330">
        <v>2</v>
      </c>
      <c r="I330">
        <v>1</v>
      </c>
      <c r="J330">
        <v>1</v>
      </c>
      <c r="K330" s="6">
        <v>0.625</v>
      </c>
      <c r="L330" s="6">
        <v>0.86805555555555547</v>
      </c>
      <c r="M330">
        <v>30</v>
      </c>
      <c r="N330">
        <v>1</v>
      </c>
      <c r="O330">
        <v>1</v>
      </c>
      <c r="P330">
        <v>1</v>
      </c>
      <c r="Q330">
        <v>4</v>
      </c>
      <c r="R330">
        <v>1</v>
      </c>
      <c r="S330">
        <v>0</v>
      </c>
      <c r="T330">
        <v>0</v>
      </c>
      <c r="U330">
        <v>0</v>
      </c>
      <c r="V330">
        <v>1</v>
      </c>
      <c r="W330" t="s">
        <v>29</v>
      </c>
      <c r="X330" t="s">
        <v>30</v>
      </c>
      <c r="Y330">
        <v>4</v>
      </c>
      <c r="Z330">
        <v>2</v>
      </c>
      <c r="AA330">
        <v>300</v>
      </c>
      <c r="AB330">
        <v>3</v>
      </c>
      <c r="AC330">
        <v>2</v>
      </c>
      <c r="AD330">
        <v>0</v>
      </c>
      <c r="AE330">
        <v>0</v>
      </c>
      <c r="AF330">
        <v>0</v>
      </c>
      <c r="AG330">
        <v>0</v>
      </c>
      <c r="AJ330">
        <v>0</v>
      </c>
      <c r="AK330">
        <v>0</v>
      </c>
      <c r="AL330">
        <v>180</v>
      </c>
      <c r="AM330">
        <v>6</v>
      </c>
      <c r="AN330">
        <v>2</v>
      </c>
      <c r="AO330">
        <v>0</v>
      </c>
      <c r="AP330">
        <v>0</v>
      </c>
      <c r="AQ330">
        <v>0</v>
      </c>
      <c r="AR330">
        <v>0</v>
      </c>
      <c r="AU330">
        <v>0</v>
      </c>
      <c r="AV330">
        <v>0</v>
      </c>
      <c r="AW330">
        <v>120</v>
      </c>
      <c r="AX330">
        <v>4</v>
      </c>
      <c r="AY330">
        <v>1</v>
      </c>
      <c r="AZ330">
        <v>0</v>
      </c>
      <c r="BA330">
        <v>0</v>
      </c>
      <c r="BB330">
        <v>0</v>
      </c>
      <c r="BC330">
        <v>0</v>
      </c>
    </row>
    <row r="331" spans="1:57" x14ac:dyDescent="0.2">
      <c r="A331">
        <v>329</v>
      </c>
      <c r="B331">
        <v>55</v>
      </c>
      <c r="C331">
        <v>0</v>
      </c>
      <c r="D331">
        <v>102.8</v>
      </c>
      <c r="E331">
        <v>1.59</v>
      </c>
      <c r="F331" s="5">
        <f t="shared" si="5"/>
        <v>40.662948459317271</v>
      </c>
      <c r="G331" s="13">
        <v>3</v>
      </c>
      <c r="H331">
        <v>2</v>
      </c>
      <c r="I331">
        <v>1</v>
      </c>
      <c r="J331">
        <v>1</v>
      </c>
      <c r="K331" s="6">
        <v>0.45833333333333331</v>
      </c>
      <c r="L331" s="6">
        <v>0.59722222222222221</v>
      </c>
      <c r="M331">
        <v>55</v>
      </c>
      <c r="N331">
        <v>0</v>
      </c>
      <c r="O331">
        <v>0</v>
      </c>
      <c r="P331">
        <v>1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0</v>
      </c>
      <c r="Y331">
        <v>0</v>
      </c>
      <c r="Z331">
        <v>0</v>
      </c>
      <c r="AA331">
        <v>30</v>
      </c>
      <c r="AB331">
        <v>3</v>
      </c>
      <c r="AC331">
        <v>1</v>
      </c>
      <c r="AD331">
        <v>0</v>
      </c>
      <c r="AE331">
        <v>0</v>
      </c>
      <c r="AF331">
        <v>0</v>
      </c>
      <c r="AG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</row>
    <row r="332" spans="1:57" x14ac:dyDescent="0.2">
      <c r="A332">
        <v>330</v>
      </c>
      <c r="B332">
        <v>31</v>
      </c>
      <c r="C332">
        <v>0</v>
      </c>
      <c r="D332">
        <v>125</v>
      </c>
      <c r="E332">
        <v>1.73</v>
      </c>
      <c r="F332" s="5">
        <f t="shared" si="5"/>
        <v>41.765511711049484</v>
      </c>
      <c r="G332" s="13">
        <v>1</v>
      </c>
      <c r="H332">
        <v>3</v>
      </c>
      <c r="I332">
        <v>1</v>
      </c>
      <c r="J332">
        <v>1</v>
      </c>
      <c r="K332" s="6">
        <v>0.5</v>
      </c>
      <c r="L332" s="6">
        <v>0.71875</v>
      </c>
      <c r="M332">
        <v>30</v>
      </c>
      <c r="N332">
        <v>0</v>
      </c>
      <c r="O332">
        <v>0</v>
      </c>
      <c r="P332">
        <v>1</v>
      </c>
      <c r="Q332">
        <v>1</v>
      </c>
      <c r="R332">
        <v>2</v>
      </c>
      <c r="S332">
        <v>0</v>
      </c>
      <c r="T332">
        <v>0</v>
      </c>
      <c r="U332">
        <v>0</v>
      </c>
      <c r="V332">
        <v>1</v>
      </c>
      <c r="W332" t="s">
        <v>35</v>
      </c>
      <c r="X332" t="s">
        <v>36</v>
      </c>
      <c r="Y332">
        <v>0</v>
      </c>
      <c r="Z332">
        <v>0</v>
      </c>
      <c r="AA332">
        <v>300</v>
      </c>
      <c r="AB332">
        <v>3</v>
      </c>
      <c r="AC332">
        <v>2</v>
      </c>
      <c r="AD332">
        <v>0</v>
      </c>
      <c r="AE332">
        <v>0</v>
      </c>
      <c r="AF332">
        <v>0</v>
      </c>
      <c r="AG332">
        <v>1</v>
      </c>
      <c r="AH332" t="s">
        <v>87</v>
      </c>
      <c r="AI332" t="s">
        <v>82</v>
      </c>
      <c r="AJ332">
        <v>1</v>
      </c>
      <c r="AK332">
        <v>1</v>
      </c>
      <c r="AL332">
        <v>180</v>
      </c>
      <c r="AM332">
        <v>6</v>
      </c>
      <c r="AN332">
        <v>3</v>
      </c>
      <c r="AO332">
        <v>4</v>
      </c>
      <c r="AP332">
        <v>1</v>
      </c>
      <c r="AQ332">
        <v>3</v>
      </c>
      <c r="AR332">
        <v>1</v>
      </c>
      <c r="AS332" t="s">
        <v>87</v>
      </c>
      <c r="AT332" t="s">
        <v>82</v>
      </c>
      <c r="AU332">
        <v>4</v>
      </c>
      <c r="AV332">
        <v>2</v>
      </c>
      <c r="AW332">
        <v>360</v>
      </c>
      <c r="AX332">
        <v>8</v>
      </c>
      <c r="AY332">
        <v>3</v>
      </c>
      <c r="AZ332">
        <v>2</v>
      </c>
      <c r="BA332">
        <v>1</v>
      </c>
      <c r="BB332">
        <v>2</v>
      </c>
      <c r="BC332">
        <v>1</v>
      </c>
      <c r="BD332" t="s">
        <v>87</v>
      </c>
      <c r="BE332" t="s">
        <v>82</v>
      </c>
    </row>
    <row r="333" spans="1:57" x14ac:dyDescent="0.2">
      <c r="A333">
        <v>331</v>
      </c>
      <c r="B333">
        <v>39</v>
      </c>
      <c r="C333">
        <v>0</v>
      </c>
      <c r="D333">
        <v>109.4</v>
      </c>
      <c r="E333">
        <v>1.74</v>
      </c>
      <c r="F333" s="5">
        <f t="shared" si="5"/>
        <v>36.134231734707363</v>
      </c>
      <c r="G333" s="13">
        <v>3</v>
      </c>
      <c r="H333">
        <v>2</v>
      </c>
      <c r="I333">
        <v>1</v>
      </c>
      <c r="J333">
        <v>1</v>
      </c>
      <c r="K333" s="6">
        <v>0.41666666666666669</v>
      </c>
      <c r="L333" s="6">
        <v>0.78472222222222221</v>
      </c>
      <c r="M333">
        <v>45</v>
      </c>
      <c r="N333">
        <v>0</v>
      </c>
      <c r="O333">
        <v>0</v>
      </c>
      <c r="P333">
        <v>1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0</v>
      </c>
      <c r="Y333">
        <v>2</v>
      </c>
      <c r="Z333">
        <v>2</v>
      </c>
      <c r="AA333">
        <v>180</v>
      </c>
      <c r="AB333">
        <v>3</v>
      </c>
      <c r="AC333">
        <v>1</v>
      </c>
      <c r="AD333">
        <v>1</v>
      </c>
      <c r="AE333">
        <v>1</v>
      </c>
      <c r="AF333">
        <v>1</v>
      </c>
      <c r="AG333">
        <v>0</v>
      </c>
      <c r="AJ333">
        <v>0</v>
      </c>
      <c r="AK333">
        <v>0</v>
      </c>
      <c r="AL333">
        <v>180</v>
      </c>
      <c r="AM333">
        <v>3</v>
      </c>
      <c r="AN333">
        <v>1</v>
      </c>
      <c r="AO333">
        <v>3</v>
      </c>
      <c r="AP333">
        <v>1</v>
      </c>
      <c r="AQ333">
        <v>1</v>
      </c>
      <c r="AR333">
        <v>0</v>
      </c>
      <c r="AU333">
        <v>0</v>
      </c>
      <c r="AV333">
        <v>0</v>
      </c>
      <c r="AW333">
        <v>120</v>
      </c>
      <c r="AX333">
        <v>5</v>
      </c>
      <c r="AY333">
        <v>1</v>
      </c>
      <c r="AZ333">
        <v>0</v>
      </c>
      <c r="BA333">
        <v>0</v>
      </c>
      <c r="BB333">
        <v>0</v>
      </c>
      <c r="BC333">
        <v>0</v>
      </c>
    </row>
    <row r="334" spans="1:57" x14ac:dyDescent="0.2">
      <c r="A334">
        <v>332</v>
      </c>
      <c r="B334">
        <v>54</v>
      </c>
      <c r="C334">
        <v>0</v>
      </c>
      <c r="D334">
        <v>95</v>
      </c>
      <c r="E334">
        <v>1.77</v>
      </c>
      <c r="F334" s="5">
        <f t="shared" si="5"/>
        <v>30.323342589932647</v>
      </c>
      <c r="G334" s="13">
        <v>2</v>
      </c>
      <c r="H334">
        <v>2</v>
      </c>
      <c r="I334">
        <v>1</v>
      </c>
      <c r="J334">
        <v>1</v>
      </c>
      <c r="K334" s="6">
        <v>0.42708333333333331</v>
      </c>
      <c r="L334" s="6">
        <v>0.56944444444444442</v>
      </c>
      <c r="M334">
        <v>30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 t="s">
        <v>31</v>
      </c>
      <c r="X334" t="s">
        <v>32</v>
      </c>
      <c r="Y334">
        <v>0</v>
      </c>
      <c r="Z334">
        <v>0</v>
      </c>
      <c r="AA334">
        <v>30</v>
      </c>
      <c r="AB334">
        <v>2</v>
      </c>
      <c r="AC334">
        <v>1</v>
      </c>
      <c r="AD334">
        <v>0</v>
      </c>
      <c r="AE334">
        <v>0</v>
      </c>
      <c r="AF334">
        <v>0</v>
      </c>
      <c r="AG334">
        <v>1</v>
      </c>
      <c r="AH334" t="s">
        <v>90</v>
      </c>
      <c r="AI334" t="s">
        <v>91</v>
      </c>
      <c r="AJ334">
        <v>0</v>
      </c>
      <c r="AK334">
        <v>0</v>
      </c>
      <c r="AL334">
        <v>180</v>
      </c>
      <c r="AM334">
        <v>3</v>
      </c>
      <c r="AN334">
        <v>1</v>
      </c>
      <c r="AO334">
        <v>0</v>
      </c>
      <c r="AP334">
        <v>0</v>
      </c>
      <c r="AQ334">
        <v>0</v>
      </c>
      <c r="AR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</row>
    <row r="335" spans="1:57" x14ac:dyDescent="0.2">
      <c r="A335">
        <v>333</v>
      </c>
      <c r="B335">
        <v>25</v>
      </c>
      <c r="C335">
        <v>0</v>
      </c>
      <c r="D335">
        <v>132.4</v>
      </c>
      <c r="E335">
        <v>1.84</v>
      </c>
      <c r="F335" s="5">
        <f t="shared" si="5"/>
        <v>39.106805293005671</v>
      </c>
      <c r="G335" s="13">
        <v>2</v>
      </c>
      <c r="H335">
        <v>2</v>
      </c>
      <c r="I335">
        <v>1</v>
      </c>
      <c r="J335">
        <v>1</v>
      </c>
      <c r="K335" s="6">
        <v>0.41666666666666669</v>
      </c>
      <c r="L335" s="6">
        <v>0.57638888888888895</v>
      </c>
      <c r="M335">
        <v>30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 t="s">
        <v>31</v>
      </c>
      <c r="X335" t="s">
        <v>32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</row>
    <row r="336" spans="1:57" x14ac:dyDescent="0.2">
      <c r="A336">
        <v>334</v>
      </c>
      <c r="B336">
        <v>43</v>
      </c>
      <c r="C336">
        <v>0</v>
      </c>
      <c r="D336">
        <v>123.6</v>
      </c>
      <c r="E336">
        <v>1.76</v>
      </c>
      <c r="F336" s="5">
        <f t="shared" si="5"/>
        <v>39.901859504132233</v>
      </c>
      <c r="G336" s="13">
        <v>1</v>
      </c>
      <c r="H336">
        <v>2</v>
      </c>
      <c r="I336">
        <v>1</v>
      </c>
      <c r="J336">
        <v>1</v>
      </c>
      <c r="K336" s="6">
        <v>0.41666666666666669</v>
      </c>
      <c r="L336" s="6">
        <v>0.57638888888888895</v>
      </c>
      <c r="M336">
        <v>35</v>
      </c>
      <c r="N336">
        <v>0</v>
      </c>
      <c r="O336">
        <v>0</v>
      </c>
      <c r="P336">
        <v>1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1</v>
      </c>
      <c r="W336" t="s">
        <v>35</v>
      </c>
      <c r="X336" t="s">
        <v>36</v>
      </c>
      <c r="Y336">
        <v>0</v>
      </c>
      <c r="Z336">
        <v>0</v>
      </c>
      <c r="AA336">
        <v>180</v>
      </c>
      <c r="AB336">
        <v>2</v>
      </c>
      <c r="AC336">
        <v>1</v>
      </c>
      <c r="AD336">
        <v>0</v>
      </c>
      <c r="AE336">
        <v>0</v>
      </c>
      <c r="AF336">
        <v>0</v>
      </c>
      <c r="AG336">
        <v>0</v>
      </c>
      <c r="AH336" t="s">
        <v>85</v>
      </c>
      <c r="AI336" t="s">
        <v>86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</row>
    <row r="337" spans="1:57" x14ac:dyDescent="0.2">
      <c r="A337">
        <v>335</v>
      </c>
      <c r="B337">
        <v>61</v>
      </c>
      <c r="C337">
        <v>0</v>
      </c>
      <c r="D337">
        <v>97.5</v>
      </c>
      <c r="E337">
        <v>1.6</v>
      </c>
      <c r="F337" s="5">
        <f t="shared" si="5"/>
        <v>38.085937499999993</v>
      </c>
      <c r="G337" s="13">
        <v>2</v>
      </c>
      <c r="H337">
        <v>2</v>
      </c>
      <c r="I337">
        <v>1</v>
      </c>
      <c r="J337">
        <v>1</v>
      </c>
      <c r="K337" s="6">
        <v>0.41666666666666669</v>
      </c>
      <c r="L337" s="6">
        <v>0.67013888888888884</v>
      </c>
      <c r="M337">
        <v>50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 t="s">
        <v>31</v>
      </c>
      <c r="X337" t="s">
        <v>32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</row>
    <row r="338" spans="1:57" x14ac:dyDescent="0.2">
      <c r="A338">
        <v>336</v>
      </c>
      <c r="B338">
        <v>39</v>
      </c>
      <c r="C338">
        <v>0</v>
      </c>
      <c r="D338">
        <v>111.7</v>
      </c>
      <c r="E338">
        <v>1.64</v>
      </c>
      <c r="F338" s="5">
        <f t="shared" si="5"/>
        <v>41.530339083878651</v>
      </c>
      <c r="G338" s="13">
        <v>3</v>
      </c>
      <c r="H338">
        <v>2</v>
      </c>
      <c r="I338">
        <v>1</v>
      </c>
      <c r="J338">
        <v>1</v>
      </c>
      <c r="K338" s="6">
        <v>0.42708333333333331</v>
      </c>
      <c r="L338" s="6">
        <v>0.57291666666666663</v>
      </c>
      <c r="M338">
        <v>50</v>
      </c>
      <c r="N338">
        <v>0</v>
      </c>
      <c r="O338">
        <v>0</v>
      </c>
      <c r="P338">
        <v>1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Y338">
        <v>0</v>
      </c>
      <c r="Z338">
        <v>0</v>
      </c>
      <c r="AA338">
        <v>300</v>
      </c>
      <c r="AB338">
        <v>3</v>
      </c>
      <c r="AC338">
        <v>2</v>
      </c>
      <c r="AD338">
        <v>0</v>
      </c>
      <c r="AE338">
        <v>0</v>
      </c>
      <c r="AF338">
        <v>0</v>
      </c>
      <c r="AG338">
        <v>1</v>
      </c>
      <c r="AH338" t="s">
        <v>29</v>
      </c>
      <c r="AI338" t="s">
        <v>30</v>
      </c>
      <c r="AJ338">
        <v>0</v>
      </c>
      <c r="AK338">
        <v>0</v>
      </c>
      <c r="AL338">
        <v>30</v>
      </c>
      <c r="AM338">
        <v>4</v>
      </c>
      <c r="AN338">
        <v>1</v>
      </c>
      <c r="AO338">
        <v>0</v>
      </c>
      <c r="AP338">
        <v>0</v>
      </c>
      <c r="AQ338">
        <v>0</v>
      </c>
      <c r="AR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</row>
    <row r="339" spans="1:57" x14ac:dyDescent="0.2">
      <c r="A339">
        <v>337</v>
      </c>
      <c r="B339">
        <v>31</v>
      </c>
      <c r="C339">
        <v>0</v>
      </c>
      <c r="D339">
        <v>84</v>
      </c>
      <c r="E339">
        <v>1.63</v>
      </c>
      <c r="F339" s="5">
        <f t="shared" si="5"/>
        <v>31.615792841281195</v>
      </c>
      <c r="G339" s="13">
        <v>2</v>
      </c>
      <c r="H339">
        <v>2</v>
      </c>
      <c r="I339">
        <v>2</v>
      </c>
      <c r="J339">
        <v>2</v>
      </c>
      <c r="K339" s="6">
        <v>0.42708333333333331</v>
      </c>
      <c r="L339" s="6">
        <v>0.64583333333333337</v>
      </c>
      <c r="M339">
        <v>40</v>
      </c>
      <c r="N339">
        <v>0</v>
      </c>
      <c r="O339">
        <v>0</v>
      </c>
      <c r="P339">
        <v>1</v>
      </c>
      <c r="Q339">
        <v>2</v>
      </c>
      <c r="R339">
        <v>2</v>
      </c>
      <c r="S339">
        <v>0</v>
      </c>
      <c r="T339">
        <v>0</v>
      </c>
      <c r="U339">
        <v>0</v>
      </c>
      <c r="V339">
        <v>1</v>
      </c>
      <c r="W339" t="s">
        <v>92</v>
      </c>
      <c r="X339" t="s">
        <v>30</v>
      </c>
      <c r="Y339">
        <v>2</v>
      </c>
      <c r="Z339">
        <v>2</v>
      </c>
      <c r="AA339">
        <v>30</v>
      </c>
      <c r="AB339">
        <v>3</v>
      </c>
      <c r="AC339">
        <v>2</v>
      </c>
      <c r="AD339">
        <v>0</v>
      </c>
      <c r="AE339">
        <v>0</v>
      </c>
      <c r="AF339">
        <v>0</v>
      </c>
      <c r="AG339">
        <v>0</v>
      </c>
      <c r="AJ339">
        <v>0</v>
      </c>
      <c r="AK339">
        <v>0</v>
      </c>
      <c r="AL339">
        <v>120</v>
      </c>
      <c r="AM339">
        <v>3</v>
      </c>
      <c r="AN339">
        <v>1</v>
      </c>
      <c r="AO339">
        <v>0</v>
      </c>
      <c r="AP339">
        <v>0</v>
      </c>
      <c r="AQ339">
        <v>0</v>
      </c>
      <c r="AR339">
        <v>1</v>
      </c>
      <c r="AS339" t="s">
        <v>93</v>
      </c>
      <c r="AT339" t="s">
        <v>89</v>
      </c>
      <c r="AU339">
        <v>0</v>
      </c>
      <c r="AV339">
        <v>0</v>
      </c>
      <c r="AW339">
        <v>60</v>
      </c>
      <c r="AX339">
        <v>3</v>
      </c>
      <c r="AY339">
        <v>1</v>
      </c>
      <c r="AZ339">
        <v>0</v>
      </c>
      <c r="BA339">
        <v>0</v>
      </c>
      <c r="BB339">
        <v>0</v>
      </c>
      <c r="BC339">
        <v>1</v>
      </c>
      <c r="BD339" t="s">
        <v>94</v>
      </c>
      <c r="BE339" t="s">
        <v>89</v>
      </c>
    </row>
    <row r="340" spans="1:57" x14ac:dyDescent="0.2">
      <c r="A340">
        <v>338</v>
      </c>
      <c r="B340">
        <v>57</v>
      </c>
      <c r="C340">
        <v>0</v>
      </c>
      <c r="D340">
        <v>85.2</v>
      </c>
      <c r="E340">
        <v>1.55</v>
      </c>
      <c r="F340" s="5">
        <f t="shared" si="5"/>
        <v>35.463059313215396</v>
      </c>
      <c r="G340" s="13">
        <v>1</v>
      </c>
      <c r="H340">
        <v>2</v>
      </c>
      <c r="I340">
        <v>2</v>
      </c>
      <c r="J340">
        <v>2</v>
      </c>
      <c r="K340" s="6">
        <v>0.43055555555555558</v>
      </c>
      <c r="L340" s="6">
        <v>0.62986111111111109</v>
      </c>
      <c r="M340">
        <v>55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 t="s">
        <v>31</v>
      </c>
      <c r="X340" t="s">
        <v>32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</row>
    <row r="341" spans="1:57" x14ac:dyDescent="0.2">
      <c r="A341">
        <v>339</v>
      </c>
      <c r="B341">
        <v>41</v>
      </c>
      <c r="C341">
        <v>0</v>
      </c>
      <c r="D341">
        <v>117</v>
      </c>
      <c r="E341">
        <v>1.65</v>
      </c>
      <c r="F341" s="5">
        <f t="shared" si="5"/>
        <v>42.97520661157025</v>
      </c>
      <c r="G341" s="13">
        <v>3</v>
      </c>
      <c r="H341">
        <v>2</v>
      </c>
      <c r="I341">
        <v>2</v>
      </c>
      <c r="J341">
        <v>2</v>
      </c>
      <c r="K341" s="6">
        <v>0.43402777777777773</v>
      </c>
      <c r="L341" s="6">
        <v>0.63541666666666663</v>
      </c>
      <c r="M341">
        <v>40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</row>
    <row r="342" spans="1:57" x14ac:dyDescent="0.2">
      <c r="A342">
        <v>340</v>
      </c>
      <c r="B342">
        <v>44</v>
      </c>
      <c r="C342">
        <v>0</v>
      </c>
      <c r="D342">
        <v>95.4</v>
      </c>
      <c r="E342">
        <v>1.73</v>
      </c>
      <c r="F342" s="5">
        <f t="shared" si="5"/>
        <v>31.875438537872967</v>
      </c>
      <c r="G342" s="13">
        <v>2</v>
      </c>
      <c r="H342">
        <v>2</v>
      </c>
      <c r="I342">
        <v>2</v>
      </c>
      <c r="J342">
        <v>2</v>
      </c>
      <c r="K342" s="6">
        <v>0.43055555555555558</v>
      </c>
      <c r="L342" s="6">
        <v>0.68055555555555547</v>
      </c>
      <c r="M342">
        <v>40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Y342">
        <v>0</v>
      </c>
      <c r="Z342">
        <v>0</v>
      </c>
      <c r="AA342">
        <v>30</v>
      </c>
      <c r="AB342">
        <v>3</v>
      </c>
      <c r="AC342">
        <v>1</v>
      </c>
      <c r="AD342">
        <v>0</v>
      </c>
      <c r="AE342">
        <v>0</v>
      </c>
      <c r="AF342">
        <v>0</v>
      </c>
      <c r="AG342">
        <v>0</v>
      </c>
      <c r="AJ342">
        <v>0</v>
      </c>
      <c r="AK342">
        <v>0</v>
      </c>
      <c r="AL342">
        <v>120</v>
      </c>
      <c r="AM342">
        <v>1</v>
      </c>
      <c r="AN342">
        <v>1</v>
      </c>
      <c r="AO342">
        <v>0</v>
      </c>
      <c r="AP342">
        <v>0</v>
      </c>
      <c r="AQ342">
        <v>0</v>
      </c>
      <c r="AR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</row>
    <row r="343" spans="1:57" x14ac:dyDescent="0.2">
      <c r="A343">
        <v>341</v>
      </c>
      <c r="B343">
        <v>34</v>
      </c>
      <c r="C343">
        <v>0</v>
      </c>
      <c r="D343">
        <v>128.4</v>
      </c>
      <c r="E343">
        <v>1.72</v>
      </c>
      <c r="F343" s="5">
        <f t="shared" si="5"/>
        <v>43.40183883180098</v>
      </c>
      <c r="G343" s="13">
        <v>2</v>
      </c>
      <c r="H343">
        <v>2</v>
      </c>
      <c r="I343">
        <v>2</v>
      </c>
      <c r="J343">
        <v>2</v>
      </c>
      <c r="K343" s="6">
        <v>0.42708333333333331</v>
      </c>
      <c r="L343" s="6">
        <v>0.72222222222222221</v>
      </c>
      <c r="M343">
        <v>30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Y343">
        <v>2</v>
      </c>
      <c r="Z343">
        <v>1</v>
      </c>
      <c r="AA343">
        <v>120</v>
      </c>
      <c r="AB343">
        <v>3</v>
      </c>
      <c r="AC343">
        <v>2</v>
      </c>
      <c r="AD343">
        <v>0</v>
      </c>
      <c r="AE343">
        <v>0</v>
      </c>
      <c r="AF343">
        <v>0</v>
      </c>
      <c r="AG343">
        <v>0</v>
      </c>
      <c r="AJ343">
        <v>0</v>
      </c>
      <c r="AK343">
        <v>0</v>
      </c>
      <c r="AL343">
        <v>90</v>
      </c>
      <c r="AM343">
        <v>3</v>
      </c>
      <c r="AN343">
        <v>1</v>
      </c>
      <c r="AO343">
        <v>0</v>
      </c>
      <c r="AP343">
        <v>0</v>
      </c>
      <c r="AQ343">
        <v>0</v>
      </c>
      <c r="AR343">
        <v>0</v>
      </c>
      <c r="AU343">
        <v>0</v>
      </c>
      <c r="AV343">
        <v>0</v>
      </c>
      <c r="AW343">
        <v>30</v>
      </c>
      <c r="AX343">
        <v>1</v>
      </c>
      <c r="AY343">
        <v>1</v>
      </c>
      <c r="AZ343">
        <v>0</v>
      </c>
      <c r="BA343">
        <v>0</v>
      </c>
      <c r="BB343">
        <v>0</v>
      </c>
      <c r="BC343">
        <v>0</v>
      </c>
    </row>
    <row r="344" spans="1:57" x14ac:dyDescent="0.2">
      <c r="A344">
        <v>342</v>
      </c>
      <c r="B344">
        <v>46</v>
      </c>
      <c r="C344">
        <v>0</v>
      </c>
      <c r="D344">
        <v>121.8</v>
      </c>
      <c r="E344">
        <v>1.6</v>
      </c>
      <c r="F344" s="5">
        <f t="shared" ref="F344:F403" si="6">D344/(E344*E344)</f>
        <v>47.578124999999993</v>
      </c>
      <c r="G344" s="13">
        <v>1</v>
      </c>
      <c r="H344">
        <v>2</v>
      </c>
      <c r="I344">
        <v>1</v>
      </c>
      <c r="J344">
        <v>1</v>
      </c>
      <c r="K344" s="6">
        <v>0.4236111111111111</v>
      </c>
      <c r="L344" s="6">
        <v>0.81597222222222221</v>
      </c>
      <c r="M344">
        <v>40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 t="s">
        <v>31</v>
      </c>
      <c r="X344" t="s">
        <v>32</v>
      </c>
      <c r="Y344">
        <v>4</v>
      </c>
      <c r="Z344">
        <v>2</v>
      </c>
      <c r="AA344">
        <v>180</v>
      </c>
      <c r="AB344">
        <v>2</v>
      </c>
      <c r="AC344">
        <v>2</v>
      </c>
      <c r="AD344">
        <v>0</v>
      </c>
      <c r="AE344">
        <v>0</v>
      </c>
      <c r="AF344">
        <v>0</v>
      </c>
      <c r="AG344">
        <v>1</v>
      </c>
      <c r="AH344" t="s">
        <v>95</v>
      </c>
      <c r="AI344" t="s">
        <v>96</v>
      </c>
      <c r="AJ344">
        <v>4</v>
      </c>
      <c r="AK344">
        <v>2</v>
      </c>
      <c r="AL344">
        <v>180</v>
      </c>
      <c r="AM344">
        <v>6</v>
      </c>
      <c r="AN344">
        <v>2</v>
      </c>
      <c r="AO344">
        <v>4</v>
      </c>
      <c r="AP344">
        <v>1</v>
      </c>
      <c r="AQ344">
        <v>2</v>
      </c>
      <c r="AR344">
        <v>1</v>
      </c>
      <c r="AS344" t="s">
        <v>95</v>
      </c>
      <c r="AT344" t="s">
        <v>96</v>
      </c>
      <c r="AU344">
        <v>0</v>
      </c>
      <c r="AV344">
        <v>0</v>
      </c>
      <c r="AW344">
        <v>180</v>
      </c>
      <c r="AX344">
        <v>3</v>
      </c>
      <c r="AY344">
        <v>1</v>
      </c>
      <c r="AZ344">
        <v>2</v>
      </c>
      <c r="BA344">
        <v>1</v>
      </c>
      <c r="BB344">
        <v>1</v>
      </c>
      <c r="BC344">
        <v>1</v>
      </c>
      <c r="BD344" t="s">
        <v>95</v>
      </c>
      <c r="BE344" t="s">
        <v>96</v>
      </c>
    </row>
    <row r="345" spans="1:57" x14ac:dyDescent="0.2">
      <c r="A345">
        <v>343</v>
      </c>
      <c r="B345">
        <v>27</v>
      </c>
      <c r="C345">
        <v>0</v>
      </c>
      <c r="D345">
        <v>123.2</v>
      </c>
      <c r="E345">
        <v>1.64</v>
      </c>
      <c r="F345" s="5">
        <f t="shared" si="6"/>
        <v>45.806067816775737</v>
      </c>
      <c r="G345" s="13">
        <v>1</v>
      </c>
      <c r="H345">
        <v>2</v>
      </c>
      <c r="I345">
        <v>1</v>
      </c>
      <c r="J345">
        <v>1</v>
      </c>
      <c r="K345" s="6">
        <v>0.41666666666666669</v>
      </c>
      <c r="L345" s="6">
        <v>0.91111111111111109</v>
      </c>
      <c r="M345">
        <v>32</v>
      </c>
      <c r="N345">
        <v>0</v>
      </c>
      <c r="O345">
        <v>0</v>
      </c>
      <c r="P345">
        <v>1</v>
      </c>
      <c r="Q345">
        <v>4</v>
      </c>
      <c r="R345">
        <v>2</v>
      </c>
      <c r="S345">
        <v>0</v>
      </c>
      <c r="T345">
        <v>0</v>
      </c>
      <c r="U345">
        <v>0</v>
      </c>
      <c r="V345">
        <v>1</v>
      </c>
      <c r="W345" t="s">
        <v>97</v>
      </c>
      <c r="X345" t="s">
        <v>98</v>
      </c>
      <c r="Y345">
        <v>0</v>
      </c>
      <c r="Z345">
        <v>0</v>
      </c>
      <c r="AA345">
        <v>180</v>
      </c>
      <c r="AB345">
        <v>3</v>
      </c>
      <c r="AC345">
        <v>2</v>
      </c>
      <c r="AD345">
        <v>0</v>
      </c>
      <c r="AE345">
        <v>0</v>
      </c>
      <c r="AF345">
        <v>0</v>
      </c>
      <c r="AG345">
        <v>0</v>
      </c>
      <c r="AJ345">
        <v>0</v>
      </c>
      <c r="AK345">
        <v>0</v>
      </c>
      <c r="AL345">
        <v>120</v>
      </c>
      <c r="AM345">
        <v>4</v>
      </c>
      <c r="AN345">
        <v>1</v>
      </c>
      <c r="AO345">
        <v>1</v>
      </c>
      <c r="AP345">
        <v>1</v>
      </c>
      <c r="AQ345">
        <v>1</v>
      </c>
      <c r="AR345">
        <v>0</v>
      </c>
      <c r="AU345">
        <v>0</v>
      </c>
      <c r="AV345">
        <v>0</v>
      </c>
      <c r="AW345">
        <v>120</v>
      </c>
      <c r="AX345">
        <v>6</v>
      </c>
      <c r="AY345">
        <v>1</v>
      </c>
      <c r="AZ345">
        <v>0</v>
      </c>
      <c r="BA345">
        <v>0</v>
      </c>
      <c r="BB345">
        <v>0</v>
      </c>
      <c r="BC345">
        <v>0</v>
      </c>
    </row>
    <row r="346" spans="1:57" x14ac:dyDescent="0.2">
      <c r="A346">
        <v>344</v>
      </c>
      <c r="B346">
        <v>29</v>
      </c>
      <c r="C346">
        <v>0</v>
      </c>
      <c r="D346">
        <v>117</v>
      </c>
      <c r="E346">
        <v>1.68</v>
      </c>
      <c r="F346" s="5">
        <f t="shared" si="6"/>
        <v>41.454081632653065</v>
      </c>
      <c r="G346" s="13">
        <v>2</v>
      </c>
      <c r="H346">
        <v>2</v>
      </c>
      <c r="I346">
        <v>1</v>
      </c>
      <c r="J346">
        <v>1</v>
      </c>
      <c r="K346" s="6">
        <v>0.41666666666666669</v>
      </c>
      <c r="L346" s="6">
        <v>0.625</v>
      </c>
      <c r="M346">
        <v>30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 t="s">
        <v>31</v>
      </c>
      <c r="X346" t="s">
        <v>32</v>
      </c>
      <c r="Y346">
        <v>2</v>
      </c>
      <c r="Z346">
        <v>1</v>
      </c>
      <c r="AA346">
        <v>180</v>
      </c>
      <c r="AB346">
        <v>5</v>
      </c>
      <c r="AC346">
        <v>2</v>
      </c>
      <c r="AD346">
        <v>0</v>
      </c>
      <c r="AE346">
        <v>0</v>
      </c>
      <c r="AF346">
        <v>0</v>
      </c>
      <c r="AG346">
        <v>0</v>
      </c>
      <c r="AJ346">
        <v>1</v>
      </c>
      <c r="AK346">
        <v>1</v>
      </c>
      <c r="AL346">
        <v>120</v>
      </c>
      <c r="AM346">
        <v>1</v>
      </c>
      <c r="AN346">
        <v>2</v>
      </c>
      <c r="AO346">
        <v>0</v>
      </c>
      <c r="AP346">
        <v>0</v>
      </c>
      <c r="AQ346">
        <v>0</v>
      </c>
      <c r="AR346">
        <v>0</v>
      </c>
      <c r="AU346">
        <v>0</v>
      </c>
      <c r="AV346">
        <v>0</v>
      </c>
      <c r="AW346">
        <v>120</v>
      </c>
      <c r="AX346">
        <v>2</v>
      </c>
      <c r="AY346">
        <v>1</v>
      </c>
      <c r="AZ346">
        <v>0</v>
      </c>
      <c r="BA346">
        <v>0</v>
      </c>
      <c r="BB346">
        <v>0</v>
      </c>
      <c r="BC346">
        <v>0</v>
      </c>
    </row>
    <row r="347" spans="1:57" x14ac:dyDescent="0.2">
      <c r="A347">
        <v>345</v>
      </c>
      <c r="B347">
        <v>47</v>
      </c>
      <c r="C347">
        <v>0</v>
      </c>
      <c r="D347">
        <v>110.6</v>
      </c>
      <c r="E347">
        <v>1.6</v>
      </c>
      <c r="F347" s="5">
        <f t="shared" si="6"/>
        <v>43.203124999999993</v>
      </c>
      <c r="G347" s="13">
        <v>1</v>
      </c>
      <c r="H347">
        <v>2</v>
      </c>
      <c r="I347">
        <v>1</v>
      </c>
      <c r="J347">
        <v>1</v>
      </c>
      <c r="K347" s="6">
        <v>0.4236111111111111</v>
      </c>
      <c r="L347" s="6">
        <v>0.77083333333333337</v>
      </c>
      <c r="M347">
        <v>40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Y347">
        <v>0</v>
      </c>
      <c r="Z347">
        <v>0</v>
      </c>
      <c r="AA347">
        <v>30</v>
      </c>
      <c r="AB347">
        <v>2</v>
      </c>
      <c r="AC347">
        <v>1</v>
      </c>
      <c r="AD347">
        <v>0</v>
      </c>
      <c r="AE347">
        <v>0</v>
      </c>
      <c r="AF347">
        <v>0</v>
      </c>
      <c r="AG347">
        <v>0</v>
      </c>
      <c r="AJ347">
        <v>0</v>
      </c>
      <c r="AK347">
        <v>0</v>
      </c>
      <c r="AL347">
        <v>120</v>
      </c>
      <c r="AM347">
        <v>4</v>
      </c>
      <c r="AN347">
        <v>1</v>
      </c>
      <c r="AO347">
        <v>0</v>
      </c>
      <c r="AP347">
        <v>0</v>
      </c>
      <c r="AQ347">
        <v>0</v>
      </c>
      <c r="AR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</row>
    <row r="348" spans="1:57" x14ac:dyDescent="0.2">
      <c r="A348">
        <v>346</v>
      </c>
      <c r="B348">
        <v>39</v>
      </c>
      <c r="C348">
        <v>0</v>
      </c>
      <c r="D348">
        <v>102.8</v>
      </c>
      <c r="E348">
        <v>1.6</v>
      </c>
      <c r="F348" s="5">
        <f t="shared" si="6"/>
        <v>40.156249999999993</v>
      </c>
      <c r="G348" s="13">
        <v>3</v>
      </c>
      <c r="H348">
        <v>2</v>
      </c>
      <c r="I348">
        <v>1</v>
      </c>
      <c r="J348">
        <v>1</v>
      </c>
      <c r="K348" s="6">
        <v>0.43055555555555558</v>
      </c>
      <c r="L348" s="6">
        <v>0.71527777777777779</v>
      </c>
      <c r="M348">
        <v>40</v>
      </c>
      <c r="N348">
        <v>0</v>
      </c>
      <c r="O348">
        <v>0</v>
      </c>
      <c r="P348">
        <v>1</v>
      </c>
      <c r="Q348">
        <v>3</v>
      </c>
      <c r="R348">
        <v>2</v>
      </c>
      <c r="S348">
        <v>0</v>
      </c>
      <c r="T348">
        <v>0</v>
      </c>
      <c r="U348">
        <v>0</v>
      </c>
      <c r="V348">
        <v>1</v>
      </c>
      <c r="W348" t="s">
        <v>35</v>
      </c>
      <c r="X348" t="s">
        <v>36</v>
      </c>
      <c r="Y348">
        <v>0</v>
      </c>
      <c r="Z348">
        <v>0</v>
      </c>
      <c r="AA348">
        <v>180</v>
      </c>
      <c r="AB348">
        <v>2</v>
      </c>
      <c r="AC348">
        <v>1</v>
      </c>
      <c r="AD348">
        <v>0</v>
      </c>
      <c r="AE348">
        <v>0</v>
      </c>
      <c r="AF348">
        <v>0</v>
      </c>
      <c r="AG348">
        <v>0</v>
      </c>
      <c r="AJ348">
        <v>0</v>
      </c>
      <c r="AK348">
        <v>0</v>
      </c>
      <c r="AL348">
        <v>180</v>
      </c>
      <c r="AM348">
        <v>5</v>
      </c>
      <c r="AN348">
        <v>2</v>
      </c>
      <c r="AO348">
        <v>0</v>
      </c>
      <c r="AP348">
        <v>0</v>
      </c>
      <c r="AQ348">
        <v>0</v>
      </c>
      <c r="AR348">
        <v>0</v>
      </c>
      <c r="AU348">
        <v>0</v>
      </c>
      <c r="AV348">
        <v>0</v>
      </c>
      <c r="AW348">
        <v>360</v>
      </c>
      <c r="AX348">
        <v>6</v>
      </c>
      <c r="AY348">
        <v>2</v>
      </c>
      <c r="AZ348">
        <v>0</v>
      </c>
      <c r="BA348">
        <v>0</v>
      </c>
      <c r="BB348">
        <v>0</v>
      </c>
      <c r="BC348">
        <v>0</v>
      </c>
    </row>
    <row r="349" spans="1:57" x14ac:dyDescent="0.2">
      <c r="A349">
        <v>347</v>
      </c>
      <c r="B349">
        <v>29</v>
      </c>
      <c r="C349">
        <v>0</v>
      </c>
      <c r="D349">
        <v>117.8</v>
      </c>
      <c r="E349">
        <v>1.68</v>
      </c>
      <c r="F349" s="5">
        <f t="shared" si="6"/>
        <v>41.737528344671205</v>
      </c>
      <c r="G349" s="13">
        <v>3</v>
      </c>
      <c r="H349">
        <v>2</v>
      </c>
      <c r="I349">
        <v>1</v>
      </c>
      <c r="J349">
        <v>1</v>
      </c>
      <c r="K349" s="6">
        <v>0.42499999999999999</v>
      </c>
      <c r="L349" s="6">
        <v>0.62361111111111112</v>
      </c>
      <c r="M349">
        <v>47</v>
      </c>
      <c r="N349">
        <v>0</v>
      </c>
      <c r="O349">
        <v>0</v>
      </c>
      <c r="P349">
        <v>1</v>
      </c>
      <c r="Q349">
        <v>1</v>
      </c>
      <c r="R349">
        <v>2</v>
      </c>
      <c r="S349">
        <v>0</v>
      </c>
      <c r="T349">
        <v>0</v>
      </c>
      <c r="U349">
        <v>0</v>
      </c>
      <c r="V349">
        <v>0</v>
      </c>
      <c r="Y349">
        <v>0</v>
      </c>
      <c r="Z349">
        <v>0</v>
      </c>
      <c r="AA349">
        <v>180</v>
      </c>
      <c r="AB349">
        <v>3</v>
      </c>
      <c r="AC349">
        <v>2</v>
      </c>
      <c r="AD349">
        <v>3</v>
      </c>
      <c r="AE349">
        <v>1</v>
      </c>
      <c r="AF349">
        <v>2</v>
      </c>
      <c r="AG349">
        <v>0</v>
      </c>
      <c r="AJ349">
        <v>0</v>
      </c>
      <c r="AK349">
        <v>0</v>
      </c>
      <c r="AL349">
        <v>120</v>
      </c>
      <c r="AM349">
        <v>4</v>
      </c>
      <c r="AN349">
        <v>2</v>
      </c>
      <c r="AO349">
        <v>0</v>
      </c>
      <c r="AP349">
        <v>0</v>
      </c>
      <c r="AQ349">
        <v>0</v>
      </c>
      <c r="AR349">
        <v>0</v>
      </c>
      <c r="AU349">
        <v>0</v>
      </c>
      <c r="AV349">
        <v>0</v>
      </c>
      <c r="AW349">
        <v>120</v>
      </c>
      <c r="AX349">
        <v>4</v>
      </c>
      <c r="AY349">
        <v>2</v>
      </c>
      <c r="AZ349">
        <v>0</v>
      </c>
      <c r="BA349">
        <v>0</v>
      </c>
      <c r="BB349">
        <v>0</v>
      </c>
      <c r="BC349">
        <v>0</v>
      </c>
    </row>
    <row r="350" spans="1:57" x14ac:dyDescent="0.2">
      <c r="A350">
        <v>348</v>
      </c>
      <c r="B350">
        <v>29</v>
      </c>
      <c r="C350">
        <v>0</v>
      </c>
      <c r="D350">
        <v>124</v>
      </c>
      <c r="E350">
        <v>1.63</v>
      </c>
      <c r="F350" s="5">
        <f t="shared" si="6"/>
        <v>46.670932289510333</v>
      </c>
      <c r="G350" s="13">
        <v>1</v>
      </c>
      <c r="H350">
        <v>2</v>
      </c>
      <c r="I350">
        <v>1</v>
      </c>
      <c r="J350">
        <v>1</v>
      </c>
      <c r="K350" s="6">
        <v>0.4236111111111111</v>
      </c>
      <c r="L350" s="6">
        <v>0.62847222222222221</v>
      </c>
      <c r="M350">
        <v>35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Y350">
        <v>0</v>
      </c>
      <c r="Z350">
        <v>0</v>
      </c>
      <c r="AA350">
        <v>180</v>
      </c>
      <c r="AB350">
        <v>6</v>
      </c>
      <c r="AC350">
        <v>1</v>
      </c>
      <c r="AD350">
        <v>0</v>
      </c>
      <c r="AE350">
        <v>0</v>
      </c>
      <c r="AF350">
        <v>0</v>
      </c>
      <c r="AG350">
        <v>0</v>
      </c>
      <c r="AH350" t="s">
        <v>85</v>
      </c>
      <c r="AI350" t="s">
        <v>86</v>
      </c>
      <c r="AJ350">
        <v>0</v>
      </c>
      <c r="AK350">
        <v>0</v>
      </c>
      <c r="AL350">
        <v>120</v>
      </c>
      <c r="AM350">
        <v>4</v>
      </c>
      <c r="AN350">
        <v>1</v>
      </c>
      <c r="AO350">
        <v>0</v>
      </c>
      <c r="AP350">
        <v>0</v>
      </c>
      <c r="AQ350">
        <v>0</v>
      </c>
      <c r="AR350">
        <v>0</v>
      </c>
      <c r="AU350">
        <v>0</v>
      </c>
      <c r="AV350">
        <v>0</v>
      </c>
      <c r="AW350">
        <v>30</v>
      </c>
      <c r="AX350">
        <v>2</v>
      </c>
      <c r="AY350">
        <v>1</v>
      </c>
      <c r="AZ350">
        <v>0</v>
      </c>
      <c r="BA350">
        <v>0</v>
      </c>
      <c r="BB350">
        <v>0</v>
      </c>
      <c r="BC350">
        <v>0</v>
      </c>
    </row>
    <row r="351" spans="1:57" x14ac:dyDescent="0.2">
      <c r="A351">
        <v>349</v>
      </c>
      <c r="B351">
        <v>36</v>
      </c>
      <c r="C351">
        <v>0</v>
      </c>
      <c r="D351">
        <v>143.6</v>
      </c>
      <c r="E351">
        <v>1.73</v>
      </c>
      <c r="F351" s="5">
        <f t="shared" si="6"/>
        <v>47.980219853653644</v>
      </c>
      <c r="G351" s="13">
        <v>3</v>
      </c>
      <c r="H351">
        <v>2</v>
      </c>
      <c r="I351">
        <v>1</v>
      </c>
      <c r="J351">
        <v>1</v>
      </c>
      <c r="K351" s="6">
        <v>0.42708333333333331</v>
      </c>
      <c r="L351" s="6">
        <v>0.69652777777777775</v>
      </c>
      <c r="M351">
        <v>52</v>
      </c>
      <c r="N351">
        <v>0</v>
      </c>
      <c r="O351">
        <v>0</v>
      </c>
      <c r="P351">
        <v>1</v>
      </c>
      <c r="Q351">
        <v>4</v>
      </c>
      <c r="R351">
        <v>0</v>
      </c>
      <c r="S351">
        <v>0</v>
      </c>
      <c r="T351">
        <v>0</v>
      </c>
      <c r="U351">
        <v>0</v>
      </c>
      <c r="V351">
        <v>1</v>
      </c>
      <c r="W351" t="s">
        <v>29</v>
      </c>
      <c r="X351" t="s">
        <v>30</v>
      </c>
      <c r="Y351">
        <v>0</v>
      </c>
      <c r="Z351">
        <v>0</v>
      </c>
      <c r="AA351">
        <v>180</v>
      </c>
      <c r="AB351">
        <v>3</v>
      </c>
      <c r="AC351">
        <v>2</v>
      </c>
      <c r="AD351">
        <v>0</v>
      </c>
      <c r="AE351">
        <v>0</v>
      </c>
      <c r="AF351">
        <v>0</v>
      </c>
      <c r="AG351">
        <v>1</v>
      </c>
      <c r="AH351" t="s">
        <v>99</v>
      </c>
      <c r="AI351" t="s">
        <v>100</v>
      </c>
      <c r="AJ351">
        <v>0</v>
      </c>
      <c r="AK351">
        <v>0</v>
      </c>
      <c r="AL351">
        <v>180</v>
      </c>
      <c r="AM351">
        <v>5</v>
      </c>
      <c r="AN351">
        <v>3</v>
      </c>
      <c r="AO351">
        <v>0</v>
      </c>
      <c r="AP351">
        <v>0</v>
      </c>
      <c r="AQ351">
        <v>0</v>
      </c>
      <c r="AR351">
        <v>1</v>
      </c>
      <c r="AS351" t="s">
        <v>101</v>
      </c>
      <c r="AT351" t="s">
        <v>100</v>
      </c>
      <c r="AU351">
        <v>2</v>
      </c>
      <c r="AV351">
        <v>2</v>
      </c>
      <c r="AW351">
        <v>300</v>
      </c>
      <c r="AX351">
        <v>8</v>
      </c>
      <c r="AY351">
        <v>2</v>
      </c>
      <c r="AZ351">
        <v>0</v>
      </c>
      <c r="BA351">
        <v>0</v>
      </c>
      <c r="BB351">
        <v>0</v>
      </c>
      <c r="BC351">
        <v>1</v>
      </c>
      <c r="BD351" t="s">
        <v>101</v>
      </c>
      <c r="BE351" t="s">
        <v>100</v>
      </c>
    </row>
    <row r="352" spans="1:57" x14ac:dyDescent="0.2">
      <c r="A352">
        <v>350</v>
      </c>
      <c r="B352">
        <v>61</v>
      </c>
      <c r="C352">
        <v>0</v>
      </c>
      <c r="D352">
        <v>105.4</v>
      </c>
      <c r="E352">
        <v>1.62</v>
      </c>
      <c r="F352" s="5">
        <f t="shared" si="6"/>
        <v>40.161560737692419</v>
      </c>
      <c r="G352" s="13">
        <v>1</v>
      </c>
      <c r="H352">
        <v>2</v>
      </c>
      <c r="I352">
        <v>1</v>
      </c>
      <c r="J352">
        <v>1</v>
      </c>
      <c r="K352" s="6">
        <v>0.42708333333333331</v>
      </c>
      <c r="L352" s="6">
        <v>0.70138888888888884</v>
      </c>
      <c r="M352">
        <v>35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Y352">
        <v>6</v>
      </c>
      <c r="Z352">
        <v>3</v>
      </c>
      <c r="AA352">
        <v>300</v>
      </c>
      <c r="AB352">
        <v>7</v>
      </c>
      <c r="AC352">
        <v>3</v>
      </c>
      <c r="AD352">
        <v>0</v>
      </c>
      <c r="AE352">
        <v>0</v>
      </c>
      <c r="AF352">
        <v>0</v>
      </c>
      <c r="AG352">
        <v>1</v>
      </c>
      <c r="AH352" t="s">
        <v>102</v>
      </c>
      <c r="AI352" t="s">
        <v>55</v>
      </c>
      <c r="AJ352">
        <v>0</v>
      </c>
      <c r="AK352">
        <v>0</v>
      </c>
      <c r="AL352">
        <v>180</v>
      </c>
      <c r="AM352">
        <v>8</v>
      </c>
      <c r="AN352">
        <v>3</v>
      </c>
      <c r="AO352">
        <v>0</v>
      </c>
      <c r="AP352">
        <v>0</v>
      </c>
      <c r="AQ352">
        <v>0</v>
      </c>
      <c r="AR352">
        <v>1</v>
      </c>
      <c r="AS352" t="s">
        <v>74</v>
      </c>
      <c r="AT352" t="s">
        <v>75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</row>
    <row r="353" spans="1:57" x14ac:dyDescent="0.2">
      <c r="A353">
        <v>351</v>
      </c>
      <c r="B353">
        <v>37</v>
      </c>
      <c r="C353">
        <v>0</v>
      </c>
      <c r="D353">
        <v>122</v>
      </c>
      <c r="E353">
        <v>1.6</v>
      </c>
      <c r="F353" s="5">
        <f t="shared" si="6"/>
        <v>47.656249999999993</v>
      </c>
      <c r="G353" s="13">
        <v>2</v>
      </c>
      <c r="H353">
        <v>2</v>
      </c>
      <c r="I353">
        <v>1</v>
      </c>
      <c r="J353">
        <v>1</v>
      </c>
      <c r="K353" s="6">
        <v>0.43055555555555558</v>
      </c>
      <c r="L353" s="6">
        <v>0.69444444444444453</v>
      </c>
      <c r="M353">
        <v>30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 t="s">
        <v>31</v>
      </c>
      <c r="X353" t="s">
        <v>32</v>
      </c>
      <c r="Y353">
        <v>0</v>
      </c>
      <c r="Z353">
        <v>0</v>
      </c>
      <c r="AA353">
        <v>180</v>
      </c>
      <c r="AB353">
        <v>4</v>
      </c>
      <c r="AC353">
        <v>1</v>
      </c>
      <c r="AD353">
        <v>0</v>
      </c>
      <c r="AE353">
        <v>0</v>
      </c>
      <c r="AF353">
        <v>0</v>
      </c>
      <c r="AG353">
        <v>0</v>
      </c>
      <c r="AH353" t="s">
        <v>85</v>
      </c>
      <c r="AI353" t="s">
        <v>86</v>
      </c>
      <c r="AJ353">
        <v>0</v>
      </c>
      <c r="AK353">
        <v>0</v>
      </c>
      <c r="AL353">
        <v>180</v>
      </c>
      <c r="AM353">
        <v>5</v>
      </c>
      <c r="AN353">
        <v>3</v>
      </c>
      <c r="AO353">
        <v>0</v>
      </c>
      <c r="AP353">
        <v>0</v>
      </c>
      <c r="AQ353">
        <v>0</v>
      </c>
      <c r="AR353">
        <v>0</v>
      </c>
      <c r="AU353">
        <v>0</v>
      </c>
      <c r="AV353">
        <v>3</v>
      </c>
      <c r="AW353">
        <v>120</v>
      </c>
      <c r="AX353">
        <v>1</v>
      </c>
      <c r="AY353">
        <v>0</v>
      </c>
      <c r="AZ353">
        <v>0</v>
      </c>
      <c r="BA353">
        <v>0</v>
      </c>
      <c r="BB353">
        <v>0</v>
      </c>
      <c r="BC353">
        <v>0</v>
      </c>
    </row>
    <row r="354" spans="1:57" x14ac:dyDescent="0.2">
      <c r="A354">
        <v>352</v>
      </c>
      <c r="B354">
        <v>32</v>
      </c>
      <c r="C354">
        <v>0</v>
      </c>
      <c r="D354">
        <v>116.1</v>
      </c>
      <c r="E354">
        <v>1.74</v>
      </c>
      <c r="F354" s="5">
        <f t="shared" si="6"/>
        <v>38.347205707491078</v>
      </c>
      <c r="G354" s="13">
        <v>2</v>
      </c>
      <c r="H354">
        <v>2</v>
      </c>
      <c r="I354">
        <v>1</v>
      </c>
      <c r="J354">
        <v>1</v>
      </c>
      <c r="K354" s="6">
        <v>0.43055555555555558</v>
      </c>
      <c r="L354" s="6">
        <v>0.72916666666666663</v>
      </c>
      <c r="M354">
        <v>30</v>
      </c>
      <c r="N354">
        <v>0</v>
      </c>
      <c r="O354">
        <v>0</v>
      </c>
      <c r="P354">
        <v>1</v>
      </c>
      <c r="Q354">
        <v>3</v>
      </c>
      <c r="R354">
        <v>2</v>
      </c>
      <c r="S354">
        <v>0</v>
      </c>
      <c r="T354">
        <v>0</v>
      </c>
      <c r="U354">
        <v>0</v>
      </c>
      <c r="V354">
        <v>1</v>
      </c>
      <c r="W354" t="s">
        <v>29</v>
      </c>
      <c r="X354" t="s">
        <v>30</v>
      </c>
      <c r="Y354">
        <v>4</v>
      </c>
      <c r="Z354">
        <v>2</v>
      </c>
      <c r="AA354">
        <v>180</v>
      </c>
      <c r="AB354">
        <v>4</v>
      </c>
      <c r="AC354">
        <v>2</v>
      </c>
      <c r="AD354">
        <v>0</v>
      </c>
      <c r="AE354">
        <v>0</v>
      </c>
      <c r="AF354">
        <v>0</v>
      </c>
      <c r="AG354">
        <v>0</v>
      </c>
      <c r="AJ354">
        <v>0</v>
      </c>
      <c r="AK354">
        <v>0</v>
      </c>
      <c r="AL354">
        <v>180</v>
      </c>
      <c r="AM354">
        <v>5</v>
      </c>
      <c r="AN354">
        <v>1</v>
      </c>
      <c r="AO354">
        <v>6</v>
      </c>
      <c r="AP354">
        <v>1</v>
      </c>
      <c r="AQ354">
        <v>1</v>
      </c>
      <c r="AR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</row>
    <row r="355" spans="1:57" x14ac:dyDescent="0.2">
      <c r="A355">
        <v>353</v>
      </c>
      <c r="B355">
        <v>37</v>
      </c>
      <c r="C355">
        <v>0</v>
      </c>
      <c r="D355">
        <v>120</v>
      </c>
      <c r="E355">
        <v>1.71</v>
      </c>
      <c r="F355" s="5">
        <f t="shared" si="6"/>
        <v>41.038268185082593</v>
      </c>
      <c r="G355" s="13">
        <v>1</v>
      </c>
      <c r="H355">
        <v>2</v>
      </c>
      <c r="I355">
        <v>1</v>
      </c>
      <c r="J355">
        <v>1</v>
      </c>
      <c r="K355" s="6">
        <v>0.43055555555555558</v>
      </c>
      <c r="L355" s="6">
        <v>0.73263888888888884</v>
      </c>
      <c r="M355">
        <v>30</v>
      </c>
      <c r="N355">
        <v>4</v>
      </c>
      <c r="O355">
        <v>2</v>
      </c>
      <c r="P355">
        <v>1</v>
      </c>
      <c r="Q355">
        <v>4</v>
      </c>
      <c r="R355">
        <v>2</v>
      </c>
      <c r="S355">
        <v>0</v>
      </c>
      <c r="T355">
        <v>0</v>
      </c>
      <c r="U355">
        <v>0</v>
      </c>
      <c r="V355">
        <v>1</v>
      </c>
      <c r="W355" t="s">
        <v>29</v>
      </c>
      <c r="X355" t="s">
        <v>30</v>
      </c>
      <c r="Y355">
        <v>0</v>
      </c>
      <c r="Z355">
        <v>0</v>
      </c>
      <c r="AA355">
        <v>180</v>
      </c>
      <c r="AB355">
        <v>4</v>
      </c>
      <c r="AC355">
        <v>1</v>
      </c>
      <c r="AD355">
        <v>0</v>
      </c>
      <c r="AE355">
        <v>0</v>
      </c>
      <c r="AF355">
        <v>0</v>
      </c>
      <c r="AG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</row>
    <row r="356" spans="1:57" x14ac:dyDescent="0.2">
      <c r="A356">
        <v>354</v>
      </c>
      <c r="B356">
        <v>28</v>
      </c>
      <c r="C356">
        <v>0</v>
      </c>
      <c r="D356">
        <v>125.5</v>
      </c>
      <c r="E356">
        <v>1.69</v>
      </c>
      <c r="F356" s="5">
        <f t="shared" si="6"/>
        <v>43.941038479044856</v>
      </c>
      <c r="G356" s="13">
        <v>1</v>
      </c>
      <c r="H356">
        <v>2</v>
      </c>
      <c r="I356">
        <v>2</v>
      </c>
      <c r="J356">
        <v>2</v>
      </c>
      <c r="K356" s="6">
        <v>0.4375</v>
      </c>
      <c r="L356" s="6">
        <v>0.6972222222222223</v>
      </c>
      <c r="M356">
        <v>30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</row>
    <row r="357" spans="1:57" x14ac:dyDescent="0.2">
      <c r="A357">
        <v>355</v>
      </c>
      <c r="B357">
        <v>32</v>
      </c>
      <c r="C357">
        <v>0</v>
      </c>
      <c r="D357">
        <v>111.8</v>
      </c>
      <c r="E357">
        <v>1.58</v>
      </c>
      <c r="F357" s="5">
        <f t="shared" si="6"/>
        <v>44.784489665117761</v>
      </c>
      <c r="G357" s="13">
        <v>1</v>
      </c>
      <c r="H357">
        <v>2</v>
      </c>
      <c r="I357">
        <v>1</v>
      </c>
      <c r="J357">
        <v>1</v>
      </c>
      <c r="K357" s="6">
        <v>0.4375</v>
      </c>
      <c r="L357" s="6">
        <v>0.52083333333333337</v>
      </c>
      <c r="M357">
        <v>40</v>
      </c>
      <c r="N357">
        <v>0</v>
      </c>
      <c r="O357">
        <v>0</v>
      </c>
      <c r="P357">
        <v>1</v>
      </c>
      <c r="Q357">
        <v>4</v>
      </c>
      <c r="R357">
        <v>1</v>
      </c>
      <c r="S357">
        <v>0</v>
      </c>
      <c r="T357">
        <v>0</v>
      </c>
      <c r="U357">
        <v>0</v>
      </c>
      <c r="V357">
        <v>1</v>
      </c>
      <c r="W357" t="s">
        <v>29</v>
      </c>
      <c r="X357" t="s">
        <v>30</v>
      </c>
      <c r="Y357">
        <v>4</v>
      </c>
      <c r="Z357">
        <v>2</v>
      </c>
      <c r="AA357">
        <v>180</v>
      </c>
      <c r="AB357">
        <v>5</v>
      </c>
      <c r="AC357">
        <v>2</v>
      </c>
      <c r="AD357">
        <v>0</v>
      </c>
      <c r="AE357">
        <v>0</v>
      </c>
      <c r="AF357">
        <v>0</v>
      </c>
      <c r="AG357">
        <v>1</v>
      </c>
      <c r="AH357" t="s">
        <v>103</v>
      </c>
      <c r="AI357" t="s">
        <v>72</v>
      </c>
      <c r="AJ357">
        <v>6</v>
      </c>
      <c r="AK357">
        <v>2</v>
      </c>
      <c r="AL357">
        <v>180</v>
      </c>
      <c r="AM357">
        <v>9</v>
      </c>
      <c r="AN357">
        <v>2</v>
      </c>
      <c r="AO357">
        <v>0</v>
      </c>
      <c r="AP357">
        <v>0</v>
      </c>
      <c r="AQ357">
        <v>0</v>
      </c>
      <c r="AR357">
        <v>1</v>
      </c>
      <c r="AS357" t="s">
        <v>103</v>
      </c>
      <c r="AT357" t="s">
        <v>72</v>
      </c>
      <c r="AU357">
        <v>0</v>
      </c>
      <c r="AV357">
        <v>0</v>
      </c>
      <c r="AW357">
        <v>240</v>
      </c>
      <c r="AX357">
        <v>2</v>
      </c>
      <c r="AY357">
        <v>1</v>
      </c>
      <c r="AZ357">
        <v>0</v>
      </c>
      <c r="BA357">
        <v>0</v>
      </c>
      <c r="BB357">
        <v>0</v>
      </c>
      <c r="BC357">
        <v>1</v>
      </c>
      <c r="BD357" t="s">
        <v>103</v>
      </c>
      <c r="BE357" t="s">
        <v>72</v>
      </c>
    </row>
    <row r="358" spans="1:57" x14ac:dyDescent="0.2">
      <c r="A358">
        <v>356</v>
      </c>
      <c r="B358">
        <v>48</v>
      </c>
      <c r="C358">
        <v>0</v>
      </c>
      <c r="D358">
        <v>154.19999999999999</v>
      </c>
      <c r="E358">
        <v>1.61</v>
      </c>
      <c r="F358" s="5">
        <f t="shared" si="6"/>
        <v>59.488445661818595</v>
      </c>
      <c r="G358" s="13">
        <v>2</v>
      </c>
      <c r="H358">
        <v>3</v>
      </c>
      <c r="I358">
        <v>1</v>
      </c>
      <c r="J358">
        <v>1</v>
      </c>
      <c r="K358" s="6">
        <v>0.49305555555555558</v>
      </c>
      <c r="L358" s="6">
        <v>0.68055555555555547</v>
      </c>
      <c r="M358">
        <v>30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t="s">
        <v>31</v>
      </c>
      <c r="X358" t="s">
        <v>32</v>
      </c>
      <c r="Y358">
        <v>0</v>
      </c>
      <c r="Z358">
        <v>0</v>
      </c>
      <c r="AA358">
        <v>180</v>
      </c>
      <c r="AB358">
        <v>4</v>
      </c>
      <c r="AC358">
        <v>1</v>
      </c>
      <c r="AD358">
        <v>0</v>
      </c>
      <c r="AE358">
        <v>0</v>
      </c>
      <c r="AF358">
        <v>0</v>
      </c>
      <c r="AG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</row>
    <row r="359" spans="1:57" x14ac:dyDescent="0.2">
      <c r="A359">
        <v>357</v>
      </c>
      <c r="B359">
        <v>48</v>
      </c>
      <c r="C359">
        <v>0</v>
      </c>
      <c r="D359">
        <v>149.6</v>
      </c>
      <c r="E359">
        <v>1.7</v>
      </c>
      <c r="F359" s="5">
        <f t="shared" si="6"/>
        <v>51.764705882352942</v>
      </c>
      <c r="G359" s="13">
        <v>3</v>
      </c>
      <c r="H359">
        <v>2</v>
      </c>
      <c r="I359">
        <v>1</v>
      </c>
      <c r="J359">
        <v>1</v>
      </c>
      <c r="K359" s="6">
        <v>0.46875</v>
      </c>
      <c r="L359" s="6">
        <v>0.60625000000000007</v>
      </c>
      <c r="M359">
        <v>45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Y359">
        <v>1</v>
      </c>
      <c r="Z359">
        <v>1</v>
      </c>
      <c r="AA359">
        <v>30</v>
      </c>
      <c r="AB359">
        <v>2</v>
      </c>
      <c r="AC359">
        <v>1</v>
      </c>
      <c r="AD359">
        <v>0</v>
      </c>
      <c r="AE359">
        <v>0</v>
      </c>
      <c r="AF359">
        <v>0</v>
      </c>
      <c r="AG359">
        <v>0</v>
      </c>
      <c r="AJ359">
        <v>0</v>
      </c>
      <c r="AK359">
        <v>0</v>
      </c>
      <c r="AL359">
        <v>180</v>
      </c>
      <c r="AM359">
        <v>5</v>
      </c>
      <c r="AN359">
        <v>2</v>
      </c>
      <c r="AO359">
        <v>0</v>
      </c>
      <c r="AP359">
        <v>0</v>
      </c>
      <c r="AQ359">
        <v>0</v>
      </c>
      <c r="AR359">
        <v>1</v>
      </c>
      <c r="AS359" t="s">
        <v>76</v>
      </c>
      <c r="AT359" t="s">
        <v>42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</row>
    <row r="360" spans="1:57" x14ac:dyDescent="0.2">
      <c r="A360">
        <v>358</v>
      </c>
      <c r="B360">
        <v>30</v>
      </c>
      <c r="C360">
        <v>0</v>
      </c>
      <c r="D360">
        <v>124.2</v>
      </c>
      <c r="E360">
        <v>1.65</v>
      </c>
      <c r="F360" s="5">
        <f t="shared" si="6"/>
        <v>45.61983471074381</v>
      </c>
      <c r="G360" s="13">
        <v>2</v>
      </c>
      <c r="H360">
        <v>2</v>
      </c>
      <c r="I360">
        <v>1</v>
      </c>
      <c r="J360">
        <v>1</v>
      </c>
      <c r="K360" s="6">
        <v>0.4861111111111111</v>
      </c>
      <c r="L360" s="6">
        <v>0.61111111111111105</v>
      </c>
      <c r="M360">
        <v>30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 t="s">
        <v>31</v>
      </c>
      <c r="X360" t="s">
        <v>32</v>
      </c>
      <c r="Y360">
        <v>0</v>
      </c>
      <c r="Z360">
        <v>0</v>
      </c>
      <c r="AA360">
        <v>30</v>
      </c>
      <c r="AB360">
        <v>4</v>
      </c>
      <c r="AC360">
        <v>1</v>
      </c>
      <c r="AD360">
        <v>0</v>
      </c>
      <c r="AE360">
        <v>0</v>
      </c>
      <c r="AF360">
        <v>0</v>
      </c>
      <c r="AG360">
        <v>0</v>
      </c>
      <c r="AJ360">
        <v>0</v>
      </c>
      <c r="AK360">
        <v>0</v>
      </c>
      <c r="AL360">
        <v>300</v>
      </c>
      <c r="AM360">
        <v>4</v>
      </c>
      <c r="AN360">
        <v>1</v>
      </c>
      <c r="AO360">
        <v>0</v>
      </c>
      <c r="AP360">
        <v>0</v>
      </c>
      <c r="AQ360">
        <v>0</v>
      </c>
      <c r="AR360">
        <v>1</v>
      </c>
      <c r="AS360" t="s">
        <v>76</v>
      </c>
      <c r="AT360" t="s">
        <v>42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</row>
    <row r="361" spans="1:57" x14ac:dyDescent="0.2">
      <c r="A361">
        <v>359</v>
      </c>
      <c r="B361">
        <v>48</v>
      </c>
      <c r="C361">
        <v>0</v>
      </c>
      <c r="D361">
        <v>135.1</v>
      </c>
      <c r="E361">
        <v>1.69</v>
      </c>
      <c r="F361" s="5">
        <f t="shared" si="6"/>
        <v>47.302265326844299</v>
      </c>
      <c r="G361" s="13">
        <v>3</v>
      </c>
      <c r="H361">
        <v>2</v>
      </c>
      <c r="I361">
        <v>1</v>
      </c>
      <c r="J361">
        <v>1</v>
      </c>
      <c r="K361" s="6">
        <v>0.46527777777777773</v>
      </c>
      <c r="L361" s="6">
        <v>0.65</v>
      </c>
      <c r="M361">
        <v>50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Y361">
        <v>0</v>
      </c>
      <c r="Z361">
        <v>0</v>
      </c>
      <c r="AA361">
        <v>180</v>
      </c>
      <c r="AB361">
        <v>4</v>
      </c>
      <c r="AC361">
        <v>1</v>
      </c>
      <c r="AD361">
        <v>0</v>
      </c>
      <c r="AE361">
        <v>0</v>
      </c>
      <c r="AF361">
        <v>0</v>
      </c>
      <c r="AG361">
        <v>0</v>
      </c>
      <c r="AJ361">
        <v>0</v>
      </c>
      <c r="AK361">
        <v>0</v>
      </c>
      <c r="AL361">
        <v>120</v>
      </c>
      <c r="AM361">
        <v>4</v>
      </c>
      <c r="AN361">
        <v>1</v>
      </c>
      <c r="AO361">
        <v>0</v>
      </c>
      <c r="AP361">
        <v>0</v>
      </c>
      <c r="AQ361">
        <v>0</v>
      </c>
      <c r="AR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</row>
    <row r="362" spans="1:57" x14ac:dyDescent="0.2">
      <c r="A362">
        <v>360</v>
      </c>
      <c r="B362">
        <v>21</v>
      </c>
      <c r="C362">
        <v>0</v>
      </c>
      <c r="D362">
        <v>111.5</v>
      </c>
      <c r="E362">
        <v>1.76</v>
      </c>
      <c r="F362" s="5">
        <f t="shared" si="6"/>
        <v>35.995609504132233</v>
      </c>
      <c r="G362" s="13">
        <v>2</v>
      </c>
      <c r="H362">
        <v>2</v>
      </c>
      <c r="I362">
        <v>1</v>
      </c>
      <c r="J362">
        <v>1</v>
      </c>
      <c r="K362" s="6">
        <v>0.45833333333333331</v>
      </c>
      <c r="L362" s="6">
        <v>0.64583333333333337</v>
      </c>
      <c r="M362">
        <v>30</v>
      </c>
      <c r="N362">
        <v>0</v>
      </c>
      <c r="O362">
        <v>0</v>
      </c>
      <c r="P362">
        <v>1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1</v>
      </c>
      <c r="W362" t="s">
        <v>31</v>
      </c>
      <c r="X362" t="s">
        <v>32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</row>
    <row r="363" spans="1:57" x14ac:dyDescent="0.2">
      <c r="A363">
        <v>361</v>
      </c>
      <c r="B363">
        <v>43</v>
      </c>
      <c r="C363">
        <v>0</v>
      </c>
      <c r="D363">
        <v>131.5</v>
      </c>
      <c r="E363">
        <v>1.65</v>
      </c>
      <c r="F363" s="5">
        <f t="shared" si="6"/>
        <v>48.301193755739213</v>
      </c>
      <c r="G363" s="13">
        <v>3</v>
      </c>
      <c r="H363">
        <v>2</v>
      </c>
      <c r="I363">
        <v>1</v>
      </c>
      <c r="J363">
        <v>1</v>
      </c>
      <c r="K363" s="6">
        <v>0.4548611111111111</v>
      </c>
      <c r="L363" s="6">
        <v>0.7270833333333333</v>
      </c>
      <c r="M363">
        <v>30</v>
      </c>
      <c r="N363">
        <v>2</v>
      </c>
      <c r="O363">
        <v>1</v>
      </c>
      <c r="P363">
        <v>1</v>
      </c>
      <c r="Q363">
        <v>2</v>
      </c>
      <c r="R363">
        <v>1</v>
      </c>
      <c r="S363">
        <v>0</v>
      </c>
      <c r="T363">
        <v>0</v>
      </c>
      <c r="U363">
        <v>0</v>
      </c>
      <c r="V363">
        <v>1</v>
      </c>
      <c r="W363" t="s">
        <v>29</v>
      </c>
      <c r="X363" t="s">
        <v>30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</row>
    <row r="364" spans="1:57" x14ac:dyDescent="0.2">
      <c r="A364">
        <v>362</v>
      </c>
      <c r="B364">
        <v>44</v>
      </c>
      <c r="C364">
        <v>0</v>
      </c>
      <c r="D364">
        <v>194</v>
      </c>
      <c r="E364">
        <v>1.88</v>
      </c>
      <c r="F364" s="5">
        <f t="shared" si="6"/>
        <v>54.889090086011777</v>
      </c>
      <c r="G364" s="13">
        <v>3</v>
      </c>
      <c r="H364">
        <v>1</v>
      </c>
      <c r="I364">
        <v>1</v>
      </c>
      <c r="J364">
        <v>1</v>
      </c>
      <c r="K364" s="6">
        <v>0.47916666666666669</v>
      </c>
      <c r="L364" s="6">
        <v>0.69166666666666676</v>
      </c>
      <c r="M364">
        <v>60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</row>
    <row r="365" spans="1:57" x14ac:dyDescent="0.2">
      <c r="A365">
        <v>363</v>
      </c>
      <c r="B365">
        <v>29</v>
      </c>
      <c r="C365">
        <v>0</v>
      </c>
      <c r="D365">
        <v>134.19999999999999</v>
      </c>
      <c r="E365">
        <v>1.66</v>
      </c>
      <c r="F365" s="5">
        <f t="shared" si="6"/>
        <v>48.70082740600958</v>
      </c>
      <c r="G365" s="13">
        <v>2</v>
      </c>
      <c r="H365">
        <v>2</v>
      </c>
      <c r="I365">
        <v>1</v>
      </c>
      <c r="J365">
        <v>1</v>
      </c>
      <c r="K365" s="6">
        <v>0.46875</v>
      </c>
      <c r="L365" s="6">
        <v>0.69444444444444453</v>
      </c>
      <c r="M365">
        <v>40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Y365">
        <v>0</v>
      </c>
      <c r="Z365">
        <v>0</v>
      </c>
      <c r="AA365">
        <v>180</v>
      </c>
      <c r="AB365">
        <v>5</v>
      </c>
      <c r="AC365">
        <v>1</v>
      </c>
      <c r="AD365">
        <v>0</v>
      </c>
      <c r="AE365">
        <v>0</v>
      </c>
      <c r="AF365">
        <v>0</v>
      </c>
      <c r="AG365">
        <v>0</v>
      </c>
      <c r="AH365" t="s">
        <v>85</v>
      </c>
      <c r="AI365" t="s">
        <v>86</v>
      </c>
      <c r="AJ365">
        <v>0</v>
      </c>
      <c r="AK365">
        <v>0</v>
      </c>
      <c r="AL365">
        <v>360</v>
      </c>
      <c r="AM365">
        <v>7</v>
      </c>
      <c r="AN365">
        <v>1</v>
      </c>
      <c r="AO365">
        <v>0</v>
      </c>
      <c r="AP365">
        <v>0</v>
      </c>
      <c r="AQ365">
        <v>0</v>
      </c>
      <c r="AR365">
        <v>1</v>
      </c>
      <c r="AS365" t="s">
        <v>76</v>
      </c>
      <c r="AT365" t="s">
        <v>42</v>
      </c>
      <c r="AU365">
        <v>0</v>
      </c>
      <c r="AV365">
        <v>0</v>
      </c>
      <c r="AW365">
        <v>240</v>
      </c>
      <c r="AX365">
        <v>3</v>
      </c>
      <c r="AY365">
        <v>1</v>
      </c>
      <c r="AZ365">
        <v>0</v>
      </c>
      <c r="BA365">
        <v>0</v>
      </c>
      <c r="BB365">
        <v>0</v>
      </c>
      <c r="BC365">
        <v>0</v>
      </c>
    </row>
    <row r="366" spans="1:57" x14ac:dyDescent="0.2">
      <c r="A366">
        <v>364</v>
      </c>
      <c r="B366">
        <v>21</v>
      </c>
      <c r="C366">
        <v>0</v>
      </c>
      <c r="D366">
        <v>127</v>
      </c>
      <c r="E366">
        <v>1.68</v>
      </c>
      <c r="F366" s="5">
        <f t="shared" si="6"/>
        <v>44.997165532879826</v>
      </c>
      <c r="G366" s="13">
        <v>2</v>
      </c>
      <c r="H366">
        <v>2</v>
      </c>
      <c r="I366">
        <v>1</v>
      </c>
      <c r="J366">
        <v>1</v>
      </c>
      <c r="K366" s="6">
        <v>0.45833333333333331</v>
      </c>
      <c r="L366" s="6">
        <v>0.73958333333333337</v>
      </c>
      <c r="M366">
        <v>75</v>
      </c>
      <c r="N366">
        <v>0</v>
      </c>
      <c r="O366">
        <v>0</v>
      </c>
      <c r="P366">
        <v>1</v>
      </c>
      <c r="Q366">
        <v>4</v>
      </c>
      <c r="R366">
        <v>2</v>
      </c>
      <c r="S366">
        <v>0</v>
      </c>
      <c r="T366">
        <v>0</v>
      </c>
      <c r="U366">
        <v>0</v>
      </c>
      <c r="V366">
        <v>1</v>
      </c>
      <c r="W366" t="s">
        <v>29</v>
      </c>
      <c r="X366" t="s">
        <v>30</v>
      </c>
      <c r="Y366">
        <v>3</v>
      </c>
      <c r="Z366">
        <v>2</v>
      </c>
      <c r="AA366">
        <v>300</v>
      </c>
      <c r="AB366">
        <v>5</v>
      </c>
      <c r="AC366">
        <v>2</v>
      </c>
      <c r="AD366">
        <v>0</v>
      </c>
      <c r="AE366">
        <v>0</v>
      </c>
      <c r="AF366">
        <v>0</v>
      </c>
      <c r="AG366">
        <v>0</v>
      </c>
      <c r="AJ366">
        <v>0</v>
      </c>
      <c r="AK366">
        <v>0</v>
      </c>
      <c r="AL366">
        <v>120</v>
      </c>
      <c r="AM366">
        <v>2</v>
      </c>
      <c r="AN366">
        <v>1</v>
      </c>
      <c r="AO366">
        <v>0</v>
      </c>
      <c r="AP366">
        <v>0</v>
      </c>
      <c r="AQ366">
        <v>0</v>
      </c>
      <c r="AR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</row>
    <row r="367" spans="1:57" x14ac:dyDescent="0.2">
      <c r="A367">
        <v>365</v>
      </c>
      <c r="B367">
        <v>34</v>
      </c>
      <c r="C367">
        <v>0</v>
      </c>
      <c r="D367">
        <v>174.6</v>
      </c>
      <c r="E367">
        <v>1.72</v>
      </c>
      <c r="F367" s="5">
        <f t="shared" si="6"/>
        <v>59.018388318009741</v>
      </c>
      <c r="G367" s="13">
        <v>2</v>
      </c>
      <c r="H367">
        <v>2</v>
      </c>
      <c r="I367">
        <v>1</v>
      </c>
      <c r="J367">
        <v>1</v>
      </c>
      <c r="K367" s="6">
        <v>0.4513888888888889</v>
      </c>
      <c r="L367" s="6">
        <v>0.74305555555555547</v>
      </c>
      <c r="M367">
        <v>40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 t="s">
        <v>31</v>
      </c>
      <c r="X367" t="s">
        <v>32</v>
      </c>
      <c r="Y367">
        <v>0</v>
      </c>
      <c r="Z367">
        <v>0</v>
      </c>
      <c r="AA367">
        <v>180</v>
      </c>
      <c r="AB367">
        <v>4</v>
      </c>
      <c r="AC367">
        <v>1</v>
      </c>
      <c r="AD367">
        <v>0</v>
      </c>
      <c r="AE367">
        <v>0</v>
      </c>
      <c r="AF367">
        <v>0</v>
      </c>
      <c r="AG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</row>
    <row r="368" spans="1:57" x14ac:dyDescent="0.2">
      <c r="A368">
        <v>366</v>
      </c>
      <c r="B368">
        <v>24</v>
      </c>
      <c r="C368">
        <v>0</v>
      </c>
      <c r="D368">
        <v>131.5</v>
      </c>
      <c r="E368">
        <v>1.72</v>
      </c>
      <c r="F368" s="5">
        <f t="shared" si="6"/>
        <v>44.449702541914554</v>
      </c>
      <c r="G368" s="13">
        <v>2</v>
      </c>
      <c r="H368">
        <v>2</v>
      </c>
      <c r="I368">
        <v>1</v>
      </c>
      <c r="J368">
        <v>1</v>
      </c>
      <c r="K368" s="6">
        <v>0.46527777777777773</v>
      </c>
      <c r="L368" s="6">
        <v>0.71527777777777779</v>
      </c>
      <c r="M368">
        <v>30</v>
      </c>
      <c r="N368">
        <v>0</v>
      </c>
      <c r="O368">
        <v>0</v>
      </c>
      <c r="P368">
        <v>1</v>
      </c>
      <c r="Q368">
        <v>2</v>
      </c>
      <c r="R368">
        <v>1</v>
      </c>
      <c r="S368">
        <v>0</v>
      </c>
      <c r="T368">
        <v>0</v>
      </c>
      <c r="U368">
        <v>0</v>
      </c>
      <c r="V368">
        <v>1</v>
      </c>
      <c r="W368" t="s">
        <v>29</v>
      </c>
      <c r="X368" t="s">
        <v>30</v>
      </c>
      <c r="Y368">
        <v>0</v>
      </c>
      <c r="Z368">
        <v>0</v>
      </c>
      <c r="AA368">
        <v>180</v>
      </c>
      <c r="AB368">
        <v>3</v>
      </c>
      <c r="AC368">
        <v>1</v>
      </c>
      <c r="AD368">
        <v>0</v>
      </c>
      <c r="AE368">
        <v>0</v>
      </c>
      <c r="AF368">
        <v>0</v>
      </c>
      <c r="AG368">
        <v>0</v>
      </c>
      <c r="AJ368">
        <v>0</v>
      </c>
      <c r="AK368">
        <v>0</v>
      </c>
      <c r="AL368">
        <v>50</v>
      </c>
      <c r="AM368">
        <v>2</v>
      </c>
      <c r="AN368">
        <v>1</v>
      </c>
      <c r="AO368">
        <v>0</v>
      </c>
      <c r="AP368">
        <v>0</v>
      </c>
      <c r="AQ368">
        <v>0</v>
      </c>
      <c r="AR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</row>
    <row r="369" spans="1:57" x14ac:dyDescent="0.2">
      <c r="A369">
        <v>367</v>
      </c>
      <c r="B369">
        <v>43</v>
      </c>
      <c r="C369">
        <v>0</v>
      </c>
      <c r="D369">
        <v>117.9</v>
      </c>
      <c r="E369">
        <v>1.72</v>
      </c>
      <c r="F369" s="5">
        <f t="shared" si="6"/>
        <v>39.852623039480804</v>
      </c>
      <c r="G369" s="13">
        <v>1</v>
      </c>
      <c r="H369">
        <v>2</v>
      </c>
      <c r="I369">
        <v>1</v>
      </c>
      <c r="J369">
        <v>1</v>
      </c>
      <c r="K369" s="6">
        <v>0.58333333333333337</v>
      </c>
      <c r="L369" s="6">
        <v>0.67361111111111116</v>
      </c>
      <c r="M369">
        <v>40</v>
      </c>
      <c r="N369">
        <v>0</v>
      </c>
      <c r="O369">
        <v>0</v>
      </c>
      <c r="P369">
        <v>1</v>
      </c>
      <c r="Q369">
        <v>2</v>
      </c>
      <c r="R369">
        <v>1</v>
      </c>
      <c r="S369">
        <v>0</v>
      </c>
      <c r="T369">
        <v>0</v>
      </c>
      <c r="U369">
        <v>0</v>
      </c>
      <c r="V369">
        <v>0</v>
      </c>
      <c r="Y369">
        <v>0</v>
      </c>
      <c r="Z369">
        <v>0</v>
      </c>
      <c r="AA369">
        <v>180</v>
      </c>
      <c r="AB369">
        <v>5</v>
      </c>
      <c r="AC369">
        <v>1</v>
      </c>
      <c r="AD369">
        <v>0</v>
      </c>
      <c r="AE369">
        <v>0</v>
      </c>
      <c r="AF369">
        <v>0</v>
      </c>
      <c r="AG369">
        <v>0</v>
      </c>
      <c r="AJ369">
        <v>0</v>
      </c>
      <c r="AK369">
        <v>0</v>
      </c>
      <c r="AL369">
        <v>300</v>
      </c>
      <c r="AM369">
        <v>4</v>
      </c>
      <c r="AN369">
        <v>1</v>
      </c>
      <c r="AO369">
        <v>0</v>
      </c>
      <c r="AP369">
        <v>0</v>
      </c>
      <c r="AQ369">
        <v>0</v>
      </c>
      <c r="AR369">
        <v>0</v>
      </c>
      <c r="AU369">
        <v>0</v>
      </c>
      <c r="AV369">
        <v>0</v>
      </c>
      <c r="AW369">
        <v>30</v>
      </c>
      <c r="AX369">
        <v>2</v>
      </c>
      <c r="AY369">
        <v>1</v>
      </c>
      <c r="AZ369">
        <v>0</v>
      </c>
      <c r="BA369">
        <v>0</v>
      </c>
      <c r="BB369">
        <v>0</v>
      </c>
      <c r="BC369">
        <v>0</v>
      </c>
    </row>
    <row r="370" spans="1:57" x14ac:dyDescent="0.2">
      <c r="A370">
        <v>368</v>
      </c>
      <c r="B370">
        <v>32</v>
      </c>
      <c r="C370">
        <v>0</v>
      </c>
      <c r="D370">
        <v>108.8</v>
      </c>
      <c r="E370">
        <v>1.54</v>
      </c>
      <c r="F370" s="5">
        <f t="shared" si="6"/>
        <v>45.876201720357564</v>
      </c>
      <c r="G370" s="13">
        <v>2</v>
      </c>
      <c r="H370">
        <v>2</v>
      </c>
      <c r="I370">
        <v>1</v>
      </c>
      <c r="J370">
        <v>1</v>
      </c>
      <c r="K370" s="6">
        <v>0.53472222222222221</v>
      </c>
      <c r="L370" s="6">
        <v>0.79166666666666663</v>
      </c>
      <c r="M370">
        <v>30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 t="s">
        <v>31</v>
      </c>
      <c r="X370" t="s">
        <v>32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</row>
    <row r="371" spans="1:57" x14ac:dyDescent="0.2">
      <c r="A371">
        <v>369</v>
      </c>
      <c r="B371">
        <v>37</v>
      </c>
      <c r="C371">
        <v>0</v>
      </c>
      <c r="D371">
        <v>97.5</v>
      </c>
      <c r="E371">
        <v>1.7</v>
      </c>
      <c r="F371" s="5">
        <f t="shared" si="6"/>
        <v>33.737024221453289</v>
      </c>
      <c r="G371" s="13">
        <v>2</v>
      </c>
      <c r="H371">
        <v>2</v>
      </c>
      <c r="I371">
        <v>1</v>
      </c>
      <c r="J371">
        <v>1</v>
      </c>
      <c r="K371" s="6">
        <v>0.54861111111111105</v>
      </c>
      <c r="L371" s="6">
        <v>0.76180555555555562</v>
      </c>
      <c r="M371">
        <v>30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Y371">
        <v>1</v>
      </c>
      <c r="Z371">
        <v>2</v>
      </c>
      <c r="AA371">
        <v>180</v>
      </c>
      <c r="AB371">
        <v>3</v>
      </c>
      <c r="AC371">
        <v>1</v>
      </c>
      <c r="AD371">
        <v>1</v>
      </c>
      <c r="AE371">
        <v>1</v>
      </c>
      <c r="AF371">
        <v>2</v>
      </c>
      <c r="AG371">
        <v>1</v>
      </c>
      <c r="AH371" t="s">
        <v>29</v>
      </c>
      <c r="AI371" t="s">
        <v>30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</row>
    <row r="372" spans="1:57" x14ac:dyDescent="0.2">
      <c r="A372">
        <v>370</v>
      </c>
      <c r="B372">
        <v>38</v>
      </c>
      <c r="C372">
        <v>0</v>
      </c>
      <c r="D372">
        <v>97.5</v>
      </c>
      <c r="E372">
        <v>1.62</v>
      </c>
      <c r="F372" s="5">
        <f t="shared" si="6"/>
        <v>37.151348879743935</v>
      </c>
      <c r="G372" s="13">
        <v>3</v>
      </c>
      <c r="H372">
        <v>1</v>
      </c>
      <c r="I372">
        <v>1</v>
      </c>
      <c r="J372">
        <v>1</v>
      </c>
      <c r="K372" s="6">
        <v>0.55208333333333337</v>
      </c>
      <c r="L372" s="6">
        <v>0.74305555555555547</v>
      </c>
      <c r="M372">
        <v>50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 t="s">
        <v>31</v>
      </c>
      <c r="X372" t="s">
        <v>32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</row>
    <row r="373" spans="1:57" x14ac:dyDescent="0.2">
      <c r="A373">
        <v>371</v>
      </c>
      <c r="B373">
        <v>27</v>
      </c>
      <c r="C373">
        <v>0</v>
      </c>
      <c r="D373">
        <v>142</v>
      </c>
      <c r="E373">
        <v>1.75</v>
      </c>
      <c r="F373" s="5">
        <f t="shared" si="6"/>
        <v>46.367346938775512</v>
      </c>
      <c r="G373" s="13">
        <v>3</v>
      </c>
      <c r="H373">
        <v>2</v>
      </c>
      <c r="I373">
        <v>1</v>
      </c>
      <c r="J373">
        <v>1</v>
      </c>
      <c r="K373" s="6">
        <v>0.41666666666666669</v>
      </c>
      <c r="L373" s="6">
        <v>0.79166666666666663</v>
      </c>
      <c r="M373">
        <v>40</v>
      </c>
      <c r="N373">
        <v>0</v>
      </c>
      <c r="O373">
        <v>0</v>
      </c>
      <c r="P373">
        <v>1</v>
      </c>
      <c r="Q373">
        <v>2</v>
      </c>
      <c r="R373">
        <v>2</v>
      </c>
      <c r="S373">
        <v>0</v>
      </c>
      <c r="T373">
        <v>0</v>
      </c>
      <c r="U373">
        <v>0</v>
      </c>
      <c r="V373">
        <v>0</v>
      </c>
      <c r="Y373">
        <v>0</v>
      </c>
      <c r="Z373">
        <v>0</v>
      </c>
      <c r="AA373">
        <v>180</v>
      </c>
      <c r="AB373">
        <v>5</v>
      </c>
      <c r="AC373">
        <v>1</v>
      </c>
      <c r="AD373">
        <v>0</v>
      </c>
      <c r="AE373">
        <v>0</v>
      </c>
      <c r="AF373">
        <v>0</v>
      </c>
      <c r="AG373">
        <v>0</v>
      </c>
      <c r="AJ373">
        <v>0</v>
      </c>
      <c r="AK373">
        <v>0</v>
      </c>
      <c r="AL373">
        <v>120</v>
      </c>
      <c r="AM373">
        <v>3</v>
      </c>
      <c r="AN373">
        <v>1</v>
      </c>
      <c r="AO373">
        <v>0</v>
      </c>
      <c r="AP373">
        <v>0</v>
      </c>
      <c r="AQ373">
        <v>0</v>
      </c>
      <c r="AR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</row>
    <row r="374" spans="1:57" x14ac:dyDescent="0.2">
      <c r="A374">
        <v>372</v>
      </c>
      <c r="B374">
        <v>61</v>
      </c>
      <c r="C374">
        <v>0</v>
      </c>
      <c r="D374">
        <v>147</v>
      </c>
      <c r="E374">
        <v>1.64</v>
      </c>
      <c r="F374" s="5">
        <f t="shared" si="6"/>
        <v>54.654967281380138</v>
      </c>
      <c r="G374" s="13">
        <v>2</v>
      </c>
      <c r="H374">
        <v>2</v>
      </c>
      <c r="I374">
        <v>1</v>
      </c>
      <c r="J374">
        <v>1</v>
      </c>
      <c r="K374" s="6">
        <v>0.41666666666666669</v>
      </c>
      <c r="L374" s="6">
        <v>0.84027777777777779</v>
      </c>
      <c r="M374">
        <v>50</v>
      </c>
      <c r="N374">
        <v>1</v>
      </c>
      <c r="O374">
        <v>1</v>
      </c>
      <c r="P374">
        <v>1</v>
      </c>
      <c r="Q374">
        <v>2</v>
      </c>
      <c r="R374">
        <v>1</v>
      </c>
      <c r="S374">
        <v>2</v>
      </c>
      <c r="T374">
        <v>1</v>
      </c>
      <c r="U374">
        <v>1</v>
      </c>
      <c r="V374">
        <v>1</v>
      </c>
      <c r="W374" t="s">
        <v>29</v>
      </c>
      <c r="X374" t="s">
        <v>30</v>
      </c>
      <c r="Y374">
        <v>0</v>
      </c>
      <c r="Z374">
        <v>0</v>
      </c>
      <c r="AA374">
        <v>180</v>
      </c>
      <c r="AB374">
        <v>2</v>
      </c>
      <c r="AC374">
        <v>1</v>
      </c>
      <c r="AD374">
        <v>0</v>
      </c>
      <c r="AE374">
        <v>0</v>
      </c>
      <c r="AF374">
        <v>0</v>
      </c>
      <c r="AG374">
        <v>0</v>
      </c>
      <c r="AJ374">
        <v>0</v>
      </c>
      <c r="AK374">
        <v>0</v>
      </c>
      <c r="AL374">
        <v>300</v>
      </c>
      <c r="AM374">
        <v>7</v>
      </c>
      <c r="AN374">
        <v>1</v>
      </c>
      <c r="AO374">
        <v>0</v>
      </c>
      <c r="AP374">
        <v>0</v>
      </c>
      <c r="AQ374">
        <v>0</v>
      </c>
      <c r="AR374">
        <v>0</v>
      </c>
      <c r="AU374">
        <v>0</v>
      </c>
      <c r="AV374">
        <v>0</v>
      </c>
      <c r="AW374">
        <v>120</v>
      </c>
      <c r="AX374">
        <v>2</v>
      </c>
      <c r="AY374">
        <v>1</v>
      </c>
      <c r="AZ374">
        <v>1</v>
      </c>
      <c r="BA374">
        <v>1</v>
      </c>
      <c r="BB374">
        <v>1</v>
      </c>
      <c r="BC374">
        <v>1</v>
      </c>
      <c r="BD374" t="s">
        <v>29</v>
      </c>
      <c r="BE374" t="s">
        <v>30</v>
      </c>
    </row>
    <row r="375" spans="1:57" x14ac:dyDescent="0.2">
      <c r="A375">
        <v>373</v>
      </c>
      <c r="B375">
        <v>50</v>
      </c>
      <c r="C375">
        <v>0</v>
      </c>
      <c r="D375">
        <v>80</v>
      </c>
      <c r="E375">
        <v>1.59</v>
      </c>
      <c r="F375" s="5">
        <f t="shared" si="6"/>
        <v>31.644317867172973</v>
      </c>
      <c r="G375" s="13">
        <v>1</v>
      </c>
      <c r="H375">
        <v>1</v>
      </c>
      <c r="I375">
        <v>1</v>
      </c>
      <c r="J375">
        <v>1</v>
      </c>
      <c r="K375" s="6">
        <v>0.5625</v>
      </c>
      <c r="L375" s="6">
        <v>0.8125</v>
      </c>
      <c r="M375">
        <v>45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Y375">
        <v>0</v>
      </c>
      <c r="Z375">
        <v>0</v>
      </c>
      <c r="AA375">
        <v>300</v>
      </c>
      <c r="AB375">
        <v>3</v>
      </c>
      <c r="AC375">
        <v>1</v>
      </c>
      <c r="AD375">
        <v>0</v>
      </c>
      <c r="AE375">
        <v>0</v>
      </c>
      <c r="AF375">
        <v>0</v>
      </c>
      <c r="AG375">
        <v>0</v>
      </c>
      <c r="AJ375">
        <v>0</v>
      </c>
      <c r="AK375">
        <v>0</v>
      </c>
      <c r="AL375">
        <v>120</v>
      </c>
      <c r="AM375">
        <v>6</v>
      </c>
      <c r="AN375">
        <v>1</v>
      </c>
      <c r="AO375">
        <v>0</v>
      </c>
      <c r="AP375">
        <v>0</v>
      </c>
      <c r="AQ375">
        <v>0</v>
      </c>
      <c r="AR375">
        <v>0</v>
      </c>
      <c r="AU375">
        <v>0</v>
      </c>
      <c r="AV375">
        <v>0</v>
      </c>
      <c r="AW375">
        <v>30</v>
      </c>
      <c r="AX375">
        <v>1</v>
      </c>
      <c r="AY375">
        <v>1</v>
      </c>
      <c r="AZ375">
        <v>0</v>
      </c>
      <c r="BA375">
        <v>0</v>
      </c>
      <c r="BB375">
        <v>0</v>
      </c>
      <c r="BC375">
        <v>0</v>
      </c>
    </row>
    <row r="376" spans="1:57" x14ac:dyDescent="0.2">
      <c r="A376">
        <v>374</v>
      </c>
      <c r="B376">
        <v>31</v>
      </c>
      <c r="C376">
        <v>0</v>
      </c>
      <c r="D376">
        <v>112.9</v>
      </c>
      <c r="E376">
        <v>1.68</v>
      </c>
      <c r="F376" s="5">
        <f t="shared" si="6"/>
        <v>40.001417233560097</v>
      </c>
      <c r="G376" s="13">
        <v>3</v>
      </c>
      <c r="H376">
        <v>1</v>
      </c>
      <c r="I376">
        <v>1</v>
      </c>
      <c r="J376">
        <v>1</v>
      </c>
      <c r="K376" s="6">
        <v>0.41666666666666669</v>
      </c>
      <c r="L376" s="6">
        <v>0.84097222222222223</v>
      </c>
      <c r="M376">
        <v>25</v>
      </c>
      <c r="N376">
        <v>0</v>
      </c>
      <c r="O376">
        <v>0</v>
      </c>
      <c r="P376">
        <v>1</v>
      </c>
      <c r="Q376">
        <v>4</v>
      </c>
      <c r="R376">
        <v>1</v>
      </c>
      <c r="S376">
        <v>0</v>
      </c>
      <c r="T376">
        <v>0</v>
      </c>
      <c r="U376">
        <v>0</v>
      </c>
      <c r="V376">
        <v>1</v>
      </c>
      <c r="W376" t="s">
        <v>29</v>
      </c>
      <c r="X376" t="s">
        <v>30</v>
      </c>
      <c r="Y376">
        <v>0</v>
      </c>
      <c r="Z376">
        <v>0</v>
      </c>
      <c r="AA376">
        <v>180</v>
      </c>
      <c r="AB376">
        <v>3</v>
      </c>
      <c r="AC376">
        <v>0</v>
      </c>
      <c r="AD376">
        <v>0</v>
      </c>
      <c r="AE376">
        <v>0</v>
      </c>
      <c r="AF376">
        <v>0</v>
      </c>
      <c r="AG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</row>
    <row r="377" spans="1:57" x14ac:dyDescent="0.2">
      <c r="A377">
        <v>375</v>
      </c>
      <c r="B377">
        <v>43</v>
      </c>
      <c r="C377">
        <v>0</v>
      </c>
      <c r="D377">
        <v>92</v>
      </c>
      <c r="E377">
        <v>1.59</v>
      </c>
      <c r="F377" s="5">
        <f t="shared" si="6"/>
        <v>36.390965547248918</v>
      </c>
      <c r="G377" s="13">
        <v>1</v>
      </c>
      <c r="H377">
        <v>1</v>
      </c>
      <c r="I377">
        <v>1</v>
      </c>
      <c r="J377">
        <v>1</v>
      </c>
      <c r="K377" s="6">
        <v>0.39583333333333331</v>
      </c>
      <c r="L377" s="6">
        <v>0.59375</v>
      </c>
      <c r="M377">
        <v>60</v>
      </c>
      <c r="N377">
        <v>0</v>
      </c>
      <c r="O377">
        <v>0</v>
      </c>
      <c r="P377">
        <v>1</v>
      </c>
      <c r="Q377">
        <v>2</v>
      </c>
      <c r="R377">
        <v>2</v>
      </c>
      <c r="S377">
        <v>0</v>
      </c>
      <c r="T377">
        <v>0</v>
      </c>
      <c r="U377">
        <v>0</v>
      </c>
      <c r="V377">
        <v>0</v>
      </c>
      <c r="Y377">
        <v>0</v>
      </c>
      <c r="Z377">
        <v>0</v>
      </c>
      <c r="AA377">
        <v>300</v>
      </c>
      <c r="AB377">
        <v>5</v>
      </c>
      <c r="AC377">
        <v>1</v>
      </c>
      <c r="AD377">
        <v>0</v>
      </c>
      <c r="AE377">
        <v>0</v>
      </c>
      <c r="AF377">
        <v>0</v>
      </c>
      <c r="AG377">
        <v>0</v>
      </c>
      <c r="AJ377">
        <v>0</v>
      </c>
      <c r="AK377">
        <v>0</v>
      </c>
      <c r="AL377">
        <v>360</v>
      </c>
      <c r="AM377">
        <v>8</v>
      </c>
      <c r="AN377">
        <v>2</v>
      </c>
      <c r="AO377">
        <v>0</v>
      </c>
      <c r="AP377">
        <v>0</v>
      </c>
      <c r="AQ377">
        <v>0</v>
      </c>
      <c r="AR377">
        <v>0</v>
      </c>
      <c r="AU377">
        <v>1</v>
      </c>
      <c r="AV377">
        <v>1</v>
      </c>
      <c r="AW377">
        <v>360</v>
      </c>
      <c r="AX377">
        <v>8</v>
      </c>
      <c r="AY377">
        <v>1</v>
      </c>
      <c r="AZ377">
        <v>0</v>
      </c>
      <c r="BA377">
        <v>0</v>
      </c>
      <c r="BB377">
        <v>0</v>
      </c>
      <c r="BC377">
        <v>0</v>
      </c>
    </row>
    <row r="378" spans="1:57" x14ac:dyDescent="0.2">
      <c r="A378">
        <v>376</v>
      </c>
      <c r="B378">
        <v>24</v>
      </c>
      <c r="C378">
        <v>0</v>
      </c>
      <c r="D378">
        <v>89.5</v>
      </c>
      <c r="E378">
        <v>1.62</v>
      </c>
      <c r="F378" s="5">
        <f t="shared" si="6"/>
        <v>34.103033074226481</v>
      </c>
      <c r="G378" s="13">
        <v>2</v>
      </c>
      <c r="H378">
        <v>2</v>
      </c>
      <c r="I378">
        <v>1</v>
      </c>
      <c r="J378">
        <v>1</v>
      </c>
      <c r="K378" s="6">
        <v>0.41666666666666669</v>
      </c>
      <c r="L378" s="6">
        <v>0.59027777777777779</v>
      </c>
      <c r="M378">
        <v>30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t="s">
        <v>31</v>
      </c>
      <c r="X378" t="s">
        <v>32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</row>
    <row r="379" spans="1:57" x14ac:dyDescent="0.2">
      <c r="A379">
        <v>377</v>
      </c>
      <c r="B379">
        <v>37</v>
      </c>
      <c r="C379">
        <v>0</v>
      </c>
      <c r="D379">
        <v>92</v>
      </c>
      <c r="E379">
        <v>1.73</v>
      </c>
      <c r="F379" s="5">
        <f t="shared" si="6"/>
        <v>30.73941661933242</v>
      </c>
      <c r="G379" s="13">
        <v>3</v>
      </c>
      <c r="H379">
        <v>1</v>
      </c>
      <c r="I379">
        <v>1</v>
      </c>
      <c r="J379">
        <v>1</v>
      </c>
      <c r="K379" s="6">
        <v>0.41666666666666669</v>
      </c>
      <c r="L379" s="6">
        <v>0.64930555555555558</v>
      </c>
      <c r="M379">
        <v>70</v>
      </c>
      <c r="N379">
        <v>0</v>
      </c>
      <c r="O379">
        <v>0</v>
      </c>
      <c r="P379">
        <v>1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0</v>
      </c>
      <c r="W379" t="s">
        <v>35</v>
      </c>
      <c r="X379" t="s">
        <v>36</v>
      </c>
      <c r="Y379">
        <v>2</v>
      </c>
      <c r="Z379">
        <v>1</v>
      </c>
      <c r="AA379">
        <v>300</v>
      </c>
      <c r="AB379">
        <v>6</v>
      </c>
      <c r="AC379">
        <v>1</v>
      </c>
      <c r="AD379">
        <v>0</v>
      </c>
      <c r="AE379">
        <v>0</v>
      </c>
      <c r="AF379">
        <v>0</v>
      </c>
      <c r="AG379">
        <v>1</v>
      </c>
      <c r="AH379" t="s">
        <v>76</v>
      </c>
      <c r="AI379" t="s">
        <v>42</v>
      </c>
      <c r="AJ379">
        <v>0</v>
      </c>
      <c r="AK379">
        <v>0</v>
      </c>
      <c r="AL379">
        <v>300</v>
      </c>
      <c r="AM379">
        <v>5</v>
      </c>
      <c r="AN379">
        <v>2</v>
      </c>
      <c r="AO379">
        <v>0</v>
      </c>
      <c r="AP379">
        <v>0</v>
      </c>
      <c r="AQ379">
        <v>0</v>
      </c>
      <c r="AR379">
        <v>1</v>
      </c>
      <c r="AS379" t="s">
        <v>104</v>
      </c>
      <c r="AT379" t="s">
        <v>105</v>
      </c>
      <c r="AU379">
        <v>0</v>
      </c>
      <c r="AV379">
        <v>0</v>
      </c>
      <c r="AW379">
        <v>300</v>
      </c>
      <c r="AX379">
        <v>8</v>
      </c>
      <c r="AY379">
        <v>1</v>
      </c>
      <c r="AZ379">
        <v>0</v>
      </c>
      <c r="BA379">
        <v>0</v>
      </c>
      <c r="BB379">
        <v>0</v>
      </c>
      <c r="BC379">
        <v>0</v>
      </c>
    </row>
    <row r="380" spans="1:57" x14ac:dyDescent="0.2">
      <c r="A380">
        <v>378</v>
      </c>
      <c r="B380">
        <v>54</v>
      </c>
      <c r="C380">
        <v>0</v>
      </c>
      <c r="D380">
        <v>91.6</v>
      </c>
      <c r="E380">
        <v>1.59</v>
      </c>
      <c r="F380" s="5">
        <f t="shared" si="6"/>
        <v>36.232743957913051</v>
      </c>
      <c r="G380" s="13">
        <v>2</v>
      </c>
      <c r="H380">
        <v>2</v>
      </c>
      <c r="I380">
        <v>1</v>
      </c>
      <c r="J380">
        <v>1</v>
      </c>
      <c r="K380" s="6">
        <v>0.41666666666666669</v>
      </c>
      <c r="L380" s="6">
        <v>0.80555555555555547</v>
      </c>
      <c r="M380">
        <v>40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 t="s">
        <v>31</v>
      </c>
      <c r="X380" t="s">
        <v>32</v>
      </c>
      <c r="Y380">
        <v>0</v>
      </c>
      <c r="Z380">
        <v>0</v>
      </c>
      <c r="AA380">
        <v>30</v>
      </c>
      <c r="AB380">
        <v>2</v>
      </c>
      <c r="AC380">
        <v>2</v>
      </c>
      <c r="AD380">
        <v>0</v>
      </c>
      <c r="AE380">
        <v>0</v>
      </c>
      <c r="AF380">
        <v>0</v>
      </c>
      <c r="AG380">
        <v>1</v>
      </c>
      <c r="AH380" t="s">
        <v>76</v>
      </c>
      <c r="AI380" t="s">
        <v>42</v>
      </c>
      <c r="AJ380">
        <v>0</v>
      </c>
      <c r="AK380">
        <v>0</v>
      </c>
      <c r="AL380">
        <v>50</v>
      </c>
      <c r="AM380">
        <v>2</v>
      </c>
      <c r="AN380">
        <v>2</v>
      </c>
      <c r="AO380">
        <v>0</v>
      </c>
      <c r="AP380">
        <v>0</v>
      </c>
      <c r="AQ380">
        <v>0</v>
      </c>
      <c r="AR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</row>
    <row r="381" spans="1:57" x14ac:dyDescent="0.2">
      <c r="A381">
        <v>379</v>
      </c>
      <c r="B381">
        <v>35</v>
      </c>
      <c r="C381">
        <v>0</v>
      </c>
      <c r="D381">
        <v>124</v>
      </c>
      <c r="E381">
        <v>1.62</v>
      </c>
      <c r="F381" s="5">
        <f t="shared" si="6"/>
        <v>47.248894985520494</v>
      </c>
      <c r="G381" s="13">
        <v>2</v>
      </c>
      <c r="H381">
        <v>2</v>
      </c>
      <c r="I381">
        <v>1</v>
      </c>
      <c r="J381">
        <v>1</v>
      </c>
      <c r="K381" s="6">
        <v>0.41666666666666669</v>
      </c>
      <c r="L381" s="6">
        <v>0.67361111111111116</v>
      </c>
      <c r="M381">
        <v>50</v>
      </c>
      <c r="N381">
        <v>1</v>
      </c>
      <c r="O381">
        <v>2</v>
      </c>
      <c r="P381">
        <v>1</v>
      </c>
      <c r="Q381">
        <v>1</v>
      </c>
      <c r="R381">
        <v>2</v>
      </c>
      <c r="S381">
        <v>0</v>
      </c>
      <c r="T381">
        <v>0</v>
      </c>
      <c r="U381">
        <v>0</v>
      </c>
      <c r="V381">
        <v>1</v>
      </c>
      <c r="W381" t="s">
        <v>29</v>
      </c>
      <c r="X381" t="s">
        <v>30</v>
      </c>
      <c r="Y381">
        <v>2</v>
      </c>
      <c r="Z381">
        <v>2</v>
      </c>
      <c r="AA381">
        <v>360</v>
      </c>
      <c r="AB381">
        <v>8</v>
      </c>
      <c r="AC381">
        <v>2</v>
      </c>
      <c r="AD381">
        <v>0</v>
      </c>
      <c r="AE381">
        <v>0</v>
      </c>
      <c r="AF381">
        <v>0</v>
      </c>
      <c r="AG381">
        <v>0</v>
      </c>
      <c r="AH381" t="s">
        <v>29</v>
      </c>
      <c r="AI381" t="s">
        <v>30</v>
      </c>
      <c r="AJ381">
        <v>0</v>
      </c>
      <c r="AK381">
        <v>0</v>
      </c>
      <c r="AL381">
        <v>300</v>
      </c>
      <c r="AM381">
        <v>3</v>
      </c>
      <c r="AN381">
        <v>2</v>
      </c>
      <c r="AO381">
        <v>0</v>
      </c>
      <c r="AP381">
        <v>0</v>
      </c>
      <c r="AQ381">
        <v>0</v>
      </c>
      <c r="AR381">
        <v>1</v>
      </c>
      <c r="AS381" t="s">
        <v>74</v>
      </c>
      <c r="AT381" t="s">
        <v>75</v>
      </c>
      <c r="AU381">
        <v>0</v>
      </c>
      <c r="AV381">
        <v>0</v>
      </c>
      <c r="AW381">
        <v>120</v>
      </c>
      <c r="AX381">
        <v>3</v>
      </c>
      <c r="AY381">
        <v>1</v>
      </c>
      <c r="AZ381">
        <v>0</v>
      </c>
      <c r="BA381">
        <v>0</v>
      </c>
      <c r="BB381">
        <v>0</v>
      </c>
      <c r="BC381">
        <v>0</v>
      </c>
    </row>
    <row r="382" spans="1:57" x14ac:dyDescent="0.2">
      <c r="A382">
        <v>380</v>
      </c>
      <c r="B382">
        <v>33</v>
      </c>
      <c r="C382">
        <v>0</v>
      </c>
      <c r="D382">
        <v>182</v>
      </c>
      <c r="E382">
        <v>1.52</v>
      </c>
      <c r="F382" s="5">
        <f t="shared" si="6"/>
        <v>78.77423822714681</v>
      </c>
      <c r="G382" s="13">
        <v>3</v>
      </c>
      <c r="H382">
        <v>3</v>
      </c>
      <c r="I382">
        <v>1</v>
      </c>
      <c r="J382">
        <v>1</v>
      </c>
      <c r="K382" s="6">
        <v>0.41666666666666669</v>
      </c>
      <c r="L382" s="6">
        <v>0.80833333333333324</v>
      </c>
      <c r="M382">
        <v>48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Y382">
        <v>0</v>
      </c>
      <c r="Z382">
        <v>0</v>
      </c>
      <c r="AA382">
        <v>300</v>
      </c>
      <c r="AB382">
        <v>3</v>
      </c>
      <c r="AC382">
        <v>1</v>
      </c>
      <c r="AD382">
        <v>0</v>
      </c>
      <c r="AE382">
        <v>0</v>
      </c>
      <c r="AF382">
        <v>0</v>
      </c>
      <c r="AG382">
        <v>0</v>
      </c>
      <c r="AJ382">
        <v>0</v>
      </c>
      <c r="AK382">
        <v>0</v>
      </c>
      <c r="AL382">
        <v>120</v>
      </c>
      <c r="AM382">
        <v>3</v>
      </c>
      <c r="AN382">
        <v>1</v>
      </c>
      <c r="AO382">
        <v>0</v>
      </c>
      <c r="AP382">
        <v>0</v>
      </c>
      <c r="AQ382">
        <v>0</v>
      </c>
      <c r="AR382">
        <v>0</v>
      </c>
      <c r="AU382">
        <v>0</v>
      </c>
      <c r="AV382">
        <v>0</v>
      </c>
      <c r="AW382">
        <v>30</v>
      </c>
      <c r="AX382">
        <v>1</v>
      </c>
      <c r="AY382">
        <v>1</v>
      </c>
      <c r="AZ382">
        <v>0</v>
      </c>
      <c r="BA382">
        <v>0</v>
      </c>
      <c r="BB382">
        <v>0</v>
      </c>
      <c r="BC382">
        <v>0</v>
      </c>
    </row>
    <row r="383" spans="1:57" x14ac:dyDescent="0.2">
      <c r="A383">
        <v>381</v>
      </c>
      <c r="B383">
        <v>24</v>
      </c>
      <c r="C383">
        <v>0</v>
      </c>
      <c r="D383">
        <v>107.8</v>
      </c>
      <c r="E383">
        <v>1.66</v>
      </c>
      <c r="F383" s="5">
        <f t="shared" si="6"/>
        <v>39.120336768761796</v>
      </c>
      <c r="G383" s="13">
        <v>2</v>
      </c>
      <c r="H383">
        <v>2</v>
      </c>
      <c r="I383">
        <v>1</v>
      </c>
      <c r="J383">
        <v>1</v>
      </c>
      <c r="K383" s="6">
        <v>0.41666666666666669</v>
      </c>
      <c r="L383" s="6">
        <v>0.72222222222222221</v>
      </c>
      <c r="M383">
        <v>30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 t="s">
        <v>31</v>
      </c>
      <c r="X383" t="s">
        <v>32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</row>
    <row r="384" spans="1:57" x14ac:dyDescent="0.2">
      <c r="A384">
        <v>382</v>
      </c>
      <c r="B384">
        <v>33</v>
      </c>
      <c r="C384">
        <v>0</v>
      </c>
      <c r="D384">
        <v>107.1</v>
      </c>
      <c r="E384">
        <v>1.66</v>
      </c>
      <c r="F384" s="5">
        <f t="shared" si="6"/>
        <v>38.866308607925681</v>
      </c>
      <c r="G384" s="13">
        <v>3</v>
      </c>
      <c r="H384">
        <v>2</v>
      </c>
      <c r="I384">
        <v>1</v>
      </c>
      <c r="J384">
        <v>1</v>
      </c>
      <c r="K384" s="6">
        <v>0.41666666666666669</v>
      </c>
      <c r="L384" s="6">
        <v>0.70833333333333337</v>
      </c>
      <c r="M384">
        <v>45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 t="s">
        <v>31</v>
      </c>
      <c r="X384" t="s">
        <v>32</v>
      </c>
      <c r="Y384">
        <v>0</v>
      </c>
      <c r="Z384">
        <v>0</v>
      </c>
      <c r="AA384">
        <v>180</v>
      </c>
      <c r="AB384">
        <v>4</v>
      </c>
      <c r="AC384">
        <v>1</v>
      </c>
      <c r="AD384">
        <v>0</v>
      </c>
      <c r="AE384">
        <v>0</v>
      </c>
      <c r="AF384">
        <v>0</v>
      </c>
      <c r="AG384">
        <v>0</v>
      </c>
      <c r="AJ384">
        <v>0</v>
      </c>
      <c r="AK384">
        <v>0</v>
      </c>
      <c r="AL384">
        <v>300</v>
      </c>
      <c r="AM384">
        <v>3</v>
      </c>
      <c r="AN384">
        <v>1</v>
      </c>
      <c r="AO384">
        <v>0</v>
      </c>
      <c r="AP384">
        <v>0</v>
      </c>
      <c r="AQ384">
        <v>0</v>
      </c>
      <c r="AR384">
        <v>0</v>
      </c>
      <c r="AU384">
        <v>0</v>
      </c>
      <c r="AV384">
        <v>0</v>
      </c>
      <c r="AW384">
        <v>30</v>
      </c>
      <c r="AX384">
        <v>2</v>
      </c>
      <c r="AY384">
        <v>1</v>
      </c>
      <c r="AZ384">
        <v>0</v>
      </c>
      <c r="BA384">
        <v>0</v>
      </c>
      <c r="BB384">
        <v>0</v>
      </c>
      <c r="BC384">
        <v>0</v>
      </c>
    </row>
    <row r="385" spans="1:57" x14ac:dyDescent="0.2">
      <c r="A385">
        <v>383</v>
      </c>
      <c r="B385">
        <v>28</v>
      </c>
      <c r="C385">
        <v>0</v>
      </c>
      <c r="D385">
        <v>161</v>
      </c>
      <c r="E385">
        <v>1.74</v>
      </c>
      <c r="F385" s="5">
        <f t="shared" si="6"/>
        <v>53.177434271370061</v>
      </c>
      <c r="G385" s="13">
        <v>2</v>
      </c>
      <c r="H385">
        <v>3</v>
      </c>
      <c r="I385">
        <v>1</v>
      </c>
      <c r="J385">
        <v>1</v>
      </c>
      <c r="K385" s="6">
        <v>0.41666666666666669</v>
      </c>
      <c r="L385" s="6">
        <v>0.64583333333333337</v>
      </c>
      <c r="M385">
        <v>30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 t="s">
        <v>31</v>
      </c>
      <c r="X385" t="s">
        <v>32</v>
      </c>
      <c r="Y385">
        <v>0</v>
      </c>
      <c r="Z385">
        <v>0</v>
      </c>
      <c r="AA385">
        <v>180</v>
      </c>
      <c r="AB385">
        <v>4</v>
      </c>
      <c r="AC385">
        <v>1</v>
      </c>
      <c r="AD385">
        <v>0</v>
      </c>
      <c r="AE385">
        <v>0</v>
      </c>
      <c r="AF385">
        <v>0</v>
      </c>
      <c r="AG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</row>
    <row r="386" spans="1:57" x14ac:dyDescent="0.2">
      <c r="A386">
        <v>384</v>
      </c>
      <c r="B386">
        <v>57</v>
      </c>
      <c r="C386">
        <v>0</v>
      </c>
      <c r="D386">
        <v>88.3</v>
      </c>
      <c r="E386">
        <v>1.63</v>
      </c>
      <c r="F386" s="5">
        <f t="shared" si="6"/>
        <v>33.23422033196583</v>
      </c>
      <c r="G386" s="13">
        <v>3</v>
      </c>
      <c r="H386">
        <v>1</v>
      </c>
      <c r="I386">
        <v>1</v>
      </c>
      <c r="J386">
        <v>1</v>
      </c>
      <c r="K386" s="6">
        <v>0.41666666666666669</v>
      </c>
      <c r="L386" s="6">
        <v>0.71875</v>
      </c>
      <c r="M386">
        <v>45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Y386">
        <v>0</v>
      </c>
      <c r="Z386">
        <v>0</v>
      </c>
      <c r="AA386">
        <v>180</v>
      </c>
      <c r="AB386">
        <v>6</v>
      </c>
      <c r="AC386">
        <v>1</v>
      </c>
      <c r="AD386">
        <v>0</v>
      </c>
      <c r="AE386">
        <v>0</v>
      </c>
      <c r="AF386">
        <v>0</v>
      </c>
      <c r="AG386">
        <v>1</v>
      </c>
      <c r="AH386" t="s">
        <v>29</v>
      </c>
      <c r="AI386" t="s">
        <v>30</v>
      </c>
      <c r="AJ386">
        <v>0</v>
      </c>
      <c r="AK386">
        <v>0</v>
      </c>
      <c r="AL386">
        <v>50</v>
      </c>
      <c r="AM386">
        <v>2</v>
      </c>
      <c r="AN386">
        <v>1</v>
      </c>
      <c r="AO386">
        <v>0</v>
      </c>
      <c r="AP386">
        <v>0</v>
      </c>
      <c r="AQ386">
        <v>0</v>
      </c>
      <c r="AR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</row>
    <row r="387" spans="1:57" x14ac:dyDescent="0.2">
      <c r="A387">
        <v>385</v>
      </c>
      <c r="B387">
        <v>51</v>
      </c>
      <c r="C387">
        <v>0</v>
      </c>
      <c r="D387">
        <v>89.5</v>
      </c>
      <c r="E387">
        <v>1.64</v>
      </c>
      <c r="F387" s="5">
        <f t="shared" si="6"/>
        <v>33.276323616894715</v>
      </c>
      <c r="G387" s="13">
        <v>1</v>
      </c>
      <c r="H387">
        <v>1</v>
      </c>
      <c r="I387">
        <v>1</v>
      </c>
      <c r="J387">
        <v>1</v>
      </c>
      <c r="K387" s="6">
        <v>0.41666666666666669</v>
      </c>
      <c r="L387" s="6">
        <v>0.75694444444444453</v>
      </c>
      <c r="M387">
        <v>40</v>
      </c>
      <c r="N387">
        <v>2</v>
      </c>
      <c r="O387">
        <v>2</v>
      </c>
      <c r="P387">
        <v>1</v>
      </c>
      <c r="Q387">
        <v>2</v>
      </c>
      <c r="R387">
        <v>1</v>
      </c>
      <c r="S387">
        <v>0</v>
      </c>
      <c r="T387">
        <v>0</v>
      </c>
      <c r="U387">
        <v>0</v>
      </c>
      <c r="V387">
        <v>1</v>
      </c>
      <c r="W387" t="s">
        <v>35</v>
      </c>
      <c r="X387" t="s">
        <v>36</v>
      </c>
      <c r="Y387">
        <v>0</v>
      </c>
      <c r="Z387">
        <v>0</v>
      </c>
      <c r="AA387">
        <v>300</v>
      </c>
      <c r="AB387">
        <v>9</v>
      </c>
      <c r="AC387">
        <v>3</v>
      </c>
      <c r="AD387">
        <v>2</v>
      </c>
      <c r="AE387">
        <v>1</v>
      </c>
      <c r="AF387">
        <v>2</v>
      </c>
      <c r="AG387">
        <v>1</v>
      </c>
      <c r="AH387" t="s">
        <v>74</v>
      </c>
      <c r="AI387" t="s">
        <v>75</v>
      </c>
      <c r="AJ387">
        <v>0</v>
      </c>
      <c r="AK387">
        <v>0</v>
      </c>
      <c r="AL387">
        <v>300</v>
      </c>
      <c r="AM387">
        <v>6</v>
      </c>
      <c r="AN387">
        <v>1</v>
      </c>
      <c r="AO387">
        <v>0</v>
      </c>
      <c r="AP387">
        <v>0</v>
      </c>
      <c r="AQ387">
        <v>0</v>
      </c>
      <c r="AR387">
        <v>0</v>
      </c>
      <c r="AU387">
        <v>0</v>
      </c>
      <c r="AV387">
        <v>0</v>
      </c>
      <c r="AW387">
        <v>30</v>
      </c>
      <c r="AX387">
        <v>2</v>
      </c>
      <c r="AY387">
        <v>1</v>
      </c>
      <c r="AZ387">
        <v>0</v>
      </c>
      <c r="BA387">
        <v>0</v>
      </c>
      <c r="BB387">
        <v>0</v>
      </c>
      <c r="BC387">
        <v>0</v>
      </c>
    </row>
    <row r="388" spans="1:57" x14ac:dyDescent="0.2">
      <c r="A388">
        <v>386</v>
      </c>
      <c r="B388">
        <v>31</v>
      </c>
      <c r="C388">
        <v>0</v>
      </c>
      <c r="D388">
        <v>148.1</v>
      </c>
      <c r="E388">
        <v>1.78</v>
      </c>
      <c r="F388" s="5">
        <f t="shared" si="6"/>
        <v>46.742835500568106</v>
      </c>
      <c r="G388" s="13">
        <v>2</v>
      </c>
      <c r="H388">
        <v>2</v>
      </c>
      <c r="I388">
        <v>1</v>
      </c>
      <c r="J388">
        <v>1</v>
      </c>
      <c r="K388" s="6">
        <v>0.41666666666666669</v>
      </c>
      <c r="L388" s="6">
        <v>0.85416666666666663</v>
      </c>
      <c r="M388">
        <v>30</v>
      </c>
      <c r="N388">
        <v>0</v>
      </c>
      <c r="O388">
        <v>0</v>
      </c>
      <c r="P388">
        <v>1</v>
      </c>
      <c r="Q388">
        <v>2</v>
      </c>
      <c r="R388">
        <v>1</v>
      </c>
      <c r="S388">
        <v>0</v>
      </c>
      <c r="T388">
        <v>0</v>
      </c>
      <c r="U388">
        <v>0</v>
      </c>
      <c r="V388">
        <v>1</v>
      </c>
      <c r="W388" t="s">
        <v>29</v>
      </c>
      <c r="X388" t="s">
        <v>30</v>
      </c>
      <c r="Y388">
        <v>0</v>
      </c>
      <c r="Z388">
        <v>0</v>
      </c>
      <c r="AA388">
        <v>180</v>
      </c>
      <c r="AB388">
        <v>4</v>
      </c>
      <c r="AC388">
        <v>1</v>
      </c>
      <c r="AD388">
        <v>0</v>
      </c>
      <c r="AE388">
        <v>0</v>
      </c>
      <c r="AF388">
        <v>0</v>
      </c>
      <c r="AG388">
        <v>0</v>
      </c>
      <c r="AJ388">
        <v>0</v>
      </c>
      <c r="AK388">
        <v>0</v>
      </c>
      <c r="AL388">
        <v>50</v>
      </c>
      <c r="AM388">
        <v>2</v>
      </c>
      <c r="AN388">
        <v>1</v>
      </c>
      <c r="AO388">
        <v>0</v>
      </c>
      <c r="AP388">
        <v>0</v>
      </c>
      <c r="AQ388">
        <v>0</v>
      </c>
      <c r="AR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</row>
    <row r="389" spans="1:57" x14ac:dyDescent="0.2">
      <c r="A389">
        <v>387</v>
      </c>
      <c r="B389">
        <v>44</v>
      </c>
      <c r="C389">
        <v>0</v>
      </c>
      <c r="D389">
        <v>122</v>
      </c>
      <c r="E389">
        <v>1.71</v>
      </c>
      <c r="F389" s="5">
        <f t="shared" si="6"/>
        <v>41.722239321500638</v>
      </c>
      <c r="G389" s="13">
        <v>1</v>
      </c>
      <c r="H389">
        <v>2</v>
      </c>
      <c r="I389">
        <v>1</v>
      </c>
      <c r="J389">
        <v>1</v>
      </c>
      <c r="K389" s="6">
        <v>0.59375</v>
      </c>
      <c r="L389" s="6">
        <v>0.80555555555555547</v>
      </c>
      <c r="M389">
        <v>55</v>
      </c>
      <c r="N389">
        <v>0</v>
      </c>
      <c r="O389">
        <v>0</v>
      </c>
      <c r="P389">
        <v>1</v>
      </c>
      <c r="Q389">
        <v>2</v>
      </c>
      <c r="R389">
        <v>1</v>
      </c>
      <c r="S389">
        <v>0</v>
      </c>
      <c r="T389">
        <v>0</v>
      </c>
      <c r="U389">
        <v>0</v>
      </c>
      <c r="V389">
        <v>1</v>
      </c>
      <c r="W389" t="s">
        <v>35</v>
      </c>
      <c r="X389" t="s">
        <v>36</v>
      </c>
      <c r="Y389">
        <v>0</v>
      </c>
      <c r="Z389">
        <v>0</v>
      </c>
      <c r="AA389">
        <v>300</v>
      </c>
      <c r="AB389">
        <v>6</v>
      </c>
      <c r="AC389">
        <v>2</v>
      </c>
      <c r="AD389">
        <v>0</v>
      </c>
      <c r="AE389">
        <v>0</v>
      </c>
      <c r="AF389">
        <v>0</v>
      </c>
      <c r="AG389">
        <v>0</v>
      </c>
      <c r="AJ389">
        <v>0</v>
      </c>
      <c r="AK389">
        <v>0</v>
      </c>
      <c r="AL389">
        <v>300</v>
      </c>
      <c r="AM389">
        <v>4</v>
      </c>
      <c r="AN389">
        <v>2</v>
      </c>
      <c r="AO389">
        <v>0</v>
      </c>
      <c r="AP389">
        <v>0</v>
      </c>
      <c r="AQ389">
        <v>0</v>
      </c>
      <c r="AR389">
        <v>0</v>
      </c>
      <c r="AU389">
        <v>0</v>
      </c>
      <c r="AV389">
        <v>0</v>
      </c>
      <c r="AW389">
        <v>30</v>
      </c>
      <c r="AX389">
        <v>1</v>
      </c>
      <c r="AY389">
        <v>1</v>
      </c>
      <c r="AZ389">
        <v>0</v>
      </c>
      <c r="BA389">
        <v>0</v>
      </c>
      <c r="BB389">
        <v>0</v>
      </c>
      <c r="BC389">
        <v>0</v>
      </c>
    </row>
    <row r="390" spans="1:57" x14ac:dyDescent="0.2">
      <c r="A390">
        <v>388</v>
      </c>
      <c r="B390">
        <v>51</v>
      </c>
      <c r="C390">
        <v>0</v>
      </c>
      <c r="D390">
        <v>103</v>
      </c>
      <c r="E390">
        <v>1.61</v>
      </c>
      <c r="F390" s="5">
        <f t="shared" si="6"/>
        <v>39.736121291616833</v>
      </c>
      <c r="G390" s="13">
        <v>1</v>
      </c>
      <c r="H390">
        <v>2</v>
      </c>
      <c r="I390">
        <v>1</v>
      </c>
      <c r="J390">
        <v>1</v>
      </c>
      <c r="K390" s="6">
        <v>0.58333333333333337</v>
      </c>
      <c r="L390" s="6">
        <v>0.86458333333333337</v>
      </c>
      <c r="M390">
        <v>35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Y390">
        <v>0</v>
      </c>
      <c r="Z390">
        <v>0</v>
      </c>
      <c r="AA390">
        <v>300</v>
      </c>
      <c r="AB390">
        <v>6</v>
      </c>
      <c r="AC390">
        <v>2</v>
      </c>
      <c r="AD390">
        <v>0</v>
      </c>
      <c r="AE390">
        <v>0</v>
      </c>
      <c r="AF390">
        <v>0</v>
      </c>
      <c r="AG390">
        <v>0</v>
      </c>
      <c r="AJ390">
        <v>0</v>
      </c>
      <c r="AK390">
        <v>0</v>
      </c>
      <c r="AL390">
        <v>120</v>
      </c>
      <c r="AM390">
        <v>4</v>
      </c>
      <c r="AN390">
        <v>2</v>
      </c>
      <c r="AO390">
        <v>0</v>
      </c>
      <c r="AP390">
        <v>0</v>
      </c>
      <c r="AQ390">
        <v>0</v>
      </c>
      <c r="AR390">
        <v>0</v>
      </c>
      <c r="AU390">
        <v>0</v>
      </c>
      <c r="AV390">
        <v>0</v>
      </c>
      <c r="AW390">
        <v>30</v>
      </c>
      <c r="AX390">
        <v>2</v>
      </c>
      <c r="AY390">
        <v>1</v>
      </c>
      <c r="AZ390">
        <v>0</v>
      </c>
      <c r="BA390">
        <v>0</v>
      </c>
      <c r="BB390">
        <v>0</v>
      </c>
      <c r="BC390">
        <v>0</v>
      </c>
    </row>
    <row r="391" spans="1:57" x14ac:dyDescent="0.2">
      <c r="A391">
        <v>389</v>
      </c>
      <c r="B391">
        <v>50</v>
      </c>
      <c r="C391">
        <v>0</v>
      </c>
      <c r="D391">
        <v>99.1</v>
      </c>
      <c r="E391">
        <v>1.57</v>
      </c>
      <c r="F391" s="5">
        <f t="shared" si="6"/>
        <v>40.204470769605251</v>
      </c>
      <c r="G391" s="13">
        <v>3</v>
      </c>
      <c r="H391">
        <v>2</v>
      </c>
      <c r="I391">
        <v>1</v>
      </c>
      <c r="J391">
        <v>1</v>
      </c>
      <c r="K391" s="6">
        <v>0.68055555555555547</v>
      </c>
      <c r="L391" s="6">
        <v>0.75</v>
      </c>
      <c r="M391">
        <v>60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 t="s">
        <v>31</v>
      </c>
      <c r="X391" t="s">
        <v>32</v>
      </c>
      <c r="Y391">
        <v>2</v>
      </c>
      <c r="Z391">
        <v>2</v>
      </c>
      <c r="AA391">
        <v>300</v>
      </c>
      <c r="AB391">
        <v>6</v>
      </c>
      <c r="AC391">
        <v>2</v>
      </c>
      <c r="AD391">
        <v>0</v>
      </c>
      <c r="AE391">
        <v>0</v>
      </c>
      <c r="AF391">
        <v>0</v>
      </c>
      <c r="AG391">
        <v>1</v>
      </c>
      <c r="AH391" t="s">
        <v>74</v>
      </c>
      <c r="AI391" t="s">
        <v>75</v>
      </c>
      <c r="AJ391">
        <v>0</v>
      </c>
      <c r="AK391">
        <v>0</v>
      </c>
      <c r="AL391">
        <v>120</v>
      </c>
      <c r="AM391">
        <v>3</v>
      </c>
      <c r="AN391">
        <v>2</v>
      </c>
      <c r="AO391">
        <v>0</v>
      </c>
      <c r="AP391">
        <v>0</v>
      </c>
      <c r="AQ391">
        <v>0</v>
      </c>
      <c r="AR391">
        <v>0</v>
      </c>
      <c r="AS391" t="s">
        <v>29</v>
      </c>
      <c r="AT391" t="s">
        <v>30</v>
      </c>
      <c r="AU391">
        <v>0</v>
      </c>
      <c r="AV391">
        <v>0</v>
      </c>
      <c r="AW391">
        <v>30</v>
      </c>
      <c r="AX391">
        <v>1</v>
      </c>
      <c r="AY391">
        <v>1</v>
      </c>
      <c r="AZ391">
        <v>0</v>
      </c>
      <c r="BA391">
        <v>0</v>
      </c>
      <c r="BB391">
        <v>0</v>
      </c>
      <c r="BC391">
        <v>0</v>
      </c>
    </row>
    <row r="392" spans="1:57" x14ac:dyDescent="0.2">
      <c r="A392">
        <v>390</v>
      </c>
      <c r="B392">
        <v>39</v>
      </c>
      <c r="C392">
        <v>0</v>
      </c>
      <c r="D392">
        <v>102.2</v>
      </c>
      <c r="E392">
        <v>1.66</v>
      </c>
      <c r="F392" s="5">
        <f t="shared" si="6"/>
        <v>37.088111482072875</v>
      </c>
      <c r="G392" s="13">
        <v>3</v>
      </c>
      <c r="H392">
        <v>2</v>
      </c>
      <c r="I392">
        <v>1</v>
      </c>
      <c r="J392">
        <v>1</v>
      </c>
      <c r="K392" s="6">
        <v>0.68402777777777779</v>
      </c>
      <c r="L392" s="6">
        <v>0.86805555555555547</v>
      </c>
      <c r="M392">
        <v>59</v>
      </c>
      <c r="N392">
        <v>0</v>
      </c>
      <c r="O392">
        <v>0</v>
      </c>
      <c r="P392">
        <v>1</v>
      </c>
      <c r="Q392">
        <v>2</v>
      </c>
      <c r="R392">
        <v>2</v>
      </c>
      <c r="S392">
        <v>0</v>
      </c>
      <c r="T392">
        <v>0</v>
      </c>
      <c r="U392">
        <v>0</v>
      </c>
      <c r="V392">
        <v>0</v>
      </c>
      <c r="Y392">
        <v>1</v>
      </c>
      <c r="Z392">
        <v>3</v>
      </c>
      <c r="AA392">
        <v>360</v>
      </c>
      <c r="AB392">
        <v>9</v>
      </c>
      <c r="AC392">
        <v>3</v>
      </c>
      <c r="AD392">
        <v>0</v>
      </c>
      <c r="AE392">
        <v>0</v>
      </c>
      <c r="AF392">
        <v>0</v>
      </c>
      <c r="AG392">
        <v>0</v>
      </c>
      <c r="AJ392">
        <v>0</v>
      </c>
      <c r="AK392">
        <v>0</v>
      </c>
      <c r="AL392">
        <v>120</v>
      </c>
      <c r="AM392">
        <v>3</v>
      </c>
      <c r="AN392">
        <v>1</v>
      </c>
      <c r="AO392">
        <v>0</v>
      </c>
      <c r="AP392">
        <v>0</v>
      </c>
      <c r="AQ392">
        <v>0</v>
      </c>
      <c r="AR392">
        <v>0</v>
      </c>
      <c r="AU392">
        <v>0</v>
      </c>
      <c r="AV392">
        <v>0</v>
      </c>
      <c r="AW392">
        <v>180</v>
      </c>
      <c r="AX392">
        <v>6</v>
      </c>
      <c r="AY392">
        <v>1</v>
      </c>
      <c r="AZ392">
        <v>0</v>
      </c>
      <c r="BA392">
        <v>0</v>
      </c>
      <c r="BB392">
        <v>0</v>
      </c>
      <c r="BC392">
        <v>0</v>
      </c>
    </row>
    <row r="393" spans="1:57" x14ac:dyDescent="0.2">
      <c r="A393">
        <v>391</v>
      </c>
      <c r="B393">
        <v>32</v>
      </c>
      <c r="C393">
        <v>0</v>
      </c>
      <c r="D393">
        <v>151.9</v>
      </c>
      <c r="E393">
        <v>1.78</v>
      </c>
      <c r="F393" s="5">
        <f t="shared" si="6"/>
        <v>47.942179017800783</v>
      </c>
      <c r="G393" s="13">
        <v>1</v>
      </c>
      <c r="H393">
        <v>2</v>
      </c>
      <c r="I393">
        <v>1</v>
      </c>
      <c r="J393">
        <v>1</v>
      </c>
      <c r="K393" s="6">
        <v>0.68402777777777779</v>
      </c>
      <c r="L393" s="6">
        <v>0.91666666666666663</v>
      </c>
      <c r="M393">
        <v>60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 t="s">
        <v>31</v>
      </c>
      <c r="X393" t="s">
        <v>32</v>
      </c>
      <c r="Y393">
        <v>4</v>
      </c>
      <c r="Z393">
        <v>3</v>
      </c>
      <c r="AA393">
        <v>360</v>
      </c>
      <c r="AB393">
        <v>8</v>
      </c>
      <c r="AC393">
        <v>3</v>
      </c>
      <c r="AD393">
        <v>0</v>
      </c>
      <c r="AE393">
        <v>0</v>
      </c>
      <c r="AF393">
        <v>0</v>
      </c>
      <c r="AG393">
        <v>1</v>
      </c>
      <c r="AH393" t="s">
        <v>74</v>
      </c>
      <c r="AI393" t="s">
        <v>75</v>
      </c>
      <c r="AJ393">
        <v>0</v>
      </c>
      <c r="AK393">
        <v>0</v>
      </c>
      <c r="AL393">
        <v>120</v>
      </c>
      <c r="AM393">
        <v>4</v>
      </c>
      <c r="AN393">
        <v>1</v>
      </c>
      <c r="AO393">
        <v>0</v>
      </c>
      <c r="AP393">
        <v>0</v>
      </c>
      <c r="AQ393">
        <v>0</v>
      </c>
      <c r="AR393">
        <v>0</v>
      </c>
      <c r="AU393">
        <v>0</v>
      </c>
      <c r="AV393">
        <v>0</v>
      </c>
      <c r="AW393">
        <v>240</v>
      </c>
      <c r="AX393">
        <v>6</v>
      </c>
      <c r="AY393">
        <v>2</v>
      </c>
      <c r="AZ393">
        <v>0</v>
      </c>
      <c r="BA393">
        <v>0</v>
      </c>
      <c r="BB393">
        <v>0</v>
      </c>
      <c r="BC393">
        <v>1</v>
      </c>
      <c r="BD393" t="s">
        <v>29</v>
      </c>
      <c r="BE393" t="s">
        <v>30</v>
      </c>
    </row>
    <row r="394" spans="1:57" x14ac:dyDescent="0.2">
      <c r="A394">
        <v>392</v>
      </c>
      <c r="B394">
        <v>34</v>
      </c>
      <c r="C394">
        <v>0</v>
      </c>
      <c r="D394">
        <v>123</v>
      </c>
      <c r="E394">
        <v>1.66</v>
      </c>
      <c r="F394" s="5">
        <f t="shared" si="6"/>
        <v>44.636376832631733</v>
      </c>
      <c r="G394" s="13">
        <v>2</v>
      </c>
      <c r="H394">
        <v>2</v>
      </c>
      <c r="I394">
        <v>1</v>
      </c>
      <c r="J394">
        <v>1</v>
      </c>
      <c r="K394" s="6">
        <v>0.67708333333333337</v>
      </c>
      <c r="L394" s="6">
        <v>0.88888888888888884</v>
      </c>
      <c r="M394">
        <v>40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Y394">
        <v>0</v>
      </c>
      <c r="Z394">
        <v>0</v>
      </c>
      <c r="AA394">
        <v>30</v>
      </c>
      <c r="AB394">
        <v>2</v>
      </c>
      <c r="AC394">
        <v>1</v>
      </c>
      <c r="AD394">
        <v>0</v>
      </c>
      <c r="AE394">
        <v>0</v>
      </c>
      <c r="AF394">
        <v>0</v>
      </c>
      <c r="AG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</row>
    <row r="395" spans="1:57" x14ac:dyDescent="0.2">
      <c r="A395">
        <v>393</v>
      </c>
      <c r="B395">
        <v>39</v>
      </c>
      <c r="C395">
        <v>0</v>
      </c>
      <c r="D395">
        <v>106.3</v>
      </c>
      <c r="E395">
        <v>1.63</v>
      </c>
      <c r="F395" s="5">
        <f t="shared" si="6"/>
        <v>40.009033083668939</v>
      </c>
      <c r="G395" s="13">
        <v>1</v>
      </c>
      <c r="H395">
        <v>2</v>
      </c>
      <c r="I395">
        <v>1</v>
      </c>
      <c r="J395">
        <v>1</v>
      </c>
      <c r="K395" s="6">
        <v>0.68055555555555547</v>
      </c>
      <c r="L395" s="6">
        <v>0.91666666666666663</v>
      </c>
      <c r="M395">
        <v>35</v>
      </c>
      <c r="N395">
        <v>0</v>
      </c>
      <c r="O395">
        <v>0</v>
      </c>
      <c r="P395">
        <v>1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1</v>
      </c>
      <c r="W395" t="s">
        <v>29</v>
      </c>
      <c r="X395" t="s">
        <v>30</v>
      </c>
      <c r="Y395">
        <v>2</v>
      </c>
      <c r="Z395">
        <v>2</v>
      </c>
      <c r="AA395">
        <v>360</v>
      </c>
      <c r="AB395">
        <v>7</v>
      </c>
      <c r="AC395">
        <v>2</v>
      </c>
      <c r="AD395">
        <v>0</v>
      </c>
      <c r="AE395">
        <v>0</v>
      </c>
      <c r="AF395">
        <v>0</v>
      </c>
      <c r="AG395">
        <v>0</v>
      </c>
      <c r="AH395" t="s">
        <v>76</v>
      </c>
      <c r="AI395" t="s">
        <v>42</v>
      </c>
      <c r="AJ395">
        <v>0</v>
      </c>
      <c r="AK395">
        <v>0</v>
      </c>
      <c r="AL395">
        <v>120</v>
      </c>
      <c r="AM395">
        <v>9</v>
      </c>
      <c r="AN395">
        <v>4</v>
      </c>
      <c r="AO395">
        <v>4</v>
      </c>
      <c r="AP395">
        <v>0</v>
      </c>
      <c r="AQ395">
        <v>0</v>
      </c>
      <c r="AR395">
        <v>1</v>
      </c>
      <c r="AS395" t="s">
        <v>106</v>
      </c>
      <c r="AT395" t="s">
        <v>107</v>
      </c>
      <c r="AU395">
        <v>0</v>
      </c>
      <c r="AV395">
        <v>0</v>
      </c>
      <c r="AW395">
        <v>360</v>
      </c>
      <c r="AX395">
        <v>7</v>
      </c>
      <c r="AY395">
        <v>1</v>
      </c>
      <c r="AZ395">
        <v>0</v>
      </c>
      <c r="BA395">
        <v>0</v>
      </c>
      <c r="BB395">
        <v>0</v>
      </c>
      <c r="BC395">
        <v>0</v>
      </c>
    </row>
    <row r="396" spans="1:57" x14ac:dyDescent="0.2">
      <c r="A396">
        <v>394</v>
      </c>
      <c r="B396">
        <v>38</v>
      </c>
      <c r="C396">
        <v>0</v>
      </c>
      <c r="D396">
        <v>94.3</v>
      </c>
      <c r="E396">
        <v>1.57</v>
      </c>
      <c r="F396" s="5">
        <f t="shared" si="6"/>
        <v>38.257130106698035</v>
      </c>
      <c r="G396" s="13">
        <v>2</v>
      </c>
      <c r="H396">
        <v>2</v>
      </c>
      <c r="I396">
        <v>1</v>
      </c>
      <c r="J396">
        <v>1</v>
      </c>
      <c r="K396" s="6">
        <v>0.67708333333333337</v>
      </c>
      <c r="L396" s="6">
        <v>0.93055555555555547</v>
      </c>
      <c r="M396">
        <v>30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</row>
    <row r="397" spans="1:57" x14ac:dyDescent="0.2">
      <c r="A397">
        <v>395</v>
      </c>
      <c r="B397">
        <v>41</v>
      </c>
      <c r="C397">
        <v>0</v>
      </c>
      <c r="D397">
        <v>152</v>
      </c>
      <c r="E397">
        <v>1.72</v>
      </c>
      <c r="F397" s="5">
        <f t="shared" si="6"/>
        <v>51.379123850730132</v>
      </c>
      <c r="G397" s="13">
        <v>1</v>
      </c>
      <c r="H397">
        <v>2</v>
      </c>
      <c r="I397">
        <v>1</v>
      </c>
      <c r="J397">
        <v>1</v>
      </c>
      <c r="K397" s="6">
        <v>0.41666666666666669</v>
      </c>
      <c r="L397" s="6">
        <v>0.69444444444444453</v>
      </c>
      <c r="M397">
        <v>55</v>
      </c>
      <c r="N397">
        <v>1</v>
      </c>
      <c r="O397">
        <v>1</v>
      </c>
      <c r="P397">
        <v>1</v>
      </c>
      <c r="Q397">
        <v>2</v>
      </c>
      <c r="R397">
        <v>1</v>
      </c>
      <c r="S397">
        <v>0</v>
      </c>
      <c r="T397">
        <v>0</v>
      </c>
      <c r="U397">
        <v>0</v>
      </c>
      <c r="V397">
        <v>1</v>
      </c>
      <c r="W397" t="s">
        <v>35</v>
      </c>
      <c r="X397" t="s">
        <v>36</v>
      </c>
      <c r="Y397">
        <v>0</v>
      </c>
      <c r="Z397">
        <v>0</v>
      </c>
      <c r="AA397">
        <v>300</v>
      </c>
      <c r="AB397">
        <v>6</v>
      </c>
      <c r="AC397">
        <v>1</v>
      </c>
      <c r="AD397">
        <v>0</v>
      </c>
      <c r="AE397">
        <v>0</v>
      </c>
      <c r="AF397">
        <v>0</v>
      </c>
      <c r="AG397">
        <v>0</v>
      </c>
      <c r="AJ397">
        <v>0</v>
      </c>
      <c r="AK397">
        <v>0</v>
      </c>
      <c r="AL397">
        <v>120</v>
      </c>
      <c r="AM397">
        <v>4</v>
      </c>
      <c r="AN397">
        <v>1</v>
      </c>
      <c r="AO397">
        <v>0</v>
      </c>
      <c r="AP397">
        <v>0</v>
      </c>
      <c r="AQ397">
        <v>0</v>
      </c>
      <c r="AR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</row>
    <row r="398" spans="1:57" x14ac:dyDescent="0.2">
      <c r="A398">
        <v>396</v>
      </c>
      <c r="B398">
        <v>32</v>
      </c>
      <c r="C398">
        <v>0</v>
      </c>
      <c r="D398">
        <v>156.5</v>
      </c>
      <c r="E398">
        <v>1.69</v>
      </c>
      <c r="F398" s="5">
        <f t="shared" si="6"/>
        <v>54.795000175063905</v>
      </c>
      <c r="G398" s="13">
        <v>3</v>
      </c>
      <c r="H398">
        <v>1</v>
      </c>
      <c r="I398">
        <v>1</v>
      </c>
      <c r="J398">
        <v>1</v>
      </c>
      <c r="K398" s="6">
        <v>0.41666666666666669</v>
      </c>
      <c r="L398" s="6">
        <v>0.67152777777777783</v>
      </c>
      <c r="M398">
        <v>43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</row>
    <row r="399" spans="1:57" x14ac:dyDescent="0.2">
      <c r="A399">
        <v>397</v>
      </c>
      <c r="B399">
        <v>33</v>
      </c>
      <c r="C399">
        <v>0</v>
      </c>
      <c r="D399">
        <v>81.5</v>
      </c>
      <c r="E399">
        <v>1.57</v>
      </c>
      <c r="F399" s="5">
        <f t="shared" si="6"/>
        <v>33.064221672278791</v>
      </c>
      <c r="G399" s="13">
        <v>1</v>
      </c>
      <c r="H399">
        <v>1</v>
      </c>
      <c r="I399">
        <v>1</v>
      </c>
      <c r="J399">
        <v>1</v>
      </c>
      <c r="K399" s="6">
        <v>0.41666666666666669</v>
      </c>
      <c r="L399" s="6">
        <v>0.67708333333333337</v>
      </c>
      <c r="M399">
        <v>45</v>
      </c>
      <c r="N399">
        <v>0</v>
      </c>
      <c r="O399">
        <v>0</v>
      </c>
      <c r="P399">
        <v>1</v>
      </c>
      <c r="Q399">
        <v>2</v>
      </c>
      <c r="R399">
        <v>1</v>
      </c>
      <c r="S399">
        <v>0</v>
      </c>
      <c r="T399">
        <v>0</v>
      </c>
      <c r="U399">
        <v>0</v>
      </c>
      <c r="V399">
        <v>1</v>
      </c>
      <c r="W399" t="s">
        <v>35</v>
      </c>
      <c r="X399" t="s">
        <v>36</v>
      </c>
      <c r="Y399">
        <v>0</v>
      </c>
      <c r="Z399">
        <v>0</v>
      </c>
      <c r="AA399">
        <v>180</v>
      </c>
      <c r="AB399">
        <v>5</v>
      </c>
      <c r="AC399">
        <v>1</v>
      </c>
      <c r="AD399">
        <v>0</v>
      </c>
      <c r="AE399">
        <v>0</v>
      </c>
      <c r="AF399">
        <v>0</v>
      </c>
      <c r="AG399">
        <v>0</v>
      </c>
      <c r="AJ399">
        <v>0</v>
      </c>
      <c r="AK399">
        <v>0</v>
      </c>
      <c r="AL399">
        <v>360</v>
      </c>
      <c r="AM399">
        <v>9</v>
      </c>
      <c r="AN399">
        <v>2</v>
      </c>
      <c r="AO399">
        <v>0</v>
      </c>
      <c r="AP399">
        <v>0</v>
      </c>
      <c r="AQ399">
        <v>0</v>
      </c>
      <c r="AR399">
        <v>1</v>
      </c>
      <c r="AS399" t="s">
        <v>108</v>
      </c>
      <c r="AT399" t="s">
        <v>100</v>
      </c>
      <c r="AU399">
        <v>0</v>
      </c>
      <c r="AV399">
        <v>0</v>
      </c>
      <c r="AW399">
        <v>360</v>
      </c>
      <c r="AX399">
        <v>4</v>
      </c>
      <c r="AY399">
        <v>2</v>
      </c>
      <c r="AZ399">
        <v>0</v>
      </c>
      <c r="BA399">
        <v>0</v>
      </c>
      <c r="BB399">
        <v>0</v>
      </c>
      <c r="BC399">
        <v>0</v>
      </c>
    </row>
    <row r="400" spans="1:57" x14ac:dyDescent="0.2">
      <c r="A400">
        <v>398</v>
      </c>
      <c r="B400">
        <v>35</v>
      </c>
      <c r="C400">
        <v>0</v>
      </c>
      <c r="D400">
        <v>101.8</v>
      </c>
      <c r="E400">
        <v>1.71</v>
      </c>
      <c r="F400" s="5">
        <f t="shared" si="6"/>
        <v>34.814130843678399</v>
      </c>
      <c r="G400" s="13">
        <v>2</v>
      </c>
      <c r="H400">
        <v>1</v>
      </c>
      <c r="I400">
        <v>1</v>
      </c>
      <c r="J400">
        <v>1</v>
      </c>
      <c r="K400" s="6">
        <v>0.41666666666666669</v>
      </c>
      <c r="L400" s="6">
        <v>0.63888888888888895</v>
      </c>
      <c r="M400">
        <v>30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J400">
        <v>0</v>
      </c>
      <c r="AK400">
        <v>0</v>
      </c>
      <c r="AL400">
        <v>120</v>
      </c>
      <c r="AM400">
        <v>3</v>
      </c>
      <c r="AN400">
        <v>1</v>
      </c>
      <c r="AO400">
        <v>0</v>
      </c>
      <c r="AP400">
        <v>0</v>
      </c>
      <c r="AQ400">
        <v>0</v>
      </c>
      <c r="AR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</row>
    <row r="401" spans="1:55" x14ac:dyDescent="0.2">
      <c r="A401">
        <v>399</v>
      </c>
      <c r="B401">
        <v>30</v>
      </c>
      <c r="C401">
        <v>0</v>
      </c>
      <c r="D401">
        <v>102</v>
      </c>
      <c r="E401">
        <v>1.69</v>
      </c>
      <c r="F401" s="5">
        <f t="shared" si="6"/>
        <v>35.71303525786913</v>
      </c>
      <c r="G401" s="13">
        <v>3</v>
      </c>
      <c r="H401">
        <v>1</v>
      </c>
      <c r="I401">
        <v>1</v>
      </c>
      <c r="J401">
        <v>1</v>
      </c>
      <c r="K401" s="6">
        <v>0.41666666666666669</v>
      </c>
      <c r="L401" s="6">
        <v>0.61805555555555558</v>
      </c>
      <c r="M401">
        <v>55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</row>
    <row r="402" spans="1:55" x14ac:dyDescent="0.2">
      <c r="A402">
        <v>400</v>
      </c>
      <c r="B402">
        <v>27</v>
      </c>
      <c r="C402">
        <v>0</v>
      </c>
      <c r="D402">
        <v>127</v>
      </c>
      <c r="E402">
        <v>1.64</v>
      </c>
      <c r="F402" s="5">
        <f t="shared" si="6"/>
        <v>47.218917311124336</v>
      </c>
      <c r="G402" s="13">
        <v>1</v>
      </c>
      <c r="H402">
        <v>1</v>
      </c>
      <c r="I402">
        <v>1</v>
      </c>
      <c r="J402">
        <v>1</v>
      </c>
      <c r="K402" s="6">
        <v>0.41666666666666669</v>
      </c>
      <c r="L402" s="6">
        <v>0.61458333333333337</v>
      </c>
      <c r="M402">
        <v>45</v>
      </c>
      <c r="N402">
        <v>0</v>
      </c>
      <c r="O402">
        <v>0</v>
      </c>
      <c r="P402">
        <v>1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1</v>
      </c>
      <c r="W402" t="s">
        <v>29</v>
      </c>
      <c r="X402" t="s">
        <v>30</v>
      </c>
      <c r="Y402">
        <v>0</v>
      </c>
      <c r="Z402">
        <v>0</v>
      </c>
      <c r="AA402">
        <v>300</v>
      </c>
      <c r="AB402">
        <v>4</v>
      </c>
      <c r="AC402">
        <v>1</v>
      </c>
      <c r="AD402">
        <v>0</v>
      </c>
      <c r="AE402">
        <v>0</v>
      </c>
      <c r="AF402">
        <v>0</v>
      </c>
      <c r="AG402">
        <v>0</v>
      </c>
      <c r="AJ402">
        <v>0</v>
      </c>
      <c r="AK402">
        <v>0</v>
      </c>
      <c r="AL402">
        <v>360</v>
      </c>
      <c r="AM402">
        <v>9</v>
      </c>
      <c r="AN402">
        <v>1</v>
      </c>
      <c r="AO402">
        <v>0</v>
      </c>
      <c r="AP402">
        <v>0</v>
      </c>
      <c r="AQ402">
        <v>0</v>
      </c>
      <c r="AR402">
        <v>1</v>
      </c>
      <c r="AS402" t="s">
        <v>109</v>
      </c>
      <c r="AT402" t="s">
        <v>42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</row>
    <row r="403" spans="1:55" x14ac:dyDescent="0.2">
      <c r="A403">
        <v>401</v>
      </c>
      <c r="B403">
        <v>57</v>
      </c>
      <c r="C403">
        <v>0</v>
      </c>
      <c r="D403">
        <v>100</v>
      </c>
      <c r="E403">
        <v>1.79</v>
      </c>
      <c r="F403" s="5">
        <f t="shared" si="6"/>
        <v>31.210012171904747</v>
      </c>
      <c r="G403" s="13">
        <v>2</v>
      </c>
      <c r="H403">
        <v>2</v>
      </c>
      <c r="I403">
        <v>1</v>
      </c>
      <c r="J403">
        <v>1</v>
      </c>
      <c r="K403" s="6">
        <v>0.41666666666666669</v>
      </c>
      <c r="L403" s="6">
        <v>0.59027777777777779</v>
      </c>
      <c r="M403">
        <v>30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J403">
        <v>0</v>
      </c>
      <c r="AK403">
        <v>0</v>
      </c>
      <c r="AL403">
        <v>50</v>
      </c>
      <c r="AM403">
        <v>2</v>
      </c>
      <c r="AN403">
        <v>1</v>
      </c>
      <c r="AO403">
        <v>0</v>
      </c>
      <c r="AP403">
        <v>0</v>
      </c>
      <c r="AQ403">
        <v>0</v>
      </c>
      <c r="AR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</row>
    <row r="404" spans="1:55" x14ac:dyDescent="0.2">
      <c r="G404" s="13"/>
      <c r="I404">
        <f>COUNTIFS(I3:I403, 1)</f>
        <v>200</v>
      </c>
      <c r="J404">
        <f>COUNTIFS(J3:J403, 1)</f>
        <v>200</v>
      </c>
      <c r="M404"/>
    </row>
    <row r="405" spans="1:55" x14ac:dyDescent="0.2">
      <c r="G405" s="13"/>
      <c r="I405">
        <f>COUNTIFS(I3:I403, 2)</f>
        <v>133</v>
      </c>
      <c r="J405">
        <f>COUNTIFS(J3:J403, 2)</f>
        <v>201</v>
      </c>
      <c r="M405"/>
    </row>
    <row r="406" spans="1:55" x14ac:dyDescent="0.2">
      <c r="G406" s="13"/>
      <c r="I406" s="16">
        <f>COUNTIFS(I3:I403,3)</f>
        <v>68</v>
      </c>
      <c r="J406" s="16"/>
      <c r="M406"/>
    </row>
    <row r="407" spans="1:55" x14ac:dyDescent="0.2">
      <c r="G407" s="13"/>
      <c r="M407"/>
    </row>
    <row r="408" spans="1:55" x14ac:dyDescent="0.2">
      <c r="G408" s="13"/>
      <c r="M408">
        <v>1</v>
      </c>
      <c r="N408" t="s">
        <v>110</v>
      </c>
      <c r="O408" t="s">
        <v>111</v>
      </c>
    </row>
    <row r="409" spans="1:55" x14ac:dyDescent="0.2">
      <c r="G409" s="13"/>
      <c r="M409">
        <v>2</v>
      </c>
      <c r="N409" t="s">
        <v>112</v>
      </c>
      <c r="O409" t="s">
        <v>113</v>
      </c>
    </row>
    <row r="410" spans="1:55" x14ac:dyDescent="0.2">
      <c r="G410" s="13"/>
      <c r="M410"/>
    </row>
    <row r="411" spans="1:55" x14ac:dyDescent="0.2">
      <c r="G411" s="13"/>
      <c r="M411"/>
    </row>
    <row r="412" spans="1:55" x14ac:dyDescent="0.2">
      <c r="G412" s="13"/>
      <c r="M412"/>
    </row>
    <row r="413" spans="1:55" x14ac:dyDescent="0.2">
      <c r="G413" s="13"/>
      <c r="M413"/>
    </row>
    <row r="414" spans="1:55" x14ac:dyDescent="0.2">
      <c r="G414" s="13"/>
      <c r="M414"/>
    </row>
    <row r="415" spans="1:55" x14ac:dyDescent="0.2">
      <c r="G415" s="13"/>
      <c r="M415"/>
    </row>
    <row r="416" spans="1:55" x14ac:dyDescent="0.2">
      <c r="G416" s="13"/>
      <c r="M416"/>
    </row>
    <row r="417" spans="7:13" x14ac:dyDescent="0.2">
      <c r="G417" s="13"/>
      <c r="M417"/>
    </row>
    <row r="418" spans="7:13" x14ac:dyDescent="0.2">
      <c r="G418" s="13"/>
      <c r="M418"/>
    </row>
    <row r="419" spans="7:13" x14ac:dyDescent="0.2">
      <c r="G419" s="13"/>
      <c r="M419"/>
    </row>
    <row r="420" spans="7:13" x14ac:dyDescent="0.2">
      <c r="G420" s="13"/>
      <c r="M420"/>
    </row>
    <row r="421" spans="7:13" x14ac:dyDescent="0.2">
      <c r="G421" s="13"/>
      <c r="M421"/>
    </row>
    <row r="422" spans="7:13" x14ac:dyDescent="0.2">
      <c r="G422" s="13"/>
      <c r="M422"/>
    </row>
    <row r="423" spans="7:13" x14ac:dyDescent="0.2">
      <c r="G423" s="13"/>
      <c r="M423"/>
    </row>
    <row r="424" spans="7:13" x14ac:dyDescent="0.2">
      <c r="G424" s="13"/>
      <c r="M424"/>
    </row>
    <row r="425" spans="7:13" x14ac:dyDescent="0.2">
      <c r="G425" s="13"/>
      <c r="M425"/>
    </row>
    <row r="426" spans="7:13" x14ac:dyDescent="0.2">
      <c r="G426" s="13"/>
      <c r="M426"/>
    </row>
    <row r="427" spans="7:13" x14ac:dyDescent="0.2">
      <c r="G427" s="13"/>
      <c r="M427"/>
    </row>
    <row r="428" spans="7:13" x14ac:dyDescent="0.2">
      <c r="G428" s="13"/>
      <c r="M428"/>
    </row>
    <row r="429" spans="7:13" x14ac:dyDescent="0.2">
      <c r="G429" s="13"/>
      <c r="M429"/>
    </row>
    <row r="430" spans="7:13" x14ac:dyDescent="0.2">
      <c r="G430" s="13"/>
      <c r="M430"/>
    </row>
    <row r="431" spans="7:13" x14ac:dyDescent="0.2">
      <c r="G431" s="13"/>
      <c r="M431"/>
    </row>
    <row r="432" spans="7:13" x14ac:dyDescent="0.2">
      <c r="G432" s="13"/>
      <c r="M432"/>
    </row>
    <row r="433" spans="7:13" x14ac:dyDescent="0.2">
      <c r="G433" s="13"/>
      <c r="M433"/>
    </row>
    <row r="434" spans="7:13" x14ac:dyDescent="0.2">
      <c r="G434" s="13"/>
      <c r="M434"/>
    </row>
    <row r="435" spans="7:13" x14ac:dyDescent="0.2">
      <c r="G435" s="13"/>
      <c r="M435"/>
    </row>
    <row r="436" spans="7:13" x14ac:dyDescent="0.2">
      <c r="G436" s="13"/>
      <c r="M436"/>
    </row>
    <row r="437" spans="7:13" x14ac:dyDescent="0.2">
      <c r="G437" s="13"/>
      <c r="M437"/>
    </row>
    <row r="438" spans="7:13" x14ac:dyDescent="0.2">
      <c r="G438" s="13"/>
      <c r="M438"/>
    </row>
    <row r="439" spans="7:13" x14ac:dyDescent="0.2">
      <c r="G439" s="13"/>
      <c r="M439"/>
    </row>
    <row r="440" spans="7:13" x14ac:dyDescent="0.2">
      <c r="G440" s="13"/>
      <c r="M440"/>
    </row>
    <row r="441" spans="7:13" x14ac:dyDescent="0.2">
      <c r="G441" s="13"/>
      <c r="M441"/>
    </row>
    <row r="442" spans="7:13" x14ac:dyDescent="0.2">
      <c r="G442" s="13"/>
      <c r="M442"/>
    </row>
    <row r="443" spans="7:13" x14ac:dyDescent="0.2">
      <c r="G443" s="13"/>
      <c r="M443"/>
    </row>
    <row r="444" spans="7:13" x14ac:dyDescent="0.2">
      <c r="M444"/>
    </row>
    <row r="445" spans="7:13" x14ac:dyDescent="0.2">
      <c r="M445"/>
    </row>
    <row r="446" spans="7:13" x14ac:dyDescent="0.2">
      <c r="M446"/>
    </row>
    <row r="447" spans="7:13" x14ac:dyDescent="0.2">
      <c r="M447"/>
    </row>
    <row r="448" spans="7:13" x14ac:dyDescent="0.2">
      <c r="M448"/>
    </row>
    <row r="449" spans="13:13" x14ac:dyDescent="0.2">
      <c r="M449"/>
    </row>
    <row r="450" spans="13:13" x14ac:dyDescent="0.2">
      <c r="M450"/>
    </row>
    <row r="451" spans="13:13" x14ac:dyDescent="0.2">
      <c r="M451"/>
    </row>
    <row r="452" spans="13:13" x14ac:dyDescent="0.2">
      <c r="M452"/>
    </row>
    <row r="453" spans="13:13" x14ac:dyDescent="0.2">
      <c r="M453"/>
    </row>
    <row r="454" spans="13:13" x14ac:dyDescent="0.2">
      <c r="M454"/>
    </row>
    <row r="455" spans="13:13" x14ac:dyDescent="0.2">
      <c r="M455"/>
    </row>
    <row r="456" spans="13:13" x14ac:dyDescent="0.2">
      <c r="M456"/>
    </row>
    <row r="457" spans="13:13" x14ac:dyDescent="0.2">
      <c r="M457"/>
    </row>
    <row r="458" spans="13:13" x14ac:dyDescent="0.2">
      <c r="M458"/>
    </row>
    <row r="459" spans="13:13" x14ac:dyDescent="0.2">
      <c r="M459"/>
    </row>
    <row r="460" spans="13:13" x14ac:dyDescent="0.2">
      <c r="M460"/>
    </row>
    <row r="461" spans="13:13" x14ac:dyDescent="0.2">
      <c r="M461"/>
    </row>
    <row r="462" spans="13:13" x14ac:dyDescent="0.2">
      <c r="M462"/>
    </row>
    <row r="463" spans="13:13" x14ac:dyDescent="0.2">
      <c r="M463"/>
    </row>
    <row r="464" spans="13:13" x14ac:dyDescent="0.2">
      <c r="M464"/>
    </row>
    <row r="465" spans="13:13" x14ac:dyDescent="0.2">
      <c r="M465"/>
    </row>
    <row r="466" spans="13:13" x14ac:dyDescent="0.2">
      <c r="M466"/>
    </row>
    <row r="467" spans="13:13" x14ac:dyDescent="0.2">
      <c r="M467"/>
    </row>
    <row r="468" spans="13:13" x14ac:dyDescent="0.2">
      <c r="M468"/>
    </row>
    <row r="469" spans="13:13" x14ac:dyDescent="0.2">
      <c r="M469"/>
    </row>
    <row r="470" spans="13:13" x14ac:dyDescent="0.2">
      <c r="M470"/>
    </row>
    <row r="471" spans="13:13" x14ac:dyDescent="0.2">
      <c r="M471"/>
    </row>
    <row r="472" spans="13:13" x14ac:dyDescent="0.2">
      <c r="M472"/>
    </row>
    <row r="473" spans="13:13" x14ac:dyDescent="0.2">
      <c r="M473"/>
    </row>
    <row r="474" spans="13:13" x14ac:dyDescent="0.2">
      <c r="M474"/>
    </row>
    <row r="475" spans="13:13" x14ac:dyDescent="0.2">
      <c r="M475"/>
    </row>
    <row r="476" spans="13:13" x14ac:dyDescent="0.2">
      <c r="M476"/>
    </row>
    <row r="477" spans="13:13" x14ac:dyDescent="0.2">
      <c r="M477"/>
    </row>
    <row r="478" spans="13:13" x14ac:dyDescent="0.2">
      <c r="M478"/>
    </row>
    <row r="479" spans="13:13" x14ac:dyDescent="0.2">
      <c r="M479"/>
    </row>
    <row r="480" spans="13:13" x14ac:dyDescent="0.2">
      <c r="M480"/>
    </row>
    <row r="481" spans="13:13" x14ac:dyDescent="0.2">
      <c r="M481"/>
    </row>
    <row r="482" spans="13:13" x14ac:dyDescent="0.2">
      <c r="M482"/>
    </row>
    <row r="483" spans="13:13" x14ac:dyDescent="0.2">
      <c r="M483"/>
    </row>
    <row r="484" spans="13:13" x14ac:dyDescent="0.2">
      <c r="M484"/>
    </row>
    <row r="485" spans="13:13" x14ac:dyDescent="0.2">
      <c r="M485"/>
    </row>
    <row r="486" spans="13:13" x14ac:dyDescent="0.2">
      <c r="M486"/>
    </row>
    <row r="487" spans="13:13" x14ac:dyDescent="0.2">
      <c r="M487"/>
    </row>
    <row r="488" spans="13:13" x14ac:dyDescent="0.2">
      <c r="M488"/>
    </row>
    <row r="489" spans="13:13" x14ac:dyDescent="0.2">
      <c r="M489"/>
    </row>
  </sheetData>
  <autoFilter ref="A2:BE406" xr:uid="{00000000-0001-0000-0000-000000000000}"/>
  <mergeCells count="5">
    <mergeCell ref="A1:K1"/>
    <mergeCell ref="N1:X1"/>
    <mergeCell ref="Y1:AI1"/>
    <mergeCell ref="AJ1:AT1"/>
    <mergeCell ref="AU1:BE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8688-3C93-4472-A328-7D54131C9E92}">
  <dimension ref="A1:B95"/>
  <sheetViews>
    <sheetView topLeftCell="A81" workbookViewId="0">
      <selection activeCell="D49" sqref="D49"/>
    </sheetView>
  </sheetViews>
  <sheetFormatPr baseColWidth="10" defaultColWidth="8.83203125" defaultRowHeight="15" x14ac:dyDescent="0.2"/>
  <sheetData>
    <row r="1" spans="1:2" x14ac:dyDescent="0.2">
      <c r="A1">
        <v>1</v>
      </c>
      <c r="B1">
        <v>1</v>
      </c>
    </row>
    <row r="2" spans="1:2" x14ac:dyDescent="0.2">
      <c r="A2">
        <v>2</v>
      </c>
      <c r="B2">
        <v>1</v>
      </c>
    </row>
    <row r="3" spans="1:2" x14ac:dyDescent="0.2">
      <c r="A3">
        <v>2</v>
      </c>
      <c r="B3">
        <v>1</v>
      </c>
    </row>
    <row r="4" spans="1:2" x14ac:dyDescent="0.2">
      <c r="A4">
        <v>4</v>
      </c>
      <c r="B4">
        <v>1</v>
      </c>
    </row>
    <row r="5" spans="1:2" x14ac:dyDescent="0.2">
      <c r="A5" s="8">
        <v>4</v>
      </c>
      <c r="B5">
        <v>1</v>
      </c>
    </row>
    <row r="6" spans="1:2" x14ac:dyDescent="0.2">
      <c r="A6">
        <v>2</v>
      </c>
      <c r="B6">
        <v>1</v>
      </c>
    </row>
    <row r="7" spans="1:2" x14ac:dyDescent="0.2">
      <c r="A7">
        <v>2</v>
      </c>
      <c r="B7">
        <v>1</v>
      </c>
    </row>
    <row r="8" spans="1:2" x14ac:dyDescent="0.2">
      <c r="A8">
        <v>1</v>
      </c>
      <c r="B8">
        <v>1</v>
      </c>
    </row>
    <row r="9" spans="1:2" x14ac:dyDescent="0.2">
      <c r="A9">
        <v>2</v>
      </c>
      <c r="B9">
        <v>1</v>
      </c>
    </row>
    <row r="10" spans="1:2" x14ac:dyDescent="0.2">
      <c r="A10">
        <v>2</v>
      </c>
      <c r="B10">
        <v>1</v>
      </c>
    </row>
    <row r="11" spans="1:2" x14ac:dyDescent="0.2">
      <c r="A11">
        <v>1</v>
      </c>
      <c r="B11">
        <v>1</v>
      </c>
    </row>
    <row r="12" spans="1:2" x14ac:dyDescent="0.2">
      <c r="A12">
        <v>4</v>
      </c>
      <c r="B12">
        <v>1</v>
      </c>
    </row>
    <row r="13" spans="1:2" x14ac:dyDescent="0.2">
      <c r="A13">
        <v>4</v>
      </c>
      <c r="B13">
        <v>1</v>
      </c>
    </row>
    <row r="14" spans="1:2" x14ac:dyDescent="0.2">
      <c r="A14">
        <v>6</v>
      </c>
      <c r="B14">
        <v>1</v>
      </c>
    </row>
    <row r="15" spans="1:2" x14ac:dyDescent="0.2">
      <c r="A15">
        <v>1</v>
      </c>
      <c r="B15">
        <v>1</v>
      </c>
    </row>
    <row r="16" spans="1:2" x14ac:dyDescent="0.2">
      <c r="A16">
        <v>2</v>
      </c>
      <c r="B16">
        <v>1</v>
      </c>
    </row>
    <row r="17" spans="1:2" x14ac:dyDescent="0.2">
      <c r="A17">
        <v>2</v>
      </c>
      <c r="B17">
        <v>1</v>
      </c>
    </row>
    <row r="18" spans="1:2" x14ac:dyDescent="0.2">
      <c r="A18">
        <v>4</v>
      </c>
      <c r="B18">
        <v>1</v>
      </c>
    </row>
    <row r="19" spans="1:2" x14ac:dyDescent="0.2">
      <c r="A19">
        <v>4</v>
      </c>
      <c r="B19">
        <v>1</v>
      </c>
    </row>
    <row r="20" spans="1:2" x14ac:dyDescent="0.2">
      <c r="A20">
        <v>2</v>
      </c>
      <c r="B20">
        <v>1</v>
      </c>
    </row>
    <row r="21" spans="1:2" x14ac:dyDescent="0.2">
      <c r="A21">
        <v>2</v>
      </c>
      <c r="B21">
        <v>1</v>
      </c>
    </row>
    <row r="22" spans="1:2" x14ac:dyDescent="0.2">
      <c r="A22">
        <v>2</v>
      </c>
      <c r="B22">
        <v>1</v>
      </c>
    </row>
    <row r="23" spans="1:2" x14ac:dyDescent="0.2">
      <c r="A23">
        <v>2</v>
      </c>
      <c r="B23">
        <v>1</v>
      </c>
    </row>
    <row r="24" spans="1:2" x14ac:dyDescent="0.2">
      <c r="A24" s="8">
        <v>4</v>
      </c>
      <c r="B24">
        <v>1</v>
      </c>
    </row>
    <row r="25" spans="1:2" x14ac:dyDescent="0.2">
      <c r="A25">
        <v>2</v>
      </c>
      <c r="B25">
        <v>1</v>
      </c>
    </row>
    <row r="26" spans="1:2" x14ac:dyDescent="0.2">
      <c r="A26" s="8">
        <v>4</v>
      </c>
      <c r="B26">
        <v>4</v>
      </c>
    </row>
    <row r="27" spans="1:2" x14ac:dyDescent="0.2">
      <c r="A27">
        <v>1</v>
      </c>
      <c r="B27">
        <v>1</v>
      </c>
    </row>
    <row r="28" spans="1:2" x14ac:dyDescent="0.2">
      <c r="A28">
        <v>2</v>
      </c>
      <c r="B28">
        <v>1</v>
      </c>
    </row>
    <row r="29" spans="1:2" x14ac:dyDescent="0.2">
      <c r="A29">
        <v>4</v>
      </c>
      <c r="B29">
        <v>4</v>
      </c>
    </row>
    <row r="30" spans="1:2" x14ac:dyDescent="0.2">
      <c r="A30">
        <v>4</v>
      </c>
      <c r="B30">
        <v>4</v>
      </c>
    </row>
    <row r="31" spans="1:2" x14ac:dyDescent="0.2">
      <c r="A31">
        <v>4</v>
      </c>
      <c r="B31">
        <v>1</v>
      </c>
    </row>
    <row r="32" spans="1:2" x14ac:dyDescent="0.2">
      <c r="A32">
        <v>1</v>
      </c>
      <c r="B32">
        <v>1</v>
      </c>
    </row>
    <row r="33" spans="1:2" x14ac:dyDescent="0.2">
      <c r="A33">
        <v>4</v>
      </c>
      <c r="B33">
        <v>1</v>
      </c>
    </row>
    <row r="34" spans="1:2" x14ac:dyDescent="0.2">
      <c r="A34">
        <v>4</v>
      </c>
      <c r="B34">
        <v>1</v>
      </c>
    </row>
    <row r="35" spans="1:2" x14ac:dyDescent="0.2">
      <c r="A35">
        <v>2</v>
      </c>
      <c r="B35">
        <v>1</v>
      </c>
    </row>
    <row r="36" spans="1:2" x14ac:dyDescent="0.2">
      <c r="A36">
        <v>4</v>
      </c>
      <c r="B36">
        <v>1</v>
      </c>
    </row>
    <row r="37" spans="1:2" x14ac:dyDescent="0.2">
      <c r="A37">
        <v>1</v>
      </c>
      <c r="B37">
        <v>1</v>
      </c>
    </row>
    <row r="38" spans="1:2" x14ac:dyDescent="0.2">
      <c r="A38">
        <v>1</v>
      </c>
      <c r="B38">
        <v>1</v>
      </c>
    </row>
    <row r="39" spans="1:2" x14ac:dyDescent="0.2">
      <c r="A39">
        <v>1</v>
      </c>
      <c r="B39">
        <v>1</v>
      </c>
    </row>
    <row r="40" spans="1:2" x14ac:dyDescent="0.2">
      <c r="A40">
        <v>2</v>
      </c>
      <c r="B40">
        <v>1</v>
      </c>
    </row>
    <row r="41" spans="1:2" x14ac:dyDescent="0.2">
      <c r="A41">
        <v>1</v>
      </c>
      <c r="B41">
        <v>1</v>
      </c>
    </row>
    <row r="42" spans="1:2" x14ac:dyDescent="0.2">
      <c r="A42">
        <v>1</v>
      </c>
      <c r="B42">
        <v>1</v>
      </c>
    </row>
    <row r="43" spans="1:2" x14ac:dyDescent="0.2">
      <c r="A43">
        <v>1</v>
      </c>
      <c r="B43">
        <v>1</v>
      </c>
    </row>
    <row r="44" spans="1:2" x14ac:dyDescent="0.2">
      <c r="A44">
        <v>1</v>
      </c>
      <c r="B44">
        <v>1</v>
      </c>
    </row>
    <row r="45" spans="1:2" x14ac:dyDescent="0.2">
      <c r="A45">
        <v>2</v>
      </c>
      <c r="B45">
        <v>1</v>
      </c>
    </row>
    <row r="46" spans="1:2" x14ac:dyDescent="0.2">
      <c r="A46">
        <v>1</v>
      </c>
      <c r="B46">
        <v>2</v>
      </c>
    </row>
    <row r="47" spans="1:2" x14ac:dyDescent="0.2">
      <c r="A47">
        <v>1</v>
      </c>
    </row>
    <row r="48" spans="1:2" x14ac:dyDescent="0.2">
      <c r="A48">
        <v>2</v>
      </c>
    </row>
    <row r="49" spans="1:1" x14ac:dyDescent="0.2">
      <c r="A49">
        <v>1</v>
      </c>
    </row>
    <row r="50" spans="1:1" x14ac:dyDescent="0.2">
      <c r="A50">
        <v>1</v>
      </c>
    </row>
    <row r="51" spans="1:1" x14ac:dyDescent="0.2">
      <c r="A51">
        <v>2</v>
      </c>
    </row>
    <row r="52" spans="1:1" x14ac:dyDescent="0.2">
      <c r="A52">
        <v>1</v>
      </c>
    </row>
    <row r="53" spans="1:1" x14ac:dyDescent="0.2">
      <c r="A53">
        <v>2</v>
      </c>
    </row>
    <row r="54" spans="1:1" x14ac:dyDescent="0.2">
      <c r="A54">
        <v>2</v>
      </c>
    </row>
    <row r="55" spans="1:1" x14ac:dyDescent="0.2">
      <c r="A55">
        <v>1</v>
      </c>
    </row>
    <row r="56" spans="1:1" x14ac:dyDescent="0.2">
      <c r="A56">
        <v>1</v>
      </c>
    </row>
    <row r="57" spans="1:1" x14ac:dyDescent="0.2">
      <c r="A57">
        <v>1</v>
      </c>
    </row>
    <row r="58" spans="1:1" x14ac:dyDescent="0.2">
      <c r="A58">
        <v>1</v>
      </c>
    </row>
    <row r="59" spans="1:1" x14ac:dyDescent="0.2">
      <c r="A59">
        <v>2</v>
      </c>
    </row>
    <row r="60" spans="1:1" x14ac:dyDescent="0.2">
      <c r="A60">
        <v>2</v>
      </c>
    </row>
    <row r="61" spans="1:1" x14ac:dyDescent="0.2">
      <c r="A61">
        <v>2</v>
      </c>
    </row>
    <row r="62" spans="1:1" x14ac:dyDescent="0.2">
      <c r="A62">
        <v>2</v>
      </c>
    </row>
    <row r="63" spans="1:1" x14ac:dyDescent="0.2">
      <c r="A63">
        <v>2</v>
      </c>
    </row>
    <row r="64" spans="1:1" x14ac:dyDescent="0.2">
      <c r="A64">
        <v>4</v>
      </c>
    </row>
    <row r="65" spans="1:1" x14ac:dyDescent="0.2">
      <c r="A65">
        <v>4</v>
      </c>
    </row>
    <row r="66" spans="1:1" x14ac:dyDescent="0.2">
      <c r="A66">
        <v>1</v>
      </c>
    </row>
    <row r="67" spans="1:1" x14ac:dyDescent="0.2">
      <c r="A67">
        <v>1</v>
      </c>
    </row>
    <row r="68" spans="1:1" x14ac:dyDescent="0.2">
      <c r="A68">
        <v>1</v>
      </c>
    </row>
    <row r="69" spans="1:1" x14ac:dyDescent="0.2">
      <c r="A69">
        <v>1</v>
      </c>
    </row>
    <row r="70" spans="1:1" x14ac:dyDescent="0.2">
      <c r="A70">
        <v>1</v>
      </c>
    </row>
    <row r="71" spans="1:1" x14ac:dyDescent="0.2">
      <c r="A71">
        <v>4</v>
      </c>
    </row>
    <row r="72" spans="1:1" x14ac:dyDescent="0.2">
      <c r="A72">
        <v>1</v>
      </c>
    </row>
    <row r="73" spans="1:1" x14ac:dyDescent="0.2">
      <c r="A73">
        <v>4</v>
      </c>
    </row>
    <row r="74" spans="1:1" x14ac:dyDescent="0.2">
      <c r="A74">
        <v>4</v>
      </c>
    </row>
    <row r="75" spans="1:1" x14ac:dyDescent="0.2">
      <c r="A75">
        <v>4</v>
      </c>
    </row>
    <row r="76" spans="1:1" x14ac:dyDescent="0.2">
      <c r="A76">
        <v>1</v>
      </c>
    </row>
    <row r="77" spans="1:1" x14ac:dyDescent="0.2">
      <c r="A77">
        <v>2</v>
      </c>
    </row>
    <row r="78" spans="1:1" x14ac:dyDescent="0.2">
      <c r="A78">
        <v>4</v>
      </c>
    </row>
    <row r="79" spans="1:1" x14ac:dyDescent="0.2">
      <c r="A79">
        <v>2</v>
      </c>
    </row>
    <row r="80" spans="1:1" x14ac:dyDescent="0.2">
      <c r="A80">
        <v>2</v>
      </c>
    </row>
    <row r="81" spans="1:1" x14ac:dyDescent="0.2">
      <c r="A81">
        <v>2</v>
      </c>
    </row>
    <row r="82" spans="1:1" x14ac:dyDescent="0.2">
      <c r="A82">
        <v>2</v>
      </c>
    </row>
    <row r="83" spans="1:1" x14ac:dyDescent="0.2">
      <c r="A83">
        <v>4</v>
      </c>
    </row>
    <row r="84" spans="1:1" x14ac:dyDescent="0.2">
      <c r="A84">
        <v>2</v>
      </c>
    </row>
    <row r="85" spans="1:1" x14ac:dyDescent="0.2">
      <c r="A85">
        <v>1</v>
      </c>
    </row>
    <row r="86" spans="1:1" x14ac:dyDescent="0.2">
      <c r="A86">
        <v>1</v>
      </c>
    </row>
    <row r="87" spans="1:1" x14ac:dyDescent="0.2">
      <c r="A87">
        <v>2</v>
      </c>
    </row>
    <row r="88" spans="1:1" x14ac:dyDescent="0.2">
      <c r="A88">
        <v>2</v>
      </c>
    </row>
    <row r="89" spans="1:1" x14ac:dyDescent="0.2">
      <c r="A89">
        <v>2</v>
      </c>
    </row>
    <row r="90" spans="1:1" x14ac:dyDescent="0.2">
      <c r="A90">
        <v>2</v>
      </c>
    </row>
    <row r="91" spans="1:1" x14ac:dyDescent="0.2">
      <c r="A91">
        <v>1</v>
      </c>
    </row>
    <row r="92" spans="1:1" x14ac:dyDescent="0.2">
      <c r="A92">
        <v>2</v>
      </c>
    </row>
    <row r="93" spans="1:1" x14ac:dyDescent="0.2">
      <c r="A93">
        <v>2</v>
      </c>
    </row>
    <row r="94" spans="1:1" x14ac:dyDescent="0.2">
      <c r="A94">
        <v>1</v>
      </c>
    </row>
    <row r="95" spans="1:1" x14ac:dyDescent="0.2">
      <c r="A95">
        <f>SUM(A1:A94)</f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Aldo Barba</cp:lastModifiedBy>
  <cp:revision/>
  <dcterms:created xsi:type="dcterms:W3CDTF">2023-01-17T20:45:35Z</dcterms:created>
  <dcterms:modified xsi:type="dcterms:W3CDTF">2024-05-18T18:35:10Z</dcterms:modified>
  <cp:category/>
  <cp:contentStatus/>
</cp:coreProperties>
</file>