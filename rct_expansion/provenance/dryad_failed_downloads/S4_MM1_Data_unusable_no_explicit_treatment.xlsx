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eterpayne/Desktop/Material for PLOS1 submission/Supplementary Material/"/>
    </mc:Choice>
  </mc:AlternateContent>
  <bookViews>
    <workbookView xWindow="320" yWindow="660" windowWidth="28160" windowHeight="16340" tabRatio="535" firstSheet="1" activeTab="1"/>
  </bookViews>
  <sheets>
    <sheet name="Master Data" sheetId="1" r:id="rId1"/>
    <sheet name="Full Summary w Stats (2)" sheetId="22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N43" i="22" l="1"/>
  <c r="AN67" i="22"/>
  <c r="AN68" i="22"/>
  <c r="AN70" i="22"/>
  <c r="AN23" i="22"/>
  <c r="AN65" i="22"/>
  <c r="AN66" i="22"/>
  <c r="AN69" i="22"/>
  <c r="AN73" i="22"/>
  <c r="AM43" i="22"/>
  <c r="AM67" i="22"/>
  <c r="AM68" i="22"/>
  <c r="AM70" i="22"/>
  <c r="AM23" i="22"/>
  <c r="AM65" i="22"/>
  <c r="AM66" i="22"/>
  <c r="AM69" i="22"/>
  <c r="AM73" i="22"/>
  <c r="AL43" i="22"/>
  <c r="AL67" i="22"/>
  <c r="AL68" i="22"/>
  <c r="AL70" i="22"/>
  <c r="AL23" i="22"/>
  <c r="AL65" i="22"/>
  <c r="AL66" i="22"/>
  <c r="AL69" i="22"/>
  <c r="AL73" i="22"/>
  <c r="AA29" i="22"/>
  <c r="AA31" i="22"/>
  <c r="AA32" i="22"/>
  <c r="AA33" i="22"/>
  <c r="AA34" i="22"/>
  <c r="AA35" i="22"/>
  <c r="AA36" i="22"/>
  <c r="AA38" i="22"/>
  <c r="AA40" i="22"/>
  <c r="AA41" i="22"/>
  <c r="AA42" i="22"/>
  <c r="AA43" i="22"/>
  <c r="AA67" i="22"/>
  <c r="AA68" i="22"/>
  <c r="AA70" i="22"/>
  <c r="AA9" i="22"/>
  <c r="AA11" i="22"/>
  <c r="AA12" i="22"/>
  <c r="AA13" i="22"/>
  <c r="AA14" i="22"/>
  <c r="AA15" i="22"/>
  <c r="AA16" i="22"/>
  <c r="AA18" i="22"/>
  <c r="AA20" i="22"/>
  <c r="AA21" i="22"/>
  <c r="AA22" i="22"/>
  <c r="AA23" i="22"/>
  <c r="AA65" i="22"/>
  <c r="AA66" i="22"/>
  <c r="AA69" i="22"/>
  <c r="AA73" i="22"/>
  <c r="Z43" i="22"/>
  <c r="Z67" i="22"/>
  <c r="Z68" i="22"/>
  <c r="Z70" i="22"/>
  <c r="Z23" i="22"/>
  <c r="Z65" i="22"/>
  <c r="Z66" i="22"/>
  <c r="Z69" i="22"/>
  <c r="Z73" i="22"/>
  <c r="Y43" i="22"/>
  <c r="Y67" i="22"/>
  <c r="Y68" i="22"/>
  <c r="Y70" i="22"/>
  <c r="Y23" i="22"/>
  <c r="Y65" i="22"/>
  <c r="Y66" i="22"/>
  <c r="Y69" i="22"/>
  <c r="Y73" i="22"/>
  <c r="W30" i="22"/>
  <c r="W31" i="22"/>
  <c r="W32" i="22"/>
  <c r="W33" i="22"/>
  <c r="W34" i="22"/>
  <c r="W35" i="22"/>
  <c r="W36" i="22"/>
  <c r="W37" i="22"/>
  <c r="W39" i="22"/>
  <c r="W40" i="22"/>
  <c r="W41" i="22"/>
  <c r="W42" i="22"/>
  <c r="W43" i="22"/>
  <c r="W67" i="22"/>
  <c r="W68" i="22"/>
  <c r="W70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65" i="22"/>
  <c r="W66" i="22"/>
  <c r="W69" i="22"/>
  <c r="W73" i="22"/>
  <c r="V43" i="22"/>
  <c r="V67" i="22"/>
  <c r="V68" i="22"/>
  <c r="V70" i="22"/>
  <c r="V23" i="22"/>
  <c r="V65" i="22"/>
  <c r="V66" i="22"/>
  <c r="V69" i="22"/>
  <c r="V73" i="22"/>
  <c r="U43" i="22"/>
  <c r="U67" i="22"/>
  <c r="U68" i="22"/>
  <c r="U70" i="22"/>
  <c r="U23" i="22"/>
  <c r="U65" i="22"/>
  <c r="U66" i="22"/>
  <c r="U69" i="22"/>
  <c r="U73" i="22"/>
  <c r="S43" i="22"/>
  <c r="S67" i="22"/>
  <c r="S68" i="22"/>
  <c r="S70" i="22"/>
  <c r="S23" i="22"/>
  <c r="S65" i="22"/>
  <c r="S66" i="22"/>
  <c r="S69" i="22"/>
  <c r="S73" i="22"/>
  <c r="R43" i="22"/>
  <c r="R67" i="22"/>
  <c r="R68" i="22"/>
  <c r="R70" i="22"/>
  <c r="R23" i="22"/>
  <c r="R65" i="22"/>
  <c r="R66" i="22"/>
  <c r="R69" i="22"/>
  <c r="R73" i="22"/>
  <c r="Q43" i="22"/>
  <c r="Q67" i="22"/>
  <c r="Q68" i="22"/>
  <c r="Q70" i="22"/>
  <c r="Q23" i="22"/>
  <c r="Q65" i="22"/>
  <c r="Q66" i="22"/>
  <c r="Q69" i="22"/>
  <c r="Q73" i="22"/>
  <c r="O43" i="22"/>
  <c r="O67" i="22"/>
  <c r="O68" i="22"/>
  <c r="O70" i="22"/>
  <c r="O23" i="22"/>
  <c r="O65" i="22"/>
  <c r="O66" i="22"/>
  <c r="O69" i="22"/>
  <c r="O73" i="22"/>
  <c r="N43" i="22"/>
  <c r="N67" i="22"/>
  <c r="N68" i="22"/>
  <c r="N70" i="22"/>
  <c r="N23" i="22"/>
  <c r="N65" i="22"/>
  <c r="N66" i="22"/>
  <c r="N69" i="22"/>
  <c r="N73" i="22"/>
  <c r="L43" i="22"/>
  <c r="L67" i="22"/>
  <c r="L68" i="22"/>
  <c r="L70" i="22"/>
  <c r="L23" i="22"/>
  <c r="L65" i="22"/>
  <c r="L66" i="22"/>
  <c r="L69" i="22"/>
  <c r="L73" i="22"/>
  <c r="K43" i="22"/>
  <c r="K67" i="22"/>
  <c r="K68" i="22"/>
  <c r="K70" i="22"/>
  <c r="K23" i="22"/>
  <c r="K65" i="22"/>
  <c r="K66" i="22"/>
  <c r="K69" i="22"/>
  <c r="K73" i="22"/>
  <c r="J43" i="22"/>
  <c r="J67" i="22"/>
  <c r="J68" i="22"/>
  <c r="J70" i="22"/>
  <c r="J23" i="22"/>
  <c r="J65" i="22"/>
  <c r="J66" i="22"/>
  <c r="J69" i="22"/>
  <c r="J73" i="22"/>
  <c r="AN72" i="22"/>
  <c r="AM72" i="22"/>
  <c r="AL72" i="22"/>
  <c r="AA72" i="22"/>
  <c r="Z72" i="22"/>
  <c r="Y72" i="22"/>
  <c r="W72" i="22"/>
  <c r="V72" i="22"/>
  <c r="U72" i="22"/>
  <c r="S72" i="22"/>
  <c r="R72" i="22"/>
  <c r="Q72" i="22"/>
  <c r="O72" i="22"/>
  <c r="N72" i="22"/>
  <c r="L72" i="22"/>
  <c r="K72" i="22"/>
  <c r="J72" i="22"/>
  <c r="AN71" i="22"/>
  <c r="AM71" i="22"/>
  <c r="AL71" i="22"/>
  <c r="AA71" i="22"/>
  <c r="Z71" i="22"/>
  <c r="Y71" i="22"/>
  <c r="W71" i="22"/>
  <c r="V71" i="22"/>
  <c r="U71" i="22"/>
  <c r="S71" i="22"/>
  <c r="R71" i="22"/>
  <c r="Q71" i="22"/>
  <c r="O71" i="22"/>
  <c r="N71" i="22"/>
  <c r="L71" i="22"/>
  <c r="K71" i="22"/>
  <c r="J71" i="22"/>
  <c r="AN64" i="22"/>
  <c r="AM64" i="22"/>
  <c r="AL64" i="22"/>
  <c r="AA64" i="22"/>
  <c r="Z64" i="22"/>
  <c r="Y64" i="22"/>
  <c r="W64" i="22"/>
  <c r="V64" i="22"/>
  <c r="U64" i="22"/>
  <c r="S64" i="22"/>
  <c r="R64" i="22"/>
  <c r="Q64" i="22"/>
  <c r="O64" i="22"/>
  <c r="N64" i="22"/>
  <c r="L64" i="22"/>
  <c r="K64" i="22"/>
  <c r="J64" i="22"/>
  <c r="AN61" i="22"/>
  <c r="AM61" i="22"/>
  <c r="AL61" i="22"/>
  <c r="AA61" i="22"/>
  <c r="Z61" i="22"/>
  <c r="Y61" i="22"/>
  <c r="W61" i="22"/>
  <c r="V61" i="22"/>
  <c r="U61" i="22"/>
  <c r="S61" i="22"/>
  <c r="R61" i="22"/>
  <c r="N61" i="22"/>
  <c r="J61" i="22"/>
  <c r="AN58" i="22"/>
  <c r="AN59" i="22"/>
  <c r="AN60" i="22"/>
  <c r="AM58" i="22"/>
  <c r="AM59" i="22"/>
  <c r="AM60" i="22"/>
  <c r="AL58" i="22"/>
  <c r="AL59" i="22"/>
  <c r="AL60" i="22"/>
  <c r="AK23" i="22"/>
  <c r="AK58" i="22"/>
  <c r="AK43" i="22"/>
  <c r="AK59" i="22"/>
  <c r="AK60" i="22"/>
  <c r="AA58" i="22"/>
  <c r="AA59" i="22"/>
  <c r="AA60" i="22"/>
  <c r="Z58" i="22"/>
  <c r="Z59" i="22"/>
  <c r="Z60" i="22"/>
  <c r="Y58" i="22"/>
  <c r="Y59" i="22"/>
  <c r="Y60" i="22"/>
  <c r="W58" i="22"/>
  <c r="W59" i="22"/>
  <c r="W60" i="22"/>
  <c r="V58" i="22"/>
  <c r="V59" i="22"/>
  <c r="V60" i="22"/>
  <c r="U58" i="22"/>
  <c r="U59" i="22"/>
  <c r="U60" i="22"/>
  <c r="S58" i="22"/>
  <c r="S59" i="22"/>
  <c r="S60" i="22"/>
  <c r="R58" i="22"/>
  <c r="R59" i="22"/>
  <c r="R60" i="22"/>
  <c r="Q58" i="22"/>
  <c r="Q59" i="22"/>
  <c r="Q60" i="22"/>
  <c r="P23" i="22"/>
  <c r="P58" i="22"/>
  <c r="P43" i="22"/>
  <c r="P59" i="22"/>
  <c r="P60" i="22"/>
  <c r="O58" i="22"/>
  <c r="O59" i="22"/>
  <c r="O60" i="22"/>
  <c r="N58" i="22"/>
  <c r="N59" i="22"/>
  <c r="N60" i="22"/>
  <c r="L58" i="22"/>
  <c r="L59" i="22"/>
  <c r="L60" i="22"/>
  <c r="K58" i="22"/>
  <c r="K59" i="22"/>
  <c r="K60" i="22"/>
  <c r="J58" i="22"/>
  <c r="J59" i="22"/>
  <c r="J60" i="22"/>
  <c r="AN53" i="22"/>
  <c r="AM53" i="22"/>
  <c r="AL53" i="22"/>
  <c r="AK53" i="22"/>
  <c r="AJ53" i="22"/>
  <c r="AI53" i="22"/>
  <c r="AH53" i="22"/>
  <c r="AG53" i="22"/>
  <c r="AF53" i="22"/>
  <c r="AE53" i="22"/>
  <c r="AD9" i="22"/>
  <c r="AD29" i="22"/>
  <c r="AD11" i="22"/>
  <c r="AD31" i="22"/>
  <c r="AD12" i="22"/>
  <c r="AD13" i="22"/>
  <c r="AD14" i="22"/>
  <c r="AD15" i="22"/>
  <c r="AD16" i="22"/>
  <c r="AD18" i="22"/>
  <c r="AD20" i="22"/>
  <c r="AD21" i="22"/>
  <c r="AD22" i="22"/>
  <c r="AD32" i="22"/>
  <c r="AD33" i="22"/>
  <c r="AD34" i="22"/>
  <c r="AD35" i="22"/>
  <c r="AD36" i="22"/>
  <c r="AD38" i="22"/>
  <c r="AD40" i="22"/>
  <c r="AD41" i="22"/>
  <c r="AD42" i="22"/>
  <c r="AD53" i="22"/>
  <c r="AC9" i="22"/>
  <c r="AC29" i="22"/>
  <c r="AC11" i="22"/>
  <c r="AC31" i="22"/>
  <c r="AC12" i="22"/>
  <c r="AC13" i="22"/>
  <c r="AC14" i="22"/>
  <c r="AC15" i="22"/>
  <c r="AC16" i="22"/>
  <c r="AC18" i="22"/>
  <c r="AC20" i="22"/>
  <c r="AC21" i="22"/>
  <c r="AC22" i="22"/>
  <c r="AC32" i="22"/>
  <c r="AC33" i="22"/>
  <c r="AC34" i="22"/>
  <c r="AC35" i="22"/>
  <c r="AC36" i="22"/>
  <c r="AC38" i="22"/>
  <c r="AC40" i="22"/>
  <c r="AC41" i="22"/>
  <c r="AC42" i="22"/>
  <c r="AC53" i="22"/>
  <c r="AB9" i="22"/>
  <c r="AB29" i="22"/>
  <c r="AB11" i="22"/>
  <c r="AB31" i="22"/>
  <c r="AB12" i="22"/>
  <c r="AB13" i="22"/>
  <c r="AB14" i="22"/>
  <c r="AB15" i="22"/>
  <c r="AB16" i="22"/>
  <c r="AB18" i="22"/>
  <c r="AB20" i="22"/>
  <c r="AB21" i="22"/>
  <c r="AB22" i="22"/>
  <c r="AB32" i="22"/>
  <c r="AB33" i="22"/>
  <c r="AB34" i="22"/>
  <c r="AB35" i="22"/>
  <c r="AB36" i="22"/>
  <c r="AB38" i="22"/>
  <c r="AB40" i="22"/>
  <c r="AB41" i="22"/>
  <c r="AB42" i="22"/>
  <c r="AB53" i="22"/>
  <c r="AA53" i="22"/>
  <c r="Z53" i="22"/>
  <c r="Y53" i="22"/>
  <c r="W53" i="22"/>
  <c r="V53" i="22"/>
  <c r="U53" i="22"/>
  <c r="S53" i="22"/>
  <c r="R53" i="22"/>
  <c r="Q53" i="22"/>
  <c r="P53" i="22"/>
  <c r="O53" i="22"/>
  <c r="N53" i="22"/>
  <c r="M53" i="22"/>
  <c r="L53" i="22"/>
  <c r="K53" i="22"/>
  <c r="J53" i="22"/>
  <c r="AN44" i="22"/>
  <c r="AN51" i="22"/>
  <c r="AN24" i="22"/>
  <c r="AN50" i="22"/>
  <c r="AN52" i="22"/>
  <c r="AM44" i="22"/>
  <c r="AM51" i="22"/>
  <c r="AM24" i="22"/>
  <c r="AM50" i="22"/>
  <c r="AM52" i="22"/>
  <c r="AL44" i="22"/>
  <c r="AL51" i="22"/>
  <c r="AL24" i="22"/>
  <c r="AL50" i="22"/>
  <c r="AL52" i="22"/>
  <c r="AK44" i="22"/>
  <c r="AK51" i="22"/>
  <c r="AK24" i="22"/>
  <c r="AK50" i="22"/>
  <c r="AK52" i="22"/>
  <c r="AJ44" i="22"/>
  <c r="AJ51" i="22"/>
  <c r="AJ24" i="22"/>
  <c r="AJ50" i="22"/>
  <c r="AJ52" i="22"/>
  <c r="AI44" i="22"/>
  <c r="AI51" i="22"/>
  <c r="AI24" i="22"/>
  <c r="AI50" i="22"/>
  <c r="AI52" i="22"/>
  <c r="AH44" i="22"/>
  <c r="AH51" i="22"/>
  <c r="AH24" i="22"/>
  <c r="AH50" i="22"/>
  <c r="AH52" i="22"/>
  <c r="AG44" i="22"/>
  <c r="AG51" i="22"/>
  <c r="AG24" i="22"/>
  <c r="AG50" i="22"/>
  <c r="AG52" i="22"/>
  <c r="AF44" i="22"/>
  <c r="AF51" i="22"/>
  <c r="AF24" i="22"/>
  <c r="AF50" i="22"/>
  <c r="AF52" i="22"/>
  <c r="AE44" i="22"/>
  <c r="AE51" i="22"/>
  <c r="AE24" i="22"/>
  <c r="AE50" i="22"/>
  <c r="AE52" i="22"/>
  <c r="AD44" i="22"/>
  <c r="AD51" i="22"/>
  <c r="AD24" i="22"/>
  <c r="AD50" i="22"/>
  <c r="AD52" i="22"/>
  <c r="AC44" i="22"/>
  <c r="AC51" i="22"/>
  <c r="AC24" i="22"/>
  <c r="AC50" i="22"/>
  <c r="AC52" i="22"/>
  <c r="AB44" i="22"/>
  <c r="AB51" i="22"/>
  <c r="AB24" i="22"/>
  <c r="AB50" i="22"/>
  <c r="AB52" i="22"/>
  <c r="AA44" i="22"/>
  <c r="AA51" i="22"/>
  <c r="AA24" i="22"/>
  <c r="AA50" i="22"/>
  <c r="AA52" i="22"/>
  <c r="Z44" i="22"/>
  <c r="Z51" i="22"/>
  <c r="Z24" i="22"/>
  <c r="Z50" i="22"/>
  <c r="Z52" i="22"/>
  <c r="Y44" i="22"/>
  <c r="Y51" i="22"/>
  <c r="Y24" i="22"/>
  <c r="Y50" i="22"/>
  <c r="Y52" i="22"/>
  <c r="W44" i="22"/>
  <c r="W51" i="22"/>
  <c r="W24" i="22"/>
  <c r="W50" i="22"/>
  <c r="W52" i="22"/>
  <c r="V44" i="22"/>
  <c r="V51" i="22"/>
  <c r="V24" i="22"/>
  <c r="V50" i="22"/>
  <c r="V52" i="22"/>
  <c r="U44" i="22"/>
  <c r="U51" i="22"/>
  <c r="U24" i="22"/>
  <c r="U50" i="22"/>
  <c r="U52" i="22"/>
  <c r="S44" i="22"/>
  <c r="S51" i="22"/>
  <c r="S24" i="22"/>
  <c r="S50" i="22"/>
  <c r="S52" i="22"/>
  <c r="R44" i="22"/>
  <c r="R51" i="22"/>
  <c r="R24" i="22"/>
  <c r="R50" i="22"/>
  <c r="R52" i="22"/>
  <c r="Q44" i="22"/>
  <c r="Q51" i="22"/>
  <c r="Q24" i="22"/>
  <c r="Q50" i="22"/>
  <c r="Q52" i="22"/>
  <c r="P44" i="22"/>
  <c r="P51" i="22"/>
  <c r="P24" i="22"/>
  <c r="P50" i="22"/>
  <c r="P52" i="22"/>
  <c r="O44" i="22"/>
  <c r="O51" i="22"/>
  <c r="O24" i="22"/>
  <c r="O50" i="22"/>
  <c r="O52" i="22"/>
  <c r="N44" i="22"/>
  <c r="N51" i="22"/>
  <c r="N24" i="22"/>
  <c r="N50" i="22"/>
  <c r="N52" i="22"/>
  <c r="M44" i="22"/>
  <c r="M51" i="22"/>
  <c r="M24" i="22"/>
  <c r="M50" i="22"/>
  <c r="M52" i="22"/>
  <c r="L44" i="22"/>
  <c r="L51" i="22"/>
  <c r="L24" i="22"/>
  <c r="L50" i="22"/>
  <c r="L52" i="22"/>
  <c r="K44" i="22"/>
  <c r="K51" i="22"/>
  <c r="K24" i="22"/>
  <c r="K50" i="22"/>
  <c r="K52" i="22"/>
  <c r="J44" i="22"/>
  <c r="J51" i="22"/>
  <c r="J24" i="22"/>
  <c r="J50" i="22"/>
  <c r="J52" i="22"/>
  <c r="AN45" i="22"/>
  <c r="AN46" i="22"/>
  <c r="AM45" i="22"/>
  <c r="AM46" i="22"/>
  <c r="AL45" i="22"/>
  <c r="AL46" i="22"/>
  <c r="AK45" i="22"/>
  <c r="AK46" i="22"/>
  <c r="AJ45" i="22"/>
  <c r="AJ46" i="22"/>
  <c r="AI45" i="22"/>
  <c r="AI46" i="22"/>
  <c r="AH45" i="22"/>
  <c r="AH46" i="22"/>
  <c r="AG45" i="22"/>
  <c r="AG46" i="22"/>
  <c r="AF45" i="22"/>
  <c r="AF46" i="22"/>
  <c r="AE45" i="22"/>
  <c r="AE46" i="22"/>
  <c r="AD45" i="22"/>
  <c r="AD46" i="22"/>
  <c r="AC45" i="22"/>
  <c r="AC46" i="22"/>
  <c r="AB45" i="22"/>
  <c r="AB46" i="22"/>
  <c r="AA45" i="22"/>
  <c r="AA46" i="22"/>
  <c r="Z45" i="22"/>
  <c r="Z46" i="22"/>
  <c r="Y45" i="22"/>
  <c r="Y46" i="22"/>
  <c r="W45" i="22"/>
  <c r="W46" i="22"/>
  <c r="V45" i="22"/>
  <c r="V46" i="22"/>
  <c r="U45" i="22"/>
  <c r="U46" i="22"/>
  <c r="S45" i="22"/>
  <c r="S46" i="22"/>
  <c r="R45" i="22"/>
  <c r="R46" i="22"/>
  <c r="Q45" i="22"/>
  <c r="Q46" i="22"/>
  <c r="P45" i="22"/>
  <c r="P46" i="22"/>
  <c r="O45" i="22"/>
  <c r="O46" i="22"/>
  <c r="N45" i="22"/>
  <c r="N46" i="22"/>
  <c r="M45" i="22"/>
  <c r="M46" i="22"/>
  <c r="L45" i="22"/>
  <c r="L46" i="22"/>
  <c r="K45" i="22"/>
  <c r="K46" i="22"/>
  <c r="J45" i="22"/>
  <c r="J46" i="22"/>
  <c r="AJ43" i="22"/>
  <c r="AI43" i="22"/>
  <c r="AH43" i="22"/>
  <c r="AG43" i="22"/>
  <c r="AF43" i="22"/>
  <c r="AE43" i="22"/>
  <c r="AD43" i="22"/>
  <c r="AC43" i="22"/>
  <c r="AB43" i="22"/>
  <c r="M43" i="22"/>
  <c r="AN25" i="22"/>
  <c r="AN26" i="22"/>
  <c r="AM25" i="22"/>
  <c r="AM26" i="22"/>
  <c r="AL25" i="22"/>
  <c r="AL26" i="22"/>
  <c r="AK25" i="22"/>
  <c r="AK26" i="22"/>
  <c r="AJ25" i="22"/>
  <c r="AJ26" i="22"/>
  <c r="AI25" i="22"/>
  <c r="AI26" i="22"/>
  <c r="AH25" i="22"/>
  <c r="AH26" i="22"/>
  <c r="AG25" i="22"/>
  <c r="AG26" i="22"/>
  <c r="AF25" i="22"/>
  <c r="AF26" i="22"/>
  <c r="AE25" i="22"/>
  <c r="AE26" i="22"/>
  <c r="AD25" i="22"/>
  <c r="AD26" i="22"/>
  <c r="AC25" i="22"/>
  <c r="AC26" i="22"/>
  <c r="AB25" i="22"/>
  <c r="AB26" i="22"/>
  <c r="AA25" i="22"/>
  <c r="AA26" i="22"/>
  <c r="Z25" i="22"/>
  <c r="Z26" i="22"/>
  <c r="Y25" i="22"/>
  <c r="Y26" i="22"/>
  <c r="W25" i="22"/>
  <c r="W26" i="22"/>
  <c r="V25" i="22"/>
  <c r="V26" i="22"/>
  <c r="U25" i="22"/>
  <c r="U26" i="22"/>
  <c r="S25" i="22"/>
  <c r="S26" i="22"/>
  <c r="R25" i="22"/>
  <c r="R26" i="22"/>
  <c r="Q25" i="22"/>
  <c r="Q26" i="22"/>
  <c r="P25" i="22"/>
  <c r="P26" i="22"/>
  <c r="O25" i="22"/>
  <c r="O26" i="22"/>
  <c r="N25" i="22"/>
  <c r="N26" i="22"/>
  <c r="M25" i="22"/>
  <c r="M26" i="22"/>
  <c r="L25" i="22"/>
  <c r="L26" i="22"/>
  <c r="K25" i="22"/>
  <c r="K26" i="22"/>
  <c r="J25" i="22"/>
  <c r="J26" i="22"/>
  <c r="AJ23" i="22"/>
  <c r="AI23" i="22"/>
  <c r="AH23" i="22"/>
  <c r="AG23" i="22"/>
  <c r="AF23" i="22"/>
  <c r="AE23" i="22"/>
  <c r="AD23" i="22"/>
  <c r="AC23" i="22"/>
  <c r="AB23" i="22"/>
  <c r="T23" i="22"/>
  <c r="M23" i="22"/>
  <c r="AS156" i="1"/>
  <c r="AT156" i="1"/>
  <c r="AU156" i="1"/>
  <c r="AV156" i="1"/>
  <c r="AW156" i="1"/>
  <c r="AX156" i="1"/>
  <c r="AY156" i="1"/>
  <c r="AZ156" i="1"/>
  <c r="BA156" i="1"/>
  <c r="BB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2" i="1"/>
  <c r="V83" i="1"/>
  <c r="V84" i="1"/>
  <c r="V85" i="1"/>
  <c r="V86" i="1"/>
  <c r="V87" i="1"/>
  <c r="V88" i="1"/>
  <c r="V89" i="1"/>
  <c r="V90" i="1"/>
  <c r="V91" i="1"/>
  <c r="V92" i="1"/>
  <c r="V94" i="1"/>
  <c r="V95" i="1"/>
  <c r="V156" i="1"/>
  <c r="W156" i="1"/>
  <c r="X156" i="1"/>
  <c r="Y156" i="1"/>
  <c r="Z156" i="1"/>
  <c r="AA156" i="1"/>
  <c r="AB5" i="1"/>
  <c r="AB6" i="1"/>
  <c r="AB7" i="1"/>
  <c r="AB8" i="1"/>
  <c r="AB9" i="1"/>
  <c r="AB10" i="1"/>
  <c r="AB11" i="1"/>
  <c r="AB12" i="1"/>
  <c r="AB13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2" i="1"/>
  <c r="AB83" i="1"/>
  <c r="AB84" i="1"/>
  <c r="AB85" i="1"/>
  <c r="AB86" i="1"/>
  <c r="AB87" i="1"/>
  <c r="AB88" i="1"/>
  <c r="AB89" i="1"/>
  <c r="AB90" i="1"/>
  <c r="AB91" i="1"/>
  <c r="AB92" i="1"/>
  <c r="AB94" i="1"/>
  <c r="AB95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G151" i="1"/>
  <c r="G152" i="1"/>
  <c r="G154" i="1"/>
  <c r="H151" i="1"/>
  <c r="H152" i="1"/>
  <c r="H154" i="1"/>
  <c r="I151" i="1"/>
  <c r="I152" i="1"/>
  <c r="I154" i="1"/>
  <c r="J151" i="1"/>
  <c r="J152" i="1"/>
  <c r="J154" i="1"/>
  <c r="K151" i="1"/>
  <c r="K152" i="1"/>
  <c r="K154" i="1"/>
  <c r="L151" i="1"/>
  <c r="L152" i="1"/>
  <c r="L154" i="1"/>
  <c r="M151" i="1"/>
  <c r="M152" i="1"/>
  <c r="M154" i="1"/>
  <c r="N151" i="1"/>
  <c r="N152" i="1"/>
  <c r="N154" i="1"/>
  <c r="O151" i="1"/>
  <c r="O152" i="1"/>
  <c r="O154" i="1"/>
  <c r="P151" i="1"/>
  <c r="P152" i="1"/>
  <c r="P154" i="1"/>
  <c r="Q151" i="1"/>
  <c r="Q154" i="1"/>
  <c r="R151" i="1"/>
  <c r="R154" i="1"/>
  <c r="S152" i="1"/>
  <c r="S154" i="1"/>
  <c r="T151" i="1"/>
  <c r="T152" i="1"/>
  <c r="T154" i="1"/>
  <c r="U151" i="1"/>
  <c r="U152" i="1"/>
  <c r="U154" i="1"/>
  <c r="V151" i="1"/>
  <c r="V152" i="1"/>
  <c r="V154" i="1"/>
  <c r="W151" i="1"/>
  <c r="W152" i="1"/>
  <c r="W154" i="1"/>
  <c r="X151" i="1"/>
  <c r="X152" i="1"/>
  <c r="X154" i="1"/>
  <c r="Y151" i="1"/>
  <c r="Y152" i="1"/>
  <c r="Y154" i="1"/>
  <c r="Z151" i="1"/>
  <c r="Z152" i="1"/>
  <c r="Z154" i="1"/>
  <c r="AA151" i="1"/>
  <c r="AA152" i="1"/>
  <c r="AA154" i="1"/>
  <c r="AB151" i="1"/>
  <c r="AB152" i="1"/>
  <c r="AB154" i="1"/>
  <c r="AC151" i="1"/>
  <c r="AC152" i="1"/>
  <c r="AC154" i="1"/>
  <c r="AD151" i="1"/>
  <c r="AD154" i="1"/>
  <c r="AE151" i="1"/>
  <c r="AE152" i="1"/>
  <c r="AE154" i="1"/>
  <c r="AF151" i="1"/>
  <c r="AF152" i="1"/>
  <c r="AF154" i="1"/>
  <c r="AG151" i="1"/>
  <c r="AG152" i="1"/>
  <c r="AG154" i="1"/>
  <c r="AH151" i="1"/>
  <c r="AH152" i="1"/>
  <c r="AH154" i="1"/>
  <c r="AI151" i="1"/>
  <c r="AI152" i="1"/>
  <c r="AI154" i="1"/>
  <c r="AJ151" i="1"/>
  <c r="AJ152" i="1"/>
  <c r="AJ154" i="1"/>
  <c r="AK151" i="1"/>
  <c r="AK152" i="1"/>
  <c r="AK154" i="1"/>
  <c r="AL151" i="1"/>
  <c r="AL152" i="1"/>
  <c r="AL154" i="1"/>
  <c r="AM151" i="1"/>
  <c r="AM152" i="1"/>
  <c r="AM154" i="1"/>
  <c r="AN151" i="1"/>
  <c r="AN154" i="1"/>
  <c r="AO151" i="1"/>
  <c r="AO154" i="1"/>
  <c r="AP152" i="1"/>
  <c r="AP154" i="1"/>
  <c r="AQ151" i="1"/>
  <c r="AQ152" i="1"/>
  <c r="AQ154" i="1"/>
  <c r="AR151" i="1"/>
  <c r="AR152" i="1"/>
  <c r="AR154" i="1"/>
  <c r="AS151" i="1"/>
  <c r="AS152" i="1"/>
  <c r="AS154" i="1"/>
  <c r="AT151" i="1"/>
  <c r="AT152" i="1"/>
  <c r="AT154" i="1"/>
  <c r="AU154" i="1"/>
  <c r="AV151" i="1"/>
  <c r="AV152" i="1"/>
  <c r="AV154" i="1"/>
  <c r="AW151" i="1"/>
  <c r="AW152" i="1"/>
  <c r="AW154" i="1"/>
  <c r="AX151" i="1"/>
  <c r="AX154" i="1"/>
  <c r="AY151" i="1"/>
  <c r="AY152" i="1"/>
  <c r="AY154" i="1"/>
  <c r="AZ151" i="1"/>
  <c r="AZ152" i="1"/>
  <c r="AZ154" i="1"/>
  <c r="BA151" i="1"/>
  <c r="BA152" i="1"/>
  <c r="BA154" i="1"/>
  <c r="BB151" i="1"/>
  <c r="BB152" i="1"/>
  <c r="BB154" i="1"/>
  <c r="F156" i="1"/>
  <c r="F151" i="1"/>
  <c r="F152" i="1"/>
  <c r="F154" i="1"/>
  <c r="Q152" i="1"/>
  <c r="R152" i="1"/>
  <c r="AD152" i="1"/>
  <c r="AN152" i="1"/>
  <c r="AO152" i="1"/>
  <c r="AX152" i="1"/>
</calcChain>
</file>

<file path=xl/comments1.xml><?xml version="1.0" encoding="utf-8"?>
<comments xmlns="http://schemas.openxmlformats.org/spreadsheetml/2006/main">
  <authors>
    <author>David Zava</author>
    <author>Mardi Crane</author>
    <author>Deb Shinnlinger</author>
  </authors>
  <commentList>
    <comment ref="AK5" authorId="0">
      <text>
        <r>
          <rPr>
            <b/>
            <sz val="9"/>
            <color indexed="81"/>
            <rFont val="Tahoma"/>
            <family val="2"/>
          </rPr>
          <t>David Zava:</t>
        </r>
        <r>
          <rPr>
            <sz val="9"/>
            <color indexed="81"/>
            <rFont val="Tahoma"/>
            <family val="2"/>
          </rPr>
          <t xml:space="preserve">
likely using oral progesterone and low dose testosterone</t>
        </r>
      </text>
    </comment>
    <comment ref="AH9" authorId="1">
      <text>
        <r>
          <rPr>
            <b/>
            <sz val="9"/>
            <color indexed="81"/>
            <rFont val="Calibri"/>
            <family val="2"/>
          </rPr>
          <t>Mardi Crane:</t>
        </r>
        <r>
          <rPr>
            <sz val="9"/>
            <color indexed="81"/>
            <rFont val="Calibri"/>
            <family val="2"/>
          </rPr>
          <t xml:space="preserve">
low
</t>
        </r>
      </text>
    </comment>
    <comment ref="AH12" authorId="1">
      <text>
        <r>
          <rPr>
            <b/>
            <sz val="9"/>
            <color indexed="81"/>
            <rFont val="Calibri"/>
            <family val="2"/>
          </rPr>
          <t>Mardi Crane:</t>
        </r>
        <r>
          <rPr>
            <sz val="9"/>
            <color indexed="81"/>
            <rFont val="Calibri"/>
            <family val="2"/>
          </rPr>
          <t xml:space="preserve">
insufficient
</t>
        </r>
      </text>
    </comment>
    <comment ref="BA15" authorId="0">
      <text>
        <r>
          <rPr>
            <b/>
            <sz val="9"/>
            <color indexed="81"/>
            <rFont val="Tahoma"/>
            <family val="2"/>
          </rPr>
          <t>David Zava:</t>
        </r>
        <r>
          <rPr>
            <sz val="9"/>
            <color indexed="81"/>
            <rFont val="Tahoma"/>
            <family val="2"/>
          </rPr>
          <t xml:space="preserve">
High, probably took low dose melatonin night before-evening ok</t>
        </r>
      </text>
    </comment>
    <comment ref="AM19" authorId="0">
      <text>
        <r>
          <rPr>
            <b/>
            <sz val="9"/>
            <color indexed="81"/>
            <rFont val="Tahoma"/>
            <family val="2"/>
          </rPr>
          <t>David Zava:</t>
        </r>
        <r>
          <rPr>
            <sz val="9"/>
            <color indexed="81"/>
            <rFont val="Tahoma"/>
            <family val="2"/>
          </rPr>
          <t xml:space="preserve">
likely DHEA therapy increasing testosterone, also high</t>
        </r>
      </text>
    </comment>
    <comment ref="AS19" authorId="0">
      <text>
        <r>
          <rPr>
            <b/>
            <sz val="9"/>
            <color indexed="81"/>
            <rFont val="Tahoma"/>
            <family val="2"/>
          </rPr>
          <t>David Zava:</t>
        </r>
        <r>
          <rPr>
            <sz val="9"/>
            <color indexed="81"/>
            <rFont val="Tahoma"/>
            <family val="2"/>
          </rPr>
          <t xml:space="preserve">
lower selenium (&lt; 50) and high mercury not good combination</t>
        </r>
      </text>
    </comment>
    <comment ref="AV19" authorId="0">
      <text>
        <r>
          <rPr>
            <b/>
            <sz val="9"/>
            <color indexed="81"/>
            <rFont val="Tahoma"/>
            <family val="2"/>
          </rPr>
          <t>David Zava:</t>
        </r>
        <r>
          <rPr>
            <sz val="9"/>
            <color indexed="81"/>
            <rFont val="Tahoma"/>
            <family val="2"/>
          </rPr>
          <t xml:space="preserve">
check for dental amalgams-how many</t>
        </r>
      </text>
    </comment>
    <comment ref="AL20" authorId="0">
      <text>
        <r>
          <rPr>
            <b/>
            <sz val="9"/>
            <color indexed="81"/>
            <rFont val="Tahoma"/>
            <family val="2"/>
          </rPr>
          <t>David Zava:</t>
        </r>
        <r>
          <rPr>
            <sz val="9"/>
            <color indexed="81"/>
            <rFont val="Tahoma"/>
            <family val="2"/>
          </rPr>
          <t xml:space="preserve">
probably T therapy</t>
        </r>
      </text>
    </comment>
    <comment ref="AQ20" authorId="0">
      <text>
        <r>
          <rPr>
            <b/>
            <sz val="9"/>
            <color indexed="81"/>
            <rFont val="Tahoma"/>
            <family val="2"/>
          </rPr>
          <t>David Zava:</t>
        </r>
        <r>
          <rPr>
            <sz val="9"/>
            <color indexed="81"/>
            <rFont val="Tahoma"/>
            <family val="2"/>
          </rPr>
          <t xml:space="preserve">
likely iodine or seaweed supplementation</t>
        </r>
      </text>
    </comment>
    <comment ref="AQ28" authorId="0">
      <text>
        <r>
          <rPr>
            <b/>
            <sz val="9"/>
            <color indexed="81"/>
            <rFont val="Tahoma"/>
            <family val="2"/>
          </rPr>
          <t>David Zava:</t>
        </r>
        <r>
          <rPr>
            <sz val="9"/>
            <color indexed="81"/>
            <rFont val="Tahoma"/>
            <family val="2"/>
          </rPr>
          <t xml:space="preserve">
likely iodine supplementation</t>
        </r>
      </text>
    </comment>
    <comment ref="AH41" authorId="1">
      <text>
        <r>
          <rPr>
            <b/>
            <sz val="9"/>
            <color indexed="81"/>
            <rFont val="Calibri"/>
            <family val="2"/>
          </rPr>
          <t>Mardi Crane:</t>
        </r>
        <r>
          <rPr>
            <sz val="9"/>
            <color indexed="81"/>
            <rFont val="Calibri"/>
            <family val="2"/>
          </rPr>
          <t xml:space="preserve">
low
</t>
        </r>
      </text>
    </comment>
    <comment ref="AJ41" authorId="0">
      <text>
        <r>
          <rPr>
            <b/>
            <sz val="9"/>
            <color indexed="81"/>
            <rFont val="Tahoma"/>
            <family val="2"/>
          </rPr>
          <t>David Zava:</t>
        </r>
        <r>
          <rPr>
            <sz val="9"/>
            <color indexed="81"/>
            <rFont val="Tahoma"/>
            <family val="2"/>
          </rPr>
          <t xml:space="preserve">
Very high estradiol-supplementation or possible inflammatory condition</t>
        </r>
      </text>
    </comment>
    <comment ref="AM41" authorId="0">
      <text>
        <r>
          <rPr>
            <b/>
            <sz val="9"/>
            <color indexed="81"/>
            <rFont val="Tahoma"/>
            <family val="2"/>
          </rPr>
          <t>David Zava:</t>
        </r>
        <r>
          <rPr>
            <sz val="9"/>
            <color indexed="81"/>
            <rFont val="Tahoma"/>
            <family val="2"/>
          </rPr>
          <t xml:space="preserve">
Very high DHEAS suggests DHEA supplementation</t>
        </r>
      </text>
    </comment>
    <comment ref="AJ42" authorId="0">
      <text>
        <r>
          <rPr>
            <b/>
            <sz val="9"/>
            <color indexed="81"/>
            <rFont val="Tahoma"/>
            <family val="2"/>
          </rPr>
          <t>David Zava:</t>
        </r>
        <r>
          <rPr>
            <sz val="9"/>
            <color indexed="81"/>
            <rFont val="Tahoma"/>
            <family val="2"/>
          </rPr>
          <t xml:space="preserve">
Estradiol and progesterone indicate supplementation with these hormones</t>
        </r>
      </text>
    </comment>
    <comment ref="AT42" authorId="0">
      <text>
        <r>
          <rPr>
            <b/>
            <sz val="9"/>
            <color indexed="81"/>
            <rFont val="Tahoma"/>
            <family val="2"/>
          </rPr>
          <t>David Zava:</t>
        </r>
        <r>
          <rPr>
            <sz val="9"/>
            <color indexed="81"/>
            <rFont val="Tahoma"/>
            <family val="2"/>
          </rPr>
          <t xml:space="preserve">
high arsenic-check for water source (well water) or recent consumption of seafood</t>
        </r>
      </text>
    </comment>
    <comment ref="AH43" authorId="1">
      <text>
        <r>
          <rPr>
            <b/>
            <sz val="9"/>
            <color indexed="81"/>
            <rFont val="Calibri"/>
            <family val="2"/>
          </rPr>
          <t>Mardi Crane:</t>
        </r>
        <r>
          <rPr>
            <sz val="9"/>
            <color indexed="81"/>
            <rFont val="Calibri"/>
            <family val="2"/>
          </rPr>
          <t xml:space="preserve">
low
</t>
        </r>
      </text>
    </comment>
    <comment ref="AH44" authorId="1">
      <text>
        <r>
          <rPr>
            <b/>
            <sz val="9"/>
            <color indexed="81"/>
            <rFont val="Calibri"/>
            <family val="2"/>
          </rPr>
          <t>Mardi Crane:</t>
        </r>
        <r>
          <rPr>
            <sz val="9"/>
            <color indexed="81"/>
            <rFont val="Calibri"/>
            <family val="2"/>
          </rPr>
          <t xml:space="preserve">
low
</t>
        </r>
      </text>
    </comment>
    <comment ref="AH45" authorId="1">
      <text>
        <r>
          <rPr>
            <b/>
            <sz val="9"/>
            <color indexed="81"/>
            <rFont val="Calibri"/>
            <family val="2"/>
          </rPr>
          <t>Mardi Crane:</t>
        </r>
        <r>
          <rPr>
            <sz val="9"/>
            <color indexed="81"/>
            <rFont val="Calibri"/>
            <family val="2"/>
          </rPr>
          <t xml:space="preserve">
insufficient
</t>
        </r>
      </text>
    </comment>
    <comment ref="BA45" authorId="0">
      <text>
        <r>
          <rPr>
            <b/>
            <sz val="9"/>
            <color indexed="81"/>
            <rFont val="Tahoma"/>
            <family val="2"/>
          </rPr>
          <t>David Zava:</t>
        </r>
        <r>
          <rPr>
            <sz val="9"/>
            <color indexed="81"/>
            <rFont val="Tahoma"/>
            <family val="2"/>
          </rPr>
          <t xml:space="preserve">
likely took melatonin in last few days</t>
        </r>
      </text>
    </comment>
    <comment ref="AJ46" authorId="0">
      <text>
        <r>
          <rPr>
            <b/>
            <sz val="9"/>
            <color indexed="81"/>
            <rFont val="Tahoma"/>
            <family val="2"/>
          </rPr>
          <t>David Zava:</t>
        </r>
        <r>
          <rPr>
            <sz val="9"/>
            <color indexed="81"/>
            <rFont val="Tahoma"/>
            <family val="2"/>
          </rPr>
          <t xml:space="preserve">
Indicates estradiol supplementation (likely topical) or inflammatory condition</t>
        </r>
      </text>
    </comment>
    <comment ref="AX53" authorId="0">
      <text>
        <r>
          <rPr>
            <b/>
            <sz val="9"/>
            <color indexed="81"/>
            <rFont val="Tahoma"/>
            <family val="2"/>
          </rPr>
          <t>David Zava:</t>
        </r>
        <r>
          <rPr>
            <sz val="9"/>
            <color indexed="81"/>
            <rFont val="Tahoma"/>
            <family val="2"/>
          </rPr>
          <t xml:space="preserve">
Low morning, high night-flat profile</t>
        </r>
      </text>
    </comment>
    <comment ref="AY53" authorId="0">
      <text>
        <r>
          <rPr>
            <b/>
            <sz val="9"/>
            <color indexed="81"/>
            <rFont val="Tahoma"/>
            <family val="2"/>
          </rPr>
          <t>David Zava:</t>
        </r>
        <r>
          <rPr>
            <sz val="9"/>
            <color indexed="81"/>
            <rFont val="Tahoma"/>
            <family val="2"/>
          </rPr>
          <t xml:space="preserve">
Low morning, high night-flat profile</t>
        </r>
      </text>
    </comment>
    <comment ref="AH57" authorId="1">
      <text>
        <r>
          <rPr>
            <b/>
            <sz val="9"/>
            <color indexed="81"/>
            <rFont val="Calibri"/>
            <family val="2"/>
          </rPr>
          <t>Mardi Crane:</t>
        </r>
        <r>
          <rPr>
            <sz val="9"/>
            <color indexed="81"/>
            <rFont val="Calibri"/>
            <family val="2"/>
          </rPr>
          <t xml:space="preserve">
insufficient
</t>
        </r>
      </text>
    </comment>
    <comment ref="AH62" authorId="1">
      <text>
        <r>
          <rPr>
            <b/>
            <sz val="9"/>
            <color indexed="81"/>
            <rFont val="Calibri"/>
            <family val="2"/>
          </rPr>
          <t>Mardi Crane:</t>
        </r>
        <r>
          <rPr>
            <sz val="9"/>
            <color indexed="81"/>
            <rFont val="Calibri"/>
            <family val="2"/>
          </rPr>
          <t xml:space="preserve">
low
</t>
        </r>
      </text>
    </comment>
    <comment ref="AQ68" authorId="2">
      <text>
        <r>
          <rPr>
            <b/>
            <sz val="9"/>
            <color indexed="81"/>
            <rFont val="Calibri"/>
            <family val="2"/>
          </rPr>
          <t>Deb Shinnlinger:</t>
        </r>
        <r>
          <rPr>
            <sz val="9"/>
            <color indexed="81"/>
            <rFont val="Calibri"/>
            <family val="2"/>
          </rPr>
          <t xml:space="preserve">
Subject sent unusable sample (wet)</t>
        </r>
      </text>
    </comment>
    <comment ref="D70" authorId="2">
      <text>
        <r>
          <rPr>
            <b/>
            <sz val="9"/>
            <color indexed="81"/>
            <rFont val="Calibri"/>
            <family val="2"/>
          </rPr>
          <t>Deb Shinnlinger:</t>
        </r>
        <r>
          <rPr>
            <sz val="9"/>
            <color indexed="81"/>
            <rFont val="Calibri"/>
            <family val="2"/>
          </rPr>
          <t xml:space="preserve">
additional data available. She did 2 first morning urines</t>
        </r>
      </text>
    </comment>
    <comment ref="AT71" authorId="2">
      <text>
        <r>
          <rPr>
            <b/>
            <sz val="9"/>
            <color indexed="81"/>
            <rFont val="Calibri"/>
            <family val="2"/>
          </rPr>
          <t>Deb Shinnlinger:</t>
        </r>
        <r>
          <rPr>
            <sz val="9"/>
            <color indexed="81"/>
            <rFont val="Calibri"/>
            <family val="2"/>
          </rPr>
          <t xml:space="preserve">
Need to let her know this level</t>
        </r>
      </text>
    </comment>
    <comment ref="AT76" authorId="2">
      <text>
        <r>
          <rPr>
            <b/>
            <sz val="9"/>
            <color indexed="81"/>
            <rFont val="Calibri"/>
            <family val="2"/>
          </rPr>
          <t>Deb Shinnlinger:</t>
        </r>
        <r>
          <rPr>
            <sz val="9"/>
            <color indexed="81"/>
            <rFont val="Calibri"/>
            <family val="2"/>
          </rPr>
          <t xml:space="preserve">
Need to contact her about this level</t>
        </r>
      </text>
    </comment>
  </commentList>
</comments>
</file>

<file path=xl/sharedStrings.xml><?xml version="1.0" encoding="utf-8"?>
<sst xmlns="http://schemas.openxmlformats.org/spreadsheetml/2006/main" count="971" uniqueCount="580">
  <si>
    <t>smoke</t>
  </si>
  <si>
    <t>FA code</t>
  </si>
  <si>
    <t>COPD-short</t>
  </si>
  <si>
    <t>MAIA</t>
  </si>
  <si>
    <t>FEV1</t>
  </si>
  <si>
    <t>Fev1/FVC</t>
  </si>
  <si>
    <t>PEF</t>
  </si>
  <si>
    <t>zung anx raw</t>
  </si>
  <si>
    <t>zung dep raw</t>
  </si>
  <si>
    <t>compass31</t>
  </si>
  <si>
    <t>BP-rest</t>
  </si>
  <si>
    <t>BP post WT</t>
  </si>
  <si>
    <t>6MWT-m</t>
  </si>
  <si>
    <t>2Min Step</t>
  </si>
  <si>
    <t>borg</t>
  </si>
  <si>
    <t>O2 sat</t>
  </si>
  <si>
    <t>HR-pre</t>
  </si>
  <si>
    <t>HR-post</t>
  </si>
  <si>
    <t>144&gt;73</t>
  </si>
  <si>
    <t>123&gt;82</t>
  </si>
  <si>
    <t>111&gt;70</t>
  </si>
  <si>
    <t>142&gt;78</t>
  </si>
  <si>
    <t>136&gt;80</t>
  </si>
  <si>
    <t>148&gt;67</t>
  </si>
  <si>
    <t>117&gt;69</t>
  </si>
  <si>
    <t>151&gt;67</t>
  </si>
  <si>
    <t>153&gt;93</t>
  </si>
  <si>
    <t>148&gt;95</t>
  </si>
  <si>
    <t>124&gt;71</t>
  </si>
  <si>
    <t>139&gt;65</t>
  </si>
  <si>
    <t>150&gt;79</t>
  </si>
  <si>
    <t>145&gt;80</t>
  </si>
  <si>
    <t>148&gt;93</t>
  </si>
  <si>
    <t>141&gt;88</t>
  </si>
  <si>
    <t>124&gt;80</t>
  </si>
  <si>
    <t>105&gt;78</t>
  </si>
  <si>
    <t>137&gt;71</t>
  </si>
  <si>
    <t>132&gt;69</t>
  </si>
  <si>
    <t>190&gt;106</t>
  </si>
  <si>
    <t>204&gt;98</t>
  </si>
  <si>
    <t>127&gt;67</t>
  </si>
  <si>
    <t>165&gt;77</t>
  </si>
  <si>
    <t>145&gt;78</t>
  </si>
  <si>
    <t>164&gt;86</t>
  </si>
  <si>
    <t>97&gt;98</t>
  </si>
  <si>
    <t>134&gt;68</t>
  </si>
  <si>
    <t>189&gt;84</t>
  </si>
  <si>
    <t>177/91</t>
  </si>
  <si>
    <t>147&gt;88</t>
  </si>
  <si>
    <t>139&gt;89</t>
  </si>
  <si>
    <t>163&gt;97</t>
  </si>
  <si>
    <t>169&gt;97</t>
  </si>
  <si>
    <t>157&gt;99</t>
  </si>
  <si>
    <t>142&gt;88</t>
  </si>
  <si>
    <t>147&gt;83</t>
  </si>
  <si>
    <t>115&gt;68</t>
  </si>
  <si>
    <t>107&gt;72</t>
  </si>
  <si>
    <t>117&gt;73</t>
  </si>
  <si>
    <t>161&gt;95</t>
  </si>
  <si>
    <t>163/125</t>
  </si>
  <si>
    <t>missing</t>
  </si>
  <si>
    <t>131&gt;77</t>
  </si>
  <si>
    <t>208&gt;102</t>
  </si>
  <si>
    <t>128&gt;85</t>
  </si>
  <si>
    <t>163/87</t>
  </si>
  <si>
    <t>95&gt;98</t>
  </si>
  <si>
    <t>99&gt;98</t>
  </si>
  <si>
    <t>123&gt;79</t>
  </si>
  <si>
    <t>140&gt;71</t>
  </si>
  <si>
    <t>148&gt;77</t>
  </si>
  <si>
    <t>164&gt;96</t>
  </si>
  <si>
    <t>138&gt;80</t>
  </si>
  <si>
    <t>137&gt;84</t>
  </si>
  <si>
    <t>160&gt;88</t>
  </si>
  <si>
    <t>138/101</t>
  </si>
  <si>
    <t>155/90</t>
  </si>
  <si>
    <t>148/74</t>
  </si>
  <si>
    <t>169/89</t>
  </si>
  <si>
    <t>204/84</t>
  </si>
  <si>
    <t>149/103</t>
  </si>
  <si>
    <t>184/94</t>
  </si>
  <si>
    <t>115/74</t>
  </si>
  <si>
    <t>138/70</t>
  </si>
  <si>
    <t>131/67</t>
  </si>
  <si>
    <t>169/62</t>
  </si>
  <si>
    <t>104/59</t>
  </si>
  <si>
    <t>156/59</t>
  </si>
  <si>
    <t>148/91</t>
  </si>
  <si>
    <t>189/75</t>
  </si>
  <si>
    <t>143/89</t>
  </si>
  <si>
    <t>188/102</t>
  </si>
  <si>
    <t>FEF 25-75</t>
  </si>
  <si>
    <t>FVC</t>
  </si>
  <si>
    <t>101/64</t>
  </si>
  <si>
    <t>140/80</t>
  </si>
  <si>
    <t>222/101</t>
  </si>
  <si>
    <t>235/111</t>
  </si>
  <si>
    <t>D2</t>
  </si>
  <si>
    <t>D3</t>
  </si>
  <si>
    <t>Total</t>
  </si>
  <si>
    <t>hs-CRP</t>
  </si>
  <si>
    <t>HbA1c</t>
  </si>
  <si>
    <t>Estradiol</t>
  </si>
  <si>
    <t>Progesterone</t>
  </si>
  <si>
    <t xml:space="preserve">Testosterone </t>
  </si>
  <si>
    <t>DHEAS</t>
  </si>
  <si>
    <t>Cortisol</t>
  </si>
  <si>
    <t>Iodine</t>
  </si>
  <si>
    <t>Bromine</t>
  </si>
  <si>
    <t>Selenium</t>
  </si>
  <si>
    <t>Arsenic</t>
  </si>
  <si>
    <t>Mercury</t>
  </si>
  <si>
    <t>Creatinine</t>
  </si>
  <si>
    <t>urineFree Cortisol</t>
  </si>
  <si>
    <t>&lt;4</t>
  </si>
  <si>
    <t>&lt;0.5</t>
  </si>
  <si>
    <t xml:space="preserve">   </t>
  </si>
  <si>
    <t>AM  4.86</t>
  </si>
  <si>
    <t>AM  17.91</t>
  </si>
  <si>
    <t>no sample</t>
  </si>
  <si>
    <t>AM  24.07</t>
  </si>
  <si>
    <t>AM  37.67</t>
  </si>
  <si>
    <t>AM  13.47</t>
  </si>
  <si>
    <t>AM  35.48</t>
  </si>
  <si>
    <t>AM   7.64</t>
  </si>
  <si>
    <t>AM  45.73</t>
  </si>
  <si>
    <t>AM  46.36</t>
  </si>
  <si>
    <t>AM  69.18</t>
  </si>
  <si>
    <t>AM  23.88</t>
  </si>
  <si>
    <t>AM 51.73</t>
  </si>
  <si>
    <t>AM  110.25</t>
  </si>
  <si>
    <t>AM  57.78</t>
  </si>
  <si>
    <t>AM  19.99</t>
  </si>
  <si>
    <t>AM  28.57</t>
  </si>
  <si>
    <t>AM  24.34</t>
  </si>
  <si>
    <t>AM  23.1</t>
  </si>
  <si>
    <t>AM  49.07</t>
  </si>
  <si>
    <t>AM  47.23</t>
  </si>
  <si>
    <t>AM  12.58</t>
  </si>
  <si>
    <t>AM  2.71</t>
  </si>
  <si>
    <t>AM  7.67</t>
  </si>
  <si>
    <t>AM  111.62</t>
  </si>
  <si>
    <t>AM  2.31</t>
  </si>
  <si>
    <t>AM  59.36</t>
  </si>
  <si>
    <t>AM  16.48</t>
  </si>
  <si>
    <t>AM  18.71</t>
  </si>
  <si>
    <t>AM  17.5</t>
  </si>
  <si>
    <t>AM  39.16</t>
  </si>
  <si>
    <t>Did H&amp;W questions</t>
  </si>
  <si>
    <t>Yes</t>
  </si>
  <si>
    <t>systolic</t>
  </si>
  <si>
    <t>diastolic</t>
  </si>
  <si>
    <t>pulsePres</t>
  </si>
  <si>
    <t>HR change</t>
  </si>
  <si>
    <t>N</t>
  </si>
  <si>
    <t>AVERAGES:</t>
  </si>
  <si>
    <t>&lt;3</t>
  </si>
  <si>
    <t>0.5 - 1.7</t>
  </si>
  <si>
    <t>12 - 100</t>
  </si>
  <si>
    <t>16 - 55</t>
  </si>
  <si>
    <t>100-1100</t>
  </si>
  <si>
    <t>&lt;5696</t>
  </si>
  <si>
    <t>27-175</t>
  </si>
  <si>
    <t>&lt;138</t>
  </si>
  <si>
    <t>&lt;1.76</t>
  </si>
  <si>
    <t>0.3-3.0</t>
  </si>
  <si>
    <t>ng/mL</t>
  </si>
  <si>
    <t>µg/g creatinine</t>
  </si>
  <si>
    <t>mg/mL</t>
  </si>
  <si>
    <t xml:space="preserve">1st AM urine cortisol  </t>
  </si>
  <si>
    <t>t</t>
  </si>
  <si>
    <t>see notes</t>
  </si>
  <si>
    <t>1st UrineFree Cortisone</t>
  </si>
  <si>
    <t>1st AM urineMelatonin</t>
  </si>
  <si>
    <t>1st AM urineCreatinine</t>
  </si>
  <si>
    <t>8.5 - 30.5</t>
  </si>
  <si>
    <t>33.5 - 93.9</t>
  </si>
  <si>
    <t>18.0 - 40.9</t>
  </si>
  <si>
    <t>0.3 - 3.0</t>
  </si>
  <si>
    <t xml:space="preserve">Normal clinical range.  </t>
  </si>
  <si>
    <t>see note</t>
  </si>
  <si>
    <t>Ref Range:  32-100</t>
  </si>
  <si>
    <t>&lt;6.0</t>
  </si>
  <si>
    <t xml:space="preserve">&gt;140 is hypertension </t>
  </si>
  <si>
    <t xml:space="preserve">New corrected </t>
  </si>
  <si>
    <t xml:space="preserve">Median </t>
  </si>
  <si>
    <t>144/82</t>
  </si>
  <si>
    <t>183/77</t>
  </si>
  <si>
    <t>189/63</t>
  </si>
  <si>
    <t>183/100</t>
  </si>
  <si>
    <t>collection date</t>
  </si>
  <si>
    <t>reported age</t>
  </si>
  <si>
    <t>month/year of birth</t>
  </si>
  <si>
    <t>108&gt;61</t>
  </si>
  <si>
    <t>124&lt;66</t>
  </si>
  <si>
    <t>107/60</t>
  </si>
  <si>
    <t>163/100</t>
  </si>
  <si>
    <t>190/96</t>
  </si>
  <si>
    <t>129&gt;79</t>
  </si>
  <si>
    <t>122/76</t>
  </si>
  <si>
    <t>168/70</t>
  </si>
  <si>
    <t>111/69</t>
  </si>
  <si>
    <t>118/73</t>
  </si>
  <si>
    <t>107/70</t>
  </si>
  <si>
    <t>128/74</t>
  </si>
  <si>
    <t>108/66</t>
  </si>
  <si>
    <t>134/56</t>
  </si>
  <si>
    <t>131/70</t>
  </si>
  <si>
    <t>163/75</t>
  </si>
  <si>
    <t>122/73</t>
  </si>
  <si>
    <t>181/83</t>
  </si>
  <si>
    <t>151/80</t>
  </si>
  <si>
    <t>193/102</t>
  </si>
  <si>
    <t>110/72</t>
  </si>
  <si>
    <t>109/74</t>
  </si>
  <si>
    <t>yes</t>
  </si>
  <si>
    <t>106/63</t>
  </si>
  <si>
    <t>159/75</t>
  </si>
  <si>
    <t>102/61</t>
  </si>
  <si>
    <t>121/68</t>
  </si>
  <si>
    <t>149/85</t>
  </si>
  <si>
    <t>157/93</t>
  </si>
  <si>
    <t>126/83</t>
  </si>
  <si>
    <t>147/73</t>
  </si>
  <si>
    <t>143/79</t>
  </si>
  <si>
    <t>141/79</t>
  </si>
  <si>
    <t>200/77</t>
  </si>
  <si>
    <t>125/95</t>
  </si>
  <si>
    <t>197/88</t>
  </si>
  <si>
    <t>121/70</t>
  </si>
  <si>
    <t>171/71</t>
  </si>
  <si>
    <t>140/66</t>
  </si>
  <si>
    <t>88/66</t>
  </si>
  <si>
    <t>118/72</t>
  </si>
  <si>
    <t>143/90</t>
  </si>
  <si>
    <t>156/80</t>
  </si>
  <si>
    <t>151/77</t>
  </si>
  <si>
    <t>130/80</t>
  </si>
  <si>
    <t>154/87</t>
  </si>
  <si>
    <t>142/97</t>
  </si>
  <si>
    <t>175/105</t>
  </si>
  <si>
    <t>163/98</t>
  </si>
  <si>
    <t>143/92</t>
  </si>
  <si>
    <t>133/91</t>
  </si>
  <si>
    <t>186/96</t>
  </si>
  <si>
    <t>192/98</t>
  </si>
  <si>
    <t>128/84</t>
  </si>
  <si>
    <t>156/91</t>
  </si>
  <si>
    <t>116/85</t>
  </si>
  <si>
    <t>137/89</t>
  </si>
  <si>
    <t>166/87</t>
  </si>
  <si>
    <t>166/93</t>
  </si>
  <si>
    <t>163/93</t>
  </si>
  <si>
    <t>171/101</t>
  </si>
  <si>
    <t>211/121</t>
  </si>
  <si>
    <t>140/85</t>
  </si>
  <si>
    <t>136/77</t>
  </si>
  <si>
    <t>yes, 1pk per day for 10 years. Quit 1988</t>
  </si>
  <si>
    <t>140/101</t>
  </si>
  <si>
    <t>160/97</t>
  </si>
  <si>
    <t>BP post +1</t>
  </si>
  <si>
    <t>188/113</t>
  </si>
  <si>
    <t>163/110</t>
  </si>
  <si>
    <t>170/109</t>
  </si>
  <si>
    <t>152/97</t>
  </si>
  <si>
    <t>160/90</t>
  </si>
  <si>
    <t>118/81</t>
  </si>
  <si>
    <t>148/86</t>
  </si>
  <si>
    <t>124/68</t>
  </si>
  <si>
    <t>115/78</t>
  </si>
  <si>
    <t>156/82</t>
  </si>
  <si>
    <t>155/91</t>
  </si>
  <si>
    <t>135/88</t>
  </si>
  <si>
    <t>151/87</t>
  </si>
  <si>
    <t>137/84</t>
  </si>
  <si>
    <t>204/94</t>
  </si>
  <si>
    <t>131/78</t>
  </si>
  <si>
    <t>Salivary Cortisol</t>
  </si>
  <si>
    <t>1st AM collection</t>
  </si>
  <si>
    <t>3.7-9.5</t>
  </si>
  <si>
    <t>AM 31.21</t>
  </si>
  <si>
    <t>AM 12.4</t>
  </si>
  <si>
    <t>&lt;1</t>
  </si>
  <si>
    <t>AM 41.9</t>
  </si>
  <si>
    <t>AM 95.3</t>
  </si>
  <si>
    <t>AM  38.3</t>
  </si>
  <si>
    <t>AM 17.1</t>
  </si>
  <si>
    <t>AM 19.1</t>
  </si>
  <si>
    <t>AM 37.4</t>
  </si>
  <si>
    <t>AM 54</t>
  </si>
  <si>
    <t>AM 33.2</t>
  </si>
  <si>
    <t>AM 43.5</t>
  </si>
  <si>
    <t>AM 81</t>
  </si>
  <si>
    <t>AM 73.4</t>
  </si>
  <si>
    <t>AM 43.8</t>
  </si>
  <si>
    <t>AM 15.4</t>
  </si>
  <si>
    <t>AM 20.6</t>
  </si>
  <si>
    <t>AM 85.3</t>
  </si>
  <si>
    <t>&lt;1.0</t>
  </si>
  <si>
    <t>&lt;.5</t>
  </si>
  <si>
    <t>QNS</t>
  </si>
  <si>
    <t>AM 22.6</t>
  </si>
  <si>
    <t>AM 5.5</t>
  </si>
  <si>
    <t>AM 9.8</t>
  </si>
  <si>
    <t>AM 48.5</t>
  </si>
  <si>
    <t>AM 48.7</t>
  </si>
  <si>
    <t>AM 93.6</t>
  </si>
  <si>
    <t>AM 19.3</t>
  </si>
  <si>
    <t>AM 51.3</t>
  </si>
  <si>
    <t>AM 10.6</t>
  </si>
  <si>
    <t>AM 35.2</t>
  </si>
  <si>
    <t>AM 22.1</t>
  </si>
  <si>
    <t>AM 9.9</t>
  </si>
  <si>
    <t>AM 7.7</t>
  </si>
  <si>
    <t>AM 21.5</t>
  </si>
  <si>
    <t>AM 81.6</t>
  </si>
  <si>
    <t>127/88</t>
  </si>
  <si>
    <t>155/101</t>
  </si>
  <si>
    <t>141/99</t>
  </si>
  <si>
    <t>152/88</t>
  </si>
  <si>
    <t>180/91</t>
  </si>
  <si>
    <t>154/92</t>
  </si>
  <si>
    <t>CONTROL NO MM</t>
  </si>
  <si>
    <t>128/77</t>
  </si>
  <si>
    <t>113/86</t>
  </si>
  <si>
    <t>128/75</t>
  </si>
  <si>
    <t>197/96</t>
  </si>
  <si>
    <t>184/93</t>
  </si>
  <si>
    <t>119/73</t>
  </si>
  <si>
    <t>181/99</t>
  </si>
  <si>
    <t>153/75</t>
  </si>
  <si>
    <t>105/71</t>
  </si>
  <si>
    <t>101/74</t>
  </si>
  <si>
    <t>111/86</t>
  </si>
  <si>
    <t>102/72</t>
  </si>
  <si>
    <t>127/80</t>
  </si>
  <si>
    <t>159/94</t>
  </si>
  <si>
    <t>138/92</t>
  </si>
  <si>
    <t>148/125</t>
  </si>
  <si>
    <t>Cadmium &lt;0.72</t>
  </si>
  <si>
    <t>AM 37.7</t>
  </si>
  <si>
    <t>AM 29.7</t>
  </si>
  <si>
    <t>AM 37.6</t>
  </si>
  <si>
    <t>AM 53.1</t>
  </si>
  <si>
    <t>AM 18.1</t>
  </si>
  <si>
    <t>CONTROL DO NOT USE</t>
  </si>
  <si>
    <t>AM 39.6</t>
  </si>
  <si>
    <t>120/77</t>
  </si>
  <si>
    <t>161/85</t>
  </si>
  <si>
    <t>141/74</t>
  </si>
  <si>
    <t>116/77</t>
  </si>
  <si>
    <t>187/82</t>
  </si>
  <si>
    <t>161/87</t>
  </si>
  <si>
    <t>129/89</t>
  </si>
  <si>
    <t>186/104</t>
  </si>
  <si>
    <t>143/102</t>
  </si>
  <si>
    <t>118/79</t>
  </si>
  <si>
    <t>137/81</t>
  </si>
  <si>
    <t>120/80</t>
  </si>
  <si>
    <t>119/86</t>
  </si>
  <si>
    <t>174/104</t>
  </si>
  <si>
    <t>125/84</t>
  </si>
  <si>
    <t>134/79</t>
  </si>
  <si>
    <t>167/95</t>
  </si>
  <si>
    <t>130/88</t>
  </si>
  <si>
    <t>139/87</t>
  </si>
  <si>
    <t>181/93</t>
  </si>
  <si>
    <t>145/81</t>
  </si>
  <si>
    <t>132/86</t>
  </si>
  <si>
    <t>129/84</t>
  </si>
  <si>
    <t>99/72</t>
  </si>
  <si>
    <t>158/92</t>
  </si>
  <si>
    <t>103/77</t>
  </si>
  <si>
    <t>138/86</t>
  </si>
  <si>
    <t>181/105</t>
  </si>
  <si>
    <t>147/93</t>
  </si>
  <si>
    <t>126/71</t>
  </si>
  <si>
    <t>105/75</t>
  </si>
  <si>
    <t>110/66</t>
  </si>
  <si>
    <t>114/74</t>
  </si>
  <si>
    <t>130/72</t>
  </si>
  <si>
    <t>124/77</t>
  </si>
  <si>
    <t>159/101</t>
  </si>
  <si>
    <t>198/111</t>
  </si>
  <si>
    <t>167/101</t>
  </si>
  <si>
    <t>145/76</t>
  </si>
  <si>
    <t>172/81</t>
  </si>
  <si>
    <t>152/79</t>
  </si>
  <si>
    <t>147/86</t>
  </si>
  <si>
    <t>171/92</t>
  </si>
  <si>
    <t>159/95</t>
  </si>
  <si>
    <t>135/81</t>
  </si>
  <si>
    <t>176/86</t>
  </si>
  <si>
    <t>143/77</t>
  </si>
  <si>
    <t>120/79</t>
  </si>
  <si>
    <t>144/77</t>
  </si>
  <si>
    <t>121/72</t>
  </si>
  <si>
    <t>160/80</t>
  </si>
  <si>
    <t>109/83</t>
  </si>
  <si>
    <t>122/80</t>
  </si>
  <si>
    <t>108/79</t>
  </si>
  <si>
    <t>146/73</t>
  </si>
  <si>
    <t>138/71</t>
  </si>
  <si>
    <t>115/75</t>
  </si>
  <si>
    <t>139/84</t>
  </si>
  <si>
    <t>136/85</t>
  </si>
  <si>
    <t>129/88</t>
  </si>
  <si>
    <t>149/86</t>
  </si>
  <si>
    <t>129/105</t>
  </si>
  <si>
    <t>111/75</t>
  </si>
  <si>
    <t>137/80</t>
  </si>
  <si>
    <t>127/86</t>
  </si>
  <si>
    <t>148/71</t>
  </si>
  <si>
    <t>128/72</t>
  </si>
  <si>
    <t>139/92</t>
  </si>
  <si>
    <t>180/102</t>
  </si>
  <si>
    <t>160/94</t>
  </si>
  <si>
    <t>119/80</t>
  </si>
  <si>
    <t>148/82</t>
  </si>
  <si>
    <t>121/77</t>
  </si>
  <si>
    <t>178/92</t>
  </si>
  <si>
    <t>143/84</t>
  </si>
  <si>
    <t>110/64</t>
  </si>
  <si>
    <t>149/74</t>
  </si>
  <si>
    <t>126/75</t>
  </si>
  <si>
    <t>151/106</t>
  </si>
  <si>
    <t>147/97</t>
  </si>
  <si>
    <t>154/96</t>
  </si>
  <si>
    <t>129/76</t>
  </si>
  <si>
    <t>168/83</t>
  </si>
  <si>
    <t>144/81</t>
  </si>
  <si>
    <t>113/79</t>
  </si>
  <si>
    <t>131/86</t>
  </si>
  <si>
    <t>107/75</t>
  </si>
  <si>
    <t>162/84</t>
  </si>
  <si>
    <t>120/76</t>
  </si>
  <si>
    <t>135/93</t>
  </si>
  <si>
    <t>143/93</t>
  </si>
  <si>
    <t>119/78</t>
  </si>
  <si>
    <t>173/94</t>
  </si>
  <si>
    <t>118/82</t>
  </si>
  <si>
    <t>135/80</t>
  </si>
  <si>
    <t>146/86</t>
  </si>
  <si>
    <t>156/83</t>
  </si>
  <si>
    <t>145/90</t>
  </si>
  <si>
    <t>182/102</t>
  </si>
  <si>
    <t>188/88</t>
  </si>
  <si>
    <t>151/97</t>
  </si>
  <si>
    <t>150/90</t>
  </si>
  <si>
    <t>158/82</t>
  </si>
  <si>
    <t>145/85</t>
  </si>
  <si>
    <t>108/74</t>
  </si>
  <si>
    <t>116/73</t>
  </si>
  <si>
    <t>108/71</t>
  </si>
  <si>
    <t>131/80</t>
  </si>
  <si>
    <t>174/89</t>
  </si>
  <si>
    <t>141/87</t>
  </si>
  <si>
    <t>111/57</t>
  </si>
  <si>
    <t>198/77</t>
  </si>
  <si>
    <t>135/82</t>
  </si>
  <si>
    <t>111/79</t>
  </si>
  <si>
    <t>105/68</t>
  </si>
  <si>
    <t>119/75</t>
  </si>
  <si>
    <t xml:space="preserve">activated </t>
  </si>
  <si>
    <t>activated</t>
  </si>
  <si>
    <t>136/86</t>
  </si>
  <si>
    <t>151/84</t>
  </si>
  <si>
    <t>146/78</t>
  </si>
  <si>
    <t>119/83</t>
  </si>
  <si>
    <t>117/76</t>
  </si>
  <si>
    <t>120/86</t>
  </si>
  <si>
    <t>157/82</t>
  </si>
  <si>
    <t>149/94</t>
  </si>
  <si>
    <t>108/80</t>
  </si>
  <si>
    <t>110/75</t>
  </si>
  <si>
    <t>124/82</t>
  </si>
  <si>
    <t>195/96</t>
  </si>
  <si>
    <t>156/88</t>
  </si>
  <si>
    <t>187/95</t>
  </si>
  <si>
    <t>151/92</t>
  </si>
  <si>
    <t>107/76</t>
  </si>
  <si>
    <t>119/82</t>
  </si>
  <si>
    <t>133/82</t>
  </si>
  <si>
    <t>138/94</t>
  </si>
  <si>
    <t>154/94</t>
  </si>
  <si>
    <t>152/99</t>
  </si>
  <si>
    <t>121/80</t>
  </si>
  <si>
    <t>132/71</t>
  </si>
  <si>
    <t>133/83</t>
  </si>
  <si>
    <t>104/76</t>
  </si>
  <si>
    <t>157/91</t>
  </si>
  <si>
    <t>148/63</t>
  </si>
  <si>
    <t>195/94</t>
  </si>
  <si>
    <t>163/81</t>
  </si>
  <si>
    <t>95/65</t>
  </si>
  <si>
    <t>113/70</t>
  </si>
  <si>
    <t>111/70</t>
  </si>
  <si>
    <t>193/97</t>
  </si>
  <si>
    <t>n</t>
  </si>
  <si>
    <t>132/97</t>
  </si>
  <si>
    <t>165/196</t>
  </si>
  <si>
    <t>120/66</t>
  </si>
  <si>
    <t>131/83</t>
  </si>
  <si>
    <t>144/84</t>
  </si>
  <si>
    <t>133/84</t>
  </si>
  <si>
    <t>110/80</t>
  </si>
  <si>
    <t>152/100</t>
  </si>
  <si>
    <t>141/84</t>
  </si>
  <si>
    <t>131/88</t>
  </si>
  <si>
    <t>&lt;dl</t>
  </si>
  <si>
    <t>&gt;.5</t>
  </si>
  <si>
    <t>&lt;5</t>
  </si>
  <si>
    <t>qns</t>
  </si>
  <si>
    <t>Up to sub 1069</t>
  </si>
  <si>
    <t>For 1070 on</t>
  </si>
  <si>
    <t xml:space="preserve">For all </t>
  </si>
  <si>
    <t>Systolic</t>
  </si>
  <si>
    <t>Diastolic</t>
  </si>
  <si>
    <t>HR-pre WT</t>
  </si>
  <si>
    <t>HR-post WT</t>
  </si>
  <si>
    <t>Z Anx</t>
  </si>
  <si>
    <t>Z Depn</t>
  </si>
  <si>
    <t>Difference</t>
  </si>
  <si>
    <t>Vit D</t>
  </si>
  <si>
    <t>% out of range Pre</t>
  </si>
  <si>
    <t>% out of range Post</t>
  </si>
  <si>
    <t>32-100</t>
  </si>
  <si>
    <t>Number out of clinical range Pre</t>
  </si>
  <si>
    <t>Number out of clinical range Post</t>
  </si>
  <si>
    <t>NUMBER OF DATA POINTS</t>
  </si>
  <si>
    <t>% change in numbers</t>
  </si>
  <si>
    <t>=</t>
  </si>
  <si>
    <t>Resting</t>
  </si>
  <si>
    <t>Post 6MWT</t>
  </si>
  <si>
    <t>Change Pre-Post 6MWT</t>
  </si>
  <si>
    <t>BP</t>
  </si>
  <si>
    <t>Pulse Pressure</t>
  </si>
  <si>
    <t>COMPLETERS PRE-TEST</t>
  </si>
  <si>
    <t>Pre-Test</t>
  </si>
  <si>
    <t>Post-Test</t>
  </si>
  <si>
    <t>MEAN</t>
  </si>
  <si>
    <t>STANDARD DEV</t>
  </si>
  <si>
    <t>VARIANCE</t>
  </si>
  <si>
    <t>COMPLETERS POST-TEST</t>
  </si>
  <si>
    <t>LEGEND</t>
  </si>
  <si>
    <t>Mean Pre-Test</t>
  </si>
  <si>
    <t>not sig</t>
  </si>
  <si>
    <t>Mean Post-Test</t>
  </si>
  <si>
    <t>trending sig</t>
  </si>
  <si>
    <t>% Change</t>
  </si>
  <si>
    <t>Significance</t>
  </si>
  <si>
    <t>COMPLETERS PRE-TEST VS POST-TEST</t>
  </si>
  <si>
    <t>Subjects missing data in one test are eliminated from both</t>
  </si>
  <si>
    <t>Out of clinical range</t>
  </si>
  <si>
    <t>Missing data</t>
  </si>
  <si>
    <t>Significance: Chi-square</t>
  </si>
  <si>
    <t>ns</t>
  </si>
  <si>
    <t>p&lt;0.05</t>
  </si>
  <si>
    <t>Significant</t>
  </si>
  <si>
    <t>T-Tests</t>
  </si>
  <si>
    <t>Chi-Squared</t>
  </si>
  <si>
    <t>Chi-squared:</t>
  </si>
  <si>
    <t>p=0.05</t>
  </si>
  <si>
    <t>p&lt;0.005</t>
  </si>
  <si>
    <t>participant 1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</si>
  <si>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</si>
  <si>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</si>
  <si>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</si>
  <si>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</si>
  <si>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</si>
  <si>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</si>
  <si>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</si>
  <si>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</si>
  <si>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</si>
  <si>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participant 11</t>
  </si>
  <si>
    <t>participant 12</t>
  </si>
  <si>
    <t>participant 13</t>
  </si>
  <si>
    <t>participant 14</t>
  </si>
  <si>
    <t>Measure name</t>
  </si>
  <si>
    <t>Threshold indicating out of clinical range: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</si>
</sst>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5" formatCode="0.0"/>
    <numFmt numFmtId="166" formatCode="0.000"/>
    <numFmt numFmtId="169" formatCode="[$-409]mmm\-yy;@"/>
  </numFmts>
  <fonts count="3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6100"/>
      <name val="Calibri"/>
      <family val="2"/>
      <charset val="238"/>
      <scheme val="minor"/>
    </font>
    <font>
      <sz val="12"/>
      <color rgb="FF9C6500"/>
      <name val="Calibri"/>
      <family val="2"/>
      <charset val="238"/>
      <scheme val="minor"/>
    </font>
    <font>
      <sz val="12"/>
      <color rgb="FFFF0000"/>
      <name val="Calibri"/>
      <family val="2"/>
      <scheme val="minor"/>
    </font>
    <font>
      <sz val="12"/>
      <color rgb="FF0000FF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sz val="12"/>
      <name val="Calibri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1"/>
      <name val="Calibri"/>
      <scheme val="minor"/>
    </font>
    <font>
      <b/>
      <sz val="14"/>
      <color theme="1"/>
      <name val="Calibri"/>
      <scheme val="minor"/>
    </font>
    <font>
      <b/>
      <sz val="16"/>
      <color theme="1"/>
      <name val="Calibri"/>
      <scheme val="minor"/>
    </font>
    <font>
      <sz val="16"/>
      <color theme="1"/>
      <name val="Calibri"/>
      <scheme val="minor"/>
    </font>
    <font>
      <b/>
      <sz val="18"/>
      <color theme="1"/>
      <name val="Calibri"/>
      <scheme val="minor"/>
    </font>
    <font>
      <sz val="12"/>
      <color theme="3" tint="0.59999389629810485"/>
      <name val="Calibri"/>
      <scheme val="minor"/>
    </font>
    <font>
      <sz val="16"/>
      <color theme="1"/>
      <name val="Calibri"/>
    </font>
    <font>
      <sz val="20"/>
      <color rgb="FF00B0F0"/>
      <name val="Calibri"/>
      <family val="2"/>
      <scheme val="minor"/>
    </font>
    <font>
      <sz val="20"/>
      <color rgb="FF00B050"/>
      <name val="Calibri"/>
      <family val="2"/>
      <scheme val="minor"/>
    </font>
    <font>
      <b/>
      <sz val="14"/>
      <color rgb="FF00B0F0"/>
      <name val="Calibri"/>
      <scheme val="minor"/>
    </font>
    <font>
      <sz val="14"/>
      <color rgb="FF00B0F0"/>
      <name val="Calibri"/>
      <scheme val="minor"/>
    </font>
    <font>
      <b/>
      <sz val="14"/>
      <color rgb="FF92D050"/>
      <name val="Calibri"/>
      <scheme val="minor"/>
    </font>
    <font>
      <sz val="14"/>
      <color rgb="FF00B050"/>
      <name val="Calibri"/>
      <scheme val="minor"/>
    </font>
    <font>
      <b/>
      <sz val="14"/>
      <color theme="1"/>
      <name val="Calibri (Body)"/>
    </font>
    <font>
      <sz val="14"/>
      <name val="Calibri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scheme val="minor"/>
    </font>
    <font>
      <b/>
      <sz val="22"/>
      <color rgb="FFFF0000"/>
      <name val="Calibri (Body)"/>
    </font>
    <font>
      <b/>
      <sz val="20"/>
      <color rgb="FFFF0000"/>
      <name val="Calibri (Body)"/>
    </font>
    <font>
      <b/>
      <sz val="14"/>
      <color rgb="FF000000"/>
      <name val="Calibri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0D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60FA64"/>
        <bgColor indexed="64"/>
      </patternFill>
    </fill>
    <fill>
      <patternFill patternType="solid">
        <fgColor rgb="FFFFFDDE"/>
        <bgColor rgb="FF000000"/>
      </patternFill>
    </fill>
  </fills>
  <borders count="49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/>
      <diagonal/>
    </border>
  </borders>
  <cellStyleXfs count="752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20">
    <xf numFmtId="0" fontId="0" fillId="0" borderId="0" xfId="0"/>
    <xf numFmtId="0" fontId="0" fillId="0" borderId="0" xfId="0" applyAlignment="1">
      <alignment horizontal="center"/>
    </xf>
    <xf numFmtId="0" fontId="9" fillId="4" borderId="0" xfId="69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2" fontId="10" fillId="5" borderId="0" xfId="70" applyNumberForma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2" fillId="7" borderId="0" xfId="0" applyFont="1" applyFill="1" applyAlignment="1">
      <alignment horizontal="center"/>
    </xf>
    <xf numFmtId="17" fontId="0" fillId="7" borderId="0" xfId="0" applyNumberForma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14" fontId="0" fillId="8" borderId="0" xfId="0" applyNumberFormat="1" applyFill="1" applyAlignment="1">
      <alignment horizontal="center"/>
    </xf>
    <xf numFmtId="17" fontId="0" fillId="8" borderId="0" xfId="0" applyNumberForma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4" borderId="0" xfId="69" applyAlignment="1">
      <alignment horizontal="center"/>
    </xf>
    <xf numFmtId="0" fontId="0" fillId="9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4" borderId="0" xfId="0" applyFill="1" applyAlignment="1">
      <alignment horizontal="center"/>
    </xf>
    <xf numFmtId="14" fontId="0" fillId="14" borderId="0" xfId="0" applyNumberFormat="1" applyFill="1" applyAlignment="1">
      <alignment horizontal="center"/>
    </xf>
    <xf numFmtId="0" fontId="11" fillId="14" borderId="0" xfId="0" applyFont="1" applyFill="1" applyAlignment="1">
      <alignment horizontal="center"/>
    </xf>
    <xf numFmtId="17" fontId="0" fillId="14" borderId="0" xfId="0" applyNumberForma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9" fillId="4" borderId="0" xfId="69" applyAlignment="1">
      <alignment horizontal="center"/>
    </xf>
    <xf numFmtId="2" fontId="0" fillId="2" borderId="0" xfId="0" applyNumberFormat="1" applyFill="1" applyAlignment="1">
      <alignment horizontal="center"/>
    </xf>
    <xf numFmtId="14" fontId="0" fillId="13" borderId="0" xfId="0" applyNumberFormat="1" applyFill="1" applyAlignment="1">
      <alignment horizontal="center"/>
    </xf>
    <xf numFmtId="0" fontId="11" fillId="1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0" fillId="0" borderId="0" xfId="0" applyFill="1"/>
    <xf numFmtId="0" fontId="16" fillId="0" borderId="0" xfId="0" applyFont="1"/>
    <xf numFmtId="165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17" fillId="0" borderId="0" xfId="0" applyFont="1"/>
    <xf numFmtId="0" fontId="18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8" xfId="0" applyBorder="1"/>
    <xf numFmtId="0" fontId="0" fillId="0" borderId="0" xfId="0" applyBorder="1"/>
    <xf numFmtId="0" fontId="0" fillId="0" borderId="9" xfId="0" applyBorder="1"/>
    <xf numFmtId="2" fontId="0" fillId="0" borderId="10" xfId="0" applyNumberFormat="1" applyBorder="1"/>
    <xf numFmtId="2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10" xfId="0" applyBorder="1"/>
    <xf numFmtId="0" fontId="0" fillId="0" borderId="1" xfId="0" applyBorder="1"/>
    <xf numFmtId="2" fontId="0" fillId="19" borderId="0" xfId="0" applyNumberFormat="1" applyFill="1"/>
    <xf numFmtId="0" fontId="0" fillId="18" borderId="28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166" fontId="0" fillId="0" borderId="0" xfId="0" applyNumberFormat="1"/>
    <xf numFmtId="0" fontId="0" fillId="17" borderId="0" xfId="0" applyFill="1"/>
    <xf numFmtId="9" fontId="18" fillId="0" borderId="0" xfId="639" applyFont="1" applyBorder="1"/>
    <xf numFmtId="0" fontId="0" fillId="21" borderId="0" xfId="0" applyFill="1"/>
    <xf numFmtId="0" fontId="0" fillId="18" borderId="8" xfId="0" applyFill="1" applyBorder="1"/>
    <xf numFmtId="0" fontId="0" fillId="18" borderId="0" xfId="0" applyFill="1" applyBorder="1"/>
    <xf numFmtId="0" fontId="0" fillId="18" borderId="9" xfId="0" applyFill="1" applyBorder="1"/>
    <xf numFmtId="2" fontId="19" fillId="16" borderId="8" xfId="0" applyNumberFormat="1" applyFont="1" applyFill="1" applyBorder="1"/>
    <xf numFmtId="0" fontId="20" fillId="0" borderId="0" xfId="0" applyFont="1" applyAlignment="1">
      <alignment horizontal="center" vertical="center"/>
    </xf>
    <xf numFmtId="0" fontId="0" fillId="18" borderId="0" xfId="0" applyFill="1"/>
    <xf numFmtId="0" fontId="0" fillId="0" borderId="0" xfId="0" applyFill="1" applyBorder="1"/>
    <xf numFmtId="0" fontId="20" fillId="0" borderId="0" xfId="0" applyFont="1" applyAlignment="1">
      <alignment vertical="center"/>
    </xf>
    <xf numFmtId="0" fontId="21" fillId="22" borderId="40" xfId="0" applyFont="1" applyFill="1" applyBorder="1" applyAlignment="1">
      <alignment horizontal="center" vertical="center"/>
    </xf>
    <xf numFmtId="0" fontId="21" fillId="22" borderId="30" xfId="0" applyFont="1" applyFill="1" applyBorder="1" applyAlignment="1">
      <alignment horizontal="center" vertical="center"/>
    </xf>
    <xf numFmtId="0" fontId="21" fillId="22" borderId="22" xfId="0" applyFont="1" applyFill="1" applyBorder="1" applyAlignment="1">
      <alignment horizontal="center" vertical="center"/>
    </xf>
    <xf numFmtId="0" fontId="24" fillId="22" borderId="7" xfId="0" applyFont="1" applyFill="1" applyBorder="1" applyAlignment="1">
      <alignment horizontal="center" vertical="center"/>
    </xf>
    <xf numFmtId="0" fontId="18" fillId="0" borderId="19" xfId="0" applyFont="1" applyBorder="1"/>
    <xf numFmtId="0" fontId="18" fillId="0" borderId="20" xfId="0" applyFont="1" applyBorder="1"/>
    <xf numFmtId="0" fontId="18" fillId="0" borderId="36" xfId="0" applyFont="1" applyBorder="1"/>
    <xf numFmtId="0" fontId="18" fillId="0" borderId="21" xfId="0" applyFont="1" applyBorder="1"/>
    <xf numFmtId="0" fontId="18" fillId="0" borderId="0" xfId="0" applyFont="1" applyAlignment="1">
      <alignment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34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0" fillId="17" borderId="6" xfId="0" applyFill="1" applyBorder="1" applyAlignment="1">
      <alignment horizontal="center"/>
    </xf>
    <xf numFmtId="0" fontId="0" fillId="17" borderId="0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12" fillId="17" borderId="9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9" xfId="0" applyFill="1" applyBorder="1"/>
    <xf numFmtId="0" fontId="0" fillId="0" borderId="8" xfId="0" applyFill="1" applyBorder="1"/>
    <xf numFmtId="0" fontId="10" fillId="0" borderId="0" xfId="70" applyFill="1" applyBorder="1" applyAlignment="1">
      <alignment horizontal="center"/>
    </xf>
    <xf numFmtId="0" fontId="11" fillId="0" borderId="9" xfId="0" applyFont="1" applyFill="1" applyBorder="1" applyAlignment="1">
      <alignment horizontal="center"/>
    </xf>
    <xf numFmtId="0" fontId="0" fillId="17" borderId="0" xfId="0" applyFill="1" applyBorder="1"/>
    <xf numFmtId="0" fontId="0" fillId="17" borderId="9" xfId="0" applyFill="1" applyBorder="1"/>
    <xf numFmtId="0" fontId="0" fillId="17" borderId="8" xfId="0" applyFill="1" applyBorder="1"/>
    <xf numFmtId="0" fontId="11" fillId="17" borderId="9" xfId="0" applyFont="1" applyFill="1" applyBorder="1" applyAlignment="1">
      <alignment horizontal="center"/>
    </xf>
    <xf numFmtId="0" fontId="10" fillId="17" borderId="0" xfId="70" applyFill="1" applyBorder="1" applyAlignment="1">
      <alignment horizontal="center"/>
    </xf>
    <xf numFmtId="0" fontId="10" fillId="0" borderId="8" xfId="70" applyFill="1" applyBorder="1" applyAlignment="1">
      <alignment horizontal="center"/>
    </xf>
    <xf numFmtId="0" fontId="23" fillId="0" borderId="9" xfId="0" applyFont="1" applyFill="1" applyBorder="1" applyAlignment="1">
      <alignment horizontal="center"/>
    </xf>
    <xf numFmtId="0" fontId="0" fillId="17" borderId="10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10" xfId="0" applyFill="1" applyBorder="1"/>
    <xf numFmtId="0" fontId="0" fillId="17" borderId="1" xfId="0" applyFill="1" applyBorder="1" applyAlignment="1">
      <alignment horizontal="center"/>
    </xf>
    <xf numFmtId="0" fontId="0" fillId="17" borderId="1" xfId="0" applyFill="1" applyBorder="1"/>
    <xf numFmtId="0" fontId="0" fillId="17" borderId="4" xfId="0" applyFill="1" applyBorder="1"/>
    <xf numFmtId="0" fontId="11" fillId="17" borderId="1" xfId="0" applyFont="1" applyFill="1" applyBorder="1" applyAlignment="1">
      <alignment horizontal="center"/>
    </xf>
    <xf numFmtId="0" fontId="16" fillId="19" borderId="0" xfId="0" applyFont="1" applyFill="1"/>
    <xf numFmtId="2" fontId="0" fillId="19" borderId="8" xfId="0" applyNumberFormat="1" applyFill="1" applyBorder="1"/>
    <xf numFmtId="2" fontId="0" fillId="19" borderId="0" xfId="0" applyNumberFormat="1" applyFill="1" applyBorder="1"/>
    <xf numFmtId="2" fontId="0" fillId="19" borderId="9" xfId="0" applyNumberFormat="1" applyFill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4" xfId="0" applyNumberFormat="1" applyBorder="1"/>
    <xf numFmtId="2" fontId="0" fillId="0" borderId="1" xfId="0" applyNumberFormat="1" applyBorder="1"/>
    <xf numFmtId="0" fontId="0" fillId="18" borderId="6" xfId="0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18" borderId="7" xfId="0" applyFill="1" applyBorder="1" applyAlignment="1">
      <alignment horizontal="center"/>
    </xf>
    <xf numFmtId="0" fontId="0" fillId="18" borderId="6" xfId="0" applyFill="1" applyBorder="1"/>
    <xf numFmtId="0" fontId="0" fillId="18" borderId="7" xfId="0" applyFill="1" applyBorder="1"/>
    <xf numFmtId="0" fontId="0" fillId="18" borderId="5" xfId="0" applyFill="1" applyBorder="1"/>
    <xf numFmtId="0" fontId="10" fillId="18" borderId="6" xfId="70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0" fillId="18" borderId="0" xfId="0" applyFill="1" applyBorder="1" applyAlignment="1">
      <alignment horizontal="center"/>
    </xf>
    <xf numFmtId="0" fontId="0" fillId="18" borderId="8" xfId="0" applyFill="1" applyBorder="1" applyAlignment="1">
      <alignment horizontal="center"/>
    </xf>
    <xf numFmtId="0" fontId="0" fillId="18" borderId="9" xfId="0" applyFill="1" applyBorder="1" applyAlignment="1">
      <alignment horizontal="center"/>
    </xf>
    <xf numFmtId="0" fontId="11" fillId="18" borderId="9" xfId="0" applyFont="1" applyFill="1" applyBorder="1" applyAlignment="1">
      <alignment horizontal="center"/>
    </xf>
    <xf numFmtId="0" fontId="10" fillId="18" borderId="0" xfId="70" applyFill="1" applyBorder="1" applyAlignment="1">
      <alignment horizontal="center"/>
    </xf>
    <xf numFmtId="0" fontId="12" fillId="18" borderId="9" xfId="0" applyFont="1" applyFill="1" applyBorder="1" applyAlignment="1">
      <alignment horizontal="center"/>
    </xf>
    <xf numFmtId="0" fontId="10" fillId="0" borderId="9" xfId="70" applyFill="1" applyBorder="1" applyAlignment="1">
      <alignment horizontal="center"/>
    </xf>
    <xf numFmtId="0" fontId="0" fillId="18" borderId="10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8" borderId="10" xfId="0" applyFill="1" applyBorder="1"/>
    <xf numFmtId="0" fontId="0" fillId="18" borderId="1" xfId="0" applyFill="1" applyBorder="1"/>
    <xf numFmtId="0" fontId="0" fillId="18" borderId="4" xfId="0" applyFill="1" applyBorder="1"/>
    <xf numFmtId="0" fontId="18" fillId="0" borderId="0" xfId="0" applyFont="1" applyAlignment="1">
      <alignment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8" fillId="2" borderId="34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2" fontId="27" fillId="0" borderId="0" xfId="0" applyNumberFormat="1" applyFont="1"/>
    <xf numFmtId="2" fontId="28" fillId="0" borderId="0" xfId="0" applyNumberFormat="1" applyFont="1" applyFill="1" applyBorder="1"/>
    <xf numFmtId="2" fontId="28" fillId="0" borderId="8" xfId="0" applyNumberFormat="1" applyFont="1" applyFill="1" applyBorder="1"/>
    <xf numFmtId="2" fontId="28" fillId="0" borderId="9" xfId="0" applyNumberFormat="1" applyFont="1" applyFill="1" applyBorder="1"/>
    <xf numFmtId="2" fontId="29" fillId="0" borderId="0" xfId="0" applyNumberFormat="1" applyFont="1"/>
    <xf numFmtId="2" fontId="30" fillId="0" borderId="0" xfId="0" applyNumberFormat="1" applyFont="1" applyFill="1" applyBorder="1"/>
    <xf numFmtId="2" fontId="30" fillId="0" borderId="8" xfId="0" applyNumberFormat="1" applyFont="1" applyFill="1" applyBorder="1"/>
    <xf numFmtId="2" fontId="30" fillId="0" borderId="9" xfId="0" applyNumberFormat="1" applyFont="1" applyFill="1" applyBorder="1"/>
    <xf numFmtId="0" fontId="31" fillId="0" borderId="0" xfId="0" applyFont="1"/>
    <xf numFmtId="9" fontId="18" fillId="0" borderId="0" xfId="639" applyFont="1" applyFill="1" applyBorder="1"/>
    <xf numFmtId="9" fontId="32" fillId="0" borderId="0" xfId="639" applyFont="1" applyFill="1" applyBorder="1"/>
    <xf numFmtId="9" fontId="18" fillId="0" borderId="8" xfId="639" applyFont="1" applyBorder="1"/>
    <xf numFmtId="9" fontId="18" fillId="0" borderId="9" xfId="639" applyFont="1" applyBorder="1"/>
    <xf numFmtId="166" fontId="31" fillId="0" borderId="0" xfId="0" applyNumberFormat="1" applyFont="1"/>
    <xf numFmtId="166" fontId="18" fillId="15" borderId="0" xfId="0" applyNumberFormat="1" applyFont="1" applyFill="1"/>
    <xf numFmtId="166" fontId="18" fillId="16" borderId="0" xfId="0" applyNumberFormat="1" applyFont="1" applyFill="1"/>
    <xf numFmtId="166" fontId="18" fillId="15" borderId="0" xfId="0" applyNumberFormat="1" applyFont="1" applyFill="1" applyBorder="1"/>
    <xf numFmtId="166" fontId="18" fillId="16" borderId="0" xfId="0" applyNumberFormat="1" applyFont="1" applyFill="1" applyBorder="1"/>
    <xf numFmtId="166" fontId="18" fillId="15" borderId="8" xfId="0" applyNumberFormat="1" applyFont="1" applyFill="1" applyBorder="1"/>
    <xf numFmtId="166" fontId="18" fillId="15" borderId="9" xfId="0" applyNumberFormat="1" applyFont="1" applyFill="1" applyBorder="1"/>
    <xf numFmtId="0" fontId="0" fillId="17" borderId="3" xfId="0" applyFill="1" applyBorder="1" applyAlignment="1">
      <alignment horizontal="center" vertical="center"/>
    </xf>
    <xf numFmtId="0" fontId="0" fillId="17" borderId="26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17" borderId="25" xfId="0" applyFill="1" applyBorder="1" applyAlignment="1">
      <alignment horizontal="center" vertical="center"/>
    </xf>
    <xf numFmtId="0" fontId="0" fillId="18" borderId="27" xfId="0" applyFill="1" applyBorder="1" applyAlignment="1">
      <alignment horizontal="center" vertical="center"/>
    </xf>
    <xf numFmtId="9" fontId="0" fillId="17" borderId="28" xfId="639" applyFont="1" applyFill="1" applyBorder="1" applyAlignment="1">
      <alignment horizontal="center" vertical="center"/>
    </xf>
    <xf numFmtId="9" fontId="0" fillId="17" borderId="41" xfId="639" applyFont="1" applyFill="1" applyBorder="1" applyAlignment="1">
      <alignment horizontal="center" vertical="center"/>
    </xf>
    <xf numFmtId="9" fontId="0" fillId="18" borderId="28" xfId="639" applyFont="1" applyFill="1" applyBorder="1" applyAlignment="1">
      <alignment horizontal="center" vertical="center"/>
    </xf>
    <xf numFmtId="9" fontId="0" fillId="18" borderId="41" xfId="639" applyFont="1" applyFill="1" applyBorder="1" applyAlignment="1">
      <alignment horizontal="center" vertical="center"/>
    </xf>
    <xf numFmtId="9" fontId="0" fillId="0" borderId="28" xfId="0" applyNumberFormat="1" applyBorder="1" applyAlignment="1">
      <alignment horizontal="center" vertical="center"/>
    </xf>
    <xf numFmtId="9" fontId="0" fillId="0" borderId="28" xfId="0" applyNumberFormat="1" applyFill="1" applyBorder="1" applyAlignment="1">
      <alignment horizontal="center" vertical="center"/>
    </xf>
    <xf numFmtId="9" fontId="0" fillId="0" borderId="41" xfId="0" applyNumberFormat="1" applyBorder="1" applyAlignment="1">
      <alignment horizontal="center" vertical="center"/>
    </xf>
    <xf numFmtId="9" fontId="0" fillId="0" borderId="35" xfId="0" applyNumberFormat="1" applyFill="1" applyBorder="1" applyAlignment="1">
      <alignment horizontal="center" vertical="center"/>
    </xf>
    <xf numFmtId="0" fontId="0" fillId="24" borderId="0" xfId="0" applyFill="1"/>
    <xf numFmtId="0" fontId="33" fillId="0" borderId="42" xfId="0" applyFont="1" applyBorder="1" applyAlignment="1">
      <alignment vertical="center"/>
    </xf>
    <xf numFmtId="0" fontId="0" fillId="0" borderId="43" xfId="0" applyBorder="1"/>
    <xf numFmtId="0" fontId="0" fillId="0" borderId="38" xfId="0" applyBorder="1"/>
    <xf numFmtId="0" fontId="18" fillId="21" borderId="0" xfId="0" applyFont="1" applyFill="1"/>
    <xf numFmtId="0" fontId="18" fillId="21" borderId="0" xfId="0" applyFont="1" applyFill="1" applyAlignment="1">
      <alignment vertical="center" wrapText="1"/>
    </xf>
    <xf numFmtId="0" fontId="21" fillId="21" borderId="0" xfId="0" applyFont="1" applyFill="1"/>
    <xf numFmtId="0" fontId="18" fillId="21" borderId="0" xfId="0" applyFont="1" applyFill="1" applyAlignment="1">
      <alignment vertical="center"/>
    </xf>
    <xf numFmtId="0" fontId="18" fillId="2" borderId="37" xfId="0" applyFont="1" applyFill="1" applyBorder="1" applyAlignment="1">
      <alignment horizontal="center" vertical="center" wrapText="1"/>
    </xf>
    <xf numFmtId="0" fontId="16" fillId="21" borderId="0" xfId="0" applyFont="1" applyFill="1" applyBorder="1" applyAlignment="1">
      <alignment horizontal="center"/>
    </xf>
    <xf numFmtId="2" fontId="0" fillId="21" borderId="0" xfId="0" applyNumberFormat="1" applyFill="1" applyBorder="1" applyAlignment="1">
      <alignment horizontal="center"/>
    </xf>
    <xf numFmtId="9" fontId="18" fillId="0" borderId="9" xfId="639" applyFont="1" applyFill="1" applyBorder="1"/>
    <xf numFmtId="166" fontId="0" fillId="21" borderId="0" xfId="639" applyNumberFormat="1" applyFont="1" applyFill="1" applyBorder="1" applyAlignment="1">
      <alignment horizontal="center"/>
    </xf>
    <xf numFmtId="166" fontId="18" fillId="15" borderId="10" xfId="0" applyNumberFormat="1" applyFont="1" applyFill="1" applyBorder="1"/>
    <xf numFmtId="166" fontId="18" fillId="15" borderId="1" xfId="0" applyNumberFormat="1" applyFont="1" applyFill="1" applyBorder="1"/>
    <xf numFmtId="0" fontId="0" fillId="0" borderId="0" xfId="0" applyAlignment="1">
      <alignment horizontal="left" vertical="center"/>
    </xf>
    <xf numFmtId="0" fontId="19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Border="1" applyAlignment="1">
      <alignment horizontal="center"/>
    </xf>
    <xf numFmtId="9" fontId="0" fillId="23" borderId="35" xfId="0" applyNumberFormat="1" applyFill="1" applyBorder="1" applyAlignment="1">
      <alignment horizontal="center" vertical="center"/>
    </xf>
    <xf numFmtId="9" fontId="18" fillId="23" borderId="0" xfId="639" applyFont="1" applyFill="1" applyBorder="1"/>
    <xf numFmtId="9" fontId="0" fillId="23" borderId="28" xfId="0" applyNumberFormat="1" applyFill="1" applyBorder="1" applyAlignment="1">
      <alignment horizontal="center" vertical="center"/>
    </xf>
    <xf numFmtId="166" fontId="18" fillId="25" borderId="0" xfId="0" applyNumberFormat="1" applyFont="1" applyFill="1"/>
    <xf numFmtId="166" fontId="18" fillId="25" borderId="8" xfId="0" applyNumberFormat="1" applyFont="1" applyFill="1" applyBorder="1"/>
    <xf numFmtId="166" fontId="18" fillId="25" borderId="0" xfId="0" applyNumberFormat="1" applyFont="1" applyFill="1" applyBorder="1"/>
    <xf numFmtId="0" fontId="11" fillId="18" borderId="7" xfId="0" applyFont="1" applyFill="1" applyBorder="1" applyAlignment="1">
      <alignment horizontal="center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34" fillId="0" borderId="0" xfId="0" applyFont="1"/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right"/>
    </xf>
    <xf numFmtId="0" fontId="22" fillId="0" borderId="0" xfId="0" applyFont="1" applyAlignment="1">
      <alignment horizontal="right" vertical="center"/>
    </xf>
    <xf numFmtId="166" fontId="34" fillId="0" borderId="0" xfId="0" applyNumberFormat="1" applyFont="1" applyBorder="1" applyAlignment="1">
      <alignment horizontal="right" vertical="center"/>
    </xf>
    <xf numFmtId="166" fontId="34" fillId="21" borderId="0" xfId="0" applyNumberFormat="1" applyFont="1" applyFill="1" applyBorder="1" applyAlignment="1">
      <alignment horizontal="right"/>
    </xf>
    <xf numFmtId="166" fontId="34" fillId="0" borderId="0" xfId="639" applyNumberFormat="1" applyFont="1" applyAlignment="1">
      <alignment horizontal="right"/>
    </xf>
    <xf numFmtId="166" fontId="34" fillId="0" borderId="0" xfId="0" applyNumberFormat="1" applyFont="1" applyAlignment="1">
      <alignment horizontal="right"/>
    </xf>
    <xf numFmtId="0" fontId="34" fillId="25" borderId="0" xfId="0" applyFont="1" applyFill="1" applyAlignment="1">
      <alignment horizontal="right"/>
    </xf>
    <xf numFmtId="0" fontId="34" fillId="25" borderId="8" xfId="0" applyFont="1" applyFill="1" applyBorder="1" applyAlignment="1">
      <alignment horizontal="right"/>
    </xf>
    <xf numFmtId="0" fontId="34" fillId="0" borderId="0" xfId="0" applyFont="1" applyBorder="1" applyAlignment="1">
      <alignment horizontal="right"/>
    </xf>
    <xf numFmtId="0" fontId="34" fillId="0" borderId="8" xfId="0" applyFont="1" applyBorder="1" applyAlignment="1">
      <alignment horizontal="right"/>
    </xf>
    <xf numFmtId="0" fontId="34" fillId="0" borderId="9" xfId="0" applyFont="1" applyBorder="1" applyAlignment="1">
      <alignment horizontal="right"/>
    </xf>
    <xf numFmtId="0" fontId="34" fillId="0" borderId="0" xfId="0" applyFont="1" applyBorder="1" applyAlignment="1">
      <alignment horizontal="right" vertical="center"/>
    </xf>
    <xf numFmtId="0" fontId="34" fillId="3" borderId="0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4" borderId="0" xfId="69" applyAlignment="1">
      <alignment horizontal="center"/>
    </xf>
    <xf numFmtId="0" fontId="1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9" fillId="20" borderId="36" xfId="0" applyFont="1" applyFill="1" applyBorder="1" applyAlignment="1">
      <alignment horizontal="center"/>
    </xf>
    <xf numFmtId="0" fontId="26" fillId="0" borderId="5" xfId="0" applyFont="1" applyBorder="1" applyAlignment="1">
      <alignment horizontal="center" vertical="center" textRotation="90"/>
    </xf>
    <xf numFmtId="0" fontId="26" fillId="0" borderId="8" xfId="0" applyFont="1" applyBorder="1" applyAlignment="1">
      <alignment horizontal="center" vertical="center" textRotation="90"/>
    </xf>
    <xf numFmtId="0" fontId="26" fillId="0" borderId="4" xfId="0" applyFont="1" applyBorder="1" applyAlignment="1">
      <alignment horizontal="center" vertical="center" textRotation="90"/>
    </xf>
    <xf numFmtId="0" fontId="25" fillId="0" borderId="5" xfId="0" applyFont="1" applyBorder="1" applyAlignment="1">
      <alignment horizontal="center" vertical="center" textRotation="90"/>
    </xf>
    <xf numFmtId="0" fontId="25" fillId="0" borderId="8" xfId="0" applyFont="1" applyBorder="1" applyAlignment="1">
      <alignment horizontal="center" vertical="center" textRotation="90"/>
    </xf>
    <xf numFmtId="0" fontId="25" fillId="0" borderId="4" xfId="0" applyFont="1" applyBorder="1" applyAlignment="1">
      <alignment horizontal="center" vertical="center" textRotation="90"/>
    </xf>
    <xf numFmtId="0" fontId="35" fillId="0" borderId="46" xfId="0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9" fillId="20" borderId="39" xfId="0" applyFont="1" applyFill="1" applyBorder="1" applyAlignment="1">
      <alignment horizontal="center"/>
    </xf>
    <xf numFmtId="0" fontId="19" fillId="20" borderId="44" xfId="0" applyFont="1" applyFill="1" applyBorder="1" applyAlignment="1">
      <alignment horizontal="center"/>
    </xf>
    <xf numFmtId="0" fontId="34" fillId="0" borderId="9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/>
    </xf>
    <xf numFmtId="0" fontId="19" fillId="0" borderId="45" xfId="0" applyFont="1" applyBorder="1" applyAlignment="1">
      <alignment horizontal="center"/>
    </xf>
    <xf numFmtId="0" fontId="19" fillId="0" borderId="44" xfId="0" applyFont="1" applyBorder="1" applyAlignment="1">
      <alignment horizontal="center"/>
    </xf>
    <xf numFmtId="169" fontId="0" fillId="17" borderId="6" xfId="0" applyNumberFormat="1" applyFill="1" applyBorder="1" applyAlignment="1">
      <alignment horizontal="center"/>
    </xf>
    <xf numFmtId="169" fontId="0" fillId="0" borderId="0" xfId="0" applyNumberFormat="1" applyFill="1" applyBorder="1" applyAlignment="1">
      <alignment horizontal="center"/>
    </xf>
    <xf numFmtId="169" fontId="0" fillId="17" borderId="0" xfId="0" applyNumberFormat="1" applyFill="1" applyBorder="1" applyAlignment="1">
      <alignment horizontal="center"/>
    </xf>
    <xf numFmtId="169" fontId="0" fillId="17" borderId="10" xfId="0" applyNumberFormat="1" applyFill="1" applyBorder="1" applyAlignment="1">
      <alignment horizontal="center"/>
    </xf>
    <xf numFmtId="169" fontId="16" fillId="0" borderId="0" xfId="0" applyNumberFormat="1" applyFont="1"/>
    <xf numFmtId="169" fontId="16" fillId="19" borderId="0" xfId="0" applyNumberFormat="1" applyFont="1" applyFill="1"/>
    <xf numFmtId="169" fontId="0" fillId="0" borderId="0" xfId="0" applyNumberFormat="1"/>
    <xf numFmtId="169" fontId="0" fillId="18" borderId="6" xfId="0" applyNumberFormat="1" applyFill="1" applyBorder="1" applyAlignment="1">
      <alignment horizontal="center"/>
    </xf>
    <xf numFmtId="169" fontId="0" fillId="18" borderId="0" xfId="0" applyNumberFormat="1" applyFill="1" applyBorder="1" applyAlignment="1">
      <alignment horizontal="center"/>
    </xf>
    <xf numFmtId="169" fontId="0" fillId="18" borderId="10" xfId="0" applyNumberFormat="1" applyFill="1" applyBorder="1" applyAlignment="1">
      <alignment horizontal="center"/>
    </xf>
    <xf numFmtId="9" fontId="18" fillId="0" borderId="8" xfId="639" applyFont="1" applyFill="1" applyBorder="1"/>
    <xf numFmtId="0" fontId="17" fillId="0" borderId="26" xfId="0" applyFont="1" applyBorder="1"/>
    <xf numFmtId="0" fontId="37" fillId="0" borderId="5" xfId="0" applyFont="1" applyBorder="1" applyAlignment="1">
      <alignment horizontal="center" vertical="center"/>
    </xf>
    <xf numFmtId="2" fontId="19" fillId="15" borderId="8" xfId="0" applyNumberFormat="1" applyFont="1" applyFill="1" applyBorder="1"/>
    <xf numFmtId="2" fontId="19" fillId="0" borderId="9" xfId="0" applyNumberFormat="1" applyFont="1" applyBorder="1" applyAlignment="1">
      <alignment horizontal="left" vertical="center"/>
    </xf>
    <xf numFmtId="166" fontId="19" fillId="25" borderId="8" xfId="639" applyNumberFormat="1" applyFont="1" applyFill="1" applyBorder="1"/>
    <xf numFmtId="166" fontId="19" fillId="0" borderId="9" xfId="639" applyNumberFormat="1" applyFont="1" applyBorder="1" applyAlignment="1">
      <alignment horizontal="left" vertical="center"/>
    </xf>
    <xf numFmtId="0" fontId="37" fillId="0" borderId="6" xfId="0" applyFont="1" applyBorder="1" applyAlignment="1">
      <alignment horizontal="center" vertical="center"/>
    </xf>
    <xf numFmtId="0" fontId="37" fillId="0" borderId="48" xfId="0" applyFont="1" applyBorder="1" applyAlignment="1">
      <alignment horizontal="center" vertical="center"/>
    </xf>
    <xf numFmtId="0" fontId="37" fillId="26" borderId="5" xfId="0" applyFont="1" applyFill="1" applyBorder="1"/>
    <xf numFmtId="0" fontId="37" fillId="0" borderId="7" xfId="0" applyFont="1" applyBorder="1"/>
    <xf numFmtId="0" fontId="19" fillId="17" borderId="8" xfId="0" applyFont="1" applyFill="1" applyBorder="1"/>
    <xf numFmtId="0" fontId="19" fillId="0" borderId="9" xfId="0" applyFont="1" applyBorder="1"/>
    <xf numFmtId="0" fontId="19" fillId="18" borderId="8" xfId="0" applyFont="1" applyFill="1" applyBorder="1"/>
    <xf numFmtId="0" fontId="37" fillId="0" borderId="9" xfId="0" applyFont="1" applyBorder="1"/>
    <xf numFmtId="0" fontId="19" fillId="2" borderId="4" xfId="0" applyFont="1" applyFill="1" applyBorder="1"/>
    <xf numFmtId="0" fontId="19" fillId="0" borderId="10" xfId="0" applyFont="1" applyBorder="1" applyAlignment="1">
      <alignment horizontal="center" vertical="center"/>
    </xf>
    <xf numFmtId="0" fontId="19" fillId="0" borderId="1" xfId="0" applyFont="1" applyBorder="1"/>
    <xf numFmtId="0" fontId="21" fillId="22" borderId="23" xfId="0" applyFont="1" applyFill="1" applyBorder="1" applyAlignment="1">
      <alignment horizontal="center" vertical="center"/>
    </xf>
    <xf numFmtId="0" fontId="21" fillId="22" borderId="14" xfId="0" applyFont="1" applyFill="1" applyBorder="1" applyAlignment="1">
      <alignment horizontal="center" vertical="center"/>
    </xf>
    <xf numFmtId="0" fontId="21" fillId="22" borderId="13" xfId="0" applyFont="1" applyFill="1" applyBorder="1" applyAlignment="1">
      <alignment horizontal="center" vertical="center"/>
    </xf>
    <xf numFmtId="0" fontId="21" fillId="22" borderId="15" xfId="0" applyFont="1" applyFill="1" applyBorder="1" applyAlignment="1">
      <alignment horizontal="center" vertical="center"/>
    </xf>
    <xf numFmtId="0" fontId="21" fillId="22" borderId="42" xfId="0" applyFont="1" applyFill="1" applyBorder="1" applyAlignment="1">
      <alignment horizontal="center" vertical="center"/>
    </xf>
    <xf numFmtId="0" fontId="21" fillId="22" borderId="43" xfId="0" applyFont="1" applyFill="1" applyBorder="1" applyAlignment="1">
      <alignment horizontal="center" vertical="center"/>
    </xf>
    <xf numFmtId="0" fontId="21" fillId="22" borderId="38" xfId="0" applyFont="1" applyFill="1" applyBorder="1" applyAlignment="1">
      <alignment horizontal="center" vertical="center"/>
    </xf>
    <xf numFmtId="0" fontId="18" fillId="0" borderId="32" xfId="0" applyFont="1" applyBorder="1"/>
    <xf numFmtId="0" fontId="18" fillId="0" borderId="29" xfId="0" applyFont="1" applyBorder="1"/>
    <xf numFmtId="0" fontId="18" fillId="0" borderId="30" xfId="0" applyFont="1" applyBorder="1"/>
    <xf numFmtId="0" fontId="19" fillId="20" borderId="22" xfId="0" applyFont="1" applyFill="1" applyBorder="1" applyAlignment="1">
      <alignment horizontal="center"/>
    </xf>
    <xf numFmtId="0" fontId="19" fillId="20" borderId="6" xfId="0" applyFont="1" applyFill="1" applyBorder="1" applyAlignment="1">
      <alignment horizontal="center"/>
    </xf>
    <xf numFmtId="0" fontId="19" fillId="20" borderId="23" xfId="0" applyFont="1" applyFill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20" borderId="7" xfId="0" applyFont="1" applyFill="1" applyBorder="1" applyAlignment="1">
      <alignment horizontal="center"/>
    </xf>
    <xf numFmtId="0" fontId="18" fillId="0" borderId="40" xfId="0" applyFont="1" applyBorder="1"/>
    <xf numFmtId="0" fontId="18" fillId="0" borderId="22" xfId="0" applyFont="1" applyBorder="1"/>
    <xf numFmtId="0" fontId="18" fillId="0" borderId="33" xfId="0" applyFont="1" applyBorder="1"/>
    <xf numFmtId="0" fontId="18" fillId="0" borderId="42" xfId="0" applyFont="1" applyBorder="1" applyAlignment="1">
      <alignment vertical="center" wrapText="1"/>
    </xf>
    <xf numFmtId="0" fontId="18" fillId="2" borderId="43" xfId="0" applyFont="1" applyFill="1" applyBorder="1" applyAlignment="1">
      <alignment horizontal="center" vertical="center" wrapText="1"/>
    </xf>
    <xf numFmtId="0" fontId="18" fillId="2" borderId="31" xfId="0" applyFont="1" applyFill="1" applyBorder="1" applyAlignment="1">
      <alignment horizontal="center" vertical="center" wrapText="1"/>
    </xf>
    <xf numFmtId="169" fontId="16" fillId="0" borderId="10" xfId="0" applyNumberFormat="1" applyFont="1" applyBorder="1"/>
    <xf numFmtId="0" fontId="34" fillId="0" borderId="1" xfId="0" applyFont="1" applyBorder="1" applyAlignment="1">
      <alignment horizontal="center" vertical="center" wrapText="1"/>
    </xf>
    <xf numFmtId="166" fontId="0" fillId="0" borderId="5" xfId="0" applyNumberFormat="1" applyBorder="1"/>
    <xf numFmtId="0" fontId="19" fillId="0" borderId="6" xfId="0" applyFont="1" applyBorder="1" applyAlignment="1">
      <alignment horizontal="right"/>
    </xf>
    <xf numFmtId="0" fontId="0" fillId="0" borderId="0" xfId="0" applyBorder="1" applyAlignment="1">
      <alignment horizontal="center" vertical="center"/>
    </xf>
    <xf numFmtId="0" fontId="34" fillId="0" borderId="0" xfId="0" applyFont="1" applyBorder="1"/>
    <xf numFmtId="0" fontId="34" fillId="3" borderId="0" xfId="0" applyFont="1" applyFill="1" applyBorder="1"/>
    <xf numFmtId="0" fontId="34" fillId="25" borderId="0" xfId="0" applyFont="1" applyFill="1" applyBorder="1" applyAlignment="1">
      <alignment horizontal="right"/>
    </xf>
    <xf numFmtId="0" fontId="34" fillId="3" borderId="0" xfId="0" applyNumberFormat="1" applyFont="1" applyFill="1" applyBorder="1"/>
    <xf numFmtId="0" fontId="34" fillId="3" borderId="9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</cellXfs>
  <cellStyles count="75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Good" xfId="69" builtinId="26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Neutral" xfId="70" builtinId="28"/>
    <cellStyle name="Normal" xfId="0" builtinId="0"/>
    <cellStyle name="Percent" xfId="639" builtinId="5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60FA6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56"/>
  <sheetViews>
    <sheetView workbookViewId="0">
      <pane xSplit="4" ySplit="4" topLeftCell="AF79" activePane="bottomRight" state="frozen"/>
      <selection pane="topRight" activeCell="E1" sqref="E1"/>
      <selection pane="bottomLeft" activeCell="A5" sqref="A5"/>
      <selection pane="bottomRight" activeCell="AI2" sqref="AI2:BB4"/>
    </sheetView>
  </sheetViews>
  <sheetFormatPr baseColWidth="10" defaultColWidth="11" defaultRowHeight="16" x14ac:dyDescent="0.2"/>
  <cols>
    <col min="1" max="1" width="14.5" style="1" customWidth="1"/>
    <col min="2" max="2" width="14.1640625" style="12" customWidth="1"/>
    <col min="3" max="3" width="11.33203125" style="1" customWidth="1"/>
    <col min="4" max="4" width="11" style="1"/>
    <col min="5" max="5" width="17.6640625" style="12" customWidth="1"/>
    <col min="6" max="10" width="11" style="1"/>
    <col min="11" max="11" width="11" style="5"/>
    <col min="12" max="18" width="11" style="1"/>
    <col min="19" max="19" width="11" style="14"/>
    <col min="20" max="23" width="11" style="1"/>
    <col min="24" max="24" width="9.6640625" style="1" customWidth="1"/>
    <col min="25" max="30" width="11" style="1"/>
    <col min="31" max="31" width="14.33203125" style="1" customWidth="1"/>
    <col min="32" max="32" width="8.5" style="1" customWidth="1"/>
    <col min="33" max="33" width="8.33203125" style="1" customWidth="1"/>
    <col min="34" max="34" width="7.33203125" style="1" customWidth="1"/>
    <col min="35" max="35" width="8.6640625" style="1" customWidth="1"/>
    <col min="36" max="36" width="10.1640625" style="1" customWidth="1"/>
    <col min="37" max="37" width="11" style="1" customWidth="1"/>
    <col min="38" max="38" width="12.1640625" style="1" customWidth="1"/>
    <col min="39" max="39" width="14.6640625" style="1" customWidth="1"/>
    <col min="40" max="40" width="1.83203125" style="1" hidden="1" customWidth="1"/>
    <col min="41" max="41" width="1.1640625" style="1" hidden="1" customWidth="1"/>
    <col min="42" max="42" width="15.83203125" style="24" customWidth="1"/>
    <col min="43" max="43" width="10.33203125" style="1" customWidth="1"/>
    <col min="44" max="44" width="8.33203125" style="1" customWidth="1"/>
    <col min="45" max="45" width="8.5" style="1" customWidth="1"/>
    <col min="46" max="46" width="6.5" style="1" customWidth="1"/>
    <col min="47" max="47" width="6.5" style="41" customWidth="1"/>
    <col min="48" max="48" width="7.6640625" style="1" customWidth="1"/>
    <col min="49" max="49" width="9" style="1" customWidth="1"/>
    <col min="50" max="50" width="21.33203125" style="1" customWidth="1"/>
    <col min="51" max="51" width="18.1640625" style="1" customWidth="1"/>
    <col min="52" max="52" width="20.33203125" style="1" customWidth="1"/>
    <col min="53" max="53" width="17.1640625" style="1" customWidth="1"/>
    <col min="54" max="54" width="18.6640625" style="1" customWidth="1"/>
    <col min="55" max="16384" width="11" style="1"/>
  </cols>
  <sheetData>
    <row r="1" spans="1:54" x14ac:dyDescent="0.2">
      <c r="AF1" s="2"/>
      <c r="AG1" s="2"/>
      <c r="AH1" s="2"/>
      <c r="AI1" s="2"/>
      <c r="AJ1" s="2"/>
      <c r="AK1" s="2"/>
      <c r="AL1" s="2"/>
      <c r="AM1" s="2" t="s">
        <v>105</v>
      </c>
      <c r="AN1" s="2"/>
      <c r="AO1" s="2"/>
      <c r="AP1" s="25" t="s">
        <v>277</v>
      </c>
      <c r="AQ1" s="2" t="s">
        <v>107</v>
      </c>
      <c r="AR1" s="2" t="s">
        <v>108</v>
      </c>
      <c r="AS1" s="2" t="s">
        <v>109</v>
      </c>
      <c r="AT1" s="2" t="s">
        <v>110</v>
      </c>
      <c r="AU1" s="42"/>
      <c r="AV1" s="2" t="s">
        <v>111</v>
      </c>
      <c r="AW1" s="2" t="s">
        <v>112</v>
      </c>
    </row>
    <row r="2" spans="1:54" x14ac:dyDescent="0.2">
      <c r="P2" s="240" t="s">
        <v>184</v>
      </c>
      <c r="U2" s="239" t="s">
        <v>183</v>
      </c>
      <c r="AF2" s="2" t="s">
        <v>97</v>
      </c>
      <c r="AG2" s="2" t="s">
        <v>98</v>
      </c>
      <c r="AH2" s="2" t="s">
        <v>99</v>
      </c>
      <c r="AI2" s="2" t="s">
        <v>100</v>
      </c>
      <c r="AJ2" s="2" t="s">
        <v>102</v>
      </c>
      <c r="AK2" s="2" t="s">
        <v>103</v>
      </c>
      <c r="AL2" s="2" t="s">
        <v>104</v>
      </c>
      <c r="AM2" s="2"/>
      <c r="AN2" s="2"/>
      <c r="AO2" s="2"/>
      <c r="AP2" s="25" t="s">
        <v>278</v>
      </c>
      <c r="AQ2" s="2" t="s">
        <v>160</v>
      </c>
      <c r="AR2" s="2" t="s">
        <v>161</v>
      </c>
      <c r="AS2" s="2" t="s">
        <v>162</v>
      </c>
      <c r="AT2" s="2" t="s">
        <v>163</v>
      </c>
      <c r="AU2" s="42"/>
      <c r="AV2" s="2" t="s">
        <v>164</v>
      </c>
      <c r="AW2" s="2" t="s">
        <v>165</v>
      </c>
      <c r="AY2" s="237" t="s">
        <v>179</v>
      </c>
      <c r="AZ2" s="237"/>
      <c r="BA2" s="237"/>
      <c r="BB2" s="237"/>
    </row>
    <row r="3" spans="1:54" ht="17" thickBot="1" x14ac:dyDescent="0.25">
      <c r="P3" s="240"/>
      <c r="U3" s="239"/>
      <c r="AE3" s="1" t="s">
        <v>182</v>
      </c>
      <c r="AF3" s="238" t="s">
        <v>181</v>
      </c>
      <c r="AG3" s="238"/>
      <c r="AH3" s="2"/>
      <c r="AI3" s="2" t="s">
        <v>156</v>
      </c>
      <c r="AJ3" s="2" t="s">
        <v>157</v>
      </c>
      <c r="AK3" s="2" t="s">
        <v>158</v>
      </c>
      <c r="AL3" s="2" t="s">
        <v>159</v>
      </c>
      <c r="AM3" s="2" t="s">
        <v>166</v>
      </c>
      <c r="AN3" s="2"/>
      <c r="AO3" s="2"/>
      <c r="AP3" s="25" t="s">
        <v>279</v>
      </c>
      <c r="AQ3" s="2" t="s">
        <v>167</v>
      </c>
      <c r="AR3" s="2"/>
      <c r="AS3" s="2"/>
      <c r="AT3" s="2"/>
      <c r="AU3" s="42" t="s">
        <v>339</v>
      </c>
      <c r="AV3" s="2"/>
      <c r="AW3" s="2" t="s">
        <v>168</v>
      </c>
      <c r="AY3" s="9" t="s">
        <v>175</v>
      </c>
      <c r="AZ3" s="10" t="s">
        <v>176</v>
      </c>
      <c r="BA3" s="10" t="s">
        <v>177</v>
      </c>
      <c r="BB3" s="10" t="s">
        <v>178</v>
      </c>
    </row>
    <row r="4" spans="1:54" s="3" customFormat="1" x14ac:dyDescent="0.2">
      <c r="A4" s="3" t="s">
        <v>0</v>
      </c>
      <c r="B4" s="3" t="s">
        <v>190</v>
      </c>
      <c r="C4" s="3" t="s">
        <v>148</v>
      </c>
      <c r="D4" s="3" t="s">
        <v>1</v>
      </c>
      <c r="E4" s="3" t="s">
        <v>192</v>
      </c>
      <c r="F4" s="3" t="s">
        <v>191</v>
      </c>
      <c r="G4" s="3" t="s">
        <v>2</v>
      </c>
      <c r="H4" s="3" t="s">
        <v>4</v>
      </c>
      <c r="I4" s="3" t="s">
        <v>92</v>
      </c>
      <c r="J4" s="3" t="s">
        <v>5</v>
      </c>
      <c r="K4" s="5" t="s">
        <v>91</v>
      </c>
      <c r="L4" s="3" t="s">
        <v>6</v>
      </c>
      <c r="M4" s="3" t="s">
        <v>3</v>
      </c>
      <c r="N4" s="3" t="s">
        <v>7</v>
      </c>
      <c r="O4" s="3" t="s">
        <v>8</v>
      </c>
      <c r="P4" s="3" t="s">
        <v>9</v>
      </c>
      <c r="Q4" s="3" t="s">
        <v>10</v>
      </c>
      <c r="R4" s="3" t="s">
        <v>11</v>
      </c>
      <c r="S4" s="3" t="s">
        <v>260</v>
      </c>
      <c r="T4" s="3" t="s">
        <v>151</v>
      </c>
      <c r="U4" s="3" t="s">
        <v>150</v>
      </c>
      <c r="V4" s="3" t="s">
        <v>152</v>
      </c>
      <c r="W4" s="3" t="s">
        <v>12</v>
      </c>
      <c r="X4" s="3" t="s">
        <v>13</v>
      </c>
      <c r="Y4" s="3" t="s">
        <v>14</v>
      </c>
      <c r="Z4" s="3" t="s">
        <v>15</v>
      </c>
      <c r="AA4" s="3" t="s">
        <v>16</v>
      </c>
      <c r="AB4" s="3" t="s">
        <v>153</v>
      </c>
      <c r="AC4" s="3" t="s">
        <v>17</v>
      </c>
      <c r="AE4" s="3" t="s">
        <v>101</v>
      </c>
      <c r="AF4" s="3" t="s">
        <v>97</v>
      </c>
      <c r="AG4" s="3" t="s">
        <v>98</v>
      </c>
      <c r="AH4" s="3" t="s">
        <v>99</v>
      </c>
      <c r="AI4" s="3" t="s">
        <v>100</v>
      </c>
      <c r="AJ4" s="3" t="s">
        <v>102</v>
      </c>
      <c r="AK4" s="3" t="s">
        <v>103</v>
      </c>
      <c r="AL4" s="3" t="s">
        <v>104</v>
      </c>
      <c r="AM4" s="3" t="s">
        <v>105</v>
      </c>
      <c r="AN4" s="3" t="s">
        <v>105</v>
      </c>
      <c r="AO4" s="3" t="s">
        <v>106</v>
      </c>
      <c r="AQ4" s="3" t="s">
        <v>107</v>
      </c>
      <c r="AR4" s="3" t="s">
        <v>108</v>
      </c>
      <c r="AS4" s="3" t="s">
        <v>109</v>
      </c>
      <c r="AT4" s="3" t="s">
        <v>110</v>
      </c>
      <c r="AV4" s="3" t="s">
        <v>111</v>
      </c>
      <c r="AW4" s="3" t="s">
        <v>112</v>
      </c>
      <c r="AX4" s="3" t="s">
        <v>113</v>
      </c>
      <c r="AY4" s="3" t="s">
        <v>169</v>
      </c>
      <c r="AZ4" s="3" t="s">
        <v>172</v>
      </c>
      <c r="BA4" s="3" t="s">
        <v>173</v>
      </c>
      <c r="BB4" s="3" t="s">
        <v>174</v>
      </c>
    </row>
    <row r="5" spans="1:54" s="16" customFormat="1" x14ac:dyDescent="0.2">
      <c r="B5" s="15">
        <v>41705</v>
      </c>
      <c r="C5" s="16" t="s">
        <v>149</v>
      </c>
      <c r="D5" s="16">
        <v>1002</v>
      </c>
      <c r="F5" s="16">
        <v>72</v>
      </c>
      <c r="G5" s="16">
        <v>10</v>
      </c>
      <c r="H5" s="16">
        <v>57</v>
      </c>
      <c r="I5" s="16">
        <v>63</v>
      </c>
      <c r="J5" s="16">
        <v>90</v>
      </c>
      <c r="K5" s="16">
        <v>33</v>
      </c>
      <c r="L5" s="16">
        <v>105</v>
      </c>
      <c r="M5" s="16">
        <v>28.79</v>
      </c>
      <c r="N5" s="16">
        <v>41</v>
      </c>
      <c r="O5" s="16">
        <v>40</v>
      </c>
      <c r="P5" s="16">
        <v>15</v>
      </c>
      <c r="Q5" s="16" t="s">
        <v>18</v>
      </c>
      <c r="R5" s="16" t="s">
        <v>19</v>
      </c>
      <c r="T5" s="16">
        <v>73</v>
      </c>
      <c r="U5" s="16">
        <v>144</v>
      </c>
      <c r="V5" s="16">
        <f>(U5-T5)</f>
        <v>71</v>
      </c>
      <c r="W5" s="16">
        <v>445</v>
      </c>
      <c r="Y5" s="16">
        <v>0.5</v>
      </c>
      <c r="Z5" s="16">
        <v>98</v>
      </c>
      <c r="AA5" s="16">
        <v>74</v>
      </c>
      <c r="AB5" s="16">
        <f>AC5-AA5</f>
        <v>10</v>
      </c>
      <c r="AC5" s="16">
        <v>84</v>
      </c>
      <c r="AE5" s="16">
        <v>6</v>
      </c>
      <c r="AF5" s="16" t="s">
        <v>114</v>
      </c>
      <c r="AG5" s="16">
        <v>61</v>
      </c>
      <c r="AH5" s="16">
        <v>61</v>
      </c>
      <c r="AI5" s="16">
        <v>7.3</v>
      </c>
      <c r="AJ5" s="16">
        <v>1.1000000000000001</v>
      </c>
      <c r="AK5" s="16">
        <v>88</v>
      </c>
      <c r="AL5" s="16">
        <v>73</v>
      </c>
      <c r="AM5" s="16">
        <v>4</v>
      </c>
      <c r="AQ5" s="16">
        <v>61.47</v>
      </c>
      <c r="AR5" s="16">
        <v>1206.42</v>
      </c>
      <c r="AS5" s="16">
        <v>62.39</v>
      </c>
      <c r="AT5" s="16">
        <v>142.19999999999999</v>
      </c>
      <c r="AV5" s="16">
        <v>1.56</v>
      </c>
      <c r="AW5" s="16">
        <v>1.0900000000000001</v>
      </c>
      <c r="AX5" s="16" t="s">
        <v>117</v>
      </c>
      <c r="AY5" s="17">
        <v>4.8600000000000003</v>
      </c>
      <c r="AZ5" s="16">
        <v>56.75</v>
      </c>
      <c r="BA5" s="16">
        <v>37.08</v>
      </c>
      <c r="BB5" s="16">
        <v>0.48</v>
      </c>
    </row>
    <row r="6" spans="1:54" s="16" customFormat="1" x14ac:dyDescent="0.2">
      <c r="B6" s="15">
        <v>42094</v>
      </c>
      <c r="D6" s="16">
        <v>1002</v>
      </c>
      <c r="F6" s="16">
        <v>73</v>
      </c>
      <c r="G6" s="16">
        <v>14</v>
      </c>
      <c r="H6" s="16">
        <v>61</v>
      </c>
      <c r="I6" s="16">
        <v>65</v>
      </c>
      <c r="J6" s="16">
        <v>94</v>
      </c>
      <c r="K6" s="16">
        <v>38</v>
      </c>
      <c r="L6" s="16">
        <v>111</v>
      </c>
      <c r="M6" s="16">
        <v>22.55</v>
      </c>
      <c r="N6" s="16">
        <v>38</v>
      </c>
      <c r="O6" s="16">
        <v>46</v>
      </c>
      <c r="P6" s="16">
        <v>17</v>
      </c>
      <c r="Q6" s="16" t="s">
        <v>193</v>
      </c>
      <c r="R6" s="16" t="s">
        <v>194</v>
      </c>
      <c r="T6" s="16">
        <v>61</v>
      </c>
      <c r="U6" s="16">
        <v>108</v>
      </c>
      <c r="V6" s="16">
        <f>(U6-T6)</f>
        <v>47</v>
      </c>
      <c r="W6" s="16">
        <v>581</v>
      </c>
      <c r="Y6" s="16">
        <v>9</v>
      </c>
      <c r="Z6" s="16">
        <v>98</v>
      </c>
      <c r="AA6" s="16">
        <v>68</v>
      </c>
      <c r="AB6" s="16">
        <f>AC6-AA6</f>
        <v>9</v>
      </c>
      <c r="AC6" s="16">
        <v>77</v>
      </c>
      <c r="AE6" s="16">
        <v>5.8</v>
      </c>
      <c r="AF6" s="16" t="s">
        <v>114</v>
      </c>
      <c r="AG6" s="16">
        <v>36</v>
      </c>
      <c r="AH6" s="16">
        <v>36</v>
      </c>
      <c r="AI6" s="16">
        <v>1</v>
      </c>
      <c r="AJ6" s="16">
        <v>0.8</v>
      </c>
      <c r="AK6" s="16">
        <v>46</v>
      </c>
      <c r="AL6" s="16">
        <v>19</v>
      </c>
      <c r="AM6" s="16">
        <v>1.9</v>
      </c>
      <c r="AP6" s="16">
        <v>10.7</v>
      </c>
      <c r="AQ6" s="16">
        <v>545.5</v>
      </c>
      <c r="AR6" s="16">
        <v>1104</v>
      </c>
      <c r="AS6" s="16">
        <v>105.7</v>
      </c>
      <c r="AT6" s="26">
        <v>426</v>
      </c>
      <c r="AU6" s="26"/>
      <c r="AV6" s="16">
        <v>1.3</v>
      </c>
      <c r="AW6" s="16">
        <v>1.23</v>
      </c>
      <c r="AX6" s="16" t="s">
        <v>303</v>
      </c>
      <c r="AY6" s="17">
        <v>9.8000000000000007</v>
      </c>
      <c r="AZ6" s="16">
        <v>41.2</v>
      </c>
      <c r="BA6" s="16">
        <v>32.299999999999997</v>
      </c>
      <c r="BB6" s="16">
        <v>1.26</v>
      </c>
    </row>
    <row r="7" spans="1:54" s="16" customFormat="1" x14ac:dyDescent="0.2">
      <c r="B7" s="15">
        <v>42241</v>
      </c>
      <c r="D7" s="16">
        <v>1002</v>
      </c>
      <c r="F7" s="16">
        <v>73</v>
      </c>
      <c r="G7" s="16">
        <v>12</v>
      </c>
      <c r="H7" s="16">
        <v>59</v>
      </c>
      <c r="I7" s="16">
        <v>64</v>
      </c>
      <c r="J7" s="16">
        <v>92</v>
      </c>
      <c r="K7" s="16">
        <v>38</v>
      </c>
      <c r="L7" s="16">
        <v>99</v>
      </c>
      <c r="M7" s="16">
        <v>24.42</v>
      </c>
      <c r="N7" s="16">
        <v>32</v>
      </c>
      <c r="O7" s="16">
        <v>46</v>
      </c>
      <c r="P7" s="16">
        <v>15</v>
      </c>
      <c r="Q7" s="16" t="s">
        <v>195</v>
      </c>
      <c r="R7" s="16" t="s">
        <v>275</v>
      </c>
      <c r="S7" s="16" t="s">
        <v>276</v>
      </c>
      <c r="T7" s="16">
        <v>60</v>
      </c>
      <c r="U7" s="16">
        <v>107</v>
      </c>
      <c r="V7" s="16">
        <f>(U7-T7)</f>
        <v>47</v>
      </c>
      <c r="W7" s="16">
        <v>592</v>
      </c>
      <c r="Y7" s="16">
        <v>8</v>
      </c>
      <c r="Z7" s="16">
        <v>96</v>
      </c>
      <c r="AA7" s="16">
        <v>69</v>
      </c>
      <c r="AB7" s="16">
        <f>AC7-AA7</f>
        <v>20</v>
      </c>
      <c r="AC7" s="16">
        <v>89</v>
      </c>
      <c r="AE7" s="16">
        <v>5.4</v>
      </c>
      <c r="AF7" s="16" t="s">
        <v>114</v>
      </c>
      <c r="AG7" s="16">
        <v>35</v>
      </c>
      <c r="AH7" s="16">
        <v>35</v>
      </c>
      <c r="AI7" s="16">
        <v>1.3</v>
      </c>
      <c r="AJ7" s="16">
        <v>2.2000000000000002</v>
      </c>
      <c r="AK7" s="16">
        <v>65</v>
      </c>
      <c r="AL7" s="16">
        <v>56</v>
      </c>
      <c r="AM7" s="16">
        <v>3.1</v>
      </c>
      <c r="AP7" s="16">
        <v>10.6</v>
      </c>
      <c r="AQ7" s="16">
        <v>148</v>
      </c>
      <c r="AR7" s="16">
        <v>1691</v>
      </c>
      <c r="AS7" s="16">
        <v>77</v>
      </c>
      <c r="AT7" s="16">
        <v>68</v>
      </c>
      <c r="AV7" s="16">
        <v>1.61</v>
      </c>
      <c r="AW7" s="16">
        <v>0.98</v>
      </c>
      <c r="AX7" s="16" t="s">
        <v>280</v>
      </c>
      <c r="AY7" s="17">
        <v>31.21</v>
      </c>
      <c r="AZ7" s="16">
        <v>73.599999999999994</v>
      </c>
      <c r="BA7" s="16">
        <v>39.1</v>
      </c>
      <c r="BB7" s="16">
        <v>0.84</v>
      </c>
    </row>
    <row r="8" spans="1:54" s="16" customFormat="1" x14ac:dyDescent="0.2">
      <c r="B8" s="15">
        <v>42353</v>
      </c>
      <c r="D8" s="16">
        <v>1002</v>
      </c>
      <c r="F8" s="16">
        <v>74</v>
      </c>
      <c r="G8" s="16">
        <v>9</v>
      </c>
      <c r="H8" s="16">
        <v>58</v>
      </c>
      <c r="I8" s="16">
        <v>67</v>
      </c>
      <c r="J8" s="16">
        <v>87</v>
      </c>
      <c r="K8" s="16">
        <v>28</v>
      </c>
      <c r="L8" s="16">
        <v>105</v>
      </c>
      <c r="M8" s="16">
        <v>28.48</v>
      </c>
      <c r="N8" s="16">
        <v>27</v>
      </c>
      <c r="O8" s="16">
        <v>35</v>
      </c>
      <c r="P8" s="16">
        <v>11</v>
      </c>
      <c r="Q8" s="16" t="s">
        <v>328</v>
      </c>
      <c r="R8" s="16" t="s">
        <v>329</v>
      </c>
      <c r="S8" s="16" t="s">
        <v>330</v>
      </c>
      <c r="T8" s="16">
        <v>73</v>
      </c>
      <c r="U8" s="16">
        <v>119</v>
      </c>
      <c r="V8" s="16">
        <f>(U8-T8)</f>
        <v>46</v>
      </c>
      <c r="W8" s="16">
        <v>637</v>
      </c>
      <c r="Y8" s="16">
        <v>9</v>
      </c>
      <c r="Z8" s="16">
        <v>97</v>
      </c>
      <c r="AA8" s="16">
        <v>67</v>
      </c>
      <c r="AB8" s="16">
        <f>AC8-AA8</f>
        <v>33</v>
      </c>
      <c r="AC8" s="16">
        <v>100</v>
      </c>
      <c r="AE8" s="16">
        <v>5.5</v>
      </c>
      <c r="AF8" s="16">
        <v>4</v>
      </c>
      <c r="AG8" s="16">
        <v>37</v>
      </c>
      <c r="AH8" s="16">
        <v>41</v>
      </c>
      <c r="AI8" s="16">
        <v>5.2</v>
      </c>
      <c r="AY8" s="17"/>
    </row>
    <row r="9" spans="1:54" x14ac:dyDescent="0.2">
      <c r="B9" s="13">
        <v>41705</v>
      </c>
      <c r="C9" s="1" t="s">
        <v>149</v>
      </c>
      <c r="D9" s="1">
        <v>1003</v>
      </c>
      <c r="F9" s="1">
        <v>56</v>
      </c>
      <c r="G9" s="1">
        <v>11</v>
      </c>
      <c r="H9" s="4">
        <v>82</v>
      </c>
      <c r="I9" s="4">
        <v>91</v>
      </c>
      <c r="J9" s="1">
        <v>89</v>
      </c>
      <c r="K9" s="5">
        <v>56</v>
      </c>
      <c r="L9" s="1">
        <v>72</v>
      </c>
      <c r="M9" s="1">
        <v>23.39</v>
      </c>
      <c r="N9" s="1">
        <v>31</v>
      </c>
      <c r="O9" s="1">
        <v>34</v>
      </c>
      <c r="P9" s="1">
        <v>19</v>
      </c>
      <c r="Q9" s="1" t="s">
        <v>20</v>
      </c>
      <c r="R9" s="1" t="s">
        <v>21</v>
      </c>
      <c r="T9" s="1">
        <v>70</v>
      </c>
      <c r="U9" s="1">
        <v>111</v>
      </c>
      <c r="V9" s="1">
        <f t="shared" ref="V9:V92" si="0">(U9-T9)</f>
        <v>41</v>
      </c>
      <c r="W9" s="1">
        <v>650</v>
      </c>
      <c r="Y9" s="1">
        <v>1</v>
      </c>
      <c r="Z9" s="1">
        <v>97</v>
      </c>
      <c r="AA9" s="1">
        <v>72</v>
      </c>
      <c r="AB9" s="1">
        <f t="shared" ref="AB9:AB88" si="1">AC9-AA9</f>
        <v>11</v>
      </c>
      <c r="AC9" s="1">
        <v>83</v>
      </c>
      <c r="AE9" s="1">
        <v>5.5</v>
      </c>
      <c r="AF9" s="1" t="s">
        <v>114</v>
      </c>
      <c r="AG9" s="3">
        <v>18</v>
      </c>
      <c r="AH9" s="1">
        <v>18</v>
      </c>
      <c r="AI9" s="1">
        <v>1.9</v>
      </c>
      <c r="AX9" s="1" t="s">
        <v>119</v>
      </c>
      <c r="AY9" s="1" t="s">
        <v>119</v>
      </c>
    </row>
    <row r="10" spans="1:54" x14ac:dyDescent="0.2">
      <c r="B10" s="13">
        <v>41706</v>
      </c>
      <c r="C10" s="1" t="s">
        <v>149</v>
      </c>
      <c r="D10" s="1">
        <v>1004</v>
      </c>
      <c r="F10" s="1">
        <v>73</v>
      </c>
      <c r="G10" s="1">
        <v>6</v>
      </c>
      <c r="H10" s="4">
        <v>94</v>
      </c>
      <c r="I10" s="4">
        <v>100</v>
      </c>
      <c r="J10" s="1">
        <v>94</v>
      </c>
      <c r="K10" s="5">
        <v>74</v>
      </c>
      <c r="L10" s="1">
        <v>85</v>
      </c>
      <c r="M10" s="1">
        <v>20.37</v>
      </c>
      <c r="N10" s="1">
        <v>25</v>
      </c>
      <c r="O10" s="1">
        <v>32</v>
      </c>
      <c r="P10" s="1">
        <v>16</v>
      </c>
      <c r="Q10" s="1" t="s">
        <v>22</v>
      </c>
      <c r="R10" s="1" t="s">
        <v>23</v>
      </c>
      <c r="T10" s="1">
        <v>80</v>
      </c>
      <c r="U10" s="1">
        <v>136</v>
      </c>
      <c r="V10" s="1">
        <f t="shared" si="0"/>
        <v>56</v>
      </c>
      <c r="W10" s="1">
        <v>598</v>
      </c>
      <c r="Y10" s="1">
        <v>1</v>
      </c>
      <c r="Z10" s="1">
        <v>98</v>
      </c>
      <c r="AA10" s="1">
        <v>71</v>
      </c>
      <c r="AB10" s="1">
        <f t="shared" si="1"/>
        <v>6</v>
      </c>
      <c r="AC10" s="1">
        <v>77</v>
      </c>
      <c r="AE10" s="1">
        <v>5.2</v>
      </c>
      <c r="AF10" s="1" t="s">
        <v>114</v>
      </c>
      <c r="AG10" s="1">
        <v>47</v>
      </c>
      <c r="AH10" s="1">
        <v>47</v>
      </c>
      <c r="AI10" s="1">
        <v>0.2</v>
      </c>
      <c r="AJ10" s="1">
        <v>0.5</v>
      </c>
      <c r="AK10" s="1">
        <v>20</v>
      </c>
      <c r="AL10" s="1">
        <v>18</v>
      </c>
      <c r="AM10" s="1">
        <v>1.5</v>
      </c>
      <c r="AQ10" s="1">
        <v>142.86000000000001</v>
      </c>
      <c r="AR10" s="1">
        <v>335.29</v>
      </c>
      <c r="AS10" s="1">
        <v>120.17</v>
      </c>
      <c r="AT10" s="1">
        <v>65.55</v>
      </c>
      <c r="AV10" s="1">
        <v>0.17</v>
      </c>
      <c r="AW10" s="1">
        <v>1.19</v>
      </c>
      <c r="AX10" s="1" t="s">
        <v>118</v>
      </c>
      <c r="AY10" s="1">
        <v>17.91</v>
      </c>
      <c r="AZ10" s="1">
        <v>51.34</v>
      </c>
      <c r="BA10" s="1">
        <v>6.34</v>
      </c>
      <c r="BB10" s="1">
        <v>1.22</v>
      </c>
    </row>
    <row r="11" spans="1:54" x14ac:dyDescent="0.2">
      <c r="B11" s="13">
        <v>41705</v>
      </c>
      <c r="C11" s="1" t="s">
        <v>149</v>
      </c>
      <c r="D11" s="1">
        <v>1005</v>
      </c>
      <c r="F11" s="1">
        <v>67</v>
      </c>
      <c r="G11" s="1">
        <v>18</v>
      </c>
      <c r="H11" s="4">
        <v>79</v>
      </c>
      <c r="I11" s="4">
        <v>84</v>
      </c>
      <c r="J11" s="1">
        <v>94</v>
      </c>
      <c r="K11" s="5">
        <v>64</v>
      </c>
      <c r="L11" s="1">
        <v>82</v>
      </c>
      <c r="M11" s="1">
        <v>22.74</v>
      </c>
      <c r="N11" s="1">
        <v>31</v>
      </c>
      <c r="O11" s="1">
        <v>36</v>
      </c>
      <c r="P11" s="1">
        <v>9</v>
      </c>
      <c r="Q11" s="1" t="s">
        <v>24</v>
      </c>
      <c r="R11" s="1" t="s">
        <v>25</v>
      </c>
      <c r="T11" s="1">
        <v>69</v>
      </c>
      <c r="U11" s="1">
        <v>117</v>
      </c>
      <c r="V11" s="1">
        <f t="shared" si="0"/>
        <v>48</v>
      </c>
      <c r="W11" s="1">
        <v>428</v>
      </c>
      <c r="Y11" s="1">
        <v>1</v>
      </c>
      <c r="Z11" s="1">
        <v>98</v>
      </c>
      <c r="AA11" s="1">
        <v>77</v>
      </c>
      <c r="AB11" s="1">
        <f t="shared" si="1"/>
        <v>3</v>
      </c>
      <c r="AC11" s="1">
        <v>80</v>
      </c>
      <c r="AE11" s="1">
        <v>5.4</v>
      </c>
      <c r="AF11" s="1" t="s">
        <v>114</v>
      </c>
      <c r="AG11" s="1">
        <v>56</v>
      </c>
      <c r="AH11" s="1">
        <v>56</v>
      </c>
      <c r="AI11" s="1">
        <v>0.9</v>
      </c>
      <c r="AJ11" s="1" t="s">
        <v>115</v>
      </c>
      <c r="AK11" s="1">
        <v>48</v>
      </c>
      <c r="AL11" s="1">
        <v>24</v>
      </c>
      <c r="AM11" s="1">
        <v>4.7</v>
      </c>
      <c r="AQ11" s="1">
        <v>188.18</v>
      </c>
      <c r="AR11" s="1">
        <v>747.27</v>
      </c>
      <c r="AS11" s="1">
        <v>64.55</v>
      </c>
      <c r="AT11" s="1">
        <v>112.73</v>
      </c>
      <c r="AV11" s="1">
        <v>0.27</v>
      </c>
      <c r="AX11" s="1" t="s">
        <v>120</v>
      </c>
      <c r="AY11" s="1">
        <v>24.07</v>
      </c>
      <c r="AZ11" s="1">
        <v>66.790000000000006</v>
      </c>
      <c r="BA11" s="1">
        <v>24.86</v>
      </c>
      <c r="BB11" s="1">
        <v>0.69</v>
      </c>
    </row>
    <row r="12" spans="1:54" s="20" customFormat="1" x14ac:dyDescent="0.2">
      <c r="B12" s="21">
        <v>41705</v>
      </c>
      <c r="C12" s="20" t="s">
        <v>149</v>
      </c>
      <c r="D12" s="20">
        <v>1006</v>
      </c>
      <c r="E12" s="22">
        <v>17472</v>
      </c>
      <c r="F12" s="20">
        <v>66</v>
      </c>
      <c r="G12" s="20">
        <v>4</v>
      </c>
      <c r="H12" s="20">
        <v>98</v>
      </c>
      <c r="I12" s="20">
        <v>97</v>
      </c>
      <c r="J12" s="20">
        <v>100</v>
      </c>
      <c r="K12" s="20">
        <v>89</v>
      </c>
      <c r="L12" s="20">
        <v>118</v>
      </c>
      <c r="M12" s="20">
        <v>30.32</v>
      </c>
      <c r="N12" s="20">
        <v>21</v>
      </c>
      <c r="O12" s="20">
        <v>27</v>
      </c>
      <c r="P12" s="20">
        <v>5</v>
      </c>
      <c r="Q12" s="20" t="s">
        <v>26</v>
      </c>
      <c r="R12" s="20" t="s">
        <v>27</v>
      </c>
      <c r="T12" s="20">
        <v>93</v>
      </c>
      <c r="U12" s="20">
        <v>153</v>
      </c>
      <c r="V12" s="20">
        <f t="shared" si="0"/>
        <v>60</v>
      </c>
      <c r="W12" s="20">
        <v>607</v>
      </c>
      <c r="Y12" s="20">
        <v>2</v>
      </c>
      <c r="Z12" s="20">
        <v>98</v>
      </c>
      <c r="AA12" s="20">
        <v>63</v>
      </c>
      <c r="AB12" s="20">
        <f t="shared" si="1"/>
        <v>13</v>
      </c>
      <c r="AC12" s="20">
        <v>76</v>
      </c>
      <c r="AE12" s="20">
        <v>5.7</v>
      </c>
      <c r="AF12" s="20" t="s">
        <v>114</v>
      </c>
      <c r="AG12" s="20">
        <v>28</v>
      </c>
      <c r="AH12" s="20">
        <v>28</v>
      </c>
      <c r="AI12" s="20">
        <v>2.8</v>
      </c>
      <c r="AJ12" s="20">
        <v>0.7</v>
      </c>
      <c r="AK12" s="20">
        <v>22</v>
      </c>
      <c r="AL12" s="20">
        <v>42</v>
      </c>
      <c r="AM12" s="20">
        <v>4.0999999999999996</v>
      </c>
      <c r="AQ12" s="20">
        <v>103.53</v>
      </c>
      <c r="AS12" s="20">
        <v>48.24</v>
      </c>
      <c r="AT12" s="20">
        <v>7.06</v>
      </c>
      <c r="AV12" s="20">
        <v>0.82</v>
      </c>
      <c r="AW12" s="20">
        <v>0.85</v>
      </c>
      <c r="AX12" s="20" t="s">
        <v>121</v>
      </c>
      <c r="AY12" s="23">
        <v>37.67</v>
      </c>
      <c r="AZ12" s="20">
        <v>104.54</v>
      </c>
      <c r="BA12" s="20">
        <v>11.98</v>
      </c>
      <c r="BB12" s="20">
        <v>0.45</v>
      </c>
    </row>
    <row r="13" spans="1:54" s="20" customFormat="1" x14ac:dyDescent="0.2">
      <c r="B13" s="21">
        <v>42093</v>
      </c>
      <c r="D13" s="20">
        <v>1006</v>
      </c>
      <c r="E13" s="22">
        <v>17472</v>
      </c>
      <c r="G13" s="20">
        <v>16</v>
      </c>
      <c r="H13" s="20">
        <v>100</v>
      </c>
      <c r="I13" s="20">
        <v>95</v>
      </c>
      <c r="J13" s="20">
        <v>104</v>
      </c>
      <c r="K13" s="20">
        <v>108</v>
      </c>
      <c r="L13" s="20">
        <v>115</v>
      </c>
      <c r="M13" s="20">
        <v>25.18</v>
      </c>
      <c r="N13" s="20">
        <v>24</v>
      </c>
      <c r="O13" s="20">
        <v>31</v>
      </c>
      <c r="P13" s="20">
        <v>10</v>
      </c>
      <c r="Q13" s="20" t="s">
        <v>196</v>
      </c>
      <c r="R13" s="20" t="s">
        <v>197</v>
      </c>
      <c r="T13" s="20">
        <v>100</v>
      </c>
      <c r="U13" s="20">
        <v>163</v>
      </c>
      <c r="V13" s="20">
        <f t="shared" si="0"/>
        <v>63</v>
      </c>
      <c r="W13" s="20">
        <v>607</v>
      </c>
      <c r="Y13" s="20">
        <v>4</v>
      </c>
      <c r="Z13" s="20">
        <v>99</v>
      </c>
      <c r="AA13" s="20">
        <v>69</v>
      </c>
      <c r="AB13" s="20">
        <f t="shared" si="1"/>
        <v>19</v>
      </c>
      <c r="AC13" s="20">
        <v>88</v>
      </c>
      <c r="AE13" s="20">
        <v>5.2</v>
      </c>
      <c r="AF13" s="20" t="s">
        <v>114</v>
      </c>
      <c r="AG13" s="20">
        <v>27</v>
      </c>
      <c r="AH13" s="20">
        <v>27</v>
      </c>
      <c r="AI13" s="20">
        <v>2</v>
      </c>
      <c r="AJ13" s="20">
        <v>1.3</v>
      </c>
      <c r="AK13" s="20">
        <v>37</v>
      </c>
      <c r="AL13" s="20">
        <v>26</v>
      </c>
      <c r="AM13" s="20">
        <v>3.8</v>
      </c>
      <c r="AP13" s="20">
        <v>5.4</v>
      </c>
      <c r="AQ13" s="20">
        <v>88.8</v>
      </c>
      <c r="AR13" s="20">
        <v>1973.1</v>
      </c>
      <c r="AS13" s="20">
        <v>65.7</v>
      </c>
      <c r="AT13" s="20">
        <v>3.73</v>
      </c>
      <c r="AV13" s="20">
        <v>0.37</v>
      </c>
      <c r="AW13" s="20">
        <v>1.34</v>
      </c>
      <c r="AX13" s="20" t="s">
        <v>304</v>
      </c>
      <c r="AY13" s="23">
        <v>48.5</v>
      </c>
      <c r="AZ13" s="20">
        <v>196.6</v>
      </c>
      <c r="BA13" s="20">
        <v>9.1999999999999993</v>
      </c>
      <c r="BB13" s="20">
        <v>0.56999999999999995</v>
      </c>
    </row>
    <row r="14" spans="1:54" s="20" customFormat="1" x14ac:dyDescent="0.2">
      <c r="B14" s="21">
        <v>42240</v>
      </c>
      <c r="D14" s="20">
        <v>1006</v>
      </c>
      <c r="E14" s="22">
        <v>17472</v>
      </c>
      <c r="G14" s="20">
        <v>7</v>
      </c>
      <c r="H14" s="20">
        <v>96</v>
      </c>
      <c r="I14" s="20">
        <v>96</v>
      </c>
      <c r="J14" s="20">
        <v>100</v>
      </c>
      <c r="K14" s="20">
        <v>91</v>
      </c>
      <c r="L14" s="20">
        <v>123</v>
      </c>
      <c r="M14" s="20">
        <v>29.56</v>
      </c>
      <c r="N14" s="20">
        <v>24</v>
      </c>
      <c r="O14" s="20">
        <v>37</v>
      </c>
      <c r="P14" s="20">
        <v>8</v>
      </c>
      <c r="Q14" s="20" t="s">
        <v>198</v>
      </c>
      <c r="T14" s="20">
        <v>79</v>
      </c>
      <c r="U14" s="20">
        <v>129</v>
      </c>
      <c r="V14" s="20">
        <f t="shared" si="0"/>
        <v>50</v>
      </c>
      <c r="W14" s="20">
        <v>601</v>
      </c>
      <c r="Z14" s="20">
        <v>97</v>
      </c>
      <c r="AA14" s="20">
        <v>60</v>
      </c>
      <c r="AE14" s="20">
        <v>5.6</v>
      </c>
      <c r="AF14" s="20" t="s">
        <v>114</v>
      </c>
      <c r="AG14" s="20">
        <v>36</v>
      </c>
      <c r="AH14" s="20">
        <v>36</v>
      </c>
      <c r="AI14" s="20">
        <v>1.9</v>
      </c>
      <c r="AJ14" s="20">
        <v>2.1</v>
      </c>
      <c r="AK14" s="20">
        <v>31</v>
      </c>
      <c r="AL14" s="20">
        <v>44</v>
      </c>
      <c r="AM14" s="20">
        <v>2.4</v>
      </c>
      <c r="AP14" s="20">
        <v>4.3</v>
      </c>
      <c r="AQ14" s="20">
        <v>103</v>
      </c>
      <c r="AR14" s="20">
        <v>1376</v>
      </c>
      <c r="AS14" s="20">
        <v>44</v>
      </c>
      <c r="AT14" s="20">
        <v>4</v>
      </c>
      <c r="AV14" s="20">
        <v>1.1599999999999999</v>
      </c>
      <c r="AW14" s="20">
        <v>1.52</v>
      </c>
      <c r="AX14" s="20" t="s">
        <v>281</v>
      </c>
      <c r="AY14" s="23">
        <v>12.4</v>
      </c>
      <c r="AZ14" s="20">
        <v>63</v>
      </c>
      <c r="BA14" s="20">
        <v>37.200000000000003</v>
      </c>
      <c r="BB14" s="20">
        <v>0.88</v>
      </c>
    </row>
    <row r="15" spans="1:54" s="16" customFormat="1" x14ac:dyDescent="0.2">
      <c r="B15" s="15">
        <v>41705</v>
      </c>
      <c r="C15" s="16" t="s">
        <v>149</v>
      </c>
      <c r="D15" s="16">
        <v>1007</v>
      </c>
      <c r="F15" s="16">
        <v>65</v>
      </c>
      <c r="G15" s="16">
        <v>3</v>
      </c>
      <c r="H15" s="16">
        <v>79</v>
      </c>
      <c r="I15" s="16">
        <v>83</v>
      </c>
      <c r="J15" s="16">
        <v>95</v>
      </c>
      <c r="K15" s="16">
        <v>62</v>
      </c>
      <c r="L15" s="16">
        <v>72</v>
      </c>
      <c r="M15" s="16">
        <v>30.2</v>
      </c>
      <c r="N15" s="16">
        <v>25</v>
      </c>
      <c r="O15" s="16">
        <v>30</v>
      </c>
      <c r="P15" s="16">
        <v>9</v>
      </c>
      <c r="Q15" s="16" t="s">
        <v>28</v>
      </c>
      <c r="R15" s="16" t="s">
        <v>29</v>
      </c>
      <c r="T15" s="16">
        <v>71</v>
      </c>
      <c r="U15" s="16">
        <v>124</v>
      </c>
      <c r="V15" s="16">
        <f t="shared" si="0"/>
        <v>53</v>
      </c>
      <c r="W15" s="16">
        <v>648</v>
      </c>
      <c r="Y15" s="16">
        <v>3</v>
      </c>
      <c r="Z15" s="16">
        <v>98</v>
      </c>
      <c r="AA15" s="16">
        <v>70</v>
      </c>
      <c r="AB15" s="16">
        <f t="shared" si="1"/>
        <v>24</v>
      </c>
      <c r="AC15" s="16">
        <v>94</v>
      </c>
      <c r="AE15" s="16">
        <v>5.7</v>
      </c>
      <c r="AF15" s="16" t="s">
        <v>114</v>
      </c>
      <c r="AG15" s="16">
        <v>131</v>
      </c>
      <c r="AH15" s="16">
        <v>131</v>
      </c>
      <c r="AI15" s="16">
        <v>0.8</v>
      </c>
      <c r="AJ15" s="16" t="s">
        <v>115</v>
      </c>
      <c r="AK15" s="16">
        <v>25</v>
      </c>
      <c r="AL15" s="16">
        <v>7</v>
      </c>
      <c r="AM15" s="16">
        <v>1.5</v>
      </c>
      <c r="AQ15" s="16">
        <v>560</v>
      </c>
      <c r="AR15" s="16">
        <v>2146.67</v>
      </c>
      <c r="AS15" s="16">
        <v>162.22</v>
      </c>
      <c r="AT15" s="16">
        <v>33.33</v>
      </c>
      <c r="AV15" s="16">
        <v>0.22</v>
      </c>
      <c r="AW15" s="16">
        <v>0.45</v>
      </c>
      <c r="AX15" s="16" t="s">
        <v>122</v>
      </c>
      <c r="AY15" s="16">
        <v>13.47</v>
      </c>
      <c r="AZ15" s="16">
        <v>91.69</v>
      </c>
      <c r="BA15" s="16" t="s">
        <v>180</v>
      </c>
      <c r="BB15" s="16">
        <v>0.5</v>
      </c>
    </row>
    <row r="16" spans="1:54" s="16" customFormat="1" x14ac:dyDescent="0.2">
      <c r="B16" s="15">
        <v>42094</v>
      </c>
      <c r="D16" s="16">
        <v>1007</v>
      </c>
      <c r="G16" s="16">
        <v>8</v>
      </c>
      <c r="H16" s="16">
        <v>68</v>
      </c>
      <c r="I16" s="16">
        <v>71</v>
      </c>
      <c r="J16" s="16">
        <v>96</v>
      </c>
      <c r="K16" s="16">
        <v>56</v>
      </c>
      <c r="L16" s="16">
        <v>68</v>
      </c>
      <c r="M16" s="16">
        <v>25.96</v>
      </c>
      <c r="N16" s="16">
        <v>24</v>
      </c>
      <c r="O16" s="16">
        <v>27</v>
      </c>
      <c r="P16" s="16">
        <v>9</v>
      </c>
      <c r="Q16" s="16" t="s">
        <v>199</v>
      </c>
      <c r="R16" s="16" t="s">
        <v>200</v>
      </c>
      <c r="T16" s="16">
        <v>76</v>
      </c>
      <c r="U16" s="16">
        <v>122</v>
      </c>
      <c r="V16" s="16">
        <f t="shared" si="0"/>
        <v>46</v>
      </c>
      <c r="W16" s="16">
        <v>591</v>
      </c>
      <c r="Y16" s="16">
        <v>7</v>
      </c>
      <c r="Z16" s="16">
        <v>98</v>
      </c>
      <c r="AA16" s="16">
        <v>92</v>
      </c>
      <c r="AB16" s="16">
        <f t="shared" si="1"/>
        <v>16</v>
      </c>
      <c r="AC16" s="16">
        <v>108</v>
      </c>
      <c r="AE16" s="16">
        <v>5.5</v>
      </c>
      <c r="AF16" s="16" t="s">
        <v>114</v>
      </c>
      <c r="AG16" s="16">
        <v>70</v>
      </c>
      <c r="AH16" s="16">
        <v>70</v>
      </c>
      <c r="AI16" s="16">
        <v>11.7</v>
      </c>
      <c r="AJ16" s="16">
        <v>0.9</v>
      </c>
      <c r="AK16" s="16">
        <v>502</v>
      </c>
      <c r="AL16" s="16">
        <v>18</v>
      </c>
      <c r="AM16" s="16" t="s">
        <v>282</v>
      </c>
      <c r="AP16" s="16">
        <v>2.8</v>
      </c>
      <c r="AQ16" s="16">
        <v>572.70000000000005</v>
      </c>
      <c r="AR16" s="16">
        <v>2313.6</v>
      </c>
      <c r="AS16" s="16">
        <v>150</v>
      </c>
      <c r="AT16" s="26">
        <v>3713.6</v>
      </c>
      <c r="AU16" s="26"/>
      <c r="AV16" s="16">
        <v>0.45</v>
      </c>
      <c r="AW16" s="16">
        <v>0.22</v>
      </c>
      <c r="AX16" s="16" t="s">
        <v>305</v>
      </c>
      <c r="AY16" s="16">
        <v>48.7</v>
      </c>
      <c r="AZ16" s="16">
        <v>229.2</v>
      </c>
      <c r="BA16" s="16">
        <v>14.3</v>
      </c>
      <c r="BB16" s="16">
        <v>0.27</v>
      </c>
    </row>
    <row r="17" spans="2:54" s="16" customFormat="1" x14ac:dyDescent="0.2">
      <c r="B17" s="15">
        <v>42212</v>
      </c>
      <c r="D17" s="16">
        <v>1007</v>
      </c>
      <c r="G17" s="16">
        <v>6</v>
      </c>
      <c r="H17" s="16">
        <v>70</v>
      </c>
      <c r="I17" s="16">
        <v>68</v>
      </c>
      <c r="J17" s="16">
        <v>103</v>
      </c>
      <c r="K17" s="16">
        <v>67</v>
      </c>
      <c r="L17" s="16">
        <v>77</v>
      </c>
      <c r="M17" s="16">
        <v>26.87</v>
      </c>
      <c r="N17" s="16">
        <v>22</v>
      </c>
      <c r="O17" s="16">
        <v>38</v>
      </c>
      <c r="P17" s="16">
        <v>8</v>
      </c>
      <c r="Q17" s="16" t="s">
        <v>201</v>
      </c>
      <c r="R17" s="16" t="s">
        <v>202</v>
      </c>
      <c r="S17" s="16" t="s">
        <v>274</v>
      </c>
      <c r="T17" s="16">
        <v>69</v>
      </c>
      <c r="U17" s="16">
        <v>111</v>
      </c>
      <c r="V17" s="16">
        <f t="shared" si="0"/>
        <v>42</v>
      </c>
      <c r="W17" s="16">
        <v>619</v>
      </c>
      <c r="Y17" s="16">
        <v>8</v>
      </c>
      <c r="Z17" s="16">
        <v>97</v>
      </c>
      <c r="AA17" s="16">
        <v>72</v>
      </c>
      <c r="AB17" s="16">
        <f t="shared" si="1"/>
        <v>14</v>
      </c>
      <c r="AC17" s="16">
        <v>86</v>
      </c>
      <c r="AE17" s="16">
        <v>5.8</v>
      </c>
      <c r="AF17" s="16" t="s">
        <v>114</v>
      </c>
      <c r="AG17" s="16">
        <v>59</v>
      </c>
      <c r="AH17" s="16">
        <v>59</v>
      </c>
      <c r="AI17" s="16">
        <v>0.8</v>
      </c>
      <c r="AJ17" s="16">
        <v>3.3</v>
      </c>
      <c r="AK17" s="16">
        <v>273</v>
      </c>
      <c r="AL17" s="16">
        <v>9</v>
      </c>
      <c r="AM17" s="16">
        <v>2</v>
      </c>
      <c r="AP17" s="16">
        <v>0.5</v>
      </c>
      <c r="AQ17" s="16">
        <v>642</v>
      </c>
      <c r="AR17" s="16">
        <v>1220</v>
      </c>
      <c r="AS17" s="16">
        <v>94</v>
      </c>
      <c r="AT17" s="16">
        <v>12</v>
      </c>
      <c r="AV17" s="16">
        <v>0.14000000000000001</v>
      </c>
      <c r="AW17" s="16">
        <v>0.5</v>
      </c>
      <c r="AX17" s="16" t="s">
        <v>283</v>
      </c>
      <c r="AY17" s="16">
        <v>41.9</v>
      </c>
      <c r="AZ17" s="16">
        <v>199.1</v>
      </c>
      <c r="BA17" s="16">
        <v>3495.9</v>
      </c>
      <c r="BB17" s="16">
        <v>0.42</v>
      </c>
    </row>
    <row r="18" spans="2:54" s="16" customFormat="1" x14ac:dyDescent="0.2">
      <c r="B18" s="15">
        <v>42332</v>
      </c>
      <c r="D18" s="16">
        <v>1007</v>
      </c>
      <c r="F18" s="16">
        <v>67</v>
      </c>
      <c r="G18" s="16">
        <v>8</v>
      </c>
      <c r="H18" s="16">
        <v>73</v>
      </c>
      <c r="I18" s="16">
        <v>76</v>
      </c>
      <c r="J18" s="16">
        <v>96</v>
      </c>
      <c r="K18" s="16">
        <v>56</v>
      </c>
      <c r="L18" s="16">
        <v>73</v>
      </c>
      <c r="M18" s="16">
        <v>26.9</v>
      </c>
      <c r="N18" s="16">
        <v>26</v>
      </c>
      <c r="O18" s="16">
        <v>40</v>
      </c>
      <c r="P18" s="16">
        <v>10</v>
      </c>
      <c r="Q18" s="16" t="s">
        <v>347</v>
      </c>
      <c r="R18" s="16" t="s">
        <v>348</v>
      </c>
      <c r="S18" s="16" t="s">
        <v>349</v>
      </c>
      <c r="T18" s="16">
        <v>77</v>
      </c>
      <c r="U18" s="16">
        <v>120</v>
      </c>
      <c r="V18" s="16">
        <f t="shared" si="0"/>
        <v>43</v>
      </c>
      <c r="W18" s="16">
        <v>565.4</v>
      </c>
      <c r="Y18" s="16">
        <v>8</v>
      </c>
      <c r="Z18" s="16">
        <v>98</v>
      </c>
      <c r="AA18" s="16">
        <v>72</v>
      </c>
      <c r="AB18" s="16">
        <f t="shared" si="1"/>
        <v>62</v>
      </c>
      <c r="AC18" s="16">
        <v>134</v>
      </c>
      <c r="AE18" s="16">
        <v>5.7</v>
      </c>
      <c r="AF18" s="16" t="s">
        <v>114</v>
      </c>
      <c r="AG18" s="16">
        <v>81</v>
      </c>
      <c r="AH18" s="16">
        <v>81</v>
      </c>
      <c r="AI18" s="16">
        <v>0.5</v>
      </c>
      <c r="AJ18" s="16">
        <v>0.5</v>
      </c>
      <c r="AK18" s="16">
        <v>55</v>
      </c>
      <c r="AL18" s="16">
        <v>10</v>
      </c>
      <c r="AM18" s="16">
        <v>2.2000000000000002</v>
      </c>
      <c r="AP18" s="16">
        <v>1.1000000000000001</v>
      </c>
      <c r="AQ18" s="26">
        <v>4012</v>
      </c>
      <c r="AR18" s="16">
        <v>1533</v>
      </c>
      <c r="AS18" s="26">
        <v>303</v>
      </c>
      <c r="AT18" s="16">
        <v>30</v>
      </c>
      <c r="AU18" s="16">
        <v>1.33</v>
      </c>
      <c r="AV18" s="16">
        <v>0.18</v>
      </c>
      <c r="AW18" s="16">
        <v>0.33</v>
      </c>
      <c r="AX18" s="16" t="s">
        <v>340</v>
      </c>
      <c r="AY18" s="16">
        <v>37.700000000000003</v>
      </c>
      <c r="AZ18" s="16">
        <v>187.4</v>
      </c>
      <c r="BA18" s="16">
        <v>32.700000000000003</v>
      </c>
      <c r="BB18" s="16">
        <v>0.55000000000000004</v>
      </c>
    </row>
    <row r="19" spans="2:54" x14ac:dyDescent="0.2">
      <c r="B19" s="13">
        <v>41705</v>
      </c>
      <c r="C19" s="1" t="s">
        <v>149</v>
      </c>
      <c r="D19" s="1">
        <v>1008</v>
      </c>
      <c r="F19" s="1">
        <v>64</v>
      </c>
      <c r="G19" s="1">
        <v>5</v>
      </c>
      <c r="H19" s="4">
        <v>83</v>
      </c>
      <c r="I19" s="4">
        <v>111</v>
      </c>
      <c r="J19" s="1">
        <v>74</v>
      </c>
      <c r="K19" s="5">
        <v>21</v>
      </c>
      <c r="L19" s="1">
        <v>60</v>
      </c>
      <c r="M19" s="1">
        <v>28.65</v>
      </c>
      <c r="N19" s="1">
        <v>31</v>
      </c>
      <c r="O19" s="1">
        <v>34</v>
      </c>
      <c r="P19" s="1">
        <v>11</v>
      </c>
      <c r="Q19" s="1" t="s">
        <v>30</v>
      </c>
      <c r="R19" s="1" t="s">
        <v>31</v>
      </c>
      <c r="T19" s="1">
        <v>79</v>
      </c>
      <c r="U19" s="1">
        <v>150</v>
      </c>
      <c r="V19" s="1">
        <f t="shared" si="0"/>
        <v>71</v>
      </c>
      <c r="W19" s="1">
        <v>264</v>
      </c>
      <c r="Y19" s="1">
        <v>5</v>
      </c>
      <c r="Z19" s="1">
        <v>99</v>
      </c>
      <c r="AA19" s="1">
        <v>62</v>
      </c>
      <c r="AB19" s="1">
        <f t="shared" si="1"/>
        <v>16</v>
      </c>
      <c r="AC19" s="1">
        <v>78</v>
      </c>
      <c r="AE19" s="1">
        <v>5.9</v>
      </c>
      <c r="AF19" s="1" t="s">
        <v>114</v>
      </c>
      <c r="AG19" s="1">
        <v>35</v>
      </c>
      <c r="AH19" s="1">
        <v>35</v>
      </c>
      <c r="AI19" s="1">
        <v>4.2</v>
      </c>
      <c r="AK19" s="1">
        <v>27</v>
      </c>
      <c r="AL19" s="1">
        <v>90</v>
      </c>
      <c r="AM19" s="1">
        <v>16.8</v>
      </c>
      <c r="AQ19" s="1">
        <v>132.56</v>
      </c>
      <c r="AR19" s="1">
        <v>2061.63</v>
      </c>
      <c r="AS19" s="1">
        <v>37.21</v>
      </c>
      <c r="AT19" s="1">
        <v>25.58</v>
      </c>
      <c r="AV19" s="1">
        <v>2.67</v>
      </c>
      <c r="AW19" s="1">
        <v>0.86</v>
      </c>
      <c r="AX19" s="1" t="s">
        <v>123</v>
      </c>
      <c r="AY19" s="7">
        <v>35.479999999999997</v>
      </c>
      <c r="AZ19" s="1">
        <v>135.66999999999999</v>
      </c>
      <c r="BA19" s="1">
        <v>13.7</v>
      </c>
      <c r="BB19" s="1">
        <v>0.61</v>
      </c>
    </row>
    <row r="20" spans="2:54" x14ac:dyDescent="0.2">
      <c r="B20" s="13">
        <v>41705</v>
      </c>
      <c r="C20" s="1" t="s">
        <v>149</v>
      </c>
      <c r="D20" s="1">
        <v>1009</v>
      </c>
      <c r="F20" s="1">
        <v>74</v>
      </c>
      <c r="G20" s="1">
        <v>6</v>
      </c>
      <c r="H20" s="4">
        <v>82</v>
      </c>
      <c r="I20" s="4">
        <v>77</v>
      </c>
      <c r="J20" s="1">
        <v>108</v>
      </c>
      <c r="K20" s="5">
        <v>126</v>
      </c>
      <c r="L20" s="1">
        <v>83</v>
      </c>
      <c r="M20" s="1">
        <v>29.51</v>
      </c>
      <c r="N20" s="1">
        <v>24</v>
      </c>
      <c r="O20" s="1">
        <v>28</v>
      </c>
      <c r="P20" s="1">
        <v>12</v>
      </c>
      <c r="Q20" s="1" t="s">
        <v>32</v>
      </c>
      <c r="R20" s="1" t="s">
        <v>33</v>
      </c>
      <c r="T20" s="1">
        <v>93</v>
      </c>
      <c r="U20" s="1">
        <v>148</v>
      </c>
      <c r="V20" s="1">
        <f t="shared" si="0"/>
        <v>55</v>
      </c>
      <c r="W20" s="1">
        <v>504</v>
      </c>
      <c r="Y20" s="1">
        <v>2</v>
      </c>
      <c r="Z20" s="1">
        <v>97</v>
      </c>
      <c r="AA20" s="1">
        <v>84</v>
      </c>
      <c r="AB20" s="1">
        <f t="shared" si="1"/>
        <v>12</v>
      </c>
      <c r="AC20" s="1">
        <v>96</v>
      </c>
      <c r="AE20" s="1">
        <v>5.0999999999999996</v>
      </c>
      <c r="AF20" s="1">
        <v>8</v>
      </c>
      <c r="AG20" s="1">
        <v>35</v>
      </c>
      <c r="AH20" s="1">
        <v>43</v>
      </c>
      <c r="AI20" s="1">
        <v>0.9</v>
      </c>
      <c r="AJ20" s="1">
        <v>0.7</v>
      </c>
      <c r="AK20" s="1">
        <v>44</v>
      </c>
      <c r="AL20" s="1">
        <v>63</v>
      </c>
      <c r="AM20" s="1">
        <v>10.3</v>
      </c>
      <c r="AQ20" s="1">
        <v>556.45000000000005</v>
      </c>
      <c r="AR20" s="1">
        <v>1274.19</v>
      </c>
      <c r="AS20" s="1">
        <v>214.52</v>
      </c>
      <c r="AT20" s="1">
        <v>32.26</v>
      </c>
      <c r="AV20" s="1">
        <v>0.16</v>
      </c>
      <c r="AW20" s="1">
        <v>0.62</v>
      </c>
      <c r="AX20" s="1" t="s">
        <v>124</v>
      </c>
      <c r="AY20" s="8">
        <v>7.64</v>
      </c>
      <c r="AZ20" s="1">
        <v>59.71</v>
      </c>
      <c r="BA20" s="1">
        <v>22.5</v>
      </c>
      <c r="BB20" s="1">
        <v>0.28999999999999998</v>
      </c>
    </row>
    <row r="21" spans="2:54" s="16" customFormat="1" x14ac:dyDescent="0.2">
      <c r="B21" s="15">
        <v>41706</v>
      </c>
      <c r="C21" s="16" t="s">
        <v>149</v>
      </c>
      <c r="D21" s="16">
        <v>1010</v>
      </c>
      <c r="F21" s="16">
        <v>69</v>
      </c>
      <c r="G21" s="16">
        <v>3</v>
      </c>
      <c r="H21" s="16">
        <v>101</v>
      </c>
      <c r="I21" s="16">
        <v>104</v>
      </c>
      <c r="J21" s="16">
        <v>96</v>
      </c>
      <c r="K21" s="16">
        <v>91</v>
      </c>
      <c r="L21" s="16">
        <v>107</v>
      </c>
      <c r="M21" s="16">
        <v>17.29</v>
      </c>
      <c r="N21" s="16">
        <v>28</v>
      </c>
      <c r="O21" s="16">
        <v>30</v>
      </c>
      <c r="P21" s="16">
        <v>14</v>
      </c>
      <c r="Q21" s="16" t="s">
        <v>34</v>
      </c>
      <c r="R21" s="16" t="s">
        <v>35</v>
      </c>
      <c r="T21" s="16">
        <v>80</v>
      </c>
      <c r="U21" s="16">
        <v>124</v>
      </c>
      <c r="V21" s="16">
        <f t="shared" si="0"/>
        <v>44</v>
      </c>
      <c r="W21" s="16">
        <v>601</v>
      </c>
      <c r="Y21" s="16">
        <v>1</v>
      </c>
      <c r="Z21" s="16">
        <v>99</v>
      </c>
      <c r="AA21" s="16">
        <v>55</v>
      </c>
      <c r="AB21" s="16">
        <f t="shared" si="1"/>
        <v>36</v>
      </c>
      <c r="AC21" s="16">
        <v>91</v>
      </c>
      <c r="AE21" s="16">
        <v>6</v>
      </c>
      <c r="AF21" s="16" t="s">
        <v>114</v>
      </c>
      <c r="AG21" s="16">
        <v>37</v>
      </c>
      <c r="AH21" s="16">
        <v>37</v>
      </c>
      <c r="AI21" s="16">
        <v>0.3</v>
      </c>
      <c r="AJ21" s="16" t="s">
        <v>115</v>
      </c>
      <c r="AK21" s="16">
        <v>40</v>
      </c>
      <c r="AL21" s="16">
        <v>16</v>
      </c>
      <c r="AM21" s="16">
        <v>1.3</v>
      </c>
      <c r="AQ21" s="16">
        <v>181.4</v>
      </c>
      <c r="AR21" s="16">
        <v>2548.84</v>
      </c>
      <c r="AS21" s="16">
        <v>69.77</v>
      </c>
      <c r="AT21" s="16">
        <v>39.53</v>
      </c>
      <c r="AV21" s="16">
        <v>0.7</v>
      </c>
      <c r="AW21" s="16">
        <v>0.43</v>
      </c>
      <c r="AX21" s="16" t="s">
        <v>125</v>
      </c>
      <c r="AY21" s="19">
        <v>45.73</v>
      </c>
      <c r="AZ21" s="16">
        <v>157.86000000000001</v>
      </c>
      <c r="BA21" s="16">
        <v>12.93</v>
      </c>
      <c r="BB21" s="16">
        <v>0.41</v>
      </c>
    </row>
    <row r="22" spans="2:54" s="16" customFormat="1" x14ac:dyDescent="0.2">
      <c r="B22" s="15">
        <v>42094</v>
      </c>
      <c r="D22" s="16">
        <v>1010</v>
      </c>
      <c r="F22" s="16">
        <v>70</v>
      </c>
      <c r="G22" s="16">
        <v>2</v>
      </c>
      <c r="H22" s="16">
        <v>108</v>
      </c>
      <c r="I22" s="16">
        <v>108</v>
      </c>
      <c r="J22" s="16">
        <v>99</v>
      </c>
      <c r="K22" s="16">
        <v>105</v>
      </c>
      <c r="L22" s="16">
        <v>100</v>
      </c>
      <c r="M22" s="16">
        <v>19.63</v>
      </c>
      <c r="N22" s="16">
        <v>27</v>
      </c>
      <c r="O22" s="16">
        <v>32</v>
      </c>
      <c r="P22" s="16">
        <v>14</v>
      </c>
      <c r="Q22" s="16" t="s">
        <v>203</v>
      </c>
      <c r="R22" s="16" t="s">
        <v>204</v>
      </c>
      <c r="T22" s="16">
        <v>70</v>
      </c>
      <c r="U22" s="16">
        <v>107</v>
      </c>
      <c r="V22" s="16">
        <f t="shared" si="0"/>
        <v>37</v>
      </c>
      <c r="W22" s="16">
        <v>477</v>
      </c>
      <c r="Y22" s="16">
        <v>2</v>
      </c>
      <c r="Z22" s="16">
        <v>98</v>
      </c>
      <c r="AA22" s="16">
        <v>81</v>
      </c>
      <c r="AB22" s="16">
        <f t="shared" si="1"/>
        <v>-12</v>
      </c>
      <c r="AC22" s="16">
        <v>69</v>
      </c>
      <c r="AE22" s="16">
        <v>5.2</v>
      </c>
      <c r="AF22" s="16" t="s">
        <v>114</v>
      </c>
      <c r="AG22" s="16">
        <v>39</v>
      </c>
      <c r="AH22" s="16">
        <v>39</v>
      </c>
      <c r="AI22" s="16">
        <v>0.4</v>
      </c>
      <c r="AJ22" s="16">
        <v>1.9</v>
      </c>
      <c r="AK22" s="16">
        <v>68</v>
      </c>
      <c r="AL22" s="16">
        <v>22</v>
      </c>
      <c r="AM22" s="16">
        <v>1.1000000000000001</v>
      </c>
      <c r="AP22" s="16">
        <v>9</v>
      </c>
      <c r="AQ22" s="16">
        <v>212.22</v>
      </c>
      <c r="AR22" s="16">
        <v>1815.6</v>
      </c>
      <c r="AS22" s="16">
        <v>104</v>
      </c>
      <c r="AT22" s="16">
        <v>22</v>
      </c>
      <c r="AV22" s="16">
        <v>0.56000000000000005</v>
      </c>
      <c r="AW22" s="16">
        <v>0.9</v>
      </c>
      <c r="AX22" s="16" t="s">
        <v>306</v>
      </c>
      <c r="AY22" s="19">
        <v>93.6</v>
      </c>
      <c r="AZ22" s="16">
        <v>313.2</v>
      </c>
      <c r="BA22" s="16">
        <v>15</v>
      </c>
      <c r="BB22" s="16">
        <v>0.39</v>
      </c>
    </row>
    <row r="23" spans="2:54" s="16" customFormat="1" x14ac:dyDescent="0.2">
      <c r="B23" s="15">
        <v>42212</v>
      </c>
      <c r="D23" s="16">
        <v>1010</v>
      </c>
      <c r="G23" s="16">
        <v>4</v>
      </c>
      <c r="H23" s="16">
        <v>104</v>
      </c>
      <c r="I23" s="16">
        <v>104</v>
      </c>
      <c r="J23" s="16">
        <v>99</v>
      </c>
      <c r="K23" s="16">
        <v>99</v>
      </c>
      <c r="L23" s="16">
        <v>111</v>
      </c>
      <c r="M23" s="16">
        <v>24.25</v>
      </c>
      <c r="N23" s="16">
        <v>29</v>
      </c>
      <c r="O23" s="16">
        <v>31</v>
      </c>
      <c r="P23" s="16">
        <v>15</v>
      </c>
      <c r="Q23" s="16" t="s">
        <v>205</v>
      </c>
      <c r="R23" s="16" t="s">
        <v>206</v>
      </c>
      <c r="T23" s="16">
        <v>66</v>
      </c>
      <c r="U23" s="16">
        <v>108</v>
      </c>
      <c r="V23" s="16">
        <f t="shared" si="0"/>
        <v>42</v>
      </c>
      <c r="W23" s="16">
        <v>554</v>
      </c>
      <c r="Y23" s="16">
        <v>6</v>
      </c>
      <c r="Z23" s="16">
        <v>98</v>
      </c>
      <c r="AA23" s="16">
        <v>78</v>
      </c>
      <c r="AB23" s="16">
        <f t="shared" si="1"/>
        <v>-5</v>
      </c>
      <c r="AC23" s="16">
        <v>73</v>
      </c>
      <c r="AE23" s="16">
        <v>5.8</v>
      </c>
      <c r="AF23" s="16" t="s">
        <v>114</v>
      </c>
      <c r="AG23" s="16">
        <v>36</v>
      </c>
      <c r="AH23" s="16">
        <v>36</v>
      </c>
      <c r="AI23" s="16">
        <v>0.4</v>
      </c>
      <c r="AJ23" s="16">
        <v>2.2000000000000002</v>
      </c>
      <c r="AK23" s="16">
        <v>51</v>
      </c>
      <c r="AL23" s="16">
        <v>24</v>
      </c>
      <c r="AM23" s="16">
        <v>2.6</v>
      </c>
      <c r="AP23" s="16">
        <v>7</v>
      </c>
      <c r="AQ23" s="16">
        <v>388</v>
      </c>
      <c r="AR23" s="16">
        <v>2953</v>
      </c>
      <c r="AS23" s="16">
        <v>109</v>
      </c>
      <c r="AT23" s="16">
        <v>93</v>
      </c>
      <c r="AV23" s="16">
        <v>0.7</v>
      </c>
      <c r="AW23" s="16">
        <v>0.43</v>
      </c>
      <c r="AX23" s="16" t="s">
        <v>284</v>
      </c>
      <c r="AY23" s="19">
        <v>95.3</v>
      </c>
      <c r="AZ23" s="16">
        <v>320.10000000000002</v>
      </c>
      <c r="BA23" s="16">
        <v>14.8</v>
      </c>
      <c r="BB23" s="16">
        <v>0.27</v>
      </c>
    </row>
    <row r="24" spans="2:54" s="16" customFormat="1" x14ac:dyDescent="0.2">
      <c r="B24" s="15">
        <v>42353</v>
      </c>
      <c r="D24" s="16">
        <v>1010</v>
      </c>
      <c r="G24" s="16">
        <v>4</v>
      </c>
      <c r="H24" s="16">
        <v>103</v>
      </c>
      <c r="I24" s="16">
        <v>104</v>
      </c>
      <c r="J24" s="16">
        <v>99</v>
      </c>
      <c r="K24" s="16">
        <v>97</v>
      </c>
      <c r="L24" s="16">
        <v>107</v>
      </c>
      <c r="M24" s="16">
        <v>23.09</v>
      </c>
      <c r="N24" s="16">
        <v>23</v>
      </c>
      <c r="O24" s="16">
        <v>27</v>
      </c>
      <c r="P24" s="16">
        <v>8</v>
      </c>
      <c r="Q24" s="16" t="s">
        <v>331</v>
      </c>
      <c r="R24" s="16" t="s">
        <v>325</v>
      </c>
      <c r="S24" s="16" t="s">
        <v>332</v>
      </c>
      <c r="T24" s="16">
        <v>71</v>
      </c>
      <c r="U24" s="16">
        <v>105</v>
      </c>
      <c r="V24" s="16">
        <f t="shared" si="0"/>
        <v>34</v>
      </c>
      <c r="W24" s="16">
        <v>569.1</v>
      </c>
      <c r="Z24" s="16">
        <v>98</v>
      </c>
      <c r="AA24" s="16">
        <v>80</v>
      </c>
      <c r="AB24" s="16">
        <f t="shared" si="1"/>
        <v>5</v>
      </c>
      <c r="AC24" s="16">
        <v>85</v>
      </c>
      <c r="AE24" s="16">
        <v>4.5</v>
      </c>
      <c r="AF24" s="16" t="s">
        <v>114</v>
      </c>
      <c r="AG24" s="16">
        <v>38</v>
      </c>
      <c r="AH24" s="16">
        <v>38</v>
      </c>
      <c r="AI24" s="16">
        <v>0.6</v>
      </c>
      <c r="AY24" s="19"/>
    </row>
    <row r="25" spans="2:54" x14ac:dyDescent="0.2">
      <c r="B25" s="13">
        <v>41706</v>
      </c>
      <c r="C25" s="1" t="s">
        <v>149</v>
      </c>
      <c r="D25" s="1">
        <v>1011</v>
      </c>
      <c r="F25" s="1">
        <v>63</v>
      </c>
      <c r="G25" s="1">
        <v>4</v>
      </c>
      <c r="H25" s="4">
        <v>80</v>
      </c>
      <c r="I25" s="4">
        <v>86</v>
      </c>
      <c r="J25" s="1">
        <v>92</v>
      </c>
      <c r="K25" s="5">
        <v>68</v>
      </c>
      <c r="L25" s="1">
        <v>46</v>
      </c>
      <c r="M25" s="1">
        <v>19.600000000000001</v>
      </c>
      <c r="N25" s="1">
        <v>33</v>
      </c>
      <c r="O25" s="1">
        <v>26</v>
      </c>
      <c r="P25" s="1">
        <v>5</v>
      </c>
      <c r="Q25" s="1" t="s">
        <v>36</v>
      </c>
      <c r="R25" s="1" t="s">
        <v>37</v>
      </c>
      <c r="T25" s="1">
        <v>71</v>
      </c>
      <c r="U25" s="1">
        <v>137</v>
      </c>
      <c r="V25" s="1">
        <f t="shared" si="0"/>
        <v>66</v>
      </c>
      <c r="W25" s="1">
        <v>513</v>
      </c>
      <c r="Y25" s="1">
        <v>1</v>
      </c>
      <c r="Z25" s="1">
        <v>97</v>
      </c>
      <c r="AA25" s="1">
        <v>64</v>
      </c>
      <c r="AB25" s="1">
        <f t="shared" si="1"/>
        <v>17</v>
      </c>
      <c r="AC25" s="1">
        <v>81</v>
      </c>
      <c r="AE25" s="1">
        <v>6</v>
      </c>
      <c r="AF25" s="1" t="s">
        <v>114</v>
      </c>
      <c r="AG25" s="1">
        <v>40</v>
      </c>
      <c r="AH25" s="1">
        <v>40</v>
      </c>
      <c r="AI25" s="1">
        <v>0.3</v>
      </c>
      <c r="AJ25" s="1" t="s">
        <v>115</v>
      </c>
      <c r="AK25" s="1">
        <v>22</v>
      </c>
      <c r="AL25" s="1">
        <v>20</v>
      </c>
      <c r="AM25" s="1">
        <v>2.7</v>
      </c>
      <c r="AQ25" s="1">
        <v>193.22</v>
      </c>
      <c r="AR25" s="1">
        <v>1415.25</v>
      </c>
      <c r="AS25" s="1">
        <v>42.37</v>
      </c>
      <c r="AT25" s="1">
        <v>10.17</v>
      </c>
      <c r="AV25" s="1">
        <v>0.51</v>
      </c>
      <c r="AW25" s="1">
        <v>0.59</v>
      </c>
      <c r="AX25" s="1" t="s">
        <v>126</v>
      </c>
      <c r="AY25" s="7">
        <v>46.36</v>
      </c>
      <c r="AZ25" s="1">
        <v>176.56</v>
      </c>
      <c r="BA25" s="1">
        <v>2.06</v>
      </c>
      <c r="BB25" s="1">
        <v>0.63</v>
      </c>
    </row>
    <row r="26" spans="2:54" s="12" customFormat="1" x14ac:dyDescent="0.2">
      <c r="B26" s="13">
        <v>42094</v>
      </c>
      <c r="D26" s="12">
        <v>1011</v>
      </c>
      <c r="H26" s="4">
        <v>99</v>
      </c>
      <c r="I26" s="4">
        <v>94</v>
      </c>
      <c r="J26" s="12">
        <v>106</v>
      </c>
      <c r="K26" s="5">
        <v>131</v>
      </c>
      <c r="L26" s="12">
        <v>68</v>
      </c>
      <c r="N26" s="12">
        <v>33</v>
      </c>
      <c r="O26" s="12">
        <v>31</v>
      </c>
      <c r="Q26" s="12" t="s">
        <v>207</v>
      </c>
      <c r="R26" s="12" t="s">
        <v>208</v>
      </c>
      <c r="S26" s="14"/>
      <c r="T26" s="12">
        <v>70</v>
      </c>
      <c r="U26" s="12">
        <v>131</v>
      </c>
      <c r="V26" s="12">
        <f t="shared" si="0"/>
        <v>61</v>
      </c>
      <c r="W26" s="12">
        <v>500</v>
      </c>
      <c r="Y26" s="12">
        <v>6</v>
      </c>
      <c r="Z26" s="12">
        <v>97</v>
      </c>
      <c r="AA26" s="12">
        <v>65</v>
      </c>
      <c r="AB26" s="12">
        <f t="shared" si="1"/>
        <v>11</v>
      </c>
      <c r="AC26" s="12">
        <v>76</v>
      </c>
      <c r="AE26" s="12">
        <v>5.0999999999999996</v>
      </c>
      <c r="AF26" s="12" t="s">
        <v>114</v>
      </c>
      <c r="AG26" s="12">
        <v>49</v>
      </c>
      <c r="AH26" s="12">
        <v>49</v>
      </c>
      <c r="AI26" s="12">
        <v>0.4</v>
      </c>
      <c r="AJ26" s="12">
        <v>1.8</v>
      </c>
      <c r="AK26" s="12">
        <v>41</v>
      </c>
      <c r="AL26" s="12">
        <v>39</v>
      </c>
      <c r="AM26" s="12">
        <v>2.5</v>
      </c>
      <c r="AP26" s="24">
        <v>5.9</v>
      </c>
      <c r="AQ26" s="12">
        <v>343.2</v>
      </c>
      <c r="AR26" s="12">
        <v>1729.7</v>
      </c>
      <c r="AS26" s="12">
        <v>148.6</v>
      </c>
      <c r="AT26" s="12">
        <v>140.5</v>
      </c>
      <c r="AU26" s="41"/>
      <c r="AV26" s="12">
        <v>0.54</v>
      </c>
      <c r="AW26" s="12">
        <v>0.37</v>
      </c>
      <c r="AX26" s="12" t="s">
        <v>307</v>
      </c>
      <c r="AY26" s="7">
        <v>19.3</v>
      </c>
      <c r="AZ26" s="12">
        <v>149</v>
      </c>
      <c r="BA26" s="12">
        <v>4</v>
      </c>
      <c r="BB26" s="12">
        <v>0.59</v>
      </c>
    </row>
    <row r="27" spans="2:54" x14ac:dyDescent="0.2">
      <c r="B27" s="13">
        <v>41706</v>
      </c>
      <c r="C27" s="1" t="s">
        <v>149</v>
      </c>
      <c r="D27" s="1">
        <v>1012</v>
      </c>
      <c r="F27" s="1">
        <v>68</v>
      </c>
      <c r="G27" s="1">
        <v>9</v>
      </c>
      <c r="H27" s="4">
        <v>94</v>
      </c>
      <c r="I27" s="4">
        <v>95</v>
      </c>
      <c r="J27" s="1">
        <v>101</v>
      </c>
      <c r="K27" s="5">
        <v>96</v>
      </c>
      <c r="L27" s="1">
        <v>101</v>
      </c>
      <c r="M27" s="1">
        <v>19.64</v>
      </c>
      <c r="N27" s="1">
        <v>38</v>
      </c>
      <c r="O27" s="1">
        <v>25</v>
      </c>
      <c r="P27" s="1">
        <v>12</v>
      </c>
      <c r="Q27" s="1" t="s">
        <v>38</v>
      </c>
      <c r="R27" s="1" t="s">
        <v>39</v>
      </c>
      <c r="T27" s="1">
        <v>106</v>
      </c>
      <c r="U27" s="1">
        <v>190</v>
      </c>
      <c r="V27" s="1">
        <f t="shared" si="0"/>
        <v>84</v>
      </c>
      <c r="W27" s="1">
        <v>504</v>
      </c>
      <c r="Y27" s="1">
        <v>4</v>
      </c>
      <c r="Z27" s="1">
        <v>99</v>
      </c>
      <c r="AA27" s="1">
        <v>69</v>
      </c>
      <c r="AB27" s="1">
        <f t="shared" si="1"/>
        <v>45</v>
      </c>
      <c r="AC27" s="1">
        <v>114</v>
      </c>
      <c r="AE27" s="1">
        <v>5.5</v>
      </c>
      <c r="AF27" s="1" t="s">
        <v>114</v>
      </c>
      <c r="AG27" s="1">
        <v>40</v>
      </c>
      <c r="AH27" s="1">
        <v>40</v>
      </c>
      <c r="AI27" s="1">
        <v>1.1000000000000001</v>
      </c>
      <c r="AJ27" s="1">
        <v>0.5</v>
      </c>
      <c r="AK27" s="1">
        <v>34</v>
      </c>
      <c r="AL27" s="1">
        <v>29</v>
      </c>
      <c r="AM27" s="1">
        <v>1.8</v>
      </c>
      <c r="AQ27" s="1">
        <v>101.27</v>
      </c>
      <c r="AR27" s="1">
        <v>2462.0300000000002</v>
      </c>
      <c r="AS27" s="1">
        <v>50.63</v>
      </c>
      <c r="AT27" s="1">
        <v>20.25</v>
      </c>
      <c r="AV27" s="1">
        <v>0.25</v>
      </c>
      <c r="AW27" s="1">
        <v>0.79</v>
      </c>
      <c r="AX27" s="1" t="s">
        <v>127</v>
      </c>
      <c r="AY27" s="7">
        <v>69.180000000000007</v>
      </c>
      <c r="AZ27" s="1">
        <v>126.5</v>
      </c>
      <c r="BA27" s="1" t="s">
        <v>180</v>
      </c>
      <c r="BB27" s="1">
        <v>0.6</v>
      </c>
    </row>
    <row r="28" spans="2:54" x14ac:dyDescent="0.2">
      <c r="B28" s="13">
        <v>41738</v>
      </c>
      <c r="C28" s="1" t="s">
        <v>149</v>
      </c>
      <c r="D28" s="1">
        <v>1013</v>
      </c>
      <c r="F28" s="1">
        <v>69</v>
      </c>
      <c r="G28" s="1">
        <v>9</v>
      </c>
      <c r="H28" s="4">
        <v>57</v>
      </c>
      <c r="I28" s="4">
        <v>57</v>
      </c>
      <c r="J28" s="1">
        <v>99</v>
      </c>
      <c r="K28" s="5">
        <v>53</v>
      </c>
      <c r="L28" s="1">
        <v>51</v>
      </c>
      <c r="M28" s="1">
        <v>25.91</v>
      </c>
      <c r="N28" s="1">
        <v>34</v>
      </c>
      <c r="O28" s="1">
        <v>38</v>
      </c>
      <c r="P28" s="1">
        <v>28</v>
      </c>
      <c r="Q28" s="1" t="s">
        <v>42</v>
      </c>
      <c r="R28" s="1" t="s">
        <v>43</v>
      </c>
      <c r="T28" s="1">
        <v>78</v>
      </c>
      <c r="U28" s="1">
        <v>145</v>
      </c>
      <c r="V28" s="1">
        <f t="shared" si="0"/>
        <v>67</v>
      </c>
      <c r="W28" s="1">
        <v>457</v>
      </c>
      <c r="Y28" s="1">
        <v>3</v>
      </c>
      <c r="Z28" s="1" t="s">
        <v>44</v>
      </c>
      <c r="AA28" s="1">
        <v>60</v>
      </c>
      <c r="AB28" s="1">
        <f t="shared" si="1"/>
        <v>12</v>
      </c>
      <c r="AC28" s="1">
        <v>72</v>
      </c>
      <c r="AE28" s="1">
        <v>5.6</v>
      </c>
      <c r="AF28" s="1" t="s">
        <v>114</v>
      </c>
      <c r="AG28" s="1">
        <v>54</v>
      </c>
      <c r="AH28" s="1">
        <v>54</v>
      </c>
      <c r="AI28" s="1">
        <v>2.7</v>
      </c>
      <c r="AJ28" s="1">
        <v>0.7</v>
      </c>
      <c r="AK28" s="1">
        <v>33</v>
      </c>
      <c r="AL28" s="1">
        <v>17</v>
      </c>
      <c r="AM28" s="1">
        <v>1.5</v>
      </c>
      <c r="AQ28" s="1">
        <v>861.29</v>
      </c>
      <c r="AR28" s="1">
        <v>3296.77</v>
      </c>
      <c r="AS28" s="1">
        <v>103.23</v>
      </c>
      <c r="AT28" s="1">
        <v>67.739999999999995</v>
      </c>
      <c r="AV28" s="1">
        <v>0.97</v>
      </c>
      <c r="AW28" s="1">
        <v>0.31</v>
      </c>
      <c r="AX28" s="1" t="s">
        <v>128</v>
      </c>
      <c r="AY28" s="1">
        <v>23.88</v>
      </c>
      <c r="AZ28" s="1">
        <v>204.44</v>
      </c>
      <c r="BA28" s="1">
        <v>12.41</v>
      </c>
      <c r="BB28" s="1">
        <v>0.22</v>
      </c>
    </row>
    <row r="29" spans="2:54" s="16" customFormat="1" x14ac:dyDescent="0.2">
      <c r="B29" s="15">
        <v>41707</v>
      </c>
      <c r="C29" s="16" t="s">
        <v>149</v>
      </c>
      <c r="D29" s="16">
        <v>1014</v>
      </c>
      <c r="F29" s="16">
        <v>67</v>
      </c>
      <c r="G29" s="16">
        <v>7</v>
      </c>
      <c r="H29" s="16">
        <v>84</v>
      </c>
      <c r="I29" s="16">
        <v>85</v>
      </c>
      <c r="J29" s="16">
        <v>99</v>
      </c>
      <c r="K29" s="16">
        <v>77</v>
      </c>
      <c r="L29" s="16">
        <v>104</v>
      </c>
      <c r="M29" s="16">
        <v>16.62</v>
      </c>
      <c r="N29" s="16">
        <v>23</v>
      </c>
      <c r="O29" s="16">
        <v>25</v>
      </c>
      <c r="P29" s="16">
        <v>13</v>
      </c>
      <c r="Q29" s="16" t="s">
        <v>40</v>
      </c>
      <c r="R29" s="16" t="s">
        <v>41</v>
      </c>
      <c r="T29" s="16">
        <v>67</v>
      </c>
      <c r="U29" s="16">
        <v>127</v>
      </c>
      <c r="V29" s="16">
        <f t="shared" si="0"/>
        <v>60</v>
      </c>
      <c r="W29" s="16">
        <v>741</v>
      </c>
      <c r="Y29" s="16">
        <v>2</v>
      </c>
      <c r="Z29" s="16">
        <v>98</v>
      </c>
      <c r="AA29" s="16">
        <v>65</v>
      </c>
      <c r="AB29" s="16">
        <f t="shared" si="1"/>
        <v>12</v>
      </c>
      <c r="AC29" s="16">
        <v>77</v>
      </c>
      <c r="AE29" s="16">
        <v>4.8</v>
      </c>
      <c r="AF29" s="16" t="s">
        <v>114</v>
      </c>
      <c r="AG29" s="16">
        <v>45</v>
      </c>
      <c r="AH29" s="16">
        <v>45</v>
      </c>
      <c r="AI29" s="16">
        <v>1.8</v>
      </c>
      <c r="AJ29" s="16" t="s">
        <v>115</v>
      </c>
      <c r="AK29" s="16">
        <v>42</v>
      </c>
      <c r="AL29" s="16">
        <v>27</v>
      </c>
      <c r="AM29" s="16">
        <v>3.1</v>
      </c>
      <c r="AP29" s="16">
        <v>4.9000000000000004</v>
      </c>
      <c r="AQ29" s="16">
        <v>173.33</v>
      </c>
      <c r="AR29" s="16">
        <v>3433</v>
      </c>
      <c r="AS29" s="16">
        <v>56.7</v>
      </c>
      <c r="AT29" s="16">
        <v>16.7</v>
      </c>
      <c r="AV29" s="16">
        <v>0.67</v>
      </c>
      <c r="AW29" s="16">
        <v>0.3</v>
      </c>
      <c r="AX29" s="16" t="s">
        <v>129</v>
      </c>
      <c r="AY29" s="19">
        <v>51.73</v>
      </c>
      <c r="AZ29" s="16">
        <v>214.49</v>
      </c>
      <c r="BA29" s="16">
        <v>24.51</v>
      </c>
      <c r="BB29" s="16">
        <v>0.31</v>
      </c>
    </row>
    <row r="30" spans="2:54" s="16" customFormat="1" x14ac:dyDescent="0.2">
      <c r="B30" s="15">
        <v>42094</v>
      </c>
      <c r="D30" s="16">
        <v>1014</v>
      </c>
      <c r="F30" s="16">
        <v>68</v>
      </c>
      <c r="G30" s="16">
        <v>4</v>
      </c>
      <c r="H30" s="16">
        <v>80</v>
      </c>
      <c r="I30" s="16">
        <v>84</v>
      </c>
      <c r="J30" s="16">
        <v>95</v>
      </c>
      <c r="K30" s="16">
        <v>64</v>
      </c>
      <c r="L30" s="16">
        <v>101</v>
      </c>
      <c r="N30" s="16">
        <v>21</v>
      </c>
      <c r="O30" s="16">
        <v>23</v>
      </c>
      <c r="P30" s="16">
        <v>5</v>
      </c>
      <c r="Q30" s="16" t="s">
        <v>209</v>
      </c>
      <c r="R30" s="16" t="s">
        <v>210</v>
      </c>
      <c r="T30" s="16">
        <v>73</v>
      </c>
      <c r="U30" s="16">
        <v>122</v>
      </c>
      <c r="V30" s="16">
        <f t="shared" si="0"/>
        <v>49</v>
      </c>
      <c r="W30" s="16">
        <v>628</v>
      </c>
      <c r="Y30" s="16">
        <v>7</v>
      </c>
      <c r="Z30" s="16">
        <v>98</v>
      </c>
      <c r="AA30" s="16">
        <v>70</v>
      </c>
      <c r="AB30" s="16">
        <f t="shared" si="1"/>
        <v>12</v>
      </c>
      <c r="AC30" s="16">
        <v>82</v>
      </c>
      <c r="AE30" s="16">
        <v>5</v>
      </c>
      <c r="AF30" s="16" t="s">
        <v>114</v>
      </c>
      <c r="AG30" s="16">
        <v>49</v>
      </c>
      <c r="AH30" s="16">
        <v>49</v>
      </c>
      <c r="AI30" s="16">
        <v>2.2000000000000002</v>
      </c>
      <c r="AJ30" s="16">
        <v>1.2</v>
      </c>
      <c r="AK30" s="16">
        <v>34</v>
      </c>
      <c r="AL30" s="16">
        <v>19</v>
      </c>
      <c r="AM30" s="16">
        <v>1.7</v>
      </c>
      <c r="AP30" s="16">
        <v>3</v>
      </c>
      <c r="AQ30" s="16">
        <v>155.30000000000001</v>
      </c>
      <c r="AR30" s="16">
        <v>2707.9</v>
      </c>
      <c r="AS30" s="16">
        <v>100</v>
      </c>
      <c r="AT30" s="16">
        <v>44.7</v>
      </c>
      <c r="AV30" s="16">
        <v>0.79</v>
      </c>
      <c r="AW30" s="16">
        <v>0.38</v>
      </c>
      <c r="AX30" s="16" t="s">
        <v>308</v>
      </c>
      <c r="AY30" s="19">
        <v>51.3</v>
      </c>
      <c r="AZ30" s="16">
        <v>241</v>
      </c>
      <c r="BA30" s="16">
        <v>33.5</v>
      </c>
      <c r="BB30" s="16">
        <v>0.79</v>
      </c>
    </row>
    <row r="31" spans="2:54" s="16" customFormat="1" x14ac:dyDescent="0.2">
      <c r="B31" s="15">
        <v>42213</v>
      </c>
      <c r="D31" s="16">
        <v>1014</v>
      </c>
      <c r="G31" s="16">
        <v>8</v>
      </c>
      <c r="H31" s="16">
        <v>78</v>
      </c>
      <c r="I31" s="16">
        <v>83</v>
      </c>
      <c r="J31" s="16">
        <v>94</v>
      </c>
      <c r="K31" s="16">
        <v>58</v>
      </c>
      <c r="L31" s="16">
        <v>110</v>
      </c>
      <c r="M31" s="16">
        <v>26.79</v>
      </c>
      <c r="N31" s="16">
        <v>23</v>
      </c>
      <c r="O31" s="16">
        <v>32</v>
      </c>
      <c r="P31" s="16">
        <v>13</v>
      </c>
      <c r="Q31" s="16" t="s">
        <v>211</v>
      </c>
      <c r="R31" s="16" t="s">
        <v>212</v>
      </c>
      <c r="T31" s="16">
        <v>80</v>
      </c>
      <c r="U31" s="16">
        <v>151</v>
      </c>
      <c r="V31" s="16">
        <f t="shared" si="0"/>
        <v>71</v>
      </c>
      <c r="W31" s="16">
        <v>720</v>
      </c>
      <c r="Y31" s="16">
        <v>2</v>
      </c>
      <c r="Z31" s="16">
        <v>98</v>
      </c>
      <c r="AA31" s="16">
        <v>67</v>
      </c>
      <c r="AB31" s="16">
        <f t="shared" si="1"/>
        <v>21</v>
      </c>
      <c r="AC31" s="16">
        <v>88</v>
      </c>
      <c r="AE31" s="16">
        <v>4.2</v>
      </c>
      <c r="AF31" s="16" t="s">
        <v>114</v>
      </c>
      <c r="AG31" s="16">
        <v>65</v>
      </c>
      <c r="AH31" s="16">
        <v>65</v>
      </c>
      <c r="AI31" s="16">
        <v>1.9</v>
      </c>
      <c r="AJ31" s="16">
        <v>1.6</v>
      </c>
      <c r="AK31" s="16">
        <v>37</v>
      </c>
      <c r="AL31" s="16">
        <v>27</v>
      </c>
      <c r="AM31" s="16">
        <v>1.8</v>
      </c>
      <c r="AP31" s="16">
        <v>4.7</v>
      </c>
      <c r="AQ31" s="16">
        <v>44</v>
      </c>
      <c r="AR31" s="16">
        <v>351</v>
      </c>
      <c r="AS31" s="16">
        <v>14</v>
      </c>
      <c r="AT31" s="16">
        <v>8</v>
      </c>
      <c r="AV31" s="16">
        <v>7.0000000000000007E-2</v>
      </c>
      <c r="AW31" s="26">
        <v>0.22</v>
      </c>
      <c r="AX31" s="16" t="s">
        <v>285</v>
      </c>
      <c r="AY31" s="19">
        <v>38.299999999999997</v>
      </c>
      <c r="AZ31" s="16">
        <v>237.4</v>
      </c>
      <c r="BA31" s="16">
        <v>9</v>
      </c>
      <c r="BB31" s="16">
        <v>0.32</v>
      </c>
    </row>
    <row r="32" spans="2:54" s="16" customFormat="1" x14ac:dyDescent="0.2">
      <c r="B32" s="15">
        <v>42331</v>
      </c>
      <c r="D32" s="16">
        <v>1014</v>
      </c>
      <c r="F32" s="16">
        <v>70</v>
      </c>
      <c r="G32" s="16">
        <v>0</v>
      </c>
      <c r="H32" s="16">
        <v>74</v>
      </c>
      <c r="I32" s="16">
        <v>75</v>
      </c>
      <c r="J32" s="16">
        <v>99</v>
      </c>
      <c r="K32" s="16">
        <v>61</v>
      </c>
      <c r="L32" s="16">
        <v>102</v>
      </c>
      <c r="M32" s="16">
        <v>24.85</v>
      </c>
      <c r="N32" s="16">
        <v>22</v>
      </c>
      <c r="O32" s="16">
        <v>28</v>
      </c>
      <c r="P32" s="16">
        <v>7</v>
      </c>
      <c r="Q32" s="16" t="s">
        <v>350</v>
      </c>
      <c r="R32" s="16" t="s">
        <v>351</v>
      </c>
      <c r="S32" s="16" t="s">
        <v>352</v>
      </c>
      <c r="T32" s="16">
        <v>77</v>
      </c>
      <c r="U32" s="16">
        <v>116</v>
      </c>
      <c r="V32" s="16">
        <f t="shared" si="0"/>
        <v>39</v>
      </c>
      <c r="W32" s="16">
        <v>618.70000000000005</v>
      </c>
      <c r="Y32" s="16">
        <v>8</v>
      </c>
      <c r="Z32" s="16">
        <v>98</v>
      </c>
      <c r="AA32" s="16">
        <v>71</v>
      </c>
      <c r="AB32" s="16">
        <f t="shared" si="1"/>
        <v>28</v>
      </c>
      <c r="AC32" s="16">
        <v>99</v>
      </c>
      <c r="AE32" s="16">
        <v>5.2</v>
      </c>
      <c r="AF32" s="16" t="s">
        <v>114</v>
      </c>
      <c r="AG32" s="16">
        <v>55</v>
      </c>
      <c r="AH32" s="16">
        <v>55</v>
      </c>
      <c r="AI32" s="16">
        <v>1.8</v>
      </c>
      <c r="AJ32" s="16">
        <v>2.7</v>
      </c>
      <c r="AK32" s="16">
        <v>47</v>
      </c>
      <c r="AL32" s="16">
        <v>32</v>
      </c>
      <c r="AM32" s="16">
        <v>5.9</v>
      </c>
      <c r="AP32" s="16">
        <v>5.3</v>
      </c>
      <c r="AQ32" s="16">
        <v>448</v>
      </c>
      <c r="AR32" s="16">
        <v>1535</v>
      </c>
      <c r="AS32" s="16">
        <v>81</v>
      </c>
      <c r="AT32" s="16">
        <v>39</v>
      </c>
      <c r="AU32" s="16">
        <v>0.61</v>
      </c>
      <c r="AV32" s="16">
        <v>1.1599999999999999</v>
      </c>
      <c r="AW32" s="30">
        <v>0.31</v>
      </c>
      <c r="AX32" s="16" t="s">
        <v>341</v>
      </c>
      <c r="AY32" s="19">
        <v>29.7</v>
      </c>
      <c r="AZ32" s="16">
        <v>158.6</v>
      </c>
      <c r="BA32" s="16">
        <v>43.6</v>
      </c>
      <c r="BB32" s="16">
        <v>0.84</v>
      </c>
    </row>
    <row r="33" spans="1:54" s="12" customFormat="1" x14ac:dyDescent="0.2">
      <c r="A33" s="12" t="s">
        <v>215</v>
      </c>
      <c r="B33" s="13">
        <v>41751</v>
      </c>
      <c r="D33" s="12">
        <v>1015</v>
      </c>
      <c r="F33" s="12">
        <v>72</v>
      </c>
      <c r="G33" s="12">
        <v>10</v>
      </c>
      <c r="H33" s="4">
        <v>73</v>
      </c>
      <c r="I33" s="4">
        <v>93</v>
      </c>
      <c r="J33" s="12">
        <v>78</v>
      </c>
      <c r="K33" s="5">
        <v>21</v>
      </c>
      <c r="L33" s="12">
        <v>65</v>
      </c>
      <c r="M33" s="12">
        <v>24.57</v>
      </c>
      <c r="N33" s="12">
        <v>27</v>
      </c>
      <c r="O33" s="12">
        <v>38</v>
      </c>
      <c r="P33" s="12">
        <v>16</v>
      </c>
      <c r="Q33" s="12" t="s">
        <v>213</v>
      </c>
      <c r="R33" s="12" t="s">
        <v>214</v>
      </c>
      <c r="S33" s="14"/>
      <c r="T33" s="12">
        <v>72</v>
      </c>
      <c r="U33" s="12">
        <v>110</v>
      </c>
      <c r="V33" s="12">
        <f t="shared" si="0"/>
        <v>38</v>
      </c>
      <c r="W33" s="12">
        <v>556</v>
      </c>
      <c r="Y33" s="12">
        <v>0</v>
      </c>
      <c r="Z33" s="12">
        <v>98</v>
      </c>
      <c r="AA33" s="12">
        <v>69</v>
      </c>
      <c r="AB33" s="12">
        <f t="shared" si="1"/>
        <v>-4</v>
      </c>
      <c r="AC33" s="12">
        <v>65</v>
      </c>
      <c r="AP33" s="24"/>
      <c r="AU33" s="41"/>
      <c r="AY33" s="7"/>
    </row>
    <row r="34" spans="1:54" x14ac:dyDescent="0.2">
      <c r="B34" s="13">
        <v>41751</v>
      </c>
      <c r="C34" s="1" t="s">
        <v>149</v>
      </c>
      <c r="D34" s="1">
        <v>1016</v>
      </c>
      <c r="F34" s="1">
        <v>76</v>
      </c>
      <c r="G34" s="1">
        <v>18</v>
      </c>
      <c r="H34" s="4">
        <v>111</v>
      </c>
      <c r="I34" s="4">
        <v>108</v>
      </c>
      <c r="J34" s="1">
        <v>103</v>
      </c>
      <c r="K34" s="5">
        <v>127</v>
      </c>
      <c r="L34" s="1">
        <v>86</v>
      </c>
      <c r="M34" s="1">
        <v>19.649999999999999</v>
      </c>
      <c r="N34" s="1">
        <v>52</v>
      </c>
      <c r="O34" s="1">
        <v>46</v>
      </c>
      <c r="P34" s="1">
        <v>9</v>
      </c>
      <c r="Q34" s="1" t="s">
        <v>45</v>
      </c>
      <c r="R34" s="1" t="s">
        <v>46</v>
      </c>
      <c r="T34" s="1">
        <v>68</v>
      </c>
      <c r="U34" s="1">
        <v>134</v>
      </c>
      <c r="V34" s="1">
        <f t="shared" si="0"/>
        <v>66</v>
      </c>
      <c r="W34" s="1">
        <v>591</v>
      </c>
      <c r="Y34" s="1">
        <v>2</v>
      </c>
      <c r="Z34" s="1" t="s">
        <v>66</v>
      </c>
      <c r="AA34" s="1">
        <v>57</v>
      </c>
      <c r="AB34" s="1">
        <f t="shared" si="1"/>
        <v>17</v>
      </c>
      <c r="AC34" s="1">
        <v>74</v>
      </c>
      <c r="AE34" s="1">
        <v>6</v>
      </c>
      <c r="AF34" s="1" t="s">
        <v>114</v>
      </c>
      <c r="AG34" s="1">
        <v>36</v>
      </c>
      <c r="AH34" s="1">
        <v>36</v>
      </c>
      <c r="AI34" s="1">
        <v>0.3</v>
      </c>
      <c r="AJ34" s="1">
        <v>1</v>
      </c>
      <c r="AK34" s="1">
        <v>49</v>
      </c>
      <c r="AL34" s="1">
        <v>29</v>
      </c>
      <c r="AM34" s="1">
        <v>1.3</v>
      </c>
      <c r="AQ34" s="1">
        <v>106.25</v>
      </c>
      <c r="AR34" s="1">
        <v>3712.5</v>
      </c>
      <c r="AS34" s="1">
        <v>43.75</v>
      </c>
      <c r="AT34" s="1">
        <v>12.5</v>
      </c>
      <c r="AV34" s="1">
        <v>1.25</v>
      </c>
      <c r="AW34" s="1">
        <v>0.32</v>
      </c>
      <c r="AX34" s="1" t="s">
        <v>130</v>
      </c>
      <c r="AY34" s="7">
        <v>110.25</v>
      </c>
      <c r="AZ34" s="1">
        <v>270.83999999999997</v>
      </c>
      <c r="BA34" s="1">
        <v>5.54</v>
      </c>
      <c r="BB34" s="1">
        <v>0.24</v>
      </c>
    </row>
    <row r="35" spans="1:54" x14ac:dyDescent="0.2">
      <c r="B35" s="13">
        <v>41751</v>
      </c>
      <c r="C35" s="1" t="s">
        <v>149</v>
      </c>
      <c r="D35" s="1">
        <v>1017</v>
      </c>
      <c r="F35" s="1">
        <v>71</v>
      </c>
      <c r="G35" s="1">
        <v>3</v>
      </c>
      <c r="H35" s="4">
        <v>63</v>
      </c>
      <c r="I35" s="4">
        <v>79</v>
      </c>
      <c r="J35" s="1">
        <v>80</v>
      </c>
      <c r="K35" s="5">
        <v>46</v>
      </c>
      <c r="L35" s="1">
        <v>77</v>
      </c>
      <c r="M35" s="1">
        <v>28.15</v>
      </c>
      <c r="N35" s="1">
        <v>27</v>
      </c>
      <c r="O35" s="1">
        <v>38</v>
      </c>
      <c r="P35" s="1">
        <v>4</v>
      </c>
      <c r="Q35" s="1" t="s">
        <v>48</v>
      </c>
      <c r="R35" s="1" t="s">
        <v>47</v>
      </c>
      <c r="T35" s="1">
        <v>88</v>
      </c>
      <c r="U35" s="1">
        <v>147</v>
      </c>
      <c r="V35" s="1">
        <f t="shared" si="0"/>
        <v>59</v>
      </c>
      <c r="W35" s="1">
        <v>671</v>
      </c>
      <c r="Y35" s="1">
        <v>2</v>
      </c>
      <c r="Z35" s="1">
        <v>98</v>
      </c>
      <c r="AA35" s="1">
        <v>55</v>
      </c>
      <c r="AB35" s="1">
        <f t="shared" si="1"/>
        <v>11</v>
      </c>
      <c r="AC35" s="1">
        <v>66</v>
      </c>
      <c r="AE35" s="1">
        <v>6.5</v>
      </c>
      <c r="AF35" s="1" t="s">
        <v>114</v>
      </c>
      <c r="AG35" s="1">
        <v>56</v>
      </c>
      <c r="AH35" s="1">
        <v>56</v>
      </c>
      <c r="AI35" s="1">
        <v>0.3</v>
      </c>
      <c r="AJ35" s="1">
        <v>0.5</v>
      </c>
      <c r="AK35" s="1">
        <v>21</v>
      </c>
      <c r="AL35" s="1">
        <v>19</v>
      </c>
      <c r="AM35" s="1">
        <v>3</v>
      </c>
      <c r="AQ35" s="1">
        <v>357.53</v>
      </c>
      <c r="AR35" s="1">
        <v>2135.62</v>
      </c>
      <c r="AS35" s="1">
        <v>94.52</v>
      </c>
      <c r="AT35" s="1">
        <v>46.58</v>
      </c>
      <c r="AV35" s="1">
        <v>1.23</v>
      </c>
      <c r="AW35" s="1">
        <v>0.73</v>
      </c>
      <c r="AX35" s="1" t="s">
        <v>131</v>
      </c>
      <c r="AY35" s="7">
        <v>57.78</v>
      </c>
      <c r="AZ35" s="1">
        <v>164.17</v>
      </c>
      <c r="BA35" s="1">
        <v>14.37</v>
      </c>
      <c r="BB35" s="1">
        <v>0.71</v>
      </c>
    </row>
    <row r="36" spans="1:54" x14ac:dyDescent="0.2">
      <c r="B36" s="13">
        <v>41751</v>
      </c>
      <c r="C36" s="1" t="s">
        <v>149</v>
      </c>
      <c r="D36" s="1">
        <v>1019</v>
      </c>
      <c r="F36" s="1">
        <v>77</v>
      </c>
      <c r="G36" s="1">
        <v>6</v>
      </c>
      <c r="H36" s="4">
        <v>92</v>
      </c>
      <c r="I36" s="4">
        <v>89</v>
      </c>
      <c r="J36" s="1">
        <v>105</v>
      </c>
      <c r="K36" s="5">
        <v>119</v>
      </c>
      <c r="L36" s="1">
        <v>91</v>
      </c>
      <c r="M36" s="1">
        <v>25.59</v>
      </c>
      <c r="N36" s="1">
        <v>29</v>
      </c>
      <c r="O36" s="1">
        <v>35</v>
      </c>
      <c r="P36" s="1">
        <v>10</v>
      </c>
      <c r="Q36" s="1" t="s">
        <v>49</v>
      </c>
      <c r="R36" s="1" t="s">
        <v>50</v>
      </c>
      <c r="T36" s="1">
        <v>89</v>
      </c>
      <c r="U36" s="1">
        <v>139</v>
      </c>
      <c r="V36" s="1">
        <f t="shared" si="0"/>
        <v>50</v>
      </c>
      <c r="W36" s="1">
        <v>593</v>
      </c>
      <c r="Y36" s="1">
        <v>2</v>
      </c>
      <c r="Z36" s="1">
        <v>98</v>
      </c>
      <c r="AA36" s="1">
        <v>58</v>
      </c>
      <c r="AB36" s="1">
        <f t="shared" si="1"/>
        <v>9</v>
      </c>
      <c r="AC36" s="1">
        <v>67</v>
      </c>
      <c r="AE36" s="1">
        <v>5.5</v>
      </c>
      <c r="AF36" s="1" t="s">
        <v>114</v>
      </c>
      <c r="AG36" s="1">
        <v>58</v>
      </c>
      <c r="AH36" s="1">
        <v>58</v>
      </c>
      <c r="AI36" s="1">
        <v>0.4</v>
      </c>
      <c r="AJ36" s="1">
        <v>1.4</v>
      </c>
      <c r="AK36" s="1">
        <v>36</v>
      </c>
      <c r="AL36" s="1">
        <v>26</v>
      </c>
      <c r="AM36" s="1">
        <v>6.6</v>
      </c>
      <c r="AQ36" s="1">
        <v>342.86</v>
      </c>
      <c r="AR36" s="1">
        <v>2891.07</v>
      </c>
      <c r="AS36" s="1">
        <v>82.14</v>
      </c>
      <c r="AT36" s="1">
        <v>12.5</v>
      </c>
      <c r="AV36" s="1">
        <v>0.36</v>
      </c>
      <c r="AW36" s="1">
        <v>0.56000000000000005</v>
      </c>
      <c r="AX36" s="1" t="s">
        <v>132</v>
      </c>
      <c r="AY36" s="1">
        <v>19.989999999999998</v>
      </c>
      <c r="AZ36" s="1">
        <v>118.08</v>
      </c>
      <c r="BA36" s="1">
        <v>5.99</v>
      </c>
      <c r="BB36" s="1">
        <v>0.37</v>
      </c>
    </row>
    <row r="37" spans="1:54" s="3" customFormat="1" x14ac:dyDescent="0.2">
      <c r="B37" s="27">
        <v>42093</v>
      </c>
      <c r="D37" s="3">
        <v>1019</v>
      </c>
      <c r="AE37" s="3">
        <v>4.8</v>
      </c>
      <c r="AF37" s="3" t="s">
        <v>114</v>
      </c>
      <c r="AG37" s="3">
        <v>55</v>
      </c>
      <c r="AH37" s="3">
        <v>55</v>
      </c>
      <c r="AI37" s="3">
        <v>0.7</v>
      </c>
      <c r="AJ37" s="3">
        <v>0.9</v>
      </c>
      <c r="AK37" s="3">
        <v>29</v>
      </c>
      <c r="AL37" s="3">
        <v>32</v>
      </c>
      <c r="AM37" s="3">
        <v>2.2000000000000002</v>
      </c>
      <c r="AP37" s="3">
        <v>17</v>
      </c>
      <c r="AQ37" s="3">
        <v>328</v>
      </c>
      <c r="AR37" s="3">
        <v>1905</v>
      </c>
      <c r="AS37" s="3">
        <v>96</v>
      </c>
      <c r="AT37" s="3">
        <v>29</v>
      </c>
      <c r="AV37" s="3">
        <v>1.33</v>
      </c>
      <c r="AW37" s="3">
        <v>0.75</v>
      </c>
      <c r="AX37" s="3" t="s">
        <v>309</v>
      </c>
      <c r="AY37" s="3">
        <v>10.6</v>
      </c>
      <c r="AZ37" s="3">
        <v>77.8</v>
      </c>
      <c r="BA37" s="3">
        <v>4.7</v>
      </c>
      <c r="BB37" s="3">
        <v>0.77</v>
      </c>
    </row>
    <row r="38" spans="1:54" x14ac:dyDescent="0.2">
      <c r="B38" s="13">
        <v>41752</v>
      </c>
      <c r="D38" s="1">
        <v>1020</v>
      </c>
      <c r="F38" s="1">
        <v>66</v>
      </c>
      <c r="G38" s="1">
        <v>12</v>
      </c>
      <c r="H38" s="4">
        <v>88</v>
      </c>
      <c r="I38" s="4">
        <v>84</v>
      </c>
      <c r="J38" s="1">
        <v>104</v>
      </c>
      <c r="K38" s="5">
        <v>104</v>
      </c>
      <c r="L38" s="1">
        <v>86</v>
      </c>
      <c r="M38" s="1">
        <v>25.48</v>
      </c>
      <c r="N38" s="1">
        <v>30</v>
      </c>
      <c r="O38" s="1">
        <v>30</v>
      </c>
      <c r="P38" s="1">
        <v>8</v>
      </c>
      <c r="Q38" s="1" t="s">
        <v>51</v>
      </c>
      <c r="R38" s="1" t="s">
        <v>52</v>
      </c>
      <c r="T38" s="1">
        <v>97</v>
      </c>
      <c r="U38" s="1">
        <v>169</v>
      </c>
      <c r="V38" s="1">
        <f t="shared" si="0"/>
        <v>72</v>
      </c>
      <c r="W38" s="1">
        <v>671</v>
      </c>
      <c r="Y38" s="1">
        <v>3</v>
      </c>
      <c r="Z38" s="1">
        <v>98</v>
      </c>
      <c r="AA38" s="1">
        <v>74</v>
      </c>
      <c r="AB38" s="1">
        <f t="shared" si="1"/>
        <v>-13</v>
      </c>
      <c r="AC38" s="1">
        <v>61</v>
      </c>
      <c r="AE38" s="1">
        <v>4.9000000000000004</v>
      </c>
      <c r="AF38" s="1" t="s">
        <v>114</v>
      </c>
      <c r="AG38" s="1">
        <v>105</v>
      </c>
      <c r="AH38" s="1">
        <v>105</v>
      </c>
      <c r="AI38" s="1">
        <v>0.4</v>
      </c>
      <c r="AX38" s="1" t="s">
        <v>119</v>
      </c>
      <c r="AY38" s="1" t="s">
        <v>119</v>
      </c>
    </row>
    <row r="39" spans="1:54" x14ac:dyDescent="0.2">
      <c r="B39" s="13">
        <v>41752</v>
      </c>
      <c r="D39" s="1">
        <v>1021</v>
      </c>
      <c r="F39" s="1">
        <v>70</v>
      </c>
      <c r="G39" s="1">
        <v>5</v>
      </c>
      <c r="H39" s="4">
        <v>85</v>
      </c>
      <c r="I39" s="4">
        <v>82</v>
      </c>
      <c r="J39" s="1">
        <v>103</v>
      </c>
      <c r="K39" s="5">
        <v>92</v>
      </c>
      <c r="L39" s="1">
        <v>114</v>
      </c>
      <c r="M39" s="1">
        <v>23.92</v>
      </c>
      <c r="N39" s="1">
        <v>32</v>
      </c>
      <c r="O39" s="1">
        <v>28</v>
      </c>
      <c r="P39" s="1">
        <v>10</v>
      </c>
      <c r="Q39" s="1" t="s">
        <v>53</v>
      </c>
      <c r="R39" s="1" t="s">
        <v>54</v>
      </c>
      <c r="T39" s="1">
        <v>88</v>
      </c>
      <c r="U39" s="1">
        <v>142</v>
      </c>
      <c r="V39" s="1">
        <f t="shared" si="0"/>
        <v>54</v>
      </c>
      <c r="W39" s="1">
        <v>675</v>
      </c>
      <c r="Y39" s="1">
        <v>0</v>
      </c>
      <c r="Z39" s="1">
        <v>98</v>
      </c>
      <c r="AA39" s="1">
        <v>70</v>
      </c>
      <c r="AB39" s="1">
        <f t="shared" si="1"/>
        <v>22</v>
      </c>
      <c r="AC39" s="1">
        <v>92</v>
      </c>
      <c r="AE39" s="1">
        <v>5.4</v>
      </c>
      <c r="AF39" s="1" t="s">
        <v>114</v>
      </c>
      <c r="AG39" s="1">
        <v>46</v>
      </c>
      <c r="AH39" s="1">
        <v>46</v>
      </c>
      <c r="AI39" s="1">
        <v>0.4</v>
      </c>
      <c r="AX39" s="1" t="s">
        <v>119</v>
      </c>
      <c r="AY39" s="1" t="s">
        <v>119</v>
      </c>
    </row>
    <row r="40" spans="1:54" x14ac:dyDescent="0.2">
      <c r="B40" s="13">
        <v>41752</v>
      </c>
      <c r="C40" s="1" t="s">
        <v>149</v>
      </c>
      <c r="D40" s="1">
        <v>1022</v>
      </c>
      <c r="F40" s="1">
        <v>67</v>
      </c>
      <c r="G40" s="1">
        <v>7</v>
      </c>
      <c r="H40" s="4">
        <v>89</v>
      </c>
      <c r="I40" s="4">
        <v>88</v>
      </c>
      <c r="J40" s="1">
        <v>101</v>
      </c>
      <c r="K40" s="5">
        <v>96</v>
      </c>
      <c r="L40" s="1">
        <v>95</v>
      </c>
      <c r="M40" s="1">
        <v>26.36</v>
      </c>
      <c r="N40" s="1">
        <v>28</v>
      </c>
      <c r="O40" s="1">
        <v>30</v>
      </c>
      <c r="P40" s="1">
        <v>4</v>
      </c>
      <c r="Q40" s="1" t="s">
        <v>24</v>
      </c>
      <c r="R40" s="1" t="s">
        <v>55</v>
      </c>
      <c r="T40" s="1">
        <v>69</v>
      </c>
      <c r="U40" s="1">
        <v>117</v>
      </c>
      <c r="V40" s="1">
        <f t="shared" si="0"/>
        <v>48</v>
      </c>
      <c r="W40" s="1">
        <v>550</v>
      </c>
      <c r="Y40" s="1">
        <v>0</v>
      </c>
      <c r="Z40" s="1">
        <v>98</v>
      </c>
      <c r="AA40" s="1">
        <v>70</v>
      </c>
      <c r="AB40" s="1">
        <f t="shared" si="1"/>
        <v>2</v>
      </c>
      <c r="AC40" s="1">
        <v>72</v>
      </c>
      <c r="AE40" s="1" t="s">
        <v>154</v>
      </c>
      <c r="AF40" s="1" t="s">
        <v>114</v>
      </c>
      <c r="AG40" s="1">
        <v>37</v>
      </c>
      <c r="AH40" s="1">
        <v>37</v>
      </c>
      <c r="AI40" s="1">
        <v>0.2</v>
      </c>
      <c r="AX40" s="1" t="s">
        <v>133</v>
      </c>
      <c r="AY40" s="1">
        <v>28.57</v>
      </c>
      <c r="AZ40" s="1">
        <v>97.92</v>
      </c>
      <c r="BA40" s="1">
        <v>29.64</v>
      </c>
      <c r="BB40" s="1">
        <v>0.5</v>
      </c>
    </row>
    <row r="41" spans="1:54" x14ac:dyDescent="0.2">
      <c r="B41" s="13">
        <v>41752</v>
      </c>
      <c r="D41" s="1">
        <v>1023</v>
      </c>
      <c r="F41" s="1">
        <v>65</v>
      </c>
      <c r="G41" s="1">
        <v>10</v>
      </c>
      <c r="H41" s="4">
        <v>92</v>
      </c>
      <c r="I41" s="4">
        <v>100</v>
      </c>
      <c r="J41" s="1">
        <v>91</v>
      </c>
      <c r="K41" s="5">
        <v>63</v>
      </c>
      <c r="L41" s="1">
        <v>117</v>
      </c>
      <c r="M41" s="1">
        <v>21.35</v>
      </c>
      <c r="N41" s="1">
        <v>32</v>
      </c>
      <c r="O41" s="1">
        <v>39</v>
      </c>
      <c r="P41" s="1">
        <v>18</v>
      </c>
      <c r="Q41" s="1" t="s">
        <v>56</v>
      </c>
      <c r="R41" s="1" t="s">
        <v>57</v>
      </c>
      <c r="T41" s="1">
        <v>72</v>
      </c>
      <c r="U41" s="1">
        <v>107</v>
      </c>
      <c r="V41" s="1">
        <f t="shared" si="0"/>
        <v>35</v>
      </c>
      <c r="W41" s="1">
        <v>632</v>
      </c>
      <c r="Y41" s="1">
        <v>0</v>
      </c>
      <c r="Z41" s="1">
        <v>99</v>
      </c>
      <c r="AA41" s="1">
        <v>63</v>
      </c>
      <c r="AB41" s="1">
        <f t="shared" si="1"/>
        <v>10</v>
      </c>
      <c r="AC41" s="1">
        <v>73</v>
      </c>
      <c r="AE41" s="1">
        <v>5.4</v>
      </c>
      <c r="AF41" s="1" t="s">
        <v>114</v>
      </c>
      <c r="AG41" s="3">
        <v>18</v>
      </c>
      <c r="AH41" s="1">
        <v>18</v>
      </c>
      <c r="AI41" s="1">
        <v>3.8</v>
      </c>
      <c r="AJ41" s="1">
        <v>10.8</v>
      </c>
      <c r="AK41" s="1">
        <v>22</v>
      </c>
      <c r="AL41" s="1">
        <v>40</v>
      </c>
      <c r="AM41" s="1">
        <v>36.700000000000003</v>
      </c>
      <c r="AQ41" s="1">
        <v>569.57000000000005</v>
      </c>
      <c r="AR41" s="1">
        <v>6786.96</v>
      </c>
      <c r="AS41" s="1">
        <v>43.48</v>
      </c>
      <c r="AT41" s="1">
        <v>19.57</v>
      </c>
      <c r="AV41" s="1">
        <v>0.43</v>
      </c>
      <c r="AW41" s="1">
        <v>0.46</v>
      </c>
      <c r="AX41" s="1" t="s">
        <v>134</v>
      </c>
      <c r="AY41" s="1">
        <v>24.34</v>
      </c>
      <c r="AZ41" s="1">
        <v>36.72</v>
      </c>
      <c r="BA41" s="1">
        <v>17.12</v>
      </c>
      <c r="BB41" s="1">
        <v>0.74</v>
      </c>
    </row>
    <row r="42" spans="1:54" x14ac:dyDescent="0.2">
      <c r="B42" s="13">
        <v>41752</v>
      </c>
      <c r="C42" s="1" t="s">
        <v>149</v>
      </c>
      <c r="D42" s="1">
        <v>1024</v>
      </c>
      <c r="F42" s="1">
        <v>70</v>
      </c>
      <c r="G42" s="1">
        <v>11</v>
      </c>
      <c r="H42" s="4">
        <v>102</v>
      </c>
      <c r="I42" s="4">
        <v>91</v>
      </c>
      <c r="J42" s="1">
        <v>111</v>
      </c>
      <c r="K42" s="5">
        <v>149</v>
      </c>
      <c r="L42" s="1">
        <v>105</v>
      </c>
      <c r="M42" s="1">
        <v>20.75</v>
      </c>
      <c r="N42" s="1">
        <v>39</v>
      </c>
      <c r="O42" s="1">
        <v>41</v>
      </c>
      <c r="P42" s="1">
        <v>27</v>
      </c>
      <c r="Q42" s="1" t="s">
        <v>58</v>
      </c>
      <c r="R42" s="1" t="s">
        <v>59</v>
      </c>
      <c r="T42" s="1">
        <v>95</v>
      </c>
      <c r="U42" s="1">
        <v>161</v>
      </c>
      <c r="V42" s="1">
        <f t="shared" si="0"/>
        <v>66</v>
      </c>
      <c r="W42" s="1">
        <v>627</v>
      </c>
      <c r="Y42" s="1">
        <v>0</v>
      </c>
      <c r="Z42" s="1">
        <v>98</v>
      </c>
      <c r="AA42" s="1">
        <v>78</v>
      </c>
      <c r="AB42" s="1">
        <f t="shared" si="1"/>
        <v>12</v>
      </c>
      <c r="AC42" s="1">
        <v>90</v>
      </c>
      <c r="AE42" s="1">
        <v>5.9</v>
      </c>
      <c r="AF42" s="1" t="s">
        <v>114</v>
      </c>
      <c r="AG42" s="1">
        <v>57</v>
      </c>
      <c r="AH42" s="1">
        <v>57</v>
      </c>
      <c r="AI42" s="1">
        <v>0.2</v>
      </c>
      <c r="AJ42" s="1">
        <v>7.5</v>
      </c>
      <c r="AK42" s="1">
        <v>317</v>
      </c>
      <c r="AL42" s="1" t="s">
        <v>170</v>
      </c>
      <c r="AM42" s="1">
        <v>12.8</v>
      </c>
      <c r="AQ42" s="1">
        <v>170</v>
      </c>
      <c r="AR42" s="1">
        <v>1633.33</v>
      </c>
      <c r="AS42" s="1">
        <v>71.11</v>
      </c>
      <c r="AT42" s="1">
        <v>411.11</v>
      </c>
      <c r="AV42" s="1">
        <v>0.22</v>
      </c>
      <c r="AW42" s="1">
        <v>0.9</v>
      </c>
      <c r="AX42" s="1" t="s">
        <v>135</v>
      </c>
      <c r="AY42" s="1">
        <v>23.1</v>
      </c>
      <c r="AZ42" s="1">
        <v>44.51</v>
      </c>
      <c r="BB42" s="1">
        <v>0.8</v>
      </c>
    </row>
    <row r="43" spans="1:54" x14ac:dyDescent="0.2">
      <c r="B43" s="13">
        <v>41775</v>
      </c>
      <c r="C43" s="1" t="s">
        <v>149</v>
      </c>
      <c r="D43" s="1">
        <v>1025</v>
      </c>
      <c r="F43" s="1">
        <v>77</v>
      </c>
      <c r="G43" s="1">
        <v>8</v>
      </c>
      <c r="H43" s="4">
        <v>75</v>
      </c>
      <c r="I43" s="4">
        <v>75</v>
      </c>
      <c r="J43" s="1">
        <v>99</v>
      </c>
      <c r="K43" s="5">
        <v>77</v>
      </c>
      <c r="L43" s="1">
        <v>55</v>
      </c>
      <c r="M43" s="1">
        <v>12.59</v>
      </c>
      <c r="N43" s="1">
        <v>31</v>
      </c>
      <c r="O43" s="1">
        <v>41</v>
      </c>
      <c r="P43" s="1">
        <v>9</v>
      </c>
      <c r="Q43" s="1" t="s">
        <v>61</v>
      </c>
      <c r="R43" s="1" t="s">
        <v>62</v>
      </c>
      <c r="T43" s="1">
        <v>77</v>
      </c>
      <c r="U43" s="1">
        <v>131</v>
      </c>
      <c r="V43" s="1">
        <f t="shared" si="0"/>
        <v>54</v>
      </c>
      <c r="X43" s="1">
        <v>160</v>
      </c>
      <c r="Y43" s="1">
        <v>5</v>
      </c>
      <c r="Z43" s="1">
        <v>96</v>
      </c>
      <c r="AA43" s="1">
        <v>99</v>
      </c>
      <c r="AB43" s="1">
        <f t="shared" si="1"/>
        <v>30</v>
      </c>
      <c r="AC43" s="1">
        <v>129</v>
      </c>
      <c r="AE43" s="1">
        <v>6</v>
      </c>
      <c r="AF43" s="1" t="s">
        <v>114</v>
      </c>
      <c r="AG43" s="3">
        <v>15</v>
      </c>
      <c r="AH43" s="1">
        <v>15</v>
      </c>
      <c r="AI43" s="1">
        <v>0.4</v>
      </c>
      <c r="AJ43" s="1" t="s">
        <v>115</v>
      </c>
      <c r="AK43" s="1">
        <v>42</v>
      </c>
      <c r="AL43" s="1">
        <v>29</v>
      </c>
      <c r="AM43" s="1">
        <v>1.1000000000000001</v>
      </c>
      <c r="AQ43" s="1">
        <v>180</v>
      </c>
      <c r="AR43" s="1">
        <v>4672.5</v>
      </c>
      <c r="AS43" s="1">
        <v>45</v>
      </c>
      <c r="AT43" s="1">
        <v>12.5</v>
      </c>
      <c r="AV43" s="1">
        <v>1</v>
      </c>
      <c r="AW43" s="1">
        <v>0.4</v>
      </c>
      <c r="AX43" s="1" t="s">
        <v>136</v>
      </c>
      <c r="AY43" s="7">
        <v>49.07</v>
      </c>
      <c r="AZ43" s="1">
        <v>163.31</v>
      </c>
      <c r="BA43" s="1">
        <v>2.92</v>
      </c>
      <c r="BB43" s="1">
        <v>0.21</v>
      </c>
    </row>
    <row r="44" spans="1:54" x14ac:dyDescent="0.2">
      <c r="B44" s="13">
        <v>41775</v>
      </c>
      <c r="C44" s="1" t="s">
        <v>149</v>
      </c>
      <c r="D44" s="1">
        <v>1026</v>
      </c>
      <c r="F44" s="1">
        <v>77</v>
      </c>
      <c r="G44" s="1">
        <v>10</v>
      </c>
      <c r="H44" s="4">
        <v>59</v>
      </c>
      <c r="I44" s="4">
        <v>60</v>
      </c>
      <c r="J44" s="1">
        <v>99</v>
      </c>
      <c r="K44" s="5">
        <v>56</v>
      </c>
      <c r="L44" s="1">
        <v>86</v>
      </c>
      <c r="M44" s="1">
        <v>24.88</v>
      </c>
      <c r="N44" s="1">
        <v>30</v>
      </c>
      <c r="O44" s="1">
        <v>29</v>
      </c>
      <c r="P44" s="1">
        <v>2</v>
      </c>
      <c r="Q44" s="1" t="s">
        <v>63</v>
      </c>
      <c r="R44" s="1" t="s">
        <v>64</v>
      </c>
      <c r="T44" s="1">
        <v>85</v>
      </c>
      <c r="U44" s="1">
        <v>128</v>
      </c>
      <c r="V44" s="1">
        <f t="shared" si="0"/>
        <v>43</v>
      </c>
      <c r="X44" s="1">
        <v>57</v>
      </c>
      <c r="Y44" s="1">
        <v>2</v>
      </c>
      <c r="Z44" s="1" t="s">
        <v>65</v>
      </c>
      <c r="AA44" s="1">
        <v>65</v>
      </c>
      <c r="AB44" s="1">
        <f t="shared" si="1"/>
        <v>10</v>
      </c>
      <c r="AC44" s="1">
        <v>75</v>
      </c>
      <c r="AE44" s="1">
        <v>5.4</v>
      </c>
      <c r="AF44" s="1" t="s">
        <v>114</v>
      </c>
      <c r="AG44" s="3">
        <v>21</v>
      </c>
      <c r="AH44" s="1">
        <v>21</v>
      </c>
      <c r="AI44" s="1">
        <v>7.5</v>
      </c>
      <c r="AJ44" s="1">
        <v>0.5</v>
      </c>
      <c r="AK44" s="1">
        <v>21</v>
      </c>
      <c r="AL44" s="1">
        <v>18</v>
      </c>
      <c r="AM44" s="1">
        <v>7.4</v>
      </c>
      <c r="AQ44" s="1">
        <v>105.98</v>
      </c>
      <c r="AR44" s="1">
        <v>1390.6</v>
      </c>
      <c r="AS44" s="1">
        <v>50.43</v>
      </c>
      <c r="AT44" s="1">
        <v>45.3</v>
      </c>
      <c r="AV44" s="1">
        <v>0.26</v>
      </c>
      <c r="AW44" s="1">
        <v>1.17</v>
      </c>
      <c r="AX44" s="1" t="s">
        <v>138</v>
      </c>
      <c r="AY44" s="1">
        <v>12.58</v>
      </c>
      <c r="AZ44" s="1">
        <v>36.14</v>
      </c>
      <c r="BA44" s="1">
        <v>0.95</v>
      </c>
      <c r="BB44" s="1">
        <v>1.52</v>
      </c>
    </row>
    <row r="45" spans="1:54" x14ac:dyDescent="0.2">
      <c r="B45" s="13">
        <v>41776</v>
      </c>
      <c r="C45" s="1" t="s">
        <v>149</v>
      </c>
      <c r="D45" s="1">
        <v>1027</v>
      </c>
      <c r="F45" s="1">
        <v>80</v>
      </c>
      <c r="G45" s="1">
        <v>2</v>
      </c>
      <c r="H45" s="4">
        <v>86</v>
      </c>
      <c r="I45" s="4">
        <v>75</v>
      </c>
      <c r="J45" s="1">
        <v>116</v>
      </c>
      <c r="K45" s="5">
        <v>131</v>
      </c>
      <c r="L45" s="1">
        <v>76</v>
      </c>
      <c r="M45" s="1">
        <v>26.12</v>
      </c>
      <c r="N45" s="1">
        <v>24</v>
      </c>
      <c r="O45" s="1">
        <v>29</v>
      </c>
      <c r="P45" s="1">
        <v>1</v>
      </c>
      <c r="Q45" s="1" t="s">
        <v>95</v>
      </c>
      <c r="R45" s="1" t="s">
        <v>96</v>
      </c>
      <c r="T45" s="1">
        <v>101</v>
      </c>
      <c r="U45" s="1">
        <v>222</v>
      </c>
      <c r="V45" s="1">
        <f t="shared" si="0"/>
        <v>121</v>
      </c>
      <c r="X45" s="1">
        <v>48</v>
      </c>
      <c r="Y45" s="1">
        <v>6</v>
      </c>
      <c r="Z45" s="1">
        <v>98</v>
      </c>
      <c r="AA45" s="1">
        <v>62</v>
      </c>
      <c r="AB45" s="1">
        <f t="shared" si="1"/>
        <v>30</v>
      </c>
      <c r="AC45" s="1">
        <v>92</v>
      </c>
      <c r="AE45" s="1">
        <v>5.9</v>
      </c>
      <c r="AF45" s="1" t="s">
        <v>114</v>
      </c>
      <c r="AG45" s="3">
        <v>29</v>
      </c>
      <c r="AH45" s="1">
        <v>29</v>
      </c>
      <c r="AI45" s="1">
        <v>0.6</v>
      </c>
      <c r="AJ45" s="1">
        <v>0.9</v>
      </c>
      <c r="AK45" s="1">
        <v>36</v>
      </c>
      <c r="AL45" s="1">
        <v>26</v>
      </c>
      <c r="AM45" s="1">
        <v>4.8</v>
      </c>
      <c r="AQ45" s="1">
        <v>139.66999999999999</v>
      </c>
      <c r="AR45" s="1">
        <v>3523.14</v>
      </c>
      <c r="AS45" s="1">
        <v>42.98</v>
      </c>
      <c r="AT45" s="1">
        <v>11.57</v>
      </c>
      <c r="AV45" s="1">
        <v>0.41</v>
      </c>
      <c r="AW45" s="1">
        <v>1.21</v>
      </c>
      <c r="AX45" s="1" t="s">
        <v>137</v>
      </c>
      <c r="AY45" s="7">
        <v>47.23</v>
      </c>
      <c r="AZ45" s="1">
        <v>84.88</v>
      </c>
      <c r="BA45" s="1" t="s">
        <v>171</v>
      </c>
      <c r="BB45" s="1">
        <v>0.64</v>
      </c>
    </row>
    <row r="46" spans="1:54" x14ac:dyDescent="0.2">
      <c r="B46" s="13">
        <v>41776</v>
      </c>
      <c r="C46" s="1" t="s">
        <v>149</v>
      </c>
      <c r="D46" s="1">
        <v>1028</v>
      </c>
      <c r="F46" s="1">
        <v>87</v>
      </c>
      <c r="G46" s="1">
        <v>16</v>
      </c>
      <c r="H46" s="4">
        <v>79</v>
      </c>
      <c r="I46" s="4">
        <v>89</v>
      </c>
      <c r="J46" s="1">
        <v>90</v>
      </c>
      <c r="K46" s="5">
        <v>72</v>
      </c>
      <c r="L46" s="1">
        <v>57</v>
      </c>
      <c r="M46" s="1">
        <v>21.91</v>
      </c>
      <c r="N46" s="1">
        <v>41</v>
      </c>
      <c r="O46" s="1">
        <v>52</v>
      </c>
      <c r="P46" s="1">
        <v>31</v>
      </c>
      <c r="Q46" s="1" t="s">
        <v>67</v>
      </c>
      <c r="R46" s="1" t="s">
        <v>68</v>
      </c>
      <c r="T46" s="1">
        <v>79</v>
      </c>
      <c r="U46" s="1">
        <v>123</v>
      </c>
      <c r="V46" s="1">
        <f t="shared" si="0"/>
        <v>44</v>
      </c>
      <c r="X46" s="1">
        <v>91</v>
      </c>
      <c r="Y46" s="1">
        <v>6</v>
      </c>
      <c r="Z46" s="1">
        <v>93</v>
      </c>
      <c r="AA46" s="1">
        <v>81</v>
      </c>
      <c r="AB46" s="1">
        <f t="shared" si="1"/>
        <v>3</v>
      </c>
      <c r="AC46" s="1">
        <v>84</v>
      </c>
      <c r="AE46" s="1">
        <v>5.3</v>
      </c>
      <c r="AF46" s="1" t="s">
        <v>114</v>
      </c>
      <c r="AG46" s="1">
        <v>48</v>
      </c>
      <c r="AH46" s="1">
        <v>48</v>
      </c>
      <c r="AI46" s="1">
        <v>0.5</v>
      </c>
      <c r="AJ46" s="1">
        <v>12.6</v>
      </c>
      <c r="AK46" s="1">
        <v>45</v>
      </c>
      <c r="AL46" s="1">
        <v>21</v>
      </c>
      <c r="AM46" s="1">
        <v>2.4</v>
      </c>
      <c r="AQ46" s="1">
        <v>188</v>
      </c>
      <c r="AR46" s="1">
        <v>2863.2</v>
      </c>
      <c r="AS46" s="1">
        <v>47.2</v>
      </c>
      <c r="AT46" s="1">
        <v>12</v>
      </c>
      <c r="AV46" s="1">
        <v>0.24</v>
      </c>
      <c r="AW46" s="1">
        <v>1.25</v>
      </c>
      <c r="AX46" s="1" t="s">
        <v>139</v>
      </c>
      <c r="AY46" s="8">
        <v>2.71</v>
      </c>
      <c r="AZ46" s="1">
        <v>27.43</v>
      </c>
      <c r="BA46" s="1">
        <v>2.2400000000000002</v>
      </c>
      <c r="BB46" s="1">
        <v>0.69</v>
      </c>
    </row>
    <row r="47" spans="1:54" s="16" customFormat="1" x14ac:dyDescent="0.2">
      <c r="B47" s="15">
        <v>41949</v>
      </c>
      <c r="C47" s="16" t="s">
        <v>149</v>
      </c>
      <c r="D47" s="16">
        <v>1029</v>
      </c>
      <c r="E47" s="18">
        <v>15827</v>
      </c>
      <c r="F47" s="16">
        <v>71</v>
      </c>
      <c r="G47" s="16">
        <v>6</v>
      </c>
      <c r="H47" s="16">
        <v>93</v>
      </c>
      <c r="I47" s="16">
        <v>91</v>
      </c>
      <c r="J47" s="16">
        <v>103</v>
      </c>
      <c r="K47" s="16">
        <v>108</v>
      </c>
      <c r="L47" s="16">
        <v>106</v>
      </c>
      <c r="M47" s="16">
        <v>24.12</v>
      </c>
      <c r="N47" s="16">
        <v>23</v>
      </c>
      <c r="O47" s="16">
        <v>31</v>
      </c>
      <c r="P47" s="16">
        <v>9</v>
      </c>
      <c r="Q47" s="16" t="s">
        <v>93</v>
      </c>
      <c r="R47" s="16" t="s">
        <v>94</v>
      </c>
      <c r="T47" s="16">
        <v>64</v>
      </c>
      <c r="U47" s="16">
        <v>101</v>
      </c>
      <c r="V47" s="16">
        <f t="shared" si="0"/>
        <v>37</v>
      </c>
      <c r="W47" s="16">
        <v>559</v>
      </c>
      <c r="Y47" s="16">
        <v>1</v>
      </c>
      <c r="Z47" s="16">
        <v>98</v>
      </c>
      <c r="AA47" s="16">
        <v>69</v>
      </c>
      <c r="AB47" s="16">
        <f t="shared" si="1"/>
        <v>37</v>
      </c>
      <c r="AC47" s="16">
        <v>106</v>
      </c>
      <c r="AE47" s="16">
        <v>5.7</v>
      </c>
      <c r="AF47" s="16" t="s">
        <v>114</v>
      </c>
      <c r="AG47" s="16">
        <v>37</v>
      </c>
      <c r="AH47" s="16">
        <v>37</v>
      </c>
      <c r="AI47" s="16">
        <v>0.5</v>
      </c>
      <c r="AJ47" s="16" t="s">
        <v>115</v>
      </c>
      <c r="AK47" s="16">
        <v>22</v>
      </c>
      <c r="AL47" s="16">
        <v>23</v>
      </c>
      <c r="AM47" s="16" t="s">
        <v>298</v>
      </c>
      <c r="AP47" s="16">
        <v>2.6</v>
      </c>
      <c r="AQ47" s="29"/>
      <c r="AR47" s="29"/>
      <c r="AS47" s="29"/>
      <c r="AT47" s="29"/>
      <c r="AU47" s="29"/>
      <c r="AV47" s="29"/>
      <c r="AW47" s="29"/>
      <c r="AX47" s="16" t="s">
        <v>310</v>
      </c>
      <c r="AY47" s="16">
        <v>35.200000000000003</v>
      </c>
      <c r="AZ47" s="16">
        <v>61.5</v>
      </c>
      <c r="BA47" s="16">
        <v>16.399999999999999</v>
      </c>
      <c r="BB47" s="16">
        <v>1.1100000000000001</v>
      </c>
    </row>
    <row r="48" spans="1:54" s="16" customFormat="1" x14ac:dyDescent="0.2">
      <c r="B48" s="15">
        <v>42085</v>
      </c>
      <c r="D48" s="16">
        <v>1029</v>
      </c>
      <c r="E48" s="18">
        <v>15827</v>
      </c>
      <c r="F48" s="16">
        <v>72</v>
      </c>
      <c r="G48" s="16">
        <v>2</v>
      </c>
      <c r="H48" s="16">
        <v>86</v>
      </c>
      <c r="I48" s="16">
        <v>82</v>
      </c>
      <c r="J48" s="16">
        <v>105</v>
      </c>
      <c r="K48" s="16">
        <v>105</v>
      </c>
      <c r="L48" s="16">
        <v>97</v>
      </c>
      <c r="M48" s="16">
        <v>28.81</v>
      </c>
      <c r="N48" s="16">
        <v>20</v>
      </c>
      <c r="O48" s="16">
        <v>35</v>
      </c>
      <c r="P48" s="16">
        <v>11</v>
      </c>
      <c r="Q48" s="16" t="s">
        <v>216</v>
      </c>
      <c r="R48" s="16" t="s">
        <v>217</v>
      </c>
      <c r="T48" s="16">
        <v>63</v>
      </c>
      <c r="U48" s="16">
        <v>106</v>
      </c>
      <c r="V48" s="16">
        <f t="shared" si="0"/>
        <v>43</v>
      </c>
      <c r="W48" s="16">
        <v>299</v>
      </c>
      <c r="Y48" s="16">
        <v>3</v>
      </c>
      <c r="Z48" s="16">
        <v>98</v>
      </c>
      <c r="AA48" s="16">
        <v>79</v>
      </c>
      <c r="AB48" s="16">
        <f t="shared" si="1"/>
        <v>19</v>
      </c>
      <c r="AC48" s="16">
        <v>98</v>
      </c>
      <c r="AE48" s="16">
        <v>5.7</v>
      </c>
      <c r="AF48" s="16" t="s">
        <v>114</v>
      </c>
      <c r="AG48" s="16">
        <v>32</v>
      </c>
      <c r="AH48" s="16">
        <v>32</v>
      </c>
      <c r="AI48" s="16">
        <v>0.4</v>
      </c>
      <c r="AJ48" s="16">
        <v>0.7</v>
      </c>
      <c r="AK48" s="16">
        <v>63</v>
      </c>
      <c r="AL48" s="16">
        <v>39</v>
      </c>
      <c r="AM48" s="16" t="s">
        <v>282</v>
      </c>
      <c r="AP48" s="16">
        <v>14.6</v>
      </c>
      <c r="AQ48" s="16">
        <v>149</v>
      </c>
      <c r="AR48" s="16">
        <v>1009</v>
      </c>
      <c r="AS48" s="16">
        <v>43.9</v>
      </c>
      <c r="AT48" s="16">
        <v>3.79</v>
      </c>
      <c r="AV48" s="16">
        <v>0.15</v>
      </c>
      <c r="AW48" s="16">
        <v>1.32</v>
      </c>
      <c r="AX48" s="16" t="s">
        <v>311</v>
      </c>
      <c r="AY48" s="16">
        <v>22.1</v>
      </c>
      <c r="AZ48" s="16">
        <v>36.4</v>
      </c>
      <c r="BA48" s="16">
        <v>10.3</v>
      </c>
      <c r="BB48" s="16">
        <v>1.85</v>
      </c>
    </row>
    <row r="49" spans="2:54" s="16" customFormat="1" x14ac:dyDescent="0.2">
      <c r="B49" s="15">
        <v>42205</v>
      </c>
      <c r="D49" s="16">
        <v>1029</v>
      </c>
      <c r="E49" s="18">
        <v>15827</v>
      </c>
      <c r="G49" s="16">
        <v>8</v>
      </c>
      <c r="H49" s="16">
        <v>86</v>
      </c>
      <c r="I49" s="16">
        <v>83</v>
      </c>
      <c r="J49" s="16">
        <v>105</v>
      </c>
      <c r="K49" s="16">
        <v>108</v>
      </c>
      <c r="L49" s="16">
        <v>98</v>
      </c>
      <c r="M49" s="16">
        <v>40.049999999999997</v>
      </c>
      <c r="N49" s="16">
        <v>20</v>
      </c>
      <c r="O49" s="16">
        <v>32</v>
      </c>
      <c r="P49" s="16">
        <v>6</v>
      </c>
      <c r="Q49" s="16" t="s">
        <v>218</v>
      </c>
      <c r="R49" s="16" t="s">
        <v>219</v>
      </c>
      <c r="T49" s="16">
        <v>61</v>
      </c>
      <c r="U49" s="16">
        <v>102</v>
      </c>
      <c r="V49" s="16">
        <f t="shared" si="0"/>
        <v>41</v>
      </c>
      <c r="W49" s="16">
        <v>624</v>
      </c>
      <c r="Y49" s="16">
        <v>3</v>
      </c>
      <c r="Z49" s="16">
        <v>98</v>
      </c>
      <c r="AA49" s="16">
        <v>79</v>
      </c>
      <c r="AB49" s="16">
        <f t="shared" si="1"/>
        <v>31</v>
      </c>
      <c r="AC49" s="16">
        <v>110</v>
      </c>
      <c r="AE49" s="16">
        <v>5.8</v>
      </c>
      <c r="AF49" s="16" t="s">
        <v>114</v>
      </c>
      <c r="AG49" s="16">
        <v>37</v>
      </c>
      <c r="AH49" s="16">
        <v>37</v>
      </c>
      <c r="AI49" s="16">
        <v>0.3</v>
      </c>
      <c r="AJ49" s="29"/>
      <c r="AK49" s="29"/>
      <c r="AL49" s="29"/>
      <c r="AM49" s="29"/>
      <c r="AQ49" s="16">
        <v>80.099999999999994</v>
      </c>
      <c r="AR49" s="16">
        <v>2747</v>
      </c>
      <c r="AS49" s="16">
        <v>38</v>
      </c>
      <c r="AT49" s="16">
        <v>11.5</v>
      </c>
      <c r="AV49" s="16">
        <v>0.06</v>
      </c>
      <c r="AW49" s="16">
        <v>1.56</v>
      </c>
      <c r="AX49" s="29"/>
      <c r="AY49" s="29"/>
      <c r="AZ49" s="29"/>
      <c r="BA49" s="29"/>
      <c r="BB49" s="29"/>
    </row>
    <row r="50" spans="2:54" x14ac:dyDescent="0.2">
      <c r="B50" s="13">
        <v>41898</v>
      </c>
      <c r="D50" s="1">
        <v>1030</v>
      </c>
      <c r="F50" s="1">
        <v>65</v>
      </c>
      <c r="G50" s="1">
        <v>6</v>
      </c>
      <c r="H50" s="4">
        <v>69</v>
      </c>
      <c r="I50" s="4">
        <v>78</v>
      </c>
      <c r="J50" s="1">
        <v>89</v>
      </c>
      <c r="K50" s="5">
        <v>48</v>
      </c>
      <c r="L50" s="1">
        <v>78</v>
      </c>
      <c r="M50" s="1">
        <v>23.14</v>
      </c>
      <c r="N50" s="1">
        <v>31</v>
      </c>
      <c r="O50" s="1">
        <v>46</v>
      </c>
      <c r="P50" s="1">
        <v>13</v>
      </c>
      <c r="Q50" s="1" t="s">
        <v>69</v>
      </c>
      <c r="R50" s="1" t="s">
        <v>70</v>
      </c>
      <c r="T50" s="1">
        <v>77</v>
      </c>
      <c r="U50" s="1">
        <v>148</v>
      </c>
      <c r="V50" s="1">
        <f t="shared" si="0"/>
        <v>71</v>
      </c>
      <c r="W50" s="1">
        <v>677</v>
      </c>
      <c r="Y50" s="1">
        <v>0</v>
      </c>
      <c r="Z50" s="1">
        <v>97</v>
      </c>
      <c r="AA50" s="1">
        <v>43</v>
      </c>
      <c r="AB50" s="1">
        <f t="shared" si="1"/>
        <v>18</v>
      </c>
      <c r="AC50" s="1">
        <v>61</v>
      </c>
      <c r="AE50" s="1">
        <v>5.0999999999999996</v>
      </c>
      <c r="AF50" s="1" t="s">
        <v>114</v>
      </c>
      <c r="AG50" s="1">
        <v>30</v>
      </c>
      <c r="AH50" s="1">
        <v>30</v>
      </c>
      <c r="AI50" s="1">
        <v>1.3</v>
      </c>
      <c r="AJ50" s="1">
        <v>0.7</v>
      </c>
      <c r="AK50" s="1">
        <v>12</v>
      </c>
      <c r="AL50" s="1">
        <v>44</v>
      </c>
      <c r="AM50" s="1">
        <v>1.4</v>
      </c>
      <c r="AO50" s="1" t="s">
        <v>116</v>
      </c>
      <c r="AQ50" s="1">
        <v>327.87</v>
      </c>
      <c r="AR50" s="1">
        <v>1432.24</v>
      </c>
      <c r="AS50" s="1">
        <v>85.25</v>
      </c>
      <c r="AT50" s="1">
        <v>92.35</v>
      </c>
      <c r="AV50" s="1">
        <v>0.11</v>
      </c>
      <c r="AW50" s="1">
        <v>1.83</v>
      </c>
      <c r="AX50" s="1" t="s">
        <v>140</v>
      </c>
      <c r="AY50" s="8">
        <v>7.67</v>
      </c>
      <c r="AZ50" s="1">
        <v>41.74</v>
      </c>
      <c r="BA50" s="1">
        <v>2.0099999999999998</v>
      </c>
      <c r="BB50" s="1">
        <v>1.71</v>
      </c>
    </row>
    <row r="51" spans="2:54" x14ac:dyDescent="0.2">
      <c r="B51" s="13">
        <v>41898</v>
      </c>
      <c r="D51" s="1">
        <v>1031</v>
      </c>
      <c r="F51" s="1">
        <v>66</v>
      </c>
      <c r="G51" s="1">
        <v>9</v>
      </c>
      <c r="H51" s="4">
        <v>83</v>
      </c>
      <c r="I51" s="4">
        <v>72</v>
      </c>
      <c r="J51" s="1">
        <v>114</v>
      </c>
      <c r="K51" s="5">
        <v>135</v>
      </c>
      <c r="L51" s="1">
        <v>85</v>
      </c>
      <c r="M51" s="1">
        <v>25.02</v>
      </c>
      <c r="N51" s="1">
        <v>44</v>
      </c>
      <c r="O51" s="1">
        <v>45</v>
      </c>
      <c r="P51" s="1">
        <v>23</v>
      </c>
      <c r="Q51" s="1" t="s">
        <v>71</v>
      </c>
      <c r="R51" s="1" t="s">
        <v>71</v>
      </c>
      <c r="T51" s="1">
        <v>80</v>
      </c>
      <c r="U51" s="1">
        <v>138</v>
      </c>
      <c r="V51" s="1">
        <f t="shared" si="0"/>
        <v>58</v>
      </c>
      <c r="W51" s="1">
        <v>607</v>
      </c>
      <c r="Y51" s="1" t="s">
        <v>60</v>
      </c>
      <c r="Z51" s="1">
        <v>98</v>
      </c>
      <c r="AA51" s="1">
        <v>74</v>
      </c>
      <c r="AB51" s="1">
        <f t="shared" si="1"/>
        <v>21</v>
      </c>
      <c r="AC51" s="1">
        <v>95</v>
      </c>
      <c r="AE51" s="1">
        <v>4.9000000000000004</v>
      </c>
      <c r="AF51" s="1" t="s">
        <v>114</v>
      </c>
      <c r="AG51" s="1">
        <v>34</v>
      </c>
      <c r="AH51" s="1">
        <v>34</v>
      </c>
      <c r="AI51" s="1">
        <v>0.3</v>
      </c>
      <c r="AJ51" s="30" t="s">
        <v>119</v>
      </c>
      <c r="AK51" s="30"/>
      <c r="AL51" s="30"/>
      <c r="AM51" s="30"/>
      <c r="AX51" s="1" t="s">
        <v>119</v>
      </c>
      <c r="AY51" s="1" t="s">
        <v>119</v>
      </c>
    </row>
    <row r="52" spans="2:54" x14ac:dyDescent="0.2">
      <c r="B52" s="13">
        <v>41949</v>
      </c>
      <c r="C52" s="1" t="s">
        <v>149</v>
      </c>
      <c r="D52" s="1">
        <v>1032</v>
      </c>
      <c r="F52" s="1">
        <v>72</v>
      </c>
      <c r="G52" s="1">
        <v>7</v>
      </c>
      <c r="H52" s="4">
        <v>111</v>
      </c>
      <c r="I52" s="4">
        <v>105</v>
      </c>
      <c r="J52" s="1">
        <v>106</v>
      </c>
      <c r="K52" s="5">
        <v>142</v>
      </c>
      <c r="L52" s="1">
        <v>68</v>
      </c>
      <c r="M52" s="1">
        <v>13.15</v>
      </c>
      <c r="N52" s="1">
        <v>36</v>
      </c>
      <c r="O52" s="1">
        <v>34</v>
      </c>
      <c r="P52" s="1">
        <v>14</v>
      </c>
      <c r="Q52" s="1" t="s">
        <v>72</v>
      </c>
      <c r="R52" s="1" t="s">
        <v>73</v>
      </c>
      <c r="T52" s="1">
        <v>84</v>
      </c>
      <c r="U52" s="1">
        <v>137</v>
      </c>
      <c r="V52" s="1">
        <f t="shared" si="0"/>
        <v>53</v>
      </c>
      <c r="W52" s="1">
        <v>489</v>
      </c>
      <c r="Y52" s="1" t="s">
        <v>60</v>
      </c>
      <c r="Z52" s="1" t="s">
        <v>60</v>
      </c>
      <c r="AA52" s="1">
        <v>56</v>
      </c>
      <c r="AB52" s="1">
        <f t="shared" si="1"/>
        <v>26</v>
      </c>
      <c r="AC52" s="1">
        <v>82</v>
      </c>
      <c r="AE52" s="1">
        <v>5.4</v>
      </c>
      <c r="AF52" s="1" t="s">
        <v>114</v>
      </c>
      <c r="AG52" s="1">
        <v>30</v>
      </c>
      <c r="AH52" s="1">
        <v>30</v>
      </c>
      <c r="AI52" s="1">
        <v>0.4</v>
      </c>
      <c r="AJ52" s="1" t="s">
        <v>115</v>
      </c>
      <c r="AK52" s="1">
        <v>20</v>
      </c>
      <c r="AL52" s="1">
        <v>22</v>
      </c>
      <c r="AM52" s="1">
        <v>2.5</v>
      </c>
      <c r="AQ52" s="1">
        <v>128.26</v>
      </c>
      <c r="AR52" s="1">
        <v>3284.78</v>
      </c>
      <c r="AS52" s="1">
        <v>60.87</v>
      </c>
      <c r="AT52" s="1">
        <v>6.52</v>
      </c>
      <c r="AV52" s="1">
        <v>0.65</v>
      </c>
      <c r="AW52" s="1">
        <v>0.46</v>
      </c>
      <c r="AX52" s="1" t="s">
        <v>141</v>
      </c>
      <c r="AY52" s="7">
        <v>111.62</v>
      </c>
      <c r="AZ52" s="1">
        <v>316.99</v>
      </c>
      <c r="BA52" s="1">
        <v>1.46</v>
      </c>
      <c r="BB52" s="1">
        <v>0.19</v>
      </c>
    </row>
    <row r="53" spans="2:54" s="16" customFormat="1" x14ac:dyDescent="0.2">
      <c r="B53" s="15">
        <v>41949</v>
      </c>
      <c r="D53" s="16">
        <v>1033</v>
      </c>
      <c r="F53" s="16">
        <v>63</v>
      </c>
      <c r="G53" s="16">
        <v>7</v>
      </c>
      <c r="H53" s="16">
        <v>66</v>
      </c>
      <c r="I53" s="16">
        <v>75</v>
      </c>
      <c r="J53" s="16">
        <v>87</v>
      </c>
      <c r="K53" s="16">
        <v>43</v>
      </c>
      <c r="L53" s="16">
        <v>54</v>
      </c>
      <c r="M53" s="16">
        <v>30.04</v>
      </c>
      <c r="N53" s="16">
        <v>33</v>
      </c>
      <c r="O53" s="16">
        <v>35</v>
      </c>
      <c r="P53" s="16">
        <v>15</v>
      </c>
      <c r="Q53" s="16" t="s">
        <v>74</v>
      </c>
      <c r="R53" s="16" t="s">
        <v>75</v>
      </c>
      <c r="T53" s="16">
        <v>101</v>
      </c>
      <c r="U53" s="16">
        <v>138</v>
      </c>
      <c r="V53" s="16">
        <f t="shared" si="0"/>
        <v>37</v>
      </c>
      <c r="W53" s="16">
        <v>535</v>
      </c>
      <c r="Y53" s="16">
        <v>3</v>
      </c>
      <c r="Z53" s="16">
        <v>99</v>
      </c>
      <c r="AA53" s="16">
        <v>74</v>
      </c>
      <c r="AB53" s="16">
        <f t="shared" si="1"/>
        <v>36</v>
      </c>
      <c r="AC53" s="16">
        <v>110</v>
      </c>
      <c r="AE53" s="16">
        <v>5.4</v>
      </c>
      <c r="AF53" s="16" t="s">
        <v>114</v>
      </c>
      <c r="AG53" s="16">
        <v>32</v>
      </c>
      <c r="AH53" s="16">
        <v>32</v>
      </c>
      <c r="AI53" s="16">
        <v>0.6</v>
      </c>
      <c r="AJ53" s="16" t="s">
        <v>115</v>
      </c>
      <c r="AK53" s="16">
        <v>21</v>
      </c>
      <c r="AL53" s="16">
        <v>20</v>
      </c>
      <c r="AM53" s="16">
        <v>1.7</v>
      </c>
      <c r="AQ53" s="16">
        <v>56.25</v>
      </c>
      <c r="AR53" s="16">
        <v>1955.21</v>
      </c>
      <c r="AS53" s="16">
        <v>46.88</v>
      </c>
      <c r="AT53" s="16">
        <v>21.88</v>
      </c>
      <c r="AV53" s="16">
        <v>0.73</v>
      </c>
      <c r="AW53" s="16">
        <v>0.93</v>
      </c>
      <c r="AX53" s="16" t="s">
        <v>142</v>
      </c>
      <c r="AY53" s="17">
        <v>2.31</v>
      </c>
      <c r="AZ53" s="16">
        <v>16.46</v>
      </c>
      <c r="BA53" s="16">
        <v>1.07</v>
      </c>
      <c r="BB53" s="16">
        <v>0.74</v>
      </c>
    </row>
    <row r="54" spans="2:54" s="16" customFormat="1" x14ac:dyDescent="0.2">
      <c r="B54" s="15">
        <v>42071</v>
      </c>
      <c r="D54" s="16">
        <v>1033</v>
      </c>
      <c r="G54" s="16">
        <v>6</v>
      </c>
      <c r="H54" s="16">
        <v>66</v>
      </c>
      <c r="I54" s="16">
        <v>76</v>
      </c>
      <c r="J54" s="16">
        <v>87</v>
      </c>
      <c r="K54" s="16">
        <v>42</v>
      </c>
      <c r="L54" s="16">
        <v>67</v>
      </c>
      <c r="M54" s="16">
        <v>23.69</v>
      </c>
      <c r="N54" s="16">
        <v>33</v>
      </c>
      <c r="O54" s="16">
        <v>39</v>
      </c>
      <c r="P54" s="16">
        <v>20</v>
      </c>
      <c r="Q54" s="16" t="s">
        <v>220</v>
      </c>
      <c r="R54" s="16" t="s">
        <v>221</v>
      </c>
      <c r="T54" s="16">
        <v>85</v>
      </c>
      <c r="U54" s="16">
        <v>149</v>
      </c>
      <c r="V54" s="16">
        <f t="shared" si="0"/>
        <v>64</v>
      </c>
      <c r="W54" s="16">
        <v>514</v>
      </c>
      <c r="Y54" s="16">
        <v>2</v>
      </c>
      <c r="Z54" s="16">
        <v>98</v>
      </c>
      <c r="AA54" s="16">
        <v>65</v>
      </c>
      <c r="AB54" s="16">
        <f t="shared" si="1"/>
        <v>9</v>
      </c>
      <c r="AC54" s="16">
        <v>74</v>
      </c>
      <c r="AE54" s="16">
        <v>5.8</v>
      </c>
      <c r="AF54" s="16" t="s">
        <v>114</v>
      </c>
      <c r="AG54" s="16">
        <v>29</v>
      </c>
      <c r="AH54" s="16">
        <v>29</v>
      </c>
      <c r="AI54" s="16">
        <v>4.3</v>
      </c>
      <c r="AJ54" s="16" t="s">
        <v>299</v>
      </c>
      <c r="AK54" s="16">
        <v>24</v>
      </c>
      <c r="AL54" s="16">
        <v>25</v>
      </c>
      <c r="AM54" s="16">
        <v>1.6</v>
      </c>
      <c r="AP54" s="16">
        <v>5.7</v>
      </c>
      <c r="AQ54" s="16">
        <v>65.8</v>
      </c>
      <c r="AR54" s="16">
        <v>1435</v>
      </c>
      <c r="AS54" s="16">
        <v>41.4</v>
      </c>
      <c r="AT54" s="16">
        <v>51.22</v>
      </c>
      <c r="AV54" s="16">
        <v>0.73</v>
      </c>
      <c r="AW54" s="16">
        <v>0.82</v>
      </c>
      <c r="AX54" s="16" t="s">
        <v>312</v>
      </c>
      <c r="AY54" s="17">
        <v>9.9</v>
      </c>
      <c r="AZ54" s="16">
        <v>50.8</v>
      </c>
      <c r="BA54" s="16">
        <v>15</v>
      </c>
      <c r="BB54" s="16">
        <v>0.77</v>
      </c>
    </row>
    <row r="55" spans="2:54" s="16" customFormat="1" x14ac:dyDescent="0.2">
      <c r="B55" s="15">
        <v>42205</v>
      </c>
      <c r="D55" s="16">
        <v>1033</v>
      </c>
      <c r="G55" s="16">
        <v>11</v>
      </c>
      <c r="H55" s="16">
        <v>69</v>
      </c>
      <c r="I55" s="16">
        <v>79</v>
      </c>
      <c r="J55" s="16">
        <v>87</v>
      </c>
      <c r="K55" s="16">
        <v>43</v>
      </c>
      <c r="L55" s="16">
        <v>62</v>
      </c>
      <c r="M55" s="16">
        <v>26</v>
      </c>
      <c r="N55" s="16">
        <v>32</v>
      </c>
      <c r="O55" s="16">
        <v>41</v>
      </c>
      <c r="P55" s="16">
        <v>14</v>
      </c>
      <c r="Q55" s="16" t="s">
        <v>222</v>
      </c>
      <c r="R55" s="16" t="s">
        <v>223</v>
      </c>
      <c r="T55" s="16">
        <v>83</v>
      </c>
      <c r="U55" s="16">
        <v>126</v>
      </c>
      <c r="V55" s="16">
        <f t="shared" si="0"/>
        <v>43</v>
      </c>
      <c r="W55" s="16">
        <v>571</v>
      </c>
      <c r="Y55" s="16" t="s">
        <v>60</v>
      </c>
      <c r="Z55" s="16">
        <v>98</v>
      </c>
      <c r="AA55" s="16">
        <v>67</v>
      </c>
      <c r="AB55" s="16">
        <f t="shared" si="1"/>
        <v>9</v>
      </c>
      <c r="AC55" s="16">
        <v>76</v>
      </c>
      <c r="AE55" s="16">
        <v>5.5</v>
      </c>
      <c r="AF55" s="16" t="s">
        <v>114</v>
      </c>
      <c r="AG55" s="16">
        <v>27</v>
      </c>
      <c r="AH55" s="16">
        <v>27</v>
      </c>
      <c r="AI55" s="16">
        <v>0.5</v>
      </c>
      <c r="AJ55" s="16">
        <v>0.9</v>
      </c>
      <c r="AK55" s="16">
        <v>30</v>
      </c>
      <c r="AL55" s="16">
        <v>16</v>
      </c>
      <c r="AM55" s="16" t="s">
        <v>282</v>
      </c>
      <c r="AP55" s="16">
        <v>2.7</v>
      </c>
      <c r="AQ55" s="16">
        <v>119</v>
      </c>
      <c r="AR55" s="16">
        <v>32.76</v>
      </c>
      <c r="AS55" s="16">
        <v>56</v>
      </c>
      <c r="AT55" s="16">
        <v>168</v>
      </c>
      <c r="AV55" s="16">
        <v>0.78</v>
      </c>
      <c r="AW55" s="16">
        <v>0.79</v>
      </c>
      <c r="AX55" s="16" t="s">
        <v>286</v>
      </c>
      <c r="AY55" s="17">
        <v>17.100000000000001</v>
      </c>
      <c r="AZ55" s="16">
        <v>92.5</v>
      </c>
      <c r="BA55" s="16">
        <v>6127</v>
      </c>
      <c r="BB55" s="16">
        <v>0.82</v>
      </c>
    </row>
    <row r="56" spans="2:54" x14ac:dyDescent="0.2">
      <c r="B56" s="13">
        <v>41953</v>
      </c>
      <c r="D56" s="1">
        <v>1034</v>
      </c>
      <c r="F56" s="1">
        <v>64</v>
      </c>
      <c r="G56" s="1">
        <v>22</v>
      </c>
      <c r="H56" s="4">
        <v>84</v>
      </c>
      <c r="I56" s="4">
        <v>76</v>
      </c>
      <c r="J56" s="1">
        <v>109</v>
      </c>
      <c r="K56" s="5">
        <v>141</v>
      </c>
      <c r="L56" s="1">
        <v>124</v>
      </c>
      <c r="M56" s="1">
        <v>18.489999999999998</v>
      </c>
      <c r="N56" s="1">
        <v>38</v>
      </c>
      <c r="O56" s="1">
        <v>46</v>
      </c>
      <c r="P56" s="1">
        <v>23</v>
      </c>
      <c r="Q56" s="1" t="s">
        <v>224</v>
      </c>
      <c r="R56" s="1" t="s">
        <v>76</v>
      </c>
      <c r="T56" s="1">
        <v>79</v>
      </c>
      <c r="U56" s="1">
        <v>142</v>
      </c>
      <c r="V56" s="1">
        <f t="shared" si="0"/>
        <v>63</v>
      </c>
      <c r="X56" s="1">
        <v>107</v>
      </c>
      <c r="Y56" s="1">
        <v>5</v>
      </c>
      <c r="Z56" s="1">
        <v>98</v>
      </c>
      <c r="AA56" s="1">
        <v>66</v>
      </c>
      <c r="AB56" s="1">
        <f t="shared" si="1"/>
        <v>8</v>
      </c>
      <c r="AC56" s="1">
        <v>74</v>
      </c>
      <c r="AE56" s="1">
        <v>5.6</v>
      </c>
      <c r="AF56" s="1" t="s">
        <v>114</v>
      </c>
      <c r="AG56" s="1">
        <v>34</v>
      </c>
      <c r="AH56" s="1">
        <v>34</v>
      </c>
      <c r="AI56" s="1">
        <v>9.6</v>
      </c>
      <c r="AQ56" s="1">
        <v>117.65</v>
      </c>
      <c r="AR56" s="1">
        <v>6602.94</v>
      </c>
      <c r="AS56" s="1">
        <v>47.06</v>
      </c>
      <c r="AT56" s="1">
        <v>97.06</v>
      </c>
      <c r="AV56" s="1">
        <v>1.47</v>
      </c>
      <c r="AW56" s="1">
        <v>0.34</v>
      </c>
      <c r="AX56" s="1" t="s">
        <v>143</v>
      </c>
      <c r="AY56" s="7">
        <v>59.36</v>
      </c>
      <c r="AZ56" s="1">
        <v>136.56</v>
      </c>
      <c r="BA56" s="1">
        <v>6.18</v>
      </c>
      <c r="BB56" s="1">
        <v>0.35</v>
      </c>
    </row>
    <row r="57" spans="2:54" s="16" customFormat="1" x14ac:dyDescent="0.2">
      <c r="B57" s="15">
        <v>41953</v>
      </c>
      <c r="D57" s="16">
        <v>1035</v>
      </c>
      <c r="F57" s="16">
        <v>49</v>
      </c>
      <c r="G57" s="16">
        <v>16</v>
      </c>
      <c r="H57" s="16">
        <v>94</v>
      </c>
      <c r="I57" s="16">
        <v>92</v>
      </c>
      <c r="J57" s="16">
        <v>102</v>
      </c>
      <c r="K57" s="16">
        <v>106</v>
      </c>
      <c r="L57" s="16">
        <v>101</v>
      </c>
      <c r="M57" s="16">
        <v>28.96</v>
      </c>
      <c r="N57" s="16">
        <v>35</v>
      </c>
      <c r="O57" s="16">
        <v>40</v>
      </c>
      <c r="P57" s="16">
        <v>29</v>
      </c>
      <c r="Q57" s="16" t="s">
        <v>77</v>
      </c>
      <c r="R57" s="16" t="s">
        <v>78</v>
      </c>
      <c r="T57" s="16">
        <v>89</v>
      </c>
      <c r="U57" s="16">
        <v>169</v>
      </c>
      <c r="V57" s="16">
        <f t="shared" si="0"/>
        <v>80</v>
      </c>
      <c r="X57" s="16">
        <v>126</v>
      </c>
      <c r="Y57" s="16">
        <v>4.5</v>
      </c>
      <c r="AA57" s="16">
        <v>100</v>
      </c>
      <c r="AB57" s="16">
        <f t="shared" si="1"/>
        <v>-6</v>
      </c>
      <c r="AC57" s="16">
        <v>94</v>
      </c>
      <c r="AE57" s="16">
        <v>5.6</v>
      </c>
      <c r="AF57" s="16" t="s">
        <v>114</v>
      </c>
      <c r="AG57" s="16">
        <v>23</v>
      </c>
      <c r="AH57" s="16">
        <v>23</v>
      </c>
      <c r="AI57" s="16">
        <v>7.5</v>
      </c>
      <c r="AJ57" s="16">
        <v>8.5</v>
      </c>
      <c r="AK57" s="16">
        <v>34</v>
      </c>
      <c r="AL57" s="16">
        <v>33</v>
      </c>
      <c r="AM57" s="16">
        <v>11.6</v>
      </c>
      <c r="AQ57" s="16">
        <v>92.75</v>
      </c>
      <c r="AR57" s="16">
        <v>2357.9699999999998</v>
      </c>
      <c r="AS57" s="16">
        <v>58.7</v>
      </c>
      <c r="AT57" s="16">
        <v>23.19</v>
      </c>
      <c r="AV57" s="16">
        <v>0.28999999999999998</v>
      </c>
      <c r="AW57" s="16">
        <v>1.38</v>
      </c>
      <c r="AX57" s="16" t="s">
        <v>144</v>
      </c>
      <c r="AY57" s="16">
        <v>16.48</v>
      </c>
      <c r="AZ57" s="16">
        <v>59.19</v>
      </c>
      <c r="BA57" s="16">
        <v>31.8</v>
      </c>
      <c r="BB57" s="16">
        <v>0.95</v>
      </c>
    </row>
    <row r="58" spans="2:54" s="16" customFormat="1" x14ac:dyDescent="0.2">
      <c r="B58" s="15">
        <v>42114</v>
      </c>
      <c r="D58" s="16">
        <v>1035</v>
      </c>
      <c r="F58" s="16">
        <v>50</v>
      </c>
      <c r="G58" s="16">
        <v>11</v>
      </c>
      <c r="H58" s="16">
        <v>92</v>
      </c>
      <c r="I58" s="16">
        <v>87</v>
      </c>
      <c r="J58" s="16">
        <v>104</v>
      </c>
      <c r="K58" s="16">
        <v>115</v>
      </c>
      <c r="L58" s="16">
        <v>82</v>
      </c>
      <c r="M58" s="16">
        <v>30.79</v>
      </c>
      <c r="N58" s="16">
        <v>34</v>
      </c>
      <c r="O58" s="16">
        <v>27</v>
      </c>
      <c r="P58" s="16">
        <v>34</v>
      </c>
      <c r="Q58" s="16" t="s">
        <v>225</v>
      </c>
      <c r="R58" s="16" t="s">
        <v>226</v>
      </c>
      <c r="T58" s="16">
        <v>79</v>
      </c>
      <c r="U58" s="16">
        <v>141</v>
      </c>
      <c r="V58" s="16">
        <f t="shared" si="0"/>
        <v>62</v>
      </c>
      <c r="W58" s="16">
        <v>560</v>
      </c>
      <c r="Y58" s="16">
        <v>7</v>
      </c>
      <c r="Z58" s="16">
        <v>98</v>
      </c>
      <c r="AA58" s="16">
        <v>73</v>
      </c>
      <c r="AB58" s="16">
        <f t="shared" si="1"/>
        <v>31</v>
      </c>
      <c r="AC58" s="16">
        <v>104</v>
      </c>
      <c r="AE58" s="16">
        <v>5.3</v>
      </c>
      <c r="AF58" s="16" t="s">
        <v>114</v>
      </c>
      <c r="AG58" s="16">
        <v>13</v>
      </c>
      <c r="AH58" s="16">
        <v>13</v>
      </c>
      <c r="AI58" s="16">
        <v>9.1</v>
      </c>
      <c r="AJ58" s="16">
        <v>4.3</v>
      </c>
      <c r="AK58" s="16">
        <v>31</v>
      </c>
      <c r="AL58" s="16">
        <v>80</v>
      </c>
      <c r="AM58" s="16">
        <v>12.7</v>
      </c>
      <c r="AP58" s="16">
        <v>3</v>
      </c>
      <c r="AQ58" s="16">
        <v>81.45</v>
      </c>
      <c r="AR58" s="16">
        <v>2538</v>
      </c>
      <c r="AS58" s="16">
        <v>91.9</v>
      </c>
      <c r="AT58" s="16">
        <v>79.8</v>
      </c>
      <c r="AV58" s="16">
        <v>0.08</v>
      </c>
      <c r="AW58" s="16">
        <v>1.24</v>
      </c>
      <c r="AX58" s="16" t="s">
        <v>313</v>
      </c>
      <c r="AY58" s="16">
        <v>7.7</v>
      </c>
      <c r="AZ58" s="16">
        <v>43.3</v>
      </c>
      <c r="BA58" s="16">
        <v>25.6</v>
      </c>
      <c r="BB58" s="16">
        <v>1.71</v>
      </c>
    </row>
    <row r="59" spans="2:54" s="16" customFormat="1" x14ac:dyDescent="0.2">
      <c r="B59" s="15">
        <v>42240</v>
      </c>
      <c r="D59" s="16">
        <v>1035</v>
      </c>
      <c r="H59" s="16">
        <v>89</v>
      </c>
      <c r="I59" s="16">
        <v>87</v>
      </c>
      <c r="J59" s="16">
        <v>102</v>
      </c>
      <c r="K59" s="16">
        <v>105</v>
      </c>
      <c r="L59" s="16">
        <v>92</v>
      </c>
      <c r="N59" s="16">
        <v>30</v>
      </c>
      <c r="O59" s="16">
        <v>37</v>
      </c>
      <c r="Q59" s="16" t="s">
        <v>227</v>
      </c>
      <c r="R59" s="16" t="s">
        <v>228</v>
      </c>
      <c r="T59" s="16">
        <v>95</v>
      </c>
      <c r="U59" s="16">
        <v>125</v>
      </c>
      <c r="V59" s="16">
        <f t="shared" si="0"/>
        <v>30</v>
      </c>
      <c r="W59" s="16">
        <v>576</v>
      </c>
      <c r="Y59" s="16">
        <v>4</v>
      </c>
      <c r="Z59" s="16">
        <v>98</v>
      </c>
      <c r="AA59" s="16">
        <v>75</v>
      </c>
      <c r="AB59" s="16">
        <f t="shared" si="1"/>
        <v>32</v>
      </c>
      <c r="AC59" s="16">
        <v>107</v>
      </c>
      <c r="AE59" s="16">
        <v>5.0999999999999996</v>
      </c>
      <c r="AF59" s="16" t="s">
        <v>114</v>
      </c>
      <c r="AG59" s="16">
        <v>26</v>
      </c>
      <c r="AH59" s="16">
        <v>26</v>
      </c>
      <c r="AI59" s="16">
        <v>5.6</v>
      </c>
      <c r="AJ59" s="16">
        <v>5.9</v>
      </c>
      <c r="AK59" s="16">
        <v>45</v>
      </c>
      <c r="AL59" s="16">
        <v>305</v>
      </c>
      <c r="AM59" s="16">
        <v>8.6</v>
      </c>
      <c r="AP59" s="16">
        <v>7.4</v>
      </c>
      <c r="AQ59" s="16">
        <v>67</v>
      </c>
      <c r="AR59" s="16">
        <v>1933</v>
      </c>
      <c r="AS59" s="16">
        <v>54</v>
      </c>
      <c r="AT59" s="16">
        <v>10</v>
      </c>
      <c r="AV59" s="16">
        <v>0.34</v>
      </c>
      <c r="AW59" s="16">
        <v>1.72</v>
      </c>
      <c r="AX59" s="16" t="s">
        <v>287</v>
      </c>
      <c r="AY59" s="16">
        <v>19.100000000000001</v>
      </c>
      <c r="AZ59" s="16">
        <v>48.5</v>
      </c>
      <c r="BA59" s="16">
        <v>37.4</v>
      </c>
      <c r="BB59" s="16">
        <v>1.83</v>
      </c>
    </row>
    <row r="60" spans="2:54" s="16" customFormat="1" x14ac:dyDescent="0.2">
      <c r="B60" s="15">
        <v>42387</v>
      </c>
      <c r="D60" s="16">
        <v>1035</v>
      </c>
      <c r="G60" s="16">
        <v>15</v>
      </c>
      <c r="H60" s="16">
        <v>90</v>
      </c>
      <c r="I60" s="16">
        <v>89</v>
      </c>
      <c r="J60" s="16">
        <v>100</v>
      </c>
      <c r="K60" s="16">
        <v>89</v>
      </c>
      <c r="L60" s="16">
        <v>107</v>
      </c>
      <c r="M60" s="16">
        <v>28.18</v>
      </c>
      <c r="N60" s="16">
        <v>30</v>
      </c>
      <c r="O60" s="16">
        <v>36</v>
      </c>
      <c r="P60" s="16">
        <v>21</v>
      </c>
      <c r="Q60" s="16" t="s">
        <v>365</v>
      </c>
      <c r="R60" s="16" t="s">
        <v>366</v>
      </c>
      <c r="S60" s="16" t="s">
        <v>367</v>
      </c>
      <c r="T60" s="16">
        <v>87</v>
      </c>
      <c r="U60" s="16">
        <v>139</v>
      </c>
      <c r="V60" s="16">
        <f t="shared" si="0"/>
        <v>52</v>
      </c>
      <c r="W60" s="16">
        <v>546</v>
      </c>
      <c r="Y60" s="16">
        <v>6</v>
      </c>
      <c r="Z60" s="16">
        <v>98</v>
      </c>
      <c r="AA60" s="16">
        <v>82</v>
      </c>
      <c r="AB60" s="16">
        <f t="shared" si="1"/>
        <v>24</v>
      </c>
      <c r="AC60" s="16">
        <v>106</v>
      </c>
      <c r="AE60" s="16">
        <v>5.4</v>
      </c>
      <c r="AF60" s="16" t="s">
        <v>114</v>
      </c>
      <c r="AG60" s="16">
        <v>31</v>
      </c>
      <c r="AH60" s="16">
        <v>31</v>
      </c>
      <c r="AI60" s="16">
        <v>10.1</v>
      </c>
      <c r="AJ60" s="16">
        <v>2.5</v>
      </c>
      <c r="AK60" s="16">
        <v>16</v>
      </c>
      <c r="AL60" s="16">
        <v>28</v>
      </c>
      <c r="AM60" s="16">
        <v>12.7</v>
      </c>
      <c r="AP60" s="16">
        <v>2.1</v>
      </c>
      <c r="AQ60" s="16">
        <v>109</v>
      </c>
      <c r="AR60" s="16">
        <v>7809</v>
      </c>
      <c r="AS60" s="16">
        <v>85</v>
      </c>
      <c r="AT60" s="16">
        <v>42</v>
      </c>
      <c r="AV60" s="16">
        <v>0.14000000000000001</v>
      </c>
      <c r="AY60" s="50">
        <v>24.930807331509733</v>
      </c>
      <c r="AZ60" s="50">
        <v>147.30797507004101</v>
      </c>
      <c r="BA60" s="50">
        <v>2.7160083051809121</v>
      </c>
      <c r="BB60" s="51">
        <v>0.45</v>
      </c>
    </row>
    <row r="61" spans="2:54" x14ac:dyDescent="0.2">
      <c r="B61" s="13">
        <v>41954</v>
      </c>
      <c r="D61" s="1">
        <v>1036</v>
      </c>
      <c r="F61" s="1">
        <v>67</v>
      </c>
      <c r="G61" s="1">
        <v>14</v>
      </c>
      <c r="H61" s="4">
        <v>109</v>
      </c>
      <c r="I61" s="4">
        <v>103</v>
      </c>
      <c r="J61" s="1">
        <v>105</v>
      </c>
      <c r="K61" s="5">
        <v>135</v>
      </c>
      <c r="L61" s="1">
        <v>109</v>
      </c>
      <c r="M61" s="1">
        <v>14.85</v>
      </c>
      <c r="N61" s="1">
        <v>43</v>
      </c>
      <c r="O61" s="1">
        <v>48</v>
      </c>
      <c r="P61" s="1">
        <v>22</v>
      </c>
      <c r="Q61" s="1" t="s">
        <v>79</v>
      </c>
      <c r="R61" s="1" t="s">
        <v>80</v>
      </c>
      <c r="T61" s="1">
        <v>103</v>
      </c>
      <c r="U61" s="1">
        <v>149</v>
      </c>
      <c r="V61" s="1">
        <f t="shared" si="0"/>
        <v>46</v>
      </c>
      <c r="X61" s="1">
        <v>110</v>
      </c>
      <c r="Y61" s="1">
        <v>8</v>
      </c>
      <c r="Z61" s="1">
        <v>98</v>
      </c>
      <c r="AA61" s="1">
        <v>78</v>
      </c>
      <c r="AB61" s="1">
        <f t="shared" si="1"/>
        <v>17</v>
      </c>
      <c r="AC61" s="1">
        <v>95</v>
      </c>
      <c r="AE61" s="1">
        <v>7.4</v>
      </c>
      <c r="AF61" s="1">
        <v>40</v>
      </c>
      <c r="AG61" s="1" t="s">
        <v>114</v>
      </c>
      <c r="AH61" s="1">
        <v>43</v>
      </c>
      <c r="AI61" s="1">
        <v>1.4</v>
      </c>
      <c r="AJ61" s="29"/>
      <c r="AK61" s="29"/>
      <c r="AL61" s="29"/>
      <c r="AM61" s="29"/>
      <c r="AX61" s="1" t="s">
        <v>119</v>
      </c>
      <c r="AY61" s="1" t="s">
        <v>119</v>
      </c>
    </row>
    <row r="62" spans="2:54" x14ac:dyDescent="0.2">
      <c r="B62" s="13">
        <v>41954</v>
      </c>
      <c r="D62" s="1">
        <v>1037</v>
      </c>
      <c r="F62" s="1">
        <v>61</v>
      </c>
      <c r="G62" s="1">
        <v>22</v>
      </c>
      <c r="H62" s="4">
        <v>96</v>
      </c>
      <c r="I62" s="4">
        <v>87</v>
      </c>
      <c r="J62" s="1">
        <v>109</v>
      </c>
      <c r="K62" s="5">
        <v>145</v>
      </c>
      <c r="L62" s="1">
        <v>83</v>
      </c>
      <c r="M62" s="1">
        <v>19.63</v>
      </c>
      <c r="N62" s="1">
        <v>37</v>
      </c>
      <c r="O62" s="1">
        <v>37</v>
      </c>
      <c r="P62" s="1">
        <v>25</v>
      </c>
      <c r="Q62" s="1" t="s">
        <v>81</v>
      </c>
      <c r="R62" s="1" t="s">
        <v>82</v>
      </c>
      <c r="T62" s="1">
        <v>74</v>
      </c>
      <c r="U62" s="1">
        <v>115</v>
      </c>
      <c r="V62" s="1">
        <f t="shared" si="0"/>
        <v>41</v>
      </c>
      <c r="X62" s="1">
        <v>130</v>
      </c>
      <c r="Y62" s="1">
        <v>5</v>
      </c>
      <c r="Z62" s="1">
        <v>98</v>
      </c>
      <c r="AA62" s="1">
        <v>77</v>
      </c>
      <c r="AB62" s="1">
        <f t="shared" si="1"/>
        <v>-6</v>
      </c>
      <c r="AC62" s="1">
        <v>71</v>
      </c>
      <c r="AE62" s="1">
        <v>5.5</v>
      </c>
      <c r="AF62" s="1">
        <v>4</v>
      </c>
      <c r="AG62" s="1">
        <v>15</v>
      </c>
      <c r="AH62" s="3">
        <v>19</v>
      </c>
      <c r="AI62" s="1">
        <v>1</v>
      </c>
      <c r="AJ62" s="29"/>
      <c r="AK62" s="29"/>
      <c r="AL62" s="29"/>
      <c r="AM62" s="29"/>
      <c r="AX62" s="1" t="s">
        <v>119</v>
      </c>
      <c r="AY62" s="1" t="s">
        <v>119</v>
      </c>
    </row>
    <row r="63" spans="2:54" x14ac:dyDescent="0.2">
      <c r="B63" s="13">
        <v>41954</v>
      </c>
      <c r="D63" s="1">
        <v>1038</v>
      </c>
      <c r="F63" s="1">
        <v>67</v>
      </c>
      <c r="G63" s="1">
        <v>14</v>
      </c>
      <c r="H63" s="4">
        <v>79</v>
      </c>
      <c r="I63" s="4">
        <v>87</v>
      </c>
      <c r="J63" s="1">
        <v>90</v>
      </c>
      <c r="K63" s="5">
        <v>49</v>
      </c>
      <c r="L63" s="1">
        <v>81</v>
      </c>
      <c r="M63" s="1">
        <v>23.14</v>
      </c>
      <c r="N63" s="1">
        <v>25</v>
      </c>
      <c r="O63" s="1">
        <v>37</v>
      </c>
      <c r="P63" s="1">
        <v>1</v>
      </c>
      <c r="Q63" s="1" t="s">
        <v>83</v>
      </c>
      <c r="R63" s="1" t="s">
        <v>84</v>
      </c>
      <c r="T63" s="1">
        <v>67</v>
      </c>
      <c r="U63" s="1">
        <v>131</v>
      </c>
      <c r="V63" s="1">
        <f t="shared" si="0"/>
        <v>64</v>
      </c>
      <c r="X63" s="1">
        <v>103</v>
      </c>
      <c r="Y63" s="1">
        <v>5</v>
      </c>
      <c r="Z63" s="1">
        <v>95</v>
      </c>
      <c r="AA63" s="1">
        <v>79</v>
      </c>
      <c r="AB63" s="1">
        <f t="shared" si="1"/>
        <v>7</v>
      </c>
      <c r="AC63" s="1">
        <v>86</v>
      </c>
      <c r="AE63" s="1">
        <v>5</v>
      </c>
      <c r="AF63" s="1" t="s">
        <v>114</v>
      </c>
      <c r="AG63" s="1">
        <v>35</v>
      </c>
      <c r="AH63" s="1">
        <v>35</v>
      </c>
      <c r="AI63" s="1">
        <v>0.8</v>
      </c>
      <c r="AJ63" s="1">
        <v>0.8</v>
      </c>
      <c r="AK63" s="1">
        <v>22</v>
      </c>
      <c r="AL63" s="1">
        <v>18</v>
      </c>
      <c r="AM63" s="1">
        <v>1.9</v>
      </c>
      <c r="AQ63" s="1">
        <v>344.44</v>
      </c>
      <c r="AR63" s="1">
        <v>1368.69</v>
      </c>
      <c r="AS63" s="1">
        <v>39.39</v>
      </c>
      <c r="AT63" s="1">
        <v>28.28</v>
      </c>
      <c r="AV63" s="1">
        <v>0.2</v>
      </c>
      <c r="AW63" s="1">
        <v>0.99</v>
      </c>
      <c r="AX63" s="1" t="s">
        <v>145</v>
      </c>
      <c r="AY63" s="1">
        <v>18.71</v>
      </c>
      <c r="AZ63" s="1">
        <v>68.55</v>
      </c>
      <c r="BA63" s="1">
        <v>13.89</v>
      </c>
      <c r="BB63" s="1">
        <v>0.38</v>
      </c>
    </row>
    <row r="64" spans="2:54" x14ac:dyDescent="0.2">
      <c r="B64" s="13">
        <v>41954</v>
      </c>
      <c r="D64" s="1">
        <v>1039</v>
      </c>
      <c r="F64" s="1">
        <v>69</v>
      </c>
      <c r="G64" s="1">
        <v>1</v>
      </c>
      <c r="H64" s="4">
        <v>100</v>
      </c>
      <c r="I64" s="4">
        <v>95</v>
      </c>
      <c r="J64" s="1">
        <v>104</v>
      </c>
      <c r="K64" s="5">
        <v>126</v>
      </c>
      <c r="L64" s="1">
        <v>89</v>
      </c>
      <c r="M64" s="1">
        <v>14.52</v>
      </c>
      <c r="N64" s="1">
        <v>24</v>
      </c>
      <c r="O64" s="1">
        <v>38</v>
      </c>
      <c r="P64" s="1">
        <v>13</v>
      </c>
      <c r="Q64" s="1" t="s">
        <v>85</v>
      </c>
      <c r="R64" s="1" t="s">
        <v>86</v>
      </c>
      <c r="T64" s="1">
        <v>59</v>
      </c>
      <c r="U64" s="1">
        <v>104</v>
      </c>
      <c r="V64" s="1">
        <f t="shared" si="0"/>
        <v>45</v>
      </c>
      <c r="X64" s="1">
        <v>132</v>
      </c>
      <c r="Y64" s="1">
        <v>8</v>
      </c>
      <c r="Z64" s="1">
        <v>99</v>
      </c>
      <c r="AA64" s="1">
        <v>60</v>
      </c>
      <c r="AB64" s="1">
        <f t="shared" si="1"/>
        <v>27</v>
      </c>
      <c r="AC64" s="1">
        <v>87</v>
      </c>
      <c r="AE64" s="1">
        <v>5.2</v>
      </c>
      <c r="AF64" s="1" t="s">
        <v>114</v>
      </c>
      <c r="AG64" s="1">
        <v>35</v>
      </c>
      <c r="AH64" s="1">
        <v>35</v>
      </c>
      <c r="AI64" s="1">
        <v>0.5</v>
      </c>
      <c r="AJ64" s="29"/>
      <c r="AK64" s="29"/>
      <c r="AL64" s="29"/>
      <c r="AM64" s="29"/>
      <c r="AX64" s="1" t="s">
        <v>119</v>
      </c>
      <c r="AY64" s="1" t="s">
        <v>119</v>
      </c>
    </row>
    <row r="65" spans="1:54" x14ac:dyDescent="0.2">
      <c r="B65" s="13">
        <v>41954</v>
      </c>
      <c r="D65" s="1">
        <v>1040</v>
      </c>
      <c r="F65" s="1">
        <v>71</v>
      </c>
      <c r="G65" s="1">
        <v>2</v>
      </c>
      <c r="H65" s="4">
        <v>94</v>
      </c>
      <c r="I65" s="4">
        <v>89</v>
      </c>
      <c r="J65" s="1">
        <v>105</v>
      </c>
      <c r="K65" s="5">
        <v>114</v>
      </c>
      <c r="L65" s="1">
        <v>123</v>
      </c>
      <c r="M65" s="1">
        <v>22.16</v>
      </c>
      <c r="N65" s="1">
        <v>32</v>
      </c>
      <c r="O65" s="1">
        <v>30</v>
      </c>
      <c r="P65" s="1">
        <v>20</v>
      </c>
      <c r="Q65" s="1" t="s">
        <v>87</v>
      </c>
      <c r="R65" s="1" t="s">
        <v>88</v>
      </c>
      <c r="T65" s="1">
        <v>91</v>
      </c>
      <c r="U65" s="1">
        <v>148</v>
      </c>
      <c r="V65" s="1">
        <f t="shared" si="0"/>
        <v>57</v>
      </c>
      <c r="X65" s="1">
        <v>155</v>
      </c>
      <c r="Y65" s="1">
        <v>9</v>
      </c>
      <c r="Z65" s="1">
        <v>99</v>
      </c>
      <c r="AA65" s="1">
        <v>83</v>
      </c>
      <c r="AB65" s="1">
        <f t="shared" si="1"/>
        <v>27</v>
      </c>
      <c r="AC65" s="1">
        <v>110</v>
      </c>
      <c r="AE65" s="1">
        <v>6.9</v>
      </c>
      <c r="AF65" s="1" t="s">
        <v>114</v>
      </c>
      <c r="AG65" s="1">
        <v>36</v>
      </c>
      <c r="AH65" s="1">
        <v>36</v>
      </c>
      <c r="AI65" s="1">
        <v>1.2</v>
      </c>
      <c r="AJ65" s="1">
        <v>0.8</v>
      </c>
      <c r="AK65" s="1">
        <v>22</v>
      </c>
      <c r="AL65" s="1">
        <v>24</v>
      </c>
      <c r="AM65" s="1">
        <v>1.7</v>
      </c>
      <c r="AQ65" s="1">
        <v>170</v>
      </c>
      <c r="AR65" s="1">
        <v>4970</v>
      </c>
      <c r="AS65" s="1">
        <v>27.5</v>
      </c>
      <c r="AT65" s="1">
        <v>35</v>
      </c>
      <c r="AV65" s="1">
        <v>0.25</v>
      </c>
      <c r="AW65" s="1">
        <v>0.4</v>
      </c>
      <c r="AX65" s="1" t="s">
        <v>146</v>
      </c>
      <c r="AY65" s="1">
        <v>17.5</v>
      </c>
      <c r="AZ65" s="1">
        <v>133.18</v>
      </c>
      <c r="BA65" s="1">
        <v>12.85</v>
      </c>
      <c r="BB65" s="1">
        <v>0.37</v>
      </c>
    </row>
    <row r="66" spans="1:54" x14ac:dyDescent="0.2">
      <c r="B66" s="13">
        <v>41954</v>
      </c>
      <c r="D66" s="1">
        <v>1041</v>
      </c>
      <c r="F66" s="1">
        <v>73</v>
      </c>
      <c r="G66" s="1">
        <v>0</v>
      </c>
      <c r="H66" s="4">
        <v>93</v>
      </c>
      <c r="I66" s="4">
        <v>96</v>
      </c>
      <c r="J66" s="1">
        <v>97</v>
      </c>
      <c r="K66" s="5">
        <v>81</v>
      </c>
      <c r="L66" s="1">
        <v>96</v>
      </c>
      <c r="M66" s="1">
        <v>14</v>
      </c>
      <c r="N66" s="1">
        <v>20</v>
      </c>
      <c r="O66" s="1">
        <v>30</v>
      </c>
      <c r="P66" s="1">
        <v>0</v>
      </c>
      <c r="Q66" s="1" t="s">
        <v>89</v>
      </c>
      <c r="R66" s="1" t="s">
        <v>90</v>
      </c>
      <c r="T66" s="1">
        <v>89</v>
      </c>
      <c r="U66" s="1">
        <v>143</v>
      </c>
      <c r="V66" s="1">
        <f t="shared" si="0"/>
        <v>54</v>
      </c>
      <c r="X66" s="1">
        <v>140</v>
      </c>
      <c r="Y66" s="1">
        <v>5</v>
      </c>
      <c r="Z66" s="1">
        <v>99</v>
      </c>
      <c r="AA66" s="1">
        <v>68</v>
      </c>
      <c r="AB66" s="1">
        <f t="shared" si="1"/>
        <v>38</v>
      </c>
      <c r="AC66" s="1">
        <v>106</v>
      </c>
      <c r="AE66" s="1">
        <v>4.5999999999999996</v>
      </c>
      <c r="AF66" s="1" t="s">
        <v>114</v>
      </c>
      <c r="AG66" s="1">
        <v>39</v>
      </c>
      <c r="AH66" s="1">
        <v>39</v>
      </c>
      <c r="AI66" s="1">
        <v>1.9</v>
      </c>
      <c r="AJ66" s="1" t="s">
        <v>115</v>
      </c>
      <c r="AK66" s="1">
        <v>16</v>
      </c>
      <c r="AL66" s="1">
        <v>14</v>
      </c>
      <c r="AM66" s="1">
        <v>1.6</v>
      </c>
      <c r="AQ66" s="1">
        <v>186</v>
      </c>
      <c r="AR66" s="1">
        <v>3096</v>
      </c>
      <c r="AS66" s="1">
        <v>44</v>
      </c>
      <c r="AT66" s="1">
        <v>18</v>
      </c>
      <c r="AV66" s="1">
        <v>1.4</v>
      </c>
      <c r="AW66" s="1">
        <v>0.5</v>
      </c>
      <c r="AX66" s="1" t="s">
        <v>147</v>
      </c>
      <c r="AY66" s="7">
        <v>39.159999999999997</v>
      </c>
      <c r="AZ66" s="1">
        <v>121.09</v>
      </c>
      <c r="BA66" s="1">
        <v>20.77</v>
      </c>
      <c r="BB66" s="1">
        <v>0.66</v>
      </c>
    </row>
    <row r="67" spans="1:54" s="16" customFormat="1" x14ac:dyDescent="0.2">
      <c r="B67" s="15">
        <v>42071</v>
      </c>
      <c r="D67" s="16">
        <v>1044</v>
      </c>
      <c r="F67" s="16">
        <v>63</v>
      </c>
      <c r="G67" s="16">
        <v>19</v>
      </c>
      <c r="H67" s="16">
        <v>77</v>
      </c>
      <c r="I67" s="16">
        <v>73</v>
      </c>
      <c r="J67" s="16">
        <v>105</v>
      </c>
      <c r="K67" s="16">
        <v>104</v>
      </c>
      <c r="L67" s="16">
        <v>93</v>
      </c>
      <c r="M67" s="16">
        <v>23.26</v>
      </c>
      <c r="N67" s="16">
        <v>35</v>
      </c>
      <c r="O67" s="16">
        <v>30</v>
      </c>
      <c r="P67" s="16">
        <v>19</v>
      </c>
      <c r="Q67" s="16" t="s">
        <v>229</v>
      </c>
      <c r="R67" s="16" t="s">
        <v>230</v>
      </c>
      <c r="T67" s="16">
        <v>70</v>
      </c>
      <c r="U67" s="16">
        <v>121</v>
      </c>
      <c r="V67" s="16">
        <f t="shared" si="0"/>
        <v>51</v>
      </c>
      <c r="W67" s="16">
        <v>609</v>
      </c>
      <c r="Y67" s="16">
        <v>2</v>
      </c>
      <c r="Z67" s="16">
        <v>98</v>
      </c>
      <c r="AA67" s="16">
        <v>70</v>
      </c>
      <c r="AB67" s="16">
        <f t="shared" si="1"/>
        <v>13</v>
      </c>
      <c r="AC67" s="16">
        <v>83</v>
      </c>
      <c r="AE67" s="16">
        <v>6</v>
      </c>
      <c r="AF67" s="16" t="s">
        <v>114</v>
      </c>
      <c r="AG67" s="16">
        <v>12</v>
      </c>
      <c r="AH67" s="16">
        <v>12</v>
      </c>
      <c r="AI67" s="16">
        <v>11.6</v>
      </c>
      <c r="AJ67" s="29" t="s">
        <v>119</v>
      </c>
      <c r="AK67" s="29"/>
      <c r="AL67" s="29"/>
      <c r="AM67" s="29"/>
      <c r="AN67" s="29"/>
      <c r="AO67" s="29"/>
      <c r="AP67" s="29"/>
      <c r="AQ67" s="16">
        <v>79.489999999999995</v>
      </c>
      <c r="AR67" s="16">
        <v>4661.54</v>
      </c>
      <c r="AS67" s="16">
        <v>28.21</v>
      </c>
      <c r="AT67" s="16">
        <v>18.8</v>
      </c>
      <c r="AV67" s="16">
        <v>0.09</v>
      </c>
      <c r="AW67" s="16">
        <v>1.17</v>
      </c>
      <c r="AX67" s="16" t="s">
        <v>302</v>
      </c>
      <c r="AY67" s="19">
        <v>5.5</v>
      </c>
      <c r="AZ67" s="16">
        <v>46.5</v>
      </c>
      <c r="BA67" s="16">
        <v>6.5</v>
      </c>
      <c r="BB67" s="16">
        <v>1.91</v>
      </c>
    </row>
    <row r="68" spans="1:54" s="16" customFormat="1" x14ac:dyDescent="0.2">
      <c r="B68" s="15">
        <v>42205</v>
      </c>
      <c r="D68" s="16">
        <v>1044</v>
      </c>
      <c r="G68" s="16">
        <v>24</v>
      </c>
      <c r="H68" s="16">
        <v>73</v>
      </c>
      <c r="I68" s="16">
        <v>67</v>
      </c>
      <c r="J68" s="16">
        <v>108</v>
      </c>
      <c r="K68" s="16">
        <v>107</v>
      </c>
      <c r="L68" s="16">
        <v>73</v>
      </c>
      <c r="M68" s="16">
        <v>25.18</v>
      </c>
      <c r="N68" s="16">
        <v>32</v>
      </c>
      <c r="O68" s="16">
        <v>39</v>
      </c>
      <c r="P68" s="16">
        <v>19</v>
      </c>
      <c r="Q68" s="16" t="s">
        <v>231</v>
      </c>
      <c r="R68" s="16" t="s">
        <v>232</v>
      </c>
      <c r="S68" s="16" t="s">
        <v>273</v>
      </c>
      <c r="T68" s="16">
        <v>66</v>
      </c>
      <c r="U68" s="16">
        <v>140</v>
      </c>
      <c r="V68" s="16">
        <f t="shared" si="0"/>
        <v>74</v>
      </c>
      <c r="W68" s="16">
        <v>534</v>
      </c>
      <c r="Y68" s="16">
        <v>5</v>
      </c>
      <c r="Z68" s="16">
        <v>98</v>
      </c>
      <c r="AA68" s="16">
        <v>75</v>
      </c>
      <c r="AB68" s="16">
        <f t="shared" si="1"/>
        <v>23</v>
      </c>
      <c r="AC68" s="16">
        <v>98</v>
      </c>
      <c r="AE68" s="16">
        <v>6</v>
      </c>
      <c r="AF68" s="16" t="s">
        <v>114</v>
      </c>
      <c r="AG68" s="16">
        <v>21</v>
      </c>
      <c r="AH68" s="16">
        <v>21</v>
      </c>
      <c r="AI68" s="16">
        <v>12.2</v>
      </c>
      <c r="AJ68" s="16" t="s">
        <v>119</v>
      </c>
      <c r="AQ68" s="28"/>
      <c r="AR68" s="16" t="s">
        <v>119</v>
      </c>
      <c r="AY68" s="19" t="s">
        <v>119</v>
      </c>
    </row>
    <row r="69" spans="1:54" s="11" customFormat="1" x14ac:dyDescent="0.2">
      <c r="B69" s="13">
        <v>42093</v>
      </c>
      <c r="D69" s="11">
        <v>1045</v>
      </c>
      <c r="E69" s="12"/>
      <c r="F69" s="11">
        <v>72</v>
      </c>
      <c r="G69" s="11">
        <v>24</v>
      </c>
      <c r="H69" s="4">
        <v>65</v>
      </c>
      <c r="I69" s="4">
        <v>59</v>
      </c>
      <c r="J69" s="11">
        <v>110</v>
      </c>
      <c r="K69" s="5">
        <v>112</v>
      </c>
      <c r="L69" s="11">
        <v>92</v>
      </c>
      <c r="M69" s="11">
        <v>25.01</v>
      </c>
      <c r="N69" s="11">
        <v>37</v>
      </c>
      <c r="O69" s="11">
        <v>38</v>
      </c>
      <c r="P69" s="11">
        <v>11</v>
      </c>
      <c r="Q69" s="11" t="s">
        <v>188</v>
      </c>
      <c r="R69" s="11" t="s">
        <v>189</v>
      </c>
      <c r="S69" s="14"/>
      <c r="T69" s="11">
        <v>63</v>
      </c>
      <c r="U69" s="11">
        <v>189</v>
      </c>
      <c r="V69" s="11">
        <f t="shared" si="0"/>
        <v>126</v>
      </c>
      <c r="W69" s="11" t="s">
        <v>60</v>
      </c>
      <c r="Y69" s="11">
        <v>10</v>
      </c>
      <c r="Z69" s="11">
        <v>97</v>
      </c>
      <c r="AA69" s="11">
        <v>79</v>
      </c>
      <c r="AB69" s="11">
        <f t="shared" si="1"/>
        <v>6</v>
      </c>
      <c r="AC69" s="11">
        <v>85</v>
      </c>
      <c r="AE69" s="11">
        <v>6.3</v>
      </c>
      <c r="AF69" s="11" t="s">
        <v>114</v>
      </c>
      <c r="AG69" s="11">
        <v>19</v>
      </c>
      <c r="AH69" s="11">
        <v>19</v>
      </c>
      <c r="AI69" s="11">
        <v>5</v>
      </c>
      <c r="AJ69" s="11">
        <v>2.2000000000000002</v>
      </c>
      <c r="AK69" s="11">
        <v>49</v>
      </c>
      <c r="AL69" s="11">
        <v>37</v>
      </c>
      <c r="AM69" s="11">
        <v>1.5</v>
      </c>
      <c r="AP69" s="24">
        <v>4.3</v>
      </c>
      <c r="AQ69" s="11">
        <v>203</v>
      </c>
      <c r="AR69" s="11">
        <v>3931.2</v>
      </c>
      <c r="AS69" s="11">
        <v>90.6</v>
      </c>
      <c r="AT69" s="11">
        <v>15.6</v>
      </c>
      <c r="AU69" s="41"/>
      <c r="AV69" s="11">
        <v>0.62</v>
      </c>
      <c r="AW69" s="11">
        <v>0.32</v>
      </c>
      <c r="AX69" s="11" t="s">
        <v>314</v>
      </c>
      <c r="AY69" s="7">
        <v>21.5</v>
      </c>
      <c r="AZ69" s="11">
        <v>180.9</v>
      </c>
      <c r="BA69" s="11">
        <v>10.3</v>
      </c>
      <c r="BB69" s="11">
        <v>0.28999999999999998</v>
      </c>
    </row>
    <row r="70" spans="1:54" s="11" customFormat="1" x14ac:dyDescent="0.2">
      <c r="B70" s="13">
        <v>42093</v>
      </c>
      <c r="D70" s="11">
        <v>1046</v>
      </c>
      <c r="E70" s="12"/>
      <c r="F70" s="11">
        <v>57</v>
      </c>
      <c r="G70" s="11">
        <v>18</v>
      </c>
      <c r="H70" s="4">
        <v>75</v>
      </c>
      <c r="I70" s="4">
        <v>76</v>
      </c>
      <c r="J70" s="11">
        <v>98</v>
      </c>
      <c r="K70" s="5">
        <v>67</v>
      </c>
      <c r="L70" s="11">
        <v>84</v>
      </c>
      <c r="M70" s="11">
        <v>27.29</v>
      </c>
      <c r="N70" s="11">
        <v>68</v>
      </c>
      <c r="O70" s="11">
        <v>49</v>
      </c>
      <c r="P70" s="11">
        <v>39</v>
      </c>
      <c r="Q70" s="11" t="s">
        <v>186</v>
      </c>
      <c r="R70" s="11" t="s">
        <v>187</v>
      </c>
      <c r="S70" s="14"/>
      <c r="T70" s="11">
        <v>82</v>
      </c>
      <c r="U70" s="11">
        <v>144</v>
      </c>
      <c r="V70" s="11">
        <f t="shared" si="0"/>
        <v>62</v>
      </c>
      <c r="W70" s="11">
        <v>475</v>
      </c>
      <c r="Y70" s="11">
        <v>7</v>
      </c>
      <c r="Z70" s="11">
        <v>96</v>
      </c>
      <c r="AA70" s="11">
        <v>106</v>
      </c>
      <c r="AB70" s="12">
        <f t="shared" si="1"/>
        <v>12</v>
      </c>
      <c r="AC70" s="11">
        <v>118</v>
      </c>
      <c r="AE70" s="11">
        <v>6.1</v>
      </c>
      <c r="AF70" s="11" t="s">
        <v>114</v>
      </c>
      <c r="AG70" s="11">
        <v>25</v>
      </c>
      <c r="AH70" s="11">
        <v>25</v>
      </c>
      <c r="AI70" s="11">
        <v>2.4</v>
      </c>
      <c r="AJ70" s="11" t="s">
        <v>300</v>
      </c>
      <c r="AK70" s="11">
        <v>49</v>
      </c>
      <c r="AL70" s="11">
        <v>89</v>
      </c>
      <c r="AM70" s="11">
        <v>7.1</v>
      </c>
      <c r="AP70" s="24">
        <v>11.8</v>
      </c>
      <c r="AQ70" s="11">
        <v>190.2</v>
      </c>
      <c r="AR70" s="11">
        <v>1023.8</v>
      </c>
      <c r="AS70" s="11">
        <v>89.6</v>
      </c>
      <c r="AT70" s="11">
        <v>121.3</v>
      </c>
      <c r="AU70" s="41"/>
      <c r="AV70" s="11">
        <v>0.18</v>
      </c>
      <c r="AW70" s="11">
        <v>1.64</v>
      </c>
      <c r="AX70" s="11" t="s">
        <v>315</v>
      </c>
      <c r="AY70" s="7">
        <v>81.599999999999994</v>
      </c>
      <c r="AZ70" s="11">
        <v>118.9</v>
      </c>
      <c r="BA70" s="11">
        <v>8.8000000000000007</v>
      </c>
      <c r="BB70" s="11">
        <v>1.81</v>
      </c>
    </row>
    <row r="71" spans="1:54" s="12" customFormat="1" x14ac:dyDescent="0.2">
      <c r="B71" s="13">
        <v>42226</v>
      </c>
      <c r="D71" s="12">
        <v>1049</v>
      </c>
      <c r="F71" s="12">
        <v>62</v>
      </c>
      <c r="G71" s="12">
        <v>4</v>
      </c>
      <c r="H71" s="4">
        <v>125</v>
      </c>
      <c r="I71" s="4">
        <v>135</v>
      </c>
      <c r="J71" s="12">
        <v>92</v>
      </c>
      <c r="K71" s="5">
        <v>84</v>
      </c>
      <c r="L71" s="12">
        <v>130</v>
      </c>
      <c r="M71" s="12">
        <v>33.78</v>
      </c>
      <c r="N71" s="12">
        <v>31</v>
      </c>
      <c r="O71" s="12">
        <v>37</v>
      </c>
      <c r="P71" s="12">
        <v>23</v>
      </c>
      <c r="Q71" s="12" t="s">
        <v>233</v>
      </c>
      <c r="R71" s="12" t="s">
        <v>234</v>
      </c>
      <c r="S71" s="14" t="s">
        <v>269</v>
      </c>
      <c r="T71" s="12">
        <v>72</v>
      </c>
      <c r="U71" s="12">
        <v>118</v>
      </c>
      <c r="V71" s="12">
        <f t="shared" si="0"/>
        <v>46</v>
      </c>
      <c r="W71" s="12">
        <v>468</v>
      </c>
      <c r="Y71" s="12">
        <v>3</v>
      </c>
      <c r="Z71" s="12">
        <v>98</v>
      </c>
      <c r="AA71" s="12">
        <v>74</v>
      </c>
      <c r="AB71" s="12">
        <f t="shared" si="1"/>
        <v>19</v>
      </c>
      <c r="AC71" s="12">
        <v>93</v>
      </c>
      <c r="AE71" s="12">
        <v>6.2</v>
      </c>
      <c r="AF71" s="12" t="s">
        <v>114</v>
      </c>
      <c r="AG71" s="12">
        <v>41</v>
      </c>
      <c r="AH71" s="12">
        <v>41</v>
      </c>
      <c r="AI71" s="12">
        <v>2.6</v>
      </c>
      <c r="AJ71" s="12">
        <v>2.7</v>
      </c>
      <c r="AK71" s="12">
        <v>27</v>
      </c>
      <c r="AL71" s="12">
        <v>31</v>
      </c>
      <c r="AM71" s="12">
        <v>2.8</v>
      </c>
      <c r="AP71" s="24">
        <v>3.8</v>
      </c>
      <c r="AQ71" s="12">
        <v>244</v>
      </c>
      <c r="AR71" s="12">
        <v>1124</v>
      </c>
      <c r="AS71" s="12">
        <v>63</v>
      </c>
      <c r="AT71" s="28">
        <v>306</v>
      </c>
      <c r="AU71" s="28"/>
      <c r="AV71" s="12">
        <v>1.1000000000000001</v>
      </c>
      <c r="AW71" s="12">
        <v>0.93</v>
      </c>
      <c r="AX71" s="12" t="s">
        <v>288</v>
      </c>
      <c r="AY71" s="7">
        <v>37.4</v>
      </c>
      <c r="AZ71" s="12">
        <v>89.3</v>
      </c>
      <c r="BA71" s="12">
        <v>19.7</v>
      </c>
      <c r="BB71" s="12">
        <v>0.8</v>
      </c>
    </row>
    <row r="72" spans="1:54" s="12" customFormat="1" x14ac:dyDescent="0.2">
      <c r="A72" s="12" t="s">
        <v>215</v>
      </c>
      <c r="B72" s="13">
        <v>42197</v>
      </c>
      <c r="D72" s="12">
        <v>1050</v>
      </c>
      <c r="F72" s="12">
        <v>71</v>
      </c>
      <c r="G72" s="12">
        <v>22</v>
      </c>
      <c r="H72" s="4">
        <v>47</v>
      </c>
      <c r="I72" s="4">
        <v>58</v>
      </c>
      <c r="J72" s="12">
        <v>81</v>
      </c>
      <c r="K72" s="5">
        <v>22</v>
      </c>
      <c r="L72" s="12">
        <v>58</v>
      </c>
      <c r="M72" s="12">
        <v>26.01</v>
      </c>
      <c r="N72" s="12">
        <v>35</v>
      </c>
      <c r="O72" s="12">
        <v>34</v>
      </c>
      <c r="P72" s="12">
        <v>12</v>
      </c>
      <c r="Q72" s="12" t="s">
        <v>235</v>
      </c>
      <c r="R72" s="12" t="s">
        <v>236</v>
      </c>
      <c r="S72" s="14" t="s">
        <v>270</v>
      </c>
      <c r="T72" s="12">
        <v>80</v>
      </c>
      <c r="U72" s="12">
        <v>156</v>
      </c>
      <c r="V72" s="12">
        <f t="shared" si="0"/>
        <v>76</v>
      </c>
      <c r="W72" s="12">
        <v>386</v>
      </c>
      <c r="Y72" s="12">
        <v>5</v>
      </c>
      <c r="Z72" s="12">
        <v>98</v>
      </c>
      <c r="AA72" s="12">
        <v>61</v>
      </c>
      <c r="AB72" s="12">
        <f t="shared" si="1"/>
        <v>18</v>
      </c>
      <c r="AC72" s="12">
        <v>79</v>
      </c>
      <c r="AE72" s="12">
        <v>5.4</v>
      </c>
      <c r="AF72" s="12" t="s">
        <v>114</v>
      </c>
      <c r="AG72" s="12">
        <v>30</v>
      </c>
      <c r="AH72" s="12">
        <v>30</v>
      </c>
      <c r="AI72" s="12">
        <v>5.4</v>
      </c>
      <c r="AJ72" s="29" t="s">
        <v>119</v>
      </c>
      <c r="AK72" s="29"/>
      <c r="AL72" s="29"/>
      <c r="AM72" s="29"/>
      <c r="AN72" s="29"/>
      <c r="AO72" s="29"/>
      <c r="AP72" s="29"/>
      <c r="AU72" s="41"/>
      <c r="AY72" s="7"/>
    </row>
    <row r="73" spans="1:54" s="12" customFormat="1" x14ac:dyDescent="0.2">
      <c r="B73" s="13">
        <v>42197</v>
      </c>
      <c r="D73" s="12">
        <v>1051</v>
      </c>
      <c r="F73" s="12">
        <v>66</v>
      </c>
      <c r="G73" s="12">
        <v>14</v>
      </c>
      <c r="H73" s="4">
        <v>75</v>
      </c>
      <c r="I73" s="4">
        <v>76</v>
      </c>
      <c r="J73" s="12">
        <v>97</v>
      </c>
      <c r="K73" s="5">
        <v>65</v>
      </c>
      <c r="L73" s="12">
        <v>92</v>
      </c>
      <c r="N73" s="12">
        <v>27</v>
      </c>
      <c r="O73" s="12">
        <v>36</v>
      </c>
      <c r="P73" s="12">
        <v>9</v>
      </c>
      <c r="Q73" s="12" t="s">
        <v>237</v>
      </c>
      <c r="R73" s="12" t="s">
        <v>238</v>
      </c>
      <c r="S73" s="14" t="s">
        <v>271</v>
      </c>
      <c r="T73" s="12">
        <v>80</v>
      </c>
      <c r="U73" s="12">
        <v>130</v>
      </c>
      <c r="V73" s="12">
        <f t="shared" si="0"/>
        <v>50</v>
      </c>
      <c r="Y73" s="12">
        <v>5</v>
      </c>
      <c r="Z73" s="12">
        <v>97</v>
      </c>
      <c r="AA73" s="12">
        <v>61</v>
      </c>
      <c r="AB73" s="12">
        <f t="shared" si="1"/>
        <v>9</v>
      </c>
      <c r="AC73" s="12">
        <v>70</v>
      </c>
      <c r="AE73" s="12">
        <v>5.8</v>
      </c>
      <c r="AF73" s="12" t="s">
        <v>114</v>
      </c>
      <c r="AG73" s="12">
        <v>27</v>
      </c>
      <c r="AH73" s="12">
        <v>27</v>
      </c>
      <c r="AI73" s="12">
        <v>7.9</v>
      </c>
      <c r="AJ73" s="29" t="s">
        <v>119</v>
      </c>
      <c r="AK73" s="29"/>
      <c r="AL73" s="29"/>
      <c r="AM73" s="29"/>
      <c r="AN73" s="29"/>
      <c r="AO73" s="29"/>
      <c r="AP73" s="29"/>
      <c r="AQ73" s="12">
        <v>171</v>
      </c>
      <c r="AR73" s="12">
        <v>3691</v>
      </c>
      <c r="AS73" s="12">
        <v>35</v>
      </c>
      <c r="AT73" s="12">
        <v>51</v>
      </c>
      <c r="AU73" s="41"/>
      <c r="AV73" s="12">
        <v>0.51</v>
      </c>
      <c r="AW73" s="12">
        <v>0.55000000000000004</v>
      </c>
      <c r="AX73" s="12" t="s">
        <v>289</v>
      </c>
      <c r="AY73" s="7">
        <v>54</v>
      </c>
      <c r="AZ73" s="12">
        <v>243.4</v>
      </c>
      <c r="BA73" s="12">
        <v>41.6</v>
      </c>
      <c r="BB73" s="12">
        <v>0.38</v>
      </c>
    </row>
    <row r="74" spans="1:54" s="12" customFormat="1" x14ac:dyDescent="0.2">
      <c r="B74" s="13">
        <v>42197</v>
      </c>
      <c r="D74" s="12">
        <v>1052</v>
      </c>
      <c r="F74" s="12">
        <v>68</v>
      </c>
      <c r="G74" s="12">
        <v>14</v>
      </c>
      <c r="H74" s="4">
        <v>46</v>
      </c>
      <c r="I74" s="4">
        <v>93</v>
      </c>
      <c r="J74" s="12">
        <v>50</v>
      </c>
      <c r="K74" s="5">
        <v>36</v>
      </c>
      <c r="L74" s="12">
        <v>27</v>
      </c>
      <c r="N74" s="12">
        <v>45</v>
      </c>
      <c r="O74" s="12">
        <v>43</v>
      </c>
      <c r="P74" s="12">
        <v>13</v>
      </c>
      <c r="Q74" s="12" t="s">
        <v>239</v>
      </c>
      <c r="R74" s="12" t="s">
        <v>240</v>
      </c>
      <c r="S74" s="14" t="s">
        <v>272</v>
      </c>
      <c r="T74" s="12">
        <v>97</v>
      </c>
      <c r="U74" s="12">
        <v>142</v>
      </c>
      <c r="V74" s="12">
        <f t="shared" si="0"/>
        <v>45</v>
      </c>
      <c r="Z74" s="12">
        <v>98</v>
      </c>
      <c r="AA74" s="12">
        <v>92</v>
      </c>
      <c r="AB74" s="12">
        <f t="shared" si="1"/>
        <v>19</v>
      </c>
      <c r="AC74" s="12">
        <v>111</v>
      </c>
      <c r="AE74" s="12">
        <v>5.8</v>
      </c>
      <c r="AF74" s="12" t="s">
        <v>114</v>
      </c>
      <c r="AG74" s="12">
        <v>38</v>
      </c>
      <c r="AH74" s="12">
        <v>38</v>
      </c>
      <c r="AI74" s="12">
        <v>2</v>
      </c>
      <c r="AJ74" s="29" t="s">
        <v>119</v>
      </c>
      <c r="AK74" s="29"/>
      <c r="AL74" s="29"/>
      <c r="AM74" s="29"/>
      <c r="AN74" s="29"/>
      <c r="AO74" s="29"/>
      <c r="AP74" s="29"/>
      <c r="AU74" s="41"/>
      <c r="AY74" s="7"/>
    </row>
    <row r="75" spans="1:54" s="12" customFormat="1" x14ac:dyDescent="0.2">
      <c r="B75" s="13">
        <v>42199</v>
      </c>
      <c r="D75" s="12">
        <v>1054</v>
      </c>
      <c r="F75" s="12">
        <v>66</v>
      </c>
      <c r="G75" s="12">
        <v>5</v>
      </c>
      <c r="H75" s="4">
        <v>88</v>
      </c>
      <c r="I75" s="4">
        <v>97</v>
      </c>
      <c r="J75" s="12">
        <v>90</v>
      </c>
      <c r="K75" s="5">
        <v>54</v>
      </c>
      <c r="L75" s="12">
        <v>105</v>
      </c>
      <c r="M75" s="12">
        <v>23.33</v>
      </c>
      <c r="N75" s="12">
        <v>28</v>
      </c>
      <c r="O75" s="12">
        <v>43</v>
      </c>
      <c r="P75" s="12">
        <v>17</v>
      </c>
      <c r="Q75" s="12" t="s">
        <v>241</v>
      </c>
      <c r="R75" s="12" t="s">
        <v>263</v>
      </c>
      <c r="S75" s="14" t="s">
        <v>242</v>
      </c>
      <c r="T75" s="12">
        <v>98</v>
      </c>
      <c r="U75" s="12">
        <v>163</v>
      </c>
      <c r="V75" s="12">
        <f t="shared" si="0"/>
        <v>65</v>
      </c>
      <c r="W75" s="12">
        <v>510</v>
      </c>
      <c r="Z75" s="12">
        <v>98</v>
      </c>
      <c r="AA75" s="12">
        <v>72</v>
      </c>
      <c r="AB75" s="12">
        <f t="shared" si="1"/>
        <v>17</v>
      </c>
      <c r="AC75" s="12">
        <v>89</v>
      </c>
      <c r="AE75" s="12">
        <v>5.7</v>
      </c>
      <c r="AF75" s="12" t="s">
        <v>114</v>
      </c>
      <c r="AG75" s="12">
        <v>27</v>
      </c>
      <c r="AH75" s="12">
        <v>27</v>
      </c>
      <c r="AI75" s="12">
        <v>1.9</v>
      </c>
      <c r="AJ75" s="29" t="s">
        <v>119</v>
      </c>
      <c r="AK75" s="29"/>
      <c r="AL75" s="29"/>
      <c r="AM75" s="29"/>
      <c r="AN75" s="29"/>
      <c r="AO75" s="29"/>
      <c r="AP75" s="29"/>
      <c r="AU75" s="41"/>
      <c r="AY75" s="7"/>
    </row>
    <row r="76" spans="1:54" s="12" customFormat="1" x14ac:dyDescent="0.2">
      <c r="B76" s="13">
        <v>42199</v>
      </c>
      <c r="D76" s="12">
        <v>1055</v>
      </c>
      <c r="F76" s="12">
        <v>67</v>
      </c>
      <c r="G76" s="12">
        <v>4</v>
      </c>
      <c r="H76" s="4">
        <v>109</v>
      </c>
      <c r="I76" s="4">
        <v>102</v>
      </c>
      <c r="J76" s="12">
        <v>106</v>
      </c>
      <c r="K76" s="5">
        <v>127</v>
      </c>
      <c r="L76" s="12">
        <v>118</v>
      </c>
      <c r="M76" s="12">
        <v>29.35</v>
      </c>
      <c r="N76" s="12">
        <v>38</v>
      </c>
      <c r="O76" s="12">
        <v>30</v>
      </c>
      <c r="P76" s="12">
        <v>28</v>
      </c>
      <c r="Q76" s="12" t="s">
        <v>243</v>
      </c>
      <c r="R76" s="30" t="s">
        <v>338</v>
      </c>
      <c r="S76" s="14" t="s">
        <v>264</v>
      </c>
      <c r="T76" s="12">
        <v>91</v>
      </c>
      <c r="U76" s="12">
        <v>133</v>
      </c>
      <c r="V76" s="12">
        <f t="shared" si="0"/>
        <v>42</v>
      </c>
      <c r="W76" s="12">
        <v>510</v>
      </c>
      <c r="Y76" s="12">
        <v>6</v>
      </c>
      <c r="Z76" s="12">
        <v>99</v>
      </c>
      <c r="AA76" s="12">
        <v>65</v>
      </c>
      <c r="AB76" s="12">
        <f t="shared" si="1"/>
        <v>22</v>
      </c>
      <c r="AC76" s="12">
        <v>87</v>
      </c>
      <c r="AE76" s="12">
        <v>5.2</v>
      </c>
      <c r="AF76" s="12" t="s">
        <v>114</v>
      </c>
      <c r="AG76" s="12">
        <v>32</v>
      </c>
      <c r="AH76" s="12">
        <v>32</v>
      </c>
      <c r="AI76" s="12">
        <v>0.4</v>
      </c>
      <c r="AJ76" s="12">
        <v>1.7</v>
      </c>
      <c r="AK76" s="12">
        <v>43</v>
      </c>
      <c r="AL76" s="12">
        <v>35</v>
      </c>
      <c r="AM76" s="12">
        <v>1</v>
      </c>
      <c r="AP76" s="24">
        <v>4</v>
      </c>
      <c r="AQ76" s="12">
        <v>271</v>
      </c>
      <c r="AR76" s="12">
        <v>3038</v>
      </c>
      <c r="AS76" s="12">
        <v>103</v>
      </c>
      <c r="AT76" s="26">
        <v>219</v>
      </c>
      <c r="AU76" s="26"/>
      <c r="AV76" s="12">
        <v>1.73</v>
      </c>
      <c r="AW76" s="12">
        <v>0.78</v>
      </c>
      <c r="AX76" s="12" t="s">
        <v>290</v>
      </c>
      <c r="AY76" s="7">
        <v>33.200000000000003</v>
      </c>
      <c r="AZ76" s="12">
        <v>82.2</v>
      </c>
      <c r="BA76" s="12">
        <v>33.200000000000003</v>
      </c>
      <c r="BB76" s="12">
        <v>0.48</v>
      </c>
    </row>
    <row r="77" spans="1:54" s="32" customFormat="1" x14ac:dyDescent="0.2">
      <c r="B77" s="13">
        <v>42345</v>
      </c>
      <c r="D77" s="32">
        <v>1055</v>
      </c>
      <c r="E77">
        <v>1948</v>
      </c>
      <c r="F77"/>
      <c r="G77" s="34">
        <v>4</v>
      </c>
      <c r="H77" s="31">
        <v>111</v>
      </c>
      <c r="I77" s="31">
        <v>111</v>
      </c>
      <c r="J77" s="31">
        <v>99</v>
      </c>
      <c r="K77" s="31">
        <v>54</v>
      </c>
      <c r="L77" s="31">
        <v>117</v>
      </c>
      <c r="M77" s="32">
        <v>32.33</v>
      </c>
      <c r="N77" s="32">
        <v>34</v>
      </c>
      <c r="O77" s="32">
        <v>29</v>
      </c>
      <c r="P77" s="32">
        <v>22</v>
      </c>
      <c r="Q77" s="32" t="s">
        <v>316</v>
      </c>
      <c r="R77" s="32" t="s">
        <v>317</v>
      </c>
      <c r="S77" s="32" t="s">
        <v>318</v>
      </c>
      <c r="T77" s="32">
        <v>88</v>
      </c>
      <c r="U77" s="32">
        <v>127</v>
      </c>
      <c r="V77" s="32">
        <f t="shared" si="0"/>
        <v>39</v>
      </c>
      <c r="W77" s="32">
        <v>595</v>
      </c>
      <c r="Y77" s="32">
        <v>5</v>
      </c>
      <c r="Z77" s="32">
        <v>98</v>
      </c>
      <c r="AA77" s="32">
        <v>70</v>
      </c>
      <c r="AB77" s="32">
        <f t="shared" si="1"/>
        <v>9</v>
      </c>
      <c r="AC77" s="32">
        <v>79</v>
      </c>
      <c r="AE77" s="32">
        <v>4.3</v>
      </c>
      <c r="AF77" s="32" t="s">
        <v>114</v>
      </c>
      <c r="AG77" s="32">
        <v>44</v>
      </c>
      <c r="AH77" s="32">
        <v>44</v>
      </c>
      <c r="AI77" s="32">
        <v>0.3</v>
      </c>
      <c r="AJ77" s="32" t="s">
        <v>115</v>
      </c>
      <c r="AK77" s="32">
        <v>39</v>
      </c>
      <c r="AL77" s="32">
        <v>17</v>
      </c>
      <c r="AM77" s="32" t="s">
        <v>298</v>
      </c>
      <c r="AP77" s="32">
        <v>4.5999999999999996</v>
      </c>
      <c r="AQ77" s="32">
        <v>196</v>
      </c>
      <c r="AR77" s="32">
        <v>1322</v>
      </c>
      <c r="AS77" s="32">
        <v>113</v>
      </c>
      <c r="AT77" s="30">
        <v>29</v>
      </c>
      <c r="AU77" s="30">
        <v>0.3</v>
      </c>
      <c r="AV77" s="32">
        <v>2.69</v>
      </c>
      <c r="AW77" s="32">
        <v>1.05</v>
      </c>
      <c r="AX77" s="32" t="s">
        <v>342</v>
      </c>
      <c r="AY77" s="7">
        <v>37.6</v>
      </c>
      <c r="AZ77" s="32">
        <v>66</v>
      </c>
      <c r="BA77" s="32">
        <v>34</v>
      </c>
      <c r="BB77" s="32">
        <v>0.65</v>
      </c>
    </row>
    <row r="78" spans="1:54" s="35" customFormat="1" x14ac:dyDescent="0.2">
      <c r="A78" s="35" t="s">
        <v>322</v>
      </c>
      <c r="B78" s="36">
        <v>42198</v>
      </c>
      <c r="D78" s="35">
        <v>1056</v>
      </c>
      <c r="F78" s="35">
        <v>72</v>
      </c>
      <c r="G78" s="35">
        <v>11</v>
      </c>
      <c r="H78" s="35">
        <v>85</v>
      </c>
      <c r="I78" s="35">
        <v>88</v>
      </c>
      <c r="J78" s="35">
        <v>97</v>
      </c>
      <c r="K78" s="35">
        <v>69</v>
      </c>
      <c r="L78" s="35">
        <v>121</v>
      </c>
      <c r="M78" s="35">
        <v>23.99</v>
      </c>
      <c r="N78" s="35">
        <v>28</v>
      </c>
      <c r="O78" s="35">
        <v>39</v>
      </c>
      <c r="P78" s="35">
        <v>9</v>
      </c>
      <c r="Q78" s="35" t="s">
        <v>244</v>
      </c>
      <c r="R78" s="35" t="s">
        <v>245</v>
      </c>
      <c r="S78" s="35" t="s">
        <v>265</v>
      </c>
      <c r="T78" s="35">
        <v>96</v>
      </c>
      <c r="U78" s="35">
        <v>186</v>
      </c>
      <c r="V78" s="35">
        <f t="shared" si="0"/>
        <v>90</v>
      </c>
      <c r="W78" s="35">
        <v>553</v>
      </c>
      <c r="Y78" s="35">
        <v>6</v>
      </c>
      <c r="Z78" s="35">
        <v>99</v>
      </c>
      <c r="AA78" s="35">
        <v>69</v>
      </c>
      <c r="AB78" s="35">
        <f t="shared" si="1"/>
        <v>47</v>
      </c>
      <c r="AC78" s="35">
        <v>116</v>
      </c>
      <c r="AE78" s="35">
        <v>5.7</v>
      </c>
      <c r="AF78" s="35" t="s">
        <v>114</v>
      </c>
      <c r="AG78" s="35">
        <v>29</v>
      </c>
      <c r="AH78" s="35">
        <v>29</v>
      </c>
      <c r="AI78" s="35">
        <v>0.4</v>
      </c>
      <c r="AJ78" s="35">
        <v>2.2000000000000002</v>
      </c>
      <c r="AK78" s="35">
        <v>45</v>
      </c>
      <c r="AL78" s="35">
        <v>29</v>
      </c>
      <c r="AM78" s="35">
        <v>1.8</v>
      </c>
      <c r="AP78" s="35">
        <v>5.4</v>
      </c>
      <c r="AQ78" s="35">
        <v>196.43</v>
      </c>
      <c r="AR78" s="35">
        <v>225143</v>
      </c>
      <c r="AS78" s="35">
        <v>73.569999999999993</v>
      </c>
      <c r="AT78" s="35">
        <v>18.57</v>
      </c>
      <c r="AV78" s="35">
        <v>0.21</v>
      </c>
      <c r="AW78" s="35">
        <v>1.4</v>
      </c>
      <c r="AX78" s="35" t="s">
        <v>301</v>
      </c>
      <c r="AY78" s="37">
        <v>22.6</v>
      </c>
      <c r="AZ78" s="35">
        <v>104.9</v>
      </c>
      <c r="BA78" s="35">
        <v>32.5</v>
      </c>
      <c r="BB78" s="35">
        <v>0.78</v>
      </c>
    </row>
    <row r="79" spans="1:54" s="35" customFormat="1" x14ac:dyDescent="0.2">
      <c r="A79" s="35" t="s">
        <v>322</v>
      </c>
      <c r="B79" s="36">
        <v>42345</v>
      </c>
      <c r="D79" s="35">
        <v>1056</v>
      </c>
      <c r="E79" s="38">
        <v>15615</v>
      </c>
      <c r="F79" s="35">
        <v>73</v>
      </c>
      <c r="G79" s="35">
        <v>7</v>
      </c>
      <c r="H79" s="35">
        <v>84</v>
      </c>
      <c r="I79" s="35">
        <v>87</v>
      </c>
      <c r="J79" s="35">
        <v>96</v>
      </c>
      <c r="K79" s="35">
        <v>67</v>
      </c>
      <c r="L79" s="35">
        <v>116</v>
      </c>
      <c r="M79" s="35">
        <v>24.07</v>
      </c>
      <c r="N79" s="35">
        <v>33</v>
      </c>
      <c r="O79" s="35">
        <v>32</v>
      </c>
      <c r="P79" s="35">
        <v>9</v>
      </c>
      <c r="Q79" s="35" t="s">
        <v>319</v>
      </c>
      <c r="R79" s="35" t="s">
        <v>320</v>
      </c>
      <c r="S79" s="35" t="s">
        <v>321</v>
      </c>
      <c r="T79" s="35">
        <v>88</v>
      </c>
      <c r="U79" s="35">
        <v>152</v>
      </c>
      <c r="V79" s="35">
        <f t="shared" si="0"/>
        <v>64</v>
      </c>
      <c r="W79" s="35">
        <v>555</v>
      </c>
      <c r="Y79" s="35">
        <v>8</v>
      </c>
      <c r="Z79" s="35">
        <v>98</v>
      </c>
      <c r="AA79" s="35">
        <v>82</v>
      </c>
      <c r="AB79" s="35">
        <f t="shared" si="1"/>
        <v>32</v>
      </c>
      <c r="AC79" s="35">
        <v>114</v>
      </c>
      <c r="AE79" s="35">
        <v>5.5</v>
      </c>
      <c r="AF79" s="35" t="s">
        <v>114</v>
      </c>
      <c r="AG79" s="35">
        <v>51</v>
      </c>
      <c r="AH79" s="35">
        <v>51</v>
      </c>
      <c r="AI79" s="35">
        <v>0.4</v>
      </c>
      <c r="AJ79" s="35">
        <v>2.4</v>
      </c>
      <c r="AK79" s="35">
        <v>55</v>
      </c>
      <c r="AL79" s="35">
        <v>40</v>
      </c>
      <c r="AM79" s="35">
        <v>3</v>
      </c>
      <c r="AP79" s="35">
        <v>8</v>
      </c>
      <c r="AQ79" s="35">
        <v>219</v>
      </c>
      <c r="AR79" s="35">
        <v>2310</v>
      </c>
      <c r="AS79" s="35">
        <v>150</v>
      </c>
      <c r="AT79" s="35">
        <v>22</v>
      </c>
      <c r="AU79" s="35">
        <v>0.78</v>
      </c>
      <c r="AV79" s="35">
        <v>0.38</v>
      </c>
      <c r="AW79" s="35">
        <v>0.8</v>
      </c>
      <c r="AX79" s="35" t="s">
        <v>343</v>
      </c>
      <c r="AY79" s="37">
        <v>53.1</v>
      </c>
      <c r="AZ79" s="35">
        <v>185.3</v>
      </c>
      <c r="BA79" s="26">
        <v>61.7</v>
      </c>
      <c r="BB79" s="35">
        <v>0.46</v>
      </c>
    </row>
    <row r="80" spans="1:54" s="33" customFormat="1" x14ac:dyDescent="0.2">
      <c r="B80" s="44">
        <v>42262</v>
      </c>
      <c r="D80" s="33">
        <v>1057</v>
      </c>
      <c r="G80" s="33">
        <v>10</v>
      </c>
      <c r="H80" s="33">
        <v>99</v>
      </c>
      <c r="I80" s="33">
        <v>108</v>
      </c>
      <c r="J80" s="33">
        <v>92</v>
      </c>
      <c r="K80" s="33">
        <v>74</v>
      </c>
      <c r="L80" s="33">
        <v>87</v>
      </c>
      <c r="M80" s="33">
        <v>31.05</v>
      </c>
      <c r="N80" s="33">
        <v>22</v>
      </c>
      <c r="O80" s="33">
        <v>32</v>
      </c>
      <c r="P80" s="33">
        <v>17</v>
      </c>
      <c r="Q80" s="33" t="s">
        <v>246</v>
      </c>
      <c r="R80" s="33" t="s">
        <v>247</v>
      </c>
      <c r="S80" s="33" t="s">
        <v>266</v>
      </c>
      <c r="T80" s="33">
        <v>84</v>
      </c>
      <c r="U80" s="33">
        <v>128</v>
      </c>
      <c r="V80" s="33">
        <f t="shared" si="0"/>
        <v>44</v>
      </c>
      <c r="W80" s="33">
        <v>472</v>
      </c>
      <c r="Y80" s="33">
        <v>1</v>
      </c>
      <c r="Z80" s="33">
        <v>97</v>
      </c>
      <c r="AA80" s="33">
        <v>85</v>
      </c>
      <c r="AB80" s="33">
        <f t="shared" si="1"/>
        <v>19</v>
      </c>
      <c r="AC80" s="33">
        <v>104</v>
      </c>
      <c r="AE80" s="33">
        <v>5.5</v>
      </c>
      <c r="AF80" s="33" t="s">
        <v>114</v>
      </c>
      <c r="AG80" s="33">
        <v>51</v>
      </c>
      <c r="AH80" s="33">
        <v>51</v>
      </c>
      <c r="AI80" s="33">
        <v>0.9</v>
      </c>
      <c r="AJ80" s="33">
        <v>2.2999999999999998</v>
      </c>
      <c r="AK80" s="33">
        <v>53</v>
      </c>
      <c r="AL80" s="33">
        <v>97</v>
      </c>
      <c r="AM80" s="33">
        <v>1.9</v>
      </c>
      <c r="AP80" s="33">
        <v>10.5</v>
      </c>
      <c r="AQ80" s="33">
        <v>298</v>
      </c>
      <c r="AR80" s="33">
        <v>2377</v>
      </c>
      <c r="AS80" s="33">
        <v>100</v>
      </c>
      <c r="AT80" s="33">
        <v>106</v>
      </c>
      <c r="AV80" s="33">
        <v>0.6</v>
      </c>
      <c r="AW80" s="33">
        <v>0.52</v>
      </c>
      <c r="AX80" s="33" t="s">
        <v>291</v>
      </c>
      <c r="AY80" s="45">
        <v>43.5</v>
      </c>
      <c r="AZ80" s="33">
        <v>137.5</v>
      </c>
      <c r="BA80" s="33">
        <v>37.4</v>
      </c>
      <c r="BB80" s="33">
        <v>0.62</v>
      </c>
    </row>
    <row r="81" spans="1:54" s="33" customFormat="1" x14ac:dyDescent="0.2">
      <c r="B81" s="44">
        <v>42405</v>
      </c>
      <c r="D81" s="33">
        <v>1057</v>
      </c>
      <c r="F81" s="33">
        <v>68</v>
      </c>
      <c r="G81" s="33">
        <v>8</v>
      </c>
      <c r="H81" s="33">
        <v>102</v>
      </c>
      <c r="I81" s="33">
        <v>108</v>
      </c>
      <c r="J81" s="33">
        <v>94</v>
      </c>
      <c r="K81" s="33">
        <v>91</v>
      </c>
      <c r="L81" s="33">
        <v>85</v>
      </c>
      <c r="M81" s="33">
        <v>31.2</v>
      </c>
      <c r="N81" s="33">
        <v>26</v>
      </c>
      <c r="O81" s="33">
        <v>33</v>
      </c>
      <c r="P81" s="33">
        <v>17</v>
      </c>
      <c r="Q81" s="33" t="s">
        <v>222</v>
      </c>
      <c r="R81" s="33" t="s">
        <v>368</v>
      </c>
      <c r="S81" s="33" t="s">
        <v>369</v>
      </c>
      <c r="T81" s="33">
        <v>83</v>
      </c>
      <c r="U81" s="33">
        <v>126</v>
      </c>
      <c r="V81" s="33">
        <v>43</v>
      </c>
      <c r="W81" s="33">
        <v>541</v>
      </c>
      <c r="Y81" s="33">
        <v>3</v>
      </c>
      <c r="Z81" s="33">
        <v>98</v>
      </c>
      <c r="AA81" s="33">
        <v>72</v>
      </c>
      <c r="AC81" s="33">
        <v>87</v>
      </c>
      <c r="AE81" s="33">
        <v>5.2</v>
      </c>
      <c r="AF81" s="33" t="s">
        <v>114</v>
      </c>
      <c r="AG81" s="33">
        <v>48</v>
      </c>
      <c r="AH81" s="33">
        <v>48</v>
      </c>
      <c r="AI81" s="33">
        <v>0.3</v>
      </c>
      <c r="AJ81" s="33" t="s">
        <v>299</v>
      </c>
      <c r="AK81" s="33">
        <v>6</v>
      </c>
      <c r="AL81" s="33">
        <v>24</v>
      </c>
      <c r="AM81" s="33">
        <v>1.5</v>
      </c>
      <c r="AP81" s="33">
        <v>6.1</v>
      </c>
      <c r="AQ81" s="33">
        <v>270</v>
      </c>
      <c r="AR81" s="33">
        <v>1338</v>
      </c>
      <c r="AS81" s="33">
        <v>103</v>
      </c>
      <c r="AT81" s="33">
        <v>5</v>
      </c>
      <c r="AU81" s="33">
        <v>0.87</v>
      </c>
      <c r="AV81" s="33">
        <v>0.73</v>
      </c>
      <c r="AW81" s="33">
        <v>0.85</v>
      </c>
      <c r="AY81" s="45"/>
    </row>
    <row r="82" spans="1:54" s="16" customFormat="1" x14ac:dyDescent="0.2">
      <c r="B82" s="15">
        <v>42226</v>
      </c>
      <c r="D82" s="16">
        <v>1058</v>
      </c>
      <c r="E82" s="18">
        <v>15615</v>
      </c>
      <c r="F82" s="16">
        <v>72</v>
      </c>
      <c r="G82" s="16">
        <v>9</v>
      </c>
      <c r="H82" s="16">
        <v>73</v>
      </c>
      <c r="I82" s="16">
        <v>81</v>
      </c>
      <c r="J82" s="16">
        <v>89</v>
      </c>
      <c r="K82" s="16">
        <v>49</v>
      </c>
      <c r="L82" s="16">
        <v>94</v>
      </c>
      <c r="M82" s="16">
        <v>20.45</v>
      </c>
      <c r="N82" s="16">
        <v>32</v>
      </c>
      <c r="O82" s="16">
        <v>44</v>
      </c>
      <c r="P82" s="16">
        <v>16</v>
      </c>
      <c r="Q82" s="16" t="s">
        <v>248</v>
      </c>
      <c r="R82" s="16" t="s">
        <v>60</v>
      </c>
      <c r="S82" s="16" t="s">
        <v>249</v>
      </c>
      <c r="T82" s="16">
        <v>85</v>
      </c>
      <c r="U82" s="16">
        <v>116</v>
      </c>
      <c r="V82" s="16">
        <f t="shared" si="0"/>
        <v>31</v>
      </c>
      <c r="W82" s="16">
        <v>652</v>
      </c>
      <c r="Y82" s="16">
        <v>5</v>
      </c>
      <c r="Z82" s="16" t="s">
        <v>60</v>
      </c>
      <c r="AA82" s="16">
        <v>79</v>
      </c>
      <c r="AB82" s="16">
        <f t="shared" si="1"/>
        <v>12</v>
      </c>
      <c r="AC82" s="16">
        <v>91</v>
      </c>
      <c r="AE82" s="16">
        <v>5</v>
      </c>
      <c r="AF82" s="16">
        <v>5</v>
      </c>
      <c r="AG82" s="16">
        <v>28</v>
      </c>
      <c r="AH82" s="16">
        <v>33</v>
      </c>
      <c r="AI82" s="16">
        <v>0.2</v>
      </c>
      <c r="AJ82" s="16" t="s">
        <v>299</v>
      </c>
      <c r="AK82" s="16">
        <v>26</v>
      </c>
      <c r="AL82" s="16">
        <v>8</v>
      </c>
      <c r="AM82" s="16" t="s">
        <v>282</v>
      </c>
      <c r="AP82" s="16">
        <v>5.6</v>
      </c>
      <c r="AQ82" s="16">
        <v>235</v>
      </c>
      <c r="AR82" s="16">
        <v>2221</v>
      </c>
      <c r="AS82" s="16">
        <v>59</v>
      </c>
      <c r="AT82" s="16">
        <v>12</v>
      </c>
      <c r="AV82" s="16">
        <v>0.28999999999999998</v>
      </c>
      <c r="AW82" s="16">
        <v>0.34</v>
      </c>
      <c r="AX82" s="16" t="s">
        <v>292</v>
      </c>
      <c r="AY82" s="19">
        <v>81</v>
      </c>
      <c r="AZ82" s="16">
        <v>399.3</v>
      </c>
      <c r="BA82" s="16">
        <v>13.9</v>
      </c>
      <c r="BB82" s="16">
        <v>0.17</v>
      </c>
    </row>
    <row r="83" spans="1:54" s="16" customFormat="1" x14ac:dyDescent="0.2">
      <c r="B83" s="15">
        <v>42394</v>
      </c>
      <c r="D83" s="16">
        <v>1058</v>
      </c>
      <c r="E83" s="18"/>
      <c r="F83" s="16">
        <v>73</v>
      </c>
      <c r="G83" s="16">
        <v>4</v>
      </c>
      <c r="H83" s="16">
        <v>70</v>
      </c>
      <c r="I83" s="16">
        <v>82</v>
      </c>
      <c r="J83" s="16">
        <v>86</v>
      </c>
      <c r="K83" s="16">
        <v>39</v>
      </c>
      <c r="L83" s="16">
        <v>117</v>
      </c>
      <c r="M83" s="16">
        <v>25.32</v>
      </c>
      <c r="N83" s="16">
        <v>27</v>
      </c>
      <c r="O83" s="16">
        <v>34</v>
      </c>
      <c r="P83" s="16">
        <v>13</v>
      </c>
      <c r="Q83" s="16" t="s">
        <v>353</v>
      </c>
      <c r="R83" s="16" t="s">
        <v>354</v>
      </c>
      <c r="S83" s="16" t="s">
        <v>355</v>
      </c>
      <c r="T83" s="16">
        <v>89</v>
      </c>
      <c r="U83" s="16">
        <v>129</v>
      </c>
      <c r="V83" s="16">
        <f t="shared" si="0"/>
        <v>40</v>
      </c>
      <c r="W83" s="16">
        <v>665</v>
      </c>
      <c r="Y83" s="16">
        <v>5</v>
      </c>
      <c r="Z83" s="16">
        <v>98</v>
      </c>
      <c r="AA83" s="16">
        <v>59</v>
      </c>
      <c r="AB83" s="16">
        <f t="shared" si="1"/>
        <v>57</v>
      </c>
      <c r="AC83" s="16">
        <v>116</v>
      </c>
      <c r="AE83" s="16">
        <v>4.5</v>
      </c>
      <c r="AF83" s="16" t="s">
        <v>114</v>
      </c>
      <c r="AG83" s="16">
        <v>22</v>
      </c>
      <c r="AH83" s="16">
        <v>22</v>
      </c>
      <c r="AI83" s="16">
        <v>0.2</v>
      </c>
      <c r="AJ83" s="16">
        <v>0.5</v>
      </c>
      <c r="AK83" s="16">
        <v>13</v>
      </c>
      <c r="AL83" s="16">
        <v>8</v>
      </c>
      <c r="AM83" s="16" t="s">
        <v>282</v>
      </c>
      <c r="AP83" s="16">
        <v>2.8</v>
      </c>
      <c r="AQ83" s="16">
        <v>299</v>
      </c>
      <c r="AR83" s="16">
        <v>2359</v>
      </c>
      <c r="AS83" s="16">
        <v>74</v>
      </c>
      <c r="AT83" s="16">
        <v>23</v>
      </c>
      <c r="AU83" s="16">
        <v>1.35</v>
      </c>
      <c r="AV83" s="16">
        <v>0.46</v>
      </c>
      <c r="AW83" s="16">
        <v>0.19</v>
      </c>
      <c r="AY83" s="19"/>
    </row>
    <row r="84" spans="1:54" s="14" customFormat="1" x14ac:dyDescent="0.2">
      <c r="B84" s="13">
        <v>42227</v>
      </c>
      <c r="D84" s="14">
        <v>1059</v>
      </c>
      <c r="F84" s="14">
        <v>74</v>
      </c>
      <c r="G84" s="14">
        <v>12</v>
      </c>
      <c r="H84" s="4">
        <v>101</v>
      </c>
      <c r="I84" s="4">
        <v>101</v>
      </c>
      <c r="J84" s="14">
        <v>100</v>
      </c>
      <c r="K84" s="5">
        <v>103</v>
      </c>
      <c r="L84" s="14">
        <v>100</v>
      </c>
      <c r="M84" s="14">
        <v>16.12</v>
      </c>
      <c r="N84" s="14">
        <v>42</v>
      </c>
      <c r="O84" s="14">
        <v>53</v>
      </c>
      <c r="P84" s="14">
        <v>21</v>
      </c>
      <c r="Q84" s="14" t="s">
        <v>250</v>
      </c>
      <c r="R84" s="14" t="s">
        <v>251</v>
      </c>
      <c r="S84" s="14" t="s">
        <v>267</v>
      </c>
      <c r="T84" s="14">
        <v>87</v>
      </c>
      <c r="U84" s="14">
        <v>166</v>
      </c>
      <c r="V84" s="14">
        <f t="shared" si="0"/>
        <v>79</v>
      </c>
      <c r="W84" s="14">
        <v>419</v>
      </c>
      <c r="Y84" s="14">
        <v>2</v>
      </c>
      <c r="Z84" s="14">
        <v>98</v>
      </c>
      <c r="AA84" s="14">
        <v>64</v>
      </c>
      <c r="AB84" s="14">
        <f t="shared" si="1"/>
        <v>10</v>
      </c>
      <c r="AC84" s="14">
        <v>74</v>
      </c>
      <c r="AE84" s="14">
        <v>4.9000000000000004</v>
      </c>
      <c r="AF84" s="14" t="s">
        <v>114</v>
      </c>
      <c r="AG84" s="14">
        <v>43</v>
      </c>
      <c r="AH84" s="14">
        <v>43</v>
      </c>
      <c r="AI84" s="14">
        <v>1.6</v>
      </c>
      <c r="AJ84" s="14" t="s">
        <v>300</v>
      </c>
      <c r="AK84" s="14">
        <v>45</v>
      </c>
      <c r="AL84" s="28">
        <v>128</v>
      </c>
      <c r="AM84" s="14">
        <v>1</v>
      </c>
      <c r="AP84" s="24">
        <v>6.4</v>
      </c>
      <c r="AQ84" s="14">
        <v>151</v>
      </c>
      <c r="AR84" s="14">
        <v>2659</v>
      </c>
      <c r="AS84" s="14">
        <v>59</v>
      </c>
      <c r="AT84" s="14">
        <v>98</v>
      </c>
      <c r="AU84" s="41"/>
      <c r="AV84" s="14">
        <v>0.78</v>
      </c>
      <c r="AW84" s="14">
        <v>0.41</v>
      </c>
      <c r="AX84" s="14" t="s">
        <v>293</v>
      </c>
      <c r="AY84" s="7">
        <v>73.400000000000006</v>
      </c>
      <c r="AZ84" s="14">
        <v>222</v>
      </c>
      <c r="BA84" s="14">
        <v>1483</v>
      </c>
      <c r="BB84" s="14">
        <v>0.76</v>
      </c>
    </row>
    <row r="85" spans="1:54" s="16" customFormat="1" x14ac:dyDescent="0.2">
      <c r="B85" s="15">
        <v>42227</v>
      </c>
      <c r="D85" s="16">
        <v>1060</v>
      </c>
      <c r="F85" s="16">
        <v>66</v>
      </c>
      <c r="G85" s="16">
        <v>9</v>
      </c>
      <c r="H85" s="16">
        <v>74</v>
      </c>
      <c r="I85" s="16">
        <v>71</v>
      </c>
      <c r="J85" s="16">
        <v>104</v>
      </c>
      <c r="K85" s="16">
        <v>85</v>
      </c>
      <c r="L85" s="16">
        <v>70</v>
      </c>
      <c r="M85" s="16">
        <v>32.15</v>
      </c>
      <c r="N85" s="16">
        <v>28</v>
      </c>
      <c r="O85" s="16">
        <v>32</v>
      </c>
      <c r="P85" s="16">
        <v>10</v>
      </c>
      <c r="Q85" s="16" t="s">
        <v>229</v>
      </c>
      <c r="R85" s="16" t="s">
        <v>252</v>
      </c>
      <c r="S85" s="16" t="s">
        <v>268</v>
      </c>
      <c r="T85" s="16">
        <v>70</v>
      </c>
      <c r="U85" s="16">
        <v>121</v>
      </c>
      <c r="V85" s="16">
        <f t="shared" si="0"/>
        <v>51</v>
      </c>
      <c r="W85" s="16">
        <v>489</v>
      </c>
      <c r="Y85" s="16">
        <v>2</v>
      </c>
      <c r="Z85" s="16">
        <v>98</v>
      </c>
      <c r="AA85" s="16">
        <v>57</v>
      </c>
      <c r="AB85" s="16">
        <f t="shared" si="1"/>
        <v>7</v>
      </c>
      <c r="AC85" s="16">
        <v>64</v>
      </c>
      <c r="AE85" s="16">
        <v>5.4</v>
      </c>
      <c r="AF85" s="16" t="s">
        <v>114</v>
      </c>
      <c r="AG85" s="16">
        <v>60</v>
      </c>
      <c r="AH85" s="16">
        <v>60</v>
      </c>
      <c r="AI85" s="16">
        <v>0.4</v>
      </c>
      <c r="AJ85" s="16" t="s">
        <v>115</v>
      </c>
      <c r="AK85" s="16">
        <v>25</v>
      </c>
      <c r="AL85" s="16">
        <v>21</v>
      </c>
      <c r="AM85" s="16">
        <v>1.1000000000000001</v>
      </c>
      <c r="AP85" s="16">
        <v>5.5</v>
      </c>
      <c r="AQ85" s="16">
        <v>440</v>
      </c>
      <c r="AR85" s="16">
        <v>1370</v>
      </c>
      <c r="AS85" s="16">
        <v>70</v>
      </c>
      <c r="AT85" s="16">
        <v>47</v>
      </c>
      <c r="AV85" s="16">
        <v>0.93</v>
      </c>
      <c r="AW85" s="16">
        <v>0.3</v>
      </c>
      <c r="AX85" s="16" t="s">
        <v>294</v>
      </c>
      <c r="AY85" s="19">
        <v>43.8</v>
      </c>
      <c r="AZ85" s="16">
        <v>200.5</v>
      </c>
      <c r="BA85" s="16">
        <v>18.7</v>
      </c>
      <c r="BB85" s="16">
        <v>0.52</v>
      </c>
    </row>
    <row r="86" spans="1:54" s="16" customFormat="1" x14ac:dyDescent="0.2">
      <c r="B86" s="15">
        <v>42394</v>
      </c>
      <c r="D86" s="16">
        <v>1060</v>
      </c>
      <c r="F86" s="16">
        <v>66</v>
      </c>
      <c r="G86" s="16">
        <v>2</v>
      </c>
      <c r="H86" s="16">
        <v>69</v>
      </c>
      <c r="I86" s="16">
        <v>61</v>
      </c>
      <c r="J86" s="16">
        <v>113</v>
      </c>
      <c r="K86" s="16">
        <v>96</v>
      </c>
      <c r="L86" s="16">
        <v>68</v>
      </c>
      <c r="M86" s="16">
        <v>28.21</v>
      </c>
      <c r="N86" s="16">
        <v>24</v>
      </c>
      <c r="O86" s="16">
        <v>32</v>
      </c>
      <c r="P86" s="16">
        <v>4</v>
      </c>
      <c r="Q86" s="16" t="s">
        <v>356</v>
      </c>
      <c r="R86" s="16" t="s">
        <v>357</v>
      </c>
      <c r="S86" s="16" t="s">
        <v>358</v>
      </c>
      <c r="T86" s="16">
        <v>79</v>
      </c>
      <c r="U86" s="16">
        <v>118</v>
      </c>
      <c r="V86" s="16">
        <f t="shared" si="0"/>
        <v>39</v>
      </c>
      <c r="W86" s="16">
        <v>547</v>
      </c>
      <c r="Y86" s="16">
        <v>3</v>
      </c>
      <c r="Z86" s="16">
        <v>99</v>
      </c>
      <c r="AA86" s="16">
        <v>59</v>
      </c>
      <c r="AB86" s="16">
        <f t="shared" si="1"/>
        <v>11</v>
      </c>
      <c r="AC86" s="16">
        <v>70</v>
      </c>
      <c r="AE86" s="16">
        <v>4.8</v>
      </c>
      <c r="AF86" s="16" t="s">
        <v>114</v>
      </c>
      <c r="AG86" s="16">
        <v>60</v>
      </c>
      <c r="AH86" s="16">
        <v>60</v>
      </c>
      <c r="AI86" s="16">
        <v>0.3</v>
      </c>
      <c r="AJ86" s="16">
        <v>0.7</v>
      </c>
      <c r="AK86" s="16">
        <v>22</v>
      </c>
      <c r="AL86" s="16">
        <v>36</v>
      </c>
      <c r="AM86" s="16">
        <v>2.7</v>
      </c>
      <c r="AP86" s="16">
        <v>4.0999999999999996</v>
      </c>
      <c r="AQ86" s="16">
        <v>506</v>
      </c>
      <c r="AR86" s="16">
        <v>2171</v>
      </c>
      <c r="AS86" s="16">
        <v>115</v>
      </c>
      <c r="AT86" s="16">
        <v>20</v>
      </c>
      <c r="AU86" s="16">
        <v>1.56</v>
      </c>
      <c r="AV86" s="16">
        <v>0.76</v>
      </c>
      <c r="AW86" s="16">
        <v>0.2</v>
      </c>
      <c r="AY86" s="19"/>
    </row>
    <row r="87" spans="1:54" s="3" customFormat="1" x14ac:dyDescent="0.2">
      <c r="B87" s="27">
        <v>42241</v>
      </c>
      <c r="D87" s="3">
        <v>1061</v>
      </c>
      <c r="G87" s="3">
        <v>4</v>
      </c>
      <c r="H87" s="3">
        <v>97</v>
      </c>
      <c r="I87" s="3">
        <v>107</v>
      </c>
      <c r="J87" s="3">
        <v>91</v>
      </c>
      <c r="K87" s="3">
        <v>82</v>
      </c>
      <c r="L87" s="3">
        <v>87</v>
      </c>
      <c r="M87" s="3">
        <v>18.34</v>
      </c>
      <c r="N87" s="3">
        <v>44</v>
      </c>
      <c r="O87" s="3">
        <v>45</v>
      </c>
      <c r="P87" s="3">
        <v>11</v>
      </c>
      <c r="Q87" s="3" t="s">
        <v>253</v>
      </c>
      <c r="R87" s="3" t="s">
        <v>254</v>
      </c>
      <c r="S87" s="3" t="s">
        <v>261</v>
      </c>
      <c r="T87" s="3">
        <v>101</v>
      </c>
      <c r="U87" s="3">
        <v>171</v>
      </c>
      <c r="V87" s="3">
        <f t="shared" si="0"/>
        <v>70</v>
      </c>
      <c r="W87" s="3">
        <v>396</v>
      </c>
      <c r="Y87" s="3">
        <v>4</v>
      </c>
      <c r="Z87" s="3">
        <v>99</v>
      </c>
      <c r="AA87" s="3">
        <v>85</v>
      </c>
      <c r="AB87" s="3">
        <f t="shared" si="1"/>
        <v>27</v>
      </c>
      <c r="AC87" s="3">
        <v>112</v>
      </c>
      <c r="AE87" s="3">
        <v>3.5</v>
      </c>
      <c r="AF87" s="3" t="s">
        <v>114</v>
      </c>
      <c r="AG87" s="3">
        <v>58</v>
      </c>
      <c r="AH87" s="3">
        <v>58</v>
      </c>
      <c r="AI87" s="3">
        <v>2.5</v>
      </c>
      <c r="AJ87" s="3">
        <v>0.8</v>
      </c>
      <c r="AK87" s="3">
        <v>40</v>
      </c>
      <c r="AL87" s="3">
        <v>43</v>
      </c>
      <c r="AM87" s="3">
        <v>4.9000000000000004</v>
      </c>
      <c r="AP87" s="3">
        <v>7.8</v>
      </c>
      <c r="AQ87" s="3">
        <v>273</v>
      </c>
      <c r="AR87" s="3">
        <v>2146</v>
      </c>
      <c r="AS87" s="3">
        <v>93</v>
      </c>
      <c r="AT87" s="3">
        <v>49</v>
      </c>
      <c r="AV87" s="3">
        <v>0.28999999999999998</v>
      </c>
      <c r="AW87" s="3">
        <v>0.84</v>
      </c>
      <c r="AX87" s="3" t="s">
        <v>295</v>
      </c>
      <c r="AY87" s="39">
        <v>15.4</v>
      </c>
      <c r="AZ87" s="3">
        <v>188.1</v>
      </c>
      <c r="BA87" s="3">
        <v>1.6</v>
      </c>
      <c r="BB87" s="3">
        <v>0.87</v>
      </c>
    </row>
    <row r="88" spans="1:54" s="3" customFormat="1" x14ac:dyDescent="0.2">
      <c r="B88" s="27">
        <v>42352</v>
      </c>
      <c r="D88" s="3">
        <v>1061</v>
      </c>
      <c r="G88" s="3">
        <v>3</v>
      </c>
      <c r="H88" s="3">
        <v>95</v>
      </c>
      <c r="I88" s="3">
        <v>107</v>
      </c>
      <c r="J88" s="3">
        <v>89</v>
      </c>
      <c r="K88" s="3">
        <v>75</v>
      </c>
      <c r="L88" s="3">
        <v>83</v>
      </c>
      <c r="M88" s="3">
        <v>22.69</v>
      </c>
      <c r="N88" s="3">
        <v>27</v>
      </c>
      <c r="O88" s="3">
        <v>26</v>
      </c>
      <c r="P88" s="3">
        <v>9</v>
      </c>
      <c r="Q88" s="3" t="s">
        <v>323</v>
      </c>
      <c r="R88" s="3" t="s">
        <v>326</v>
      </c>
      <c r="S88" s="3" t="s">
        <v>327</v>
      </c>
      <c r="T88" s="3">
        <v>77</v>
      </c>
      <c r="U88" s="3">
        <v>128</v>
      </c>
      <c r="V88" s="3">
        <f t="shared" si="0"/>
        <v>51</v>
      </c>
      <c r="W88" s="3">
        <v>423.48</v>
      </c>
      <c r="Y88" s="3">
        <v>4</v>
      </c>
      <c r="Z88" s="3">
        <v>98</v>
      </c>
      <c r="AA88" s="3">
        <v>72</v>
      </c>
      <c r="AB88" s="3">
        <f t="shared" si="1"/>
        <v>22</v>
      </c>
      <c r="AC88" s="3">
        <v>94</v>
      </c>
      <c r="AE88" s="3">
        <v>4.7</v>
      </c>
      <c r="AF88" s="3" t="s">
        <v>114</v>
      </c>
      <c r="AG88" s="3">
        <v>46</v>
      </c>
      <c r="AH88" s="3">
        <v>46</v>
      </c>
      <c r="AI88" s="3">
        <v>4.3</v>
      </c>
      <c r="AJ88" s="3" t="s">
        <v>115</v>
      </c>
      <c r="AK88" s="3">
        <v>34</v>
      </c>
      <c r="AL88" s="3">
        <v>51</v>
      </c>
      <c r="AM88" s="3">
        <v>5.9</v>
      </c>
      <c r="AP88" s="3">
        <v>8.3000000000000007</v>
      </c>
      <c r="AQ88" s="3">
        <v>248</v>
      </c>
      <c r="AR88" s="3">
        <v>2786</v>
      </c>
      <c r="AS88" s="3">
        <v>114</v>
      </c>
      <c r="AT88" s="3">
        <v>55</v>
      </c>
      <c r="AU88" s="26">
        <v>1.83</v>
      </c>
      <c r="AV88" s="3">
        <v>0.57999999999999996</v>
      </c>
      <c r="AW88" s="3">
        <v>0.66</v>
      </c>
      <c r="AX88" s="3" t="s">
        <v>344</v>
      </c>
      <c r="AY88" s="39">
        <v>18.100000000000001</v>
      </c>
      <c r="AZ88" s="3">
        <v>112.7</v>
      </c>
      <c r="BA88" s="3">
        <v>1.5</v>
      </c>
      <c r="BB88" s="43">
        <v>1.05</v>
      </c>
    </row>
    <row r="89" spans="1:54" s="14" customFormat="1" x14ac:dyDescent="0.2">
      <c r="A89" s="14" t="s">
        <v>257</v>
      </c>
      <c r="B89" s="13">
        <v>42240</v>
      </c>
      <c r="D89" s="14">
        <v>1062</v>
      </c>
      <c r="F89" s="14">
        <v>66</v>
      </c>
      <c r="G89" s="14">
        <v>7</v>
      </c>
      <c r="H89" s="4">
        <v>88</v>
      </c>
      <c r="I89" s="4">
        <v>84</v>
      </c>
      <c r="J89" s="14">
        <v>103</v>
      </c>
      <c r="K89" s="5">
        <v>101</v>
      </c>
      <c r="L89" s="14">
        <v>93</v>
      </c>
      <c r="M89" s="14">
        <v>18.03</v>
      </c>
      <c r="N89" s="14">
        <v>29</v>
      </c>
      <c r="O89" s="14">
        <v>32</v>
      </c>
      <c r="P89" s="14">
        <v>20</v>
      </c>
      <c r="Q89" s="14" t="s">
        <v>255</v>
      </c>
      <c r="R89" s="14" t="s">
        <v>256</v>
      </c>
      <c r="T89" s="14">
        <v>85</v>
      </c>
      <c r="U89" s="14">
        <v>140</v>
      </c>
      <c r="V89" s="14">
        <f t="shared" si="0"/>
        <v>55</v>
      </c>
      <c r="W89" s="14">
        <v>416</v>
      </c>
      <c r="Y89" s="14">
        <v>5</v>
      </c>
      <c r="Z89" s="14">
        <v>93</v>
      </c>
      <c r="AA89" s="14">
        <v>82</v>
      </c>
      <c r="AB89" s="14">
        <f t="shared" ref="AB89:AB95" si="2">AC89-AA89</f>
        <v>35</v>
      </c>
      <c r="AC89" s="14">
        <v>117</v>
      </c>
      <c r="AE89" s="14">
        <v>5.7</v>
      </c>
      <c r="AF89" s="14" t="s">
        <v>114</v>
      </c>
      <c r="AG89" s="14">
        <v>45</v>
      </c>
      <c r="AH89" s="14">
        <v>45</v>
      </c>
      <c r="AI89" s="14">
        <v>0.1</v>
      </c>
      <c r="AJ89" s="14">
        <v>1</v>
      </c>
      <c r="AK89" s="14">
        <v>51</v>
      </c>
      <c r="AL89" s="14">
        <v>19</v>
      </c>
      <c r="AM89" s="14" t="s">
        <v>282</v>
      </c>
      <c r="AP89" s="24">
        <v>7.4</v>
      </c>
      <c r="AQ89" s="14">
        <v>181</v>
      </c>
      <c r="AR89" s="14">
        <v>2265</v>
      </c>
      <c r="AS89" s="14">
        <v>75</v>
      </c>
      <c r="AT89" s="14">
        <v>15</v>
      </c>
      <c r="AU89" s="41"/>
      <c r="AV89" s="14">
        <v>1.1499999999999999</v>
      </c>
      <c r="AW89" s="14">
        <v>1.24</v>
      </c>
      <c r="AX89" s="14" t="s">
        <v>296</v>
      </c>
      <c r="AY89" s="7">
        <v>20.6</v>
      </c>
      <c r="AZ89" s="14">
        <v>49.2</v>
      </c>
      <c r="BA89" s="14">
        <v>22.5</v>
      </c>
      <c r="BB89" s="14">
        <v>1.51</v>
      </c>
    </row>
    <row r="90" spans="1:54" s="40" customFormat="1" x14ac:dyDescent="0.2">
      <c r="B90" s="13">
        <v>42353</v>
      </c>
      <c r="D90" s="40">
        <v>1062</v>
      </c>
      <c r="F90" s="40">
        <v>66</v>
      </c>
      <c r="G90" s="40">
        <v>8</v>
      </c>
      <c r="H90" s="4">
        <v>77</v>
      </c>
      <c r="I90" s="4">
        <v>77</v>
      </c>
      <c r="J90" s="40">
        <v>99</v>
      </c>
      <c r="K90" s="5">
        <v>77</v>
      </c>
      <c r="L90" s="40">
        <v>63</v>
      </c>
      <c r="M90" s="40">
        <v>18.100000000000001</v>
      </c>
      <c r="N90" s="40">
        <v>34</v>
      </c>
      <c r="O90" s="40">
        <v>41</v>
      </c>
      <c r="P90" s="40">
        <v>22</v>
      </c>
      <c r="Q90" s="40" t="s">
        <v>333</v>
      </c>
      <c r="R90" s="40" t="s">
        <v>335</v>
      </c>
      <c r="S90" s="40" t="s">
        <v>334</v>
      </c>
      <c r="T90" s="40">
        <v>86</v>
      </c>
      <c r="U90" s="40">
        <v>111</v>
      </c>
      <c r="V90" s="40">
        <f t="shared" si="0"/>
        <v>25</v>
      </c>
      <c r="W90" s="40">
        <v>474.2</v>
      </c>
      <c r="Y90" s="40">
        <v>4</v>
      </c>
      <c r="Z90" s="40">
        <v>96</v>
      </c>
      <c r="AA90" s="40">
        <v>59</v>
      </c>
      <c r="AB90" s="40">
        <f t="shared" si="2"/>
        <v>13</v>
      </c>
      <c r="AC90" s="40">
        <v>72</v>
      </c>
      <c r="AE90" s="40">
        <v>5.8</v>
      </c>
      <c r="AF90" s="40" t="s">
        <v>114</v>
      </c>
      <c r="AG90" s="40">
        <v>37</v>
      </c>
      <c r="AH90" s="40">
        <v>37</v>
      </c>
      <c r="AI90" s="40">
        <v>0.1</v>
      </c>
      <c r="AU90" s="41"/>
      <c r="AY90" s="7"/>
    </row>
    <row r="91" spans="1:54" s="3" customFormat="1" x14ac:dyDescent="0.2">
      <c r="B91" s="27">
        <v>42241</v>
      </c>
      <c r="D91" s="3">
        <v>1063</v>
      </c>
      <c r="G91" s="3">
        <v>10</v>
      </c>
      <c r="H91" s="3">
        <v>99</v>
      </c>
      <c r="I91" s="3">
        <v>117</v>
      </c>
      <c r="J91" s="3">
        <v>85</v>
      </c>
      <c r="K91" s="3">
        <v>56</v>
      </c>
      <c r="L91" s="3">
        <v>101</v>
      </c>
      <c r="M91" s="3">
        <v>24.64</v>
      </c>
      <c r="N91" s="3">
        <v>27</v>
      </c>
      <c r="O91" s="3">
        <v>26</v>
      </c>
      <c r="P91" s="3">
        <v>8</v>
      </c>
      <c r="Q91" s="3" t="s">
        <v>258</v>
      </c>
      <c r="R91" s="3" t="s">
        <v>259</v>
      </c>
      <c r="S91" s="3" t="s">
        <v>262</v>
      </c>
      <c r="T91" s="3">
        <v>101</v>
      </c>
      <c r="U91" s="3">
        <v>140</v>
      </c>
      <c r="V91" s="3">
        <f t="shared" si="0"/>
        <v>39</v>
      </c>
      <c r="W91" s="3">
        <v>538</v>
      </c>
      <c r="Y91" s="3">
        <v>3</v>
      </c>
      <c r="Z91" s="3">
        <v>99</v>
      </c>
      <c r="AA91" s="3">
        <v>57</v>
      </c>
      <c r="AB91" s="3">
        <f t="shared" si="2"/>
        <v>11</v>
      </c>
      <c r="AC91" s="3">
        <v>68</v>
      </c>
      <c r="AE91" s="3">
        <v>5.3</v>
      </c>
      <c r="AF91" s="3" t="s">
        <v>114</v>
      </c>
      <c r="AG91" s="3">
        <v>39</v>
      </c>
      <c r="AH91" s="3">
        <v>39</v>
      </c>
      <c r="AI91" s="3">
        <v>4.0999999999999996</v>
      </c>
      <c r="AJ91" s="3">
        <v>1.5</v>
      </c>
      <c r="AK91" s="3">
        <v>54</v>
      </c>
      <c r="AL91" s="3">
        <v>40</v>
      </c>
      <c r="AM91" s="3">
        <v>3.4</v>
      </c>
      <c r="AP91" s="3">
        <v>8.1999999999999993</v>
      </c>
      <c r="AQ91" s="3">
        <v>182</v>
      </c>
      <c r="AR91" s="3">
        <v>2608</v>
      </c>
      <c r="AS91" s="3">
        <v>59</v>
      </c>
      <c r="AT91" s="3">
        <v>167</v>
      </c>
      <c r="AV91" s="3">
        <v>1.62</v>
      </c>
      <c r="AW91" s="3">
        <v>0.61</v>
      </c>
      <c r="AX91" s="3" t="s">
        <v>297</v>
      </c>
      <c r="AY91" s="39">
        <v>85.3</v>
      </c>
      <c r="AZ91" s="3">
        <v>443.9</v>
      </c>
      <c r="BA91" s="3">
        <v>8</v>
      </c>
      <c r="BB91" s="3">
        <v>0.4</v>
      </c>
    </row>
    <row r="92" spans="1:54" s="3" customFormat="1" x14ac:dyDescent="0.2">
      <c r="B92" s="27">
        <v>42352</v>
      </c>
      <c r="D92" s="3">
        <v>1063</v>
      </c>
      <c r="G92" s="3">
        <v>9</v>
      </c>
      <c r="H92" s="3">
        <v>107</v>
      </c>
      <c r="I92" s="3">
        <v>124</v>
      </c>
      <c r="J92" s="3">
        <v>87</v>
      </c>
      <c r="K92" s="3">
        <v>62</v>
      </c>
      <c r="L92" s="3">
        <v>101</v>
      </c>
      <c r="M92" s="3">
        <v>22.36</v>
      </c>
      <c r="N92" s="3">
        <v>27</v>
      </c>
      <c r="O92" s="3">
        <v>28</v>
      </c>
      <c r="P92" s="3">
        <v>5</v>
      </c>
      <c r="Q92" s="3" t="s">
        <v>324</v>
      </c>
      <c r="R92" s="3" t="s">
        <v>336</v>
      </c>
      <c r="S92" s="3" t="s">
        <v>337</v>
      </c>
      <c r="T92" s="3">
        <v>86</v>
      </c>
      <c r="U92" s="3">
        <v>113</v>
      </c>
      <c r="V92" s="3">
        <f t="shared" si="0"/>
        <v>27</v>
      </c>
      <c r="W92" s="3">
        <v>627</v>
      </c>
      <c r="Y92" s="3">
        <v>7</v>
      </c>
      <c r="Z92" s="3">
        <v>98</v>
      </c>
      <c r="AA92" s="3">
        <v>62</v>
      </c>
      <c r="AB92" s="3">
        <f t="shared" si="2"/>
        <v>23</v>
      </c>
      <c r="AC92" s="3">
        <v>85</v>
      </c>
      <c r="AE92" s="3">
        <v>5.0999999999999996</v>
      </c>
      <c r="AF92" s="3" t="s">
        <v>114</v>
      </c>
      <c r="AG92" s="3">
        <v>29</v>
      </c>
      <c r="AH92" s="3">
        <v>29</v>
      </c>
      <c r="AI92" s="3">
        <v>0.7</v>
      </c>
      <c r="AY92" s="39"/>
    </row>
    <row r="93" spans="1:54" s="35" customFormat="1" x14ac:dyDescent="0.2">
      <c r="A93" s="35" t="s">
        <v>345</v>
      </c>
      <c r="B93" s="36">
        <v>42271</v>
      </c>
      <c r="D93" s="35">
        <v>1066</v>
      </c>
      <c r="AE93" s="35">
        <v>5.6</v>
      </c>
      <c r="AF93" s="35" t="s">
        <v>114</v>
      </c>
      <c r="AG93" s="35">
        <v>35</v>
      </c>
      <c r="AH93" s="35">
        <v>35</v>
      </c>
      <c r="AI93" s="35">
        <v>0.1</v>
      </c>
      <c r="AJ93" s="35">
        <v>2.1</v>
      </c>
      <c r="AK93" s="35">
        <v>20</v>
      </c>
      <c r="AL93" s="35">
        <v>28</v>
      </c>
      <c r="AM93" s="35">
        <v>6.9</v>
      </c>
      <c r="AP93" s="35">
        <v>5.0999999999999996</v>
      </c>
      <c r="AQ93" s="35">
        <v>233</v>
      </c>
      <c r="AR93" s="35">
        <v>1453</v>
      </c>
      <c r="AS93" s="35">
        <v>71</v>
      </c>
      <c r="AT93" s="35">
        <v>20</v>
      </c>
      <c r="AU93" s="35">
        <v>0.57999999999999996</v>
      </c>
      <c r="AV93" s="35">
        <v>0.34</v>
      </c>
      <c r="AW93" s="35">
        <v>1.31</v>
      </c>
      <c r="AX93" s="35" t="s">
        <v>346</v>
      </c>
      <c r="AY93" s="37">
        <v>39.6</v>
      </c>
      <c r="AZ93" s="35">
        <v>103</v>
      </c>
      <c r="BA93" s="35">
        <v>46.9</v>
      </c>
      <c r="BB93" s="35">
        <v>0.9</v>
      </c>
    </row>
    <row r="94" spans="1:54" s="16" customFormat="1" x14ac:dyDescent="0.2">
      <c r="B94" s="15">
        <v>42269</v>
      </c>
      <c r="D94" s="16">
        <v>1067</v>
      </c>
      <c r="H94" s="16">
        <v>89</v>
      </c>
      <c r="I94" s="16">
        <v>105</v>
      </c>
      <c r="J94" s="16">
        <v>85</v>
      </c>
      <c r="K94" s="16">
        <v>54</v>
      </c>
      <c r="L94" s="16">
        <v>88</v>
      </c>
      <c r="N94" s="16">
        <v>35</v>
      </c>
      <c r="O94" s="16">
        <v>32</v>
      </c>
      <c r="Q94" s="16" t="s">
        <v>359</v>
      </c>
      <c r="R94" s="16" t="s">
        <v>360</v>
      </c>
      <c r="S94" s="16" t="s">
        <v>361</v>
      </c>
      <c r="T94" s="16">
        <v>86</v>
      </c>
      <c r="U94" s="16">
        <v>119</v>
      </c>
      <c r="V94" s="16">
        <f>(U94-T94)</f>
        <v>33</v>
      </c>
      <c r="W94" s="16">
        <v>579</v>
      </c>
      <c r="Y94" s="16">
        <v>7.5</v>
      </c>
      <c r="Z94" s="16">
        <v>99</v>
      </c>
      <c r="AA94" s="16">
        <v>78</v>
      </c>
      <c r="AB94" s="16">
        <f t="shared" si="2"/>
        <v>49</v>
      </c>
      <c r="AC94" s="16">
        <v>127</v>
      </c>
      <c r="AE94" s="16">
        <v>5.4</v>
      </c>
      <c r="AF94" s="16" t="s">
        <v>114</v>
      </c>
      <c r="AG94" s="16">
        <v>356</v>
      </c>
      <c r="AH94" s="16">
        <v>356</v>
      </c>
      <c r="AI94" s="16">
        <v>0.2</v>
      </c>
      <c r="AY94" s="19"/>
    </row>
    <row r="95" spans="1:54" s="16" customFormat="1" x14ac:dyDescent="0.2">
      <c r="B95" s="15">
        <v>42387</v>
      </c>
      <c r="D95" s="16">
        <v>1067</v>
      </c>
      <c r="F95" s="16">
        <v>68</v>
      </c>
      <c r="G95" s="16">
        <v>22</v>
      </c>
      <c r="H95" s="16">
        <v>78</v>
      </c>
      <c r="I95" s="16">
        <v>78</v>
      </c>
      <c r="J95" s="16">
        <v>99</v>
      </c>
      <c r="K95" s="16">
        <v>75</v>
      </c>
      <c r="L95" s="16">
        <v>85</v>
      </c>
      <c r="M95" s="16">
        <v>26.91</v>
      </c>
      <c r="N95" s="16">
        <v>36</v>
      </c>
      <c r="O95" s="16">
        <v>36</v>
      </c>
      <c r="P95" s="16">
        <v>22</v>
      </c>
      <c r="Q95" s="16" t="s">
        <v>362</v>
      </c>
      <c r="R95" s="16" t="s">
        <v>363</v>
      </c>
      <c r="S95" s="16" t="s">
        <v>364</v>
      </c>
      <c r="T95" s="16">
        <v>79</v>
      </c>
      <c r="U95" s="16">
        <v>134</v>
      </c>
      <c r="V95" s="16">
        <f>(U95-T95)</f>
        <v>55</v>
      </c>
      <c r="W95" s="16">
        <v>587</v>
      </c>
      <c r="Z95" s="16">
        <v>98</v>
      </c>
      <c r="AA95" s="16">
        <v>73</v>
      </c>
      <c r="AB95" s="16">
        <f t="shared" si="2"/>
        <v>15</v>
      </c>
      <c r="AC95" s="16">
        <v>88</v>
      </c>
      <c r="AE95" s="16">
        <v>4.5</v>
      </c>
      <c r="AF95" s="16" t="s">
        <v>114</v>
      </c>
      <c r="AG95" s="16">
        <v>202</v>
      </c>
      <c r="AH95" s="16">
        <v>202</v>
      </c>
      <c r="AI95" s="16">
        <v>0.3</v>
      </c>
      <c r="AY95" s="19"/>
    </row>
    <row r="96" spans="1:54" s="16" customFormat="1" x14ac:dyDescent="0.2">
      <c r="B96" s="15"/>
      <c r="AY96" s="19"/>
    </row>
    <row r="97" spans="4:49" customFormat="1" x14ac:dyDescent="0.2">
      <c r="D97">
        <v>1070</v>
      </c>
      <c r="F97">
        <v>67</v>
      </c>
      <c r="G97">
        <v>17</v>
      </c>
      <c r="H97">
        <v>99</v>
      </c>
      <c r="I97">
        <v>106</v>
      </c>
      <c r="J97">
        <v>93</v>
      </c>
      <c r="K97">
        <v>83</v>
      </c>
      <c r="L97">
        <v>81</v>
      </c>
      <c r="M97">
        <v>27.68</v>
      </c>
      <c r="N97">
        <v>37</v>
      </c>
      <c r="O97">
        <v>37</v>
      </c>
      <c r="P97">
        <v>25</v>
      </c>
      <c r="Q97" s="55" t="s">
        <v>370</v>
      </c>
      <c r="R97" s="55" t="s">
        <v>371</v>
      </c>
      <c r="S97" s="55" t="s">
        <v>372</v>
      </c>
      <c r="T97">
        <v>72</v>
      </c>
      <c r="U97">
        <v>99</v>
      </c>
      <c r="W97">
        <v>576.4</v>
      </c>
      <c r="Y97">
        <v>2</v>
      </c>
      <c r="Z97">
        <v>98</v>
      </c>
      <c r="AA97">
        <v>83</v>
      </c>
      <c r="AC97">
        <v>92</v>
      </c>
      <c r="AE97">
        <v>5.4</v>
      </c>
      <c r="AH97">
        <v>35</v>
      </c>
      <c r="AI97">
        <v>0.3</v>
      </c>
      <c r="AJ97">
        <v>0.6</v>
      </c>
      <c r="AK97">
        <v>443</v>
      </c>
      <c r="AL97">
        <v>17</v>
      </c>
      <c r="AM97">
        <v>1</v>
      </c>
      <c r="AN97">
        <v>1</v>
      </c>
      <c r="AO97">
        <v>4.2</v>
      </c>
      <c r="AP97" s="52">
        <v>4.2</v>
      </c>
      <c r="AQ97">
        <v>214</v>
      </c>
      <c r="AR97">
        <v>4043</v>
      </c>
      <c r="AS97">
        <v>70</v>
      </c>
      <c r="AT97">
        <v>73</v>
      </c>
      <c r="AU97">
        <v>0.61</v>
      </c>
      <c r="AV97">
        <v>0.45</v>
      </c>
      <c r="AW97">
        <v>0.21</v>
      </c>
    </row>
    <row r="98" spans="4:49" customFormat="1" x14ac:dyDescent="0.2">
      <c r="D98">
        <v>1072</v>
      </c>
      <c r="F98">
        <v>63</v>
      </c>
      <c r="G98">
        <v>23</v>
      </c>
      <c r="H98">
        <v>78</v>
      </c>
      <c r="I98">
        <v>79</v>
      </c>
      <c r="J98">
        <v>98</v>
      </c>
      <c r="K98">
        <v>75</v>
      </c>
      <c r="L98">
        <v>96</v>
      </c>
      <c r="M98">
        <v>15.97</v>
      </c>
      <c r="N98">
        <v>57</v>
      </c>
      <c r="O98">
        <v>60</v>
      </c>
      <c r="P98">
        <v>32</v>
      </c>
      <c r="Q98" s="55" t="s">
        <v>373</v>
      </c>
      <c r="R98" s="55" t="s">
        <v>374</v>
      </c>
      <c r="S98" s="55" t="s">
        <v>375</v>
      </c>
      <c r="W98">
        <v>511</v>
      </c>
      <c r="Y98">
        <v>8</v>
      </c>
      <c r="Z98">
        <v>98</v>
      </c>
      <c r="AA98">
        <v>59</v>
      </c>
      <c r="AC98">
        <v>69</v>
      </c>
      <c r="AE98">
        <v>5.5</v>
      </c>
      <c r="AH98">
        <v>28</v>
      </c>
      <c r="AI98">
        <v>5.8</v>
      </c>
      <c r="AJ98" t="s">
        <v>299</v>
      </c>
      <c r="AK98">
        <v>11</v>
      </c>
      <c r="AL98">
        <v>5</v>
      </c>
      <c r="AM98" t="s">
        <v>282</v>
      </c>
      <c r="AN98" t="s">
        <v>282</v>
      </c>
      <c r="AO98">
        <v>6.4</v>
      </c>
      <c r="AP98" s="52">
        <v>6.4</v>
      </c>
      <c r="AQ98">
        <v>144</v>
      </c>
      <c r="AR98">
        <v>4458</v>
      </c>
      <c r="AS98">
        <v>64</v>
      </c>
      <c r="AT98">
        <v>52</v>
      </c>
      <c r="AU98">
        <v>0.67</v>
      </c>
      <c r="AV98">
        <v>0.48</v>
      </c>
      <c r="AW98">
        <v>0.38</v>
      </c>
    </row>
    <row r="99" spans="4:49" customFormat="1" x14ac:dyDescent="0.2">
      <c r="D99">
        <v>1073</v>
      </c>
      <c r="F99">
        <v>68</v>
      </c>
      <c r="G99">
        <v>8</v>
      </c>
      <c r="H99">
        <v>77</v>
      </c>
      <c r="I99">
        <v>84</v>
      </c>
      <c r="J99">
        <v>92</v>
      </c>
      <c r="K99">
        <v>106</v>
      </c>
      <c r="L99">
        <v>106</v>
      </c>
      <c r="M99">
        <v>26.3</v>
      </c>
      <c r="N99">
        <v>36</v>
      </c>
      <c r="O99">
        <v>38</v>
      </c>
      <c r="P99">
        <v>16</v>
      </c>
      <c r="Q99" s="55" t="s">
        <v>376</v>
      </c>
      <c r="R99" s="55" t="s">
        <v>377</v>
      </c>
      <c r="S99" s="55" t="s">
        <v>378</v>
      </c>
      <c r="W99">
        <v>567</v>
      </c>
      <c r="Y99">
        <v>1</v>
      </c>
      <c r="Z99">
        <v>98</v>
      </c>
      <c r="AA99">
        <v>54</v>
      </c>
      <c r="AC99">
        <v>80</v>
      </c>
      <c r="AE99">
        <v>4.5999999999999996</v>
      </c>
      <c r="AH99">
        <v>40</v>
      </c>
      <c r="AI99">
        <v>0.6</v>
      </c>
      <c r="AJ99">
        <v>0.6</v>
      </c>
      <c r="AK99">
        <v>13</v>
      </c>
      <c r="AL99">
        <v>14</v>
      </c>
      <c r="AM99">
        <v>2.6</v>
      </c>
      <c r="AN99">
        <v>2.6</v>
      </c>
      <c r="AO99">
        <v>3</v>
      </c>
      <c r="AP99" s="52">
        <v>3</v>
      </c>
      <c r="AQ99">
        <v>158</v>
      </c>
      <c r="AR99">
        <v>2087</v>
      </c>
      <c r="AS99">
        <v>99</v>
      </c>
      <c r="AT99">
        <v>50</v>
      </c>
      <c r="AU99">
        <v>0.68</v>
      </c>
      <c r="AV99">
        <v>1.1200000000000001</v>
      </c>
      <c r="AW99">
        <v>0.73</v>
      </c>
    </row>
    <row r="100" spans="4:49" customFormat="1" x14ac:dyDescent="0.2">
      <c r="D100">
        <v>1074</v>
      </c>
      <c r="F100">
        <v>69</v>
      </c>
      <c r="G100">
        <v>9</v>
      </c>
      <c r="H100">
        <v>101</v>
      </c>
      <c r="I100">
        <v>100</v>
      </c>
      <c r="J100">
        <v>100</v>
      </c>
      <c r="K100">
        <v>104</v>
      </c>
      <c r="L100">
        <v>103</v>
      </c>
      <c r="M100">
        <v>13.92</v>
      </c>
      <c r="N100">
        <v>27</v>
      </c>
      <c r="O100">
        <v>27</v>
      </c>
      <c r="P100">
        <v>16</v>
      </c>
      <c r="Q100" s="55" t="s">
        <v>379</v>
      </c>
      <c r="R100" s="55" t="s">
        <v>380</v>
      </c>
      <c r="S100" s="55" t="s">
        <v>381</v>
      </c>
      <c r="W100">
        <v>465</v>
      </c>
      <c r="Y100">
        <v>2</v>
      </c>
      <c r="Z100">
        <v>99</v>
      </c>
      <c r="AA100">
        <v>57</v>
      </c>
      <c r="AC100">
        <v>70</v>
      </c>
      <c r="AE100">
        <v>4.9000000000000004</v>
      </c>
      <c r="AH100">
        <v>95</v>
      </c>
      <c r="AI100">
        <v>1.5</v>
      </c>
      <c r="AJ100">
        <v>1</v>
      </c>
      <c r="AK100">
        <v>22</v>
      </c>
      <c r="AL100">
        <v>22</v>
      </c>
      <c r="AM100">
        <v>3.3</v>
      </c>
      <c r="AN100">
        <v>3.3</v>
      </c>
      <c r="AO100">
        <v>2.8</v>
      </c>
      <c r="AP100" s="52">
        <v>2.8</v>
      </c>
      <c r="AQ100">
        <v>363</v>
      </c>
      <c r="AR100">
        <v>2245</v>
      </c>
      <c r="AS100">
        <v>90</v>
      </c>
      <c r="AT100" s="47">
        <v>560</v>
      </c>
      <c r="AU100">
        <v>0.71</v>
      </c>
      <c r="AV100">
        <v>0.61</v>
      </c>
      <c r="AW100">
        <v>0.28999999999999998</v>
      </c>
    </row>
    <row r="101" spans="4:49" customFormat="1" x14ac:dyDescent="0.2">
      <c r="D101">
        <v>1075</v>
      </c>
      <c r="F101">
        <v>72</v>
      </c>
      <c r="G101">
        <v>11</v>
      </c>
      <c r="H101">
        <v>113</v>
      </c>
      <c r="I101">
        <v>112</v>
      </c>
      <c r="J101">
        <v>101</v>
      </c>
      <c r="K101">
        <v>115</v>
      </c>
      <c r="L101">
        <v>130</v>
      </c>
      <c r="M101">
        <v>31.02</v>
      </c>
      <c r="N101">
        <v>40</v>
      </c>
      <c r="O101">
        <v>38</v>
      </c>
      <c r="P101">
        <v>9</v>
      </c>
      <c r="Q101" s="55" t="s">
        <v>382</v>
      </c>
      <c r="R101" s="55" t="s">
        <v>383</v>
      </c>
      <c r="S101" s="55" t="s">
        <v>384</v>
      </c>
      <c r="W101">
        <v>572</v>
      </c>
      <c r="Y101">
        <v>3</v>
      </c>
      <c r="Z101">
        <v>94</v>
      </c>
      <c r="AA101">
        <v>75</v>
      </c>
      <c r="AC101">
        <v>103</v>
      </c>
      <c r="AE101">
        <v>5.9</v>
      </c>
      <c r="AH101">
        <v>26</v>
      </c>
      <c r="AI101">
        <v>9.9</v>
      </c>
      <c r="AJ101">
        <v>1.8</v>
      </c>
      <c r="AK101">
        <v>20</v>
      </c>
      <c r="AL101">
        <v>32</v>
      </c>
      <c r="AM101" t="s">
        <v>282</v>
      </c>
      <c r="AN101" t="s">
        <v>282</v>
      </c>
      <c r="AO101">
        <v>4.9000000000000004</v>
      </c>
      <c r="AP101" s="52">
        <v>4.9000000000000004</v>
      </c>
      <c r="AQ101">
        <v>102</v>
      </c>
      <c r="AR101">
        <v>5597</v>
      </c>
      <c r="AS101">
        <v>63</v>
      </c>
      <c r="AT101">
        <v>18</v>
      </c>
      <c r="AU101">
        <v>1.18</v>
      </c>
      <c r="AV101">
        <v>1.26</v>
      </c>
      <c r="AW101">
        <v>0.35</v>
      </c>
    </row>
    <row r="102" spans="4:49" customFormat="1" x14ac:dyDescent="0.2">
      <c r="D102">
        <v>1076</v>
      </c>
      <c r="F102">
        <v>71</v>
      </c>
      <c r="G102">
        <v>4</v>
      </c>
      <c r="H102">
        <v>93</v>
      </c>
      <c r="I102">
        <v>86</v>
      </c>
      <c r="J102">
        <v>108</v>
      </c>
      <c r="K102">
        <v>138</v>
      </c>
      <c r="L102">
        <v>98</v>
      </c>
      <c r="M102">
        <v>30.23</v>
      </c>
      <c r="N102">
        <v>37</v>
      </c>
      <c r="O102">
        <v>28</v>
      </c>
      <c r="P102">
        <v>29</v>
      </c>
      <c r="Q102" s="55" t="s">
        <v>385</v>
      </c>
      <c r="R102" s="55" t="s">
        <v>386</v>
      </c>
      <c r="S102" s="55" t="s">
        <v>387</v>
      </c>
      <c r="W102">
        <v>586</v>
      </c>
      <c r="Y102">
        <v>1</v>
      </c>
      <c r="Z102">
        <v>98</v>
      </c>
      <c r="AA102">
        <v>68</v>
      </c>
      <c r="AC102">
        <v>98</v>
      </c>
      <c r="AE102">
        <v>6.4</v>
      </c>
      <c r="AH102">
        <v>31</v>
      </c>
      <c r="AI102">
        <v>0.1</v>
      </c>
      <c r="AJ102">
        <v>0.6</v>
      </c>
      <c r="AK102">
        <v>14</v>
      </c>
      <c r="AL102">
        <v>20</v>
      </c>
      <c r="AM102">
        <v>2.7</v>
      </c>
      <c r="AN102">
        <v>2.7</v>
      </c>
      <c r="AO102">
        <v>2.2000000000000002</v>
      </c>
      <c r="AP102" s="52">
        <v>2.2000000000000002</v>
      </c>
      <c r="AQ102">
        <v>354</v>
      </c>
      <c r="AR102">
        <v>4238</v>
      </c>
      <c r="AS102">
        <v>79</v>
      </c>
      <c r="AT102">
        <v>25</v>
      </c>
      <c r="AU102">
        <v>0.36</v>
      </c>
      <c r="AV102">
        <v>0.38</v>
      </c>
      <c r="AW102">
        <v>0.66</v>
      </c>
    </row>
    <row r="103" spans="4:49" customFormat="1" x14ac:dyDescent="0.2">
      <c r="D103">
        <v>1077</v>
      </c>
      <c r="F103">
        <v>70</v>
      </c>
      <c r="G103">
        <v>12</v>
      </c>
      <c r="H103">
        <v>93</v>
      </c>
      <c r="I103">
        <v>98</v>
      </c>
      <c r="J103">
        <v>95</v>
      </c>
      <c r="K103">
        <v>73</v>
      </c>
      <c r="L103">
        <v>108</v>
      </c>
      <c r="M103">
        <v>23.36</v>
      </c>
      <c r="N103">
        <v>37</v>
      </c>
      <c r="O103">
        <v>43</v>
      </c>
      <c r="P103">
        <v>23</v>
      </c>
      <c r="Q103" s="55" t="s">
        <v>388</v>
      </c>
      <c r="R103" s="55" t="s">
        <v>389</v>
      </c>
      <c r="S103" s="55" t="s">
        <v>390</v>
      </c>
      <c r="W103">
        <v>552</v>
      </c>
      <c r="Y103">
        <v>4</v>
      </c>
      <c r="Z103">
        <v>99</v>
      </c>
      <c r="AA103">
        <v>55</v>
      </c>
      <c r="AC103">
        <v>72</v>
      </c>
      <c r="AE103">
        <v>6.1</v>
      </c>
      <c r="AH103">
        <v>33</v>
      </c>
      <c r="AI103">
        <v>1.2</v>
      </c>
      <c r="AJ103">
        <v>0.5</v>
      </c>
      <c r="AK103">
        <v>7</v>
      </c>
      <c r="AL103">
        <v>9</v>
      </c>
      <c r="AM103" t="s">
        <v>282</v>
      </c>
      <c r="AN103" t="s">
        <v>282</v>
      </c>
      <c r="AO103">
        <v>1.9</v>
      </c>
      <c r="AP103" s="52">
        <v>1.9</v>
      </c>
      <c r="AQ103">
        <v>203</v>
      </c>
      <c r="AR103">
        <v>2710</v>
      </c>
      <c r="AS103">
        <v>44</v>
      </c>
      <c r="AT103">
        <v>14</v>
      </c>
      <c r="AU103">
        <v>0.67</v>
      </c>
      <c r="AV103">
        <v>0.32</v>
      </c>
      <c r="AW103">
        <v>1.24</v>
      </c>
    </row>
    <row r="104" spans="4:49" customFormat="1" x14ac:dyDescent="0.2">
      <c r="D104">
        <v>1078</v>
      </c>
      <c r="F104">
        <v>74</v>
      </c>
      <c r="G104">
        <v>7</v>
      </c>
      <c r="H104">
        <v>83</v>
      </c>
      <c r="I104">
        <v>74</v>
      </c>
      <c r="J104">
        <v>111</v>
      </c>
      <c r="K104">
        <v>155</v>
      </c>
      <c r="L104">
        <v>141</v>
      </c>
      <c r="M104">
        <v>20.94</v>
      </c>
      <c r="N104">
        <v>29</v>
      </c>
      <c r="O104">
        <v>29</v>
      </c>
      <c r="P104">
        <v>20</v>
      </c>
      <c r="Q104" s="55" t="s">
        <v>391</v>
      </c>
      <c r="R104" s="55" t="s">
        <v>392</v>
      </c>
      <c r="S104" s="55" t="s">
        <v>393</v>
      </c>
      <c r="W104">
        <v>487</v>
      </c>
      <c r="Y104">
        <v>7</v>
      </c>
      <c r="Z104">
        <v>98</v>
      </c>
      <c r="AA104">
        <v>67</v>
      </c>
      <c r="AC104">
        <v>124</v>
      </c>
      <c r="AE104">
        <v>5.4</v>
      </c>
      <c r="AH104">
        <v>49</v>
      </c>
      <c r="AI104">
        <v>0.7</v>
      </c>
      <c r="AJ104">
        <v>2.1</v>
      </c>
      <c r="AK104">
        <v>19</v>
      </c>
      <c r="AL104">
        <v>30</v>
      </c>
      <c r="AM104">
        <v>2</v>
      </c>
      <c r="AN104">
        <v>2</v>
      </c>
      <c r="AO104">
        <v>5.8</v>
      </c>
      <c r="AP104" s="52">
        <v>5.8</v>
      </c>
      <c r="AQ104">
        <v>197</v>
      </c>
      <c r="AR104">
        <v>1921</v>
      </c>
      <c r="AS104">
        <v>92</v>
      </c>
      <c r="AT104" s="47">
        <v>763</v>
      </c>
      <c r="AU104">
        <v>0.45</v>
      </c>
      <c r="AV104">
        <v>0.2</v>
      </c>
      <c r="AW104">
        <v>0.77</v>
      </c>
    </row>
    <row r="105" spans="4:49" customFormat="1" x14ac:dyDescent="0.2">
      <c r="D105">
        <v>1079</v>
      </c>
      <c r="F105">
        <v>67</v>
      </c>
      <c r="G105">
        <v>4</v>
      </c>
      <c r="H105">
        <v>81</v>
      </c>
      <c r="I105">
        <v>83</v>
      </c>
      <c r="J105">
        <v>97</v>
      </c>
      <c r="K105">
        <v>69</v>
      </c>
      <c r="L105">
        <v>71</v>
      </c>
      <c r="M105">
        <v>19.07</v>
      </c>
      <c r="N105">
        <v>29</v>
      </c>
      <c r="O105">
        <v>37</v>
      </c>
      <c r="P105">
        <v>18</v>
      </c>
      <c r="Q105" s="55" t="s">
        <v>394</v>
      </c>
      <c r="R105" s="55" t="s">
        <v>395</v>
      </c>
      <c r="S105" s="55" t="s">
        <v>396</v>
      </c>
      <c r="W105">
        <v>480</v>
      </c>
      <c r="Y105">
        <v>8</v>
      </c>
      <c r="Z105">
        <v>98</v>
      </c>
      <c r="AA105">
        <v>62</v>
      </c>
      <c r="AC105">
        <v>81</v>
      </c>
      <c r="AE105">
        <v>5.7</v>
      </c>
      <c r="AH105">
        <v>39</v>
      </c>
      <c r="AI105">
        <v>4.2</v>
      </c>
      <c r="AJ105" t="s">
        <v>299</v>
      </c>
      <c r="AK105">
        <v>16</v>
      </c>
      <c r="AL105">
        <v>20</v>
      </c>
      <c r="AM105" t="s">
        <v>282</v>
      </c>
      <c r="AN105" t="s">
        <v>282</v>
      </c>
      <c r="AO105">
        <v>3.5</v>
      </c>
      <c r="AP105" s="52">
        <v>3.5</v>
      </c>
      <c r="AQ105">
        <v>168</v>
      </c>
      <c r="AR105">
        <v>1116</v>
      </c>
      <c r="AS105">
        <v>73</v>
      </c>
      <c r="AT105">
        <v>6</v>
      </c>
      <c r="AU105">
        <v>0.24</v>
      </c>
      <c r="AV105">
        <v>0.05</v>
      </c>
      <c r="AW105">
        <v>1.78</v>
      </c>
    </row>
    <row r="106" spans="4:49" customFormat="1" x14ac:dyDescent="0.2">
      <c r="D106">
        <v>1080</v>
      </c>
      <c r="F106">
        <v>74</v>
      </c>
      <c r="G106">
        <v>0</v>
      </c>
      <c r="H106">
        <v>101</v>
      </c>
      <c r="I106">
        <v>103</v>
      </c>
      <c r="J106">
        <v>98</v>
      </c>
      <c r="K106">
        <v>92</v>
      </c>
      <c r="L106">
        <v>106</v>
      </c>
      <c r="M106">
        <v>27.31</v>
      </c>
      <c r="N106">
        <v>25</v>
      </c>
      <c r="O106">
        <v>29</v>
      </c>
      <c r="P106">
        <v>7</v>
      </c>
      <c r="Q106" s="55" t="s">
        <v>81</v>
      </c>
      <c r="R106" s="55" t="s">
        <v>397</v>
      </c>
      <c r="S106" s="55" t="s">
        <v>209</v>
      </c>
      <c r="W106">
        <v>552</v>
      </c>
      <c r="Y106">
        <v>3.5</v>
      </c>
      <c r="Z106">
        <v>98</v>
      </c>
      <c r="AA106">
        <v>61</v>
      </c>
      <c r="AC106">
        <v>67</v>
      </c>
      <c r="AE106">
        <v>4.8</v>
      </c>
      <c r="AH106">
        <v>36</v>
      </c>
      <c r="AI106">
        <v>4.5999999999999996</v>
      </c>
      <c r="AJ106">
        <v>0.8</v>
      </c>
      <c r="AK106">
        <v>29</v>
      </c>
      <c r="AL106">
        <v>14</v>
      </c>
      <c r="AM106">
        <v>2.2000000000000002</v>
      </c>
      <c r="AN106">
        <v>2.2000000000000002</v>
      </c>
      <c r="AO106">
        <v>2.9</v>
      </c>
      <c r="AP106" s="52">
        <v>2.9</v>
      </c>
      <c r="AQ106">
        <v>527</v>
      </c>
      <c r="AR106">
        <v>1889</v>
      </c>
      <c r="AS106">
        <v>287</v>
      </c>
      <c r="AT106">
        <v>14</v>
      </c>
      <c r="AU106">
        <v>0.54</v>
      </c>
      <c r="AV106">
        <v>1.1299999999999999</v>
      </c>
      <c r="AW106">
        <v>0.38</v>
      </c>
    </row>
    <row r="107" spans="4:49" customFormat="1" x14ac:dyDescent="0.2">
      <c r="D107">
        <v>1083</v>
      </c>
      <c r="F107">
        <v>64</v>
      </c>
      <c r="G107">
        <v>2</v>
      </c>
      <c r="H107">
        <v>86</v>
      </c>
      <c r="I107">
        <v>87</v>
      </c>
      <c r="J107">
        <v>98</v>
      </c>
      <c r="K107">
        <v>85</v>
      </c>
      <c r="L107">
        <v>70</v>
      </c>
      <c r="M107">
        <v>33.26</v>
      </c>
      <c r="N107">
        <v>28</v>
      </c>
      <c r="O107">
        <v>26</v>
      </c>
      <c r="P107">
        <v>14</v>
      </c>
      <c r="Q107" s="55" t="s">
        <v>398</v>
      </c>
      <c r="R107" s="55" t="s">
        <v>399</v>
      </c>
      <c r="S107" s="55" t="s">
        <v>400</v>
      </c>
      <c r="W107">
        <v>509</v>
      </c>
      <c r="Y107">
        <v>0.5</v>
      </c>
      <c r="Z107">
        <v>98</v>
      </c>
      <c r="AA107">
        <v>80</v>
      </c>
      <c r="AC107">
        <v>94</v>
      </c>
      <c r="AE107">
        <v>6.5</v>
      </c>
      <c r="AH107">
        <v>37</v>
      </c>
      <c r="AI107">
        <v>0.4</v>
      </c>
      <c r="AJ107">
        <v>0.5</v>
      </c>
      <c r="AK107">
        <v>8</v>
      </c>
      <c r="AL107">
        <v>30</v>
      </c>
      <c r="AM107">
        <v>3.7</v>
      </c>
      <c r="AN107">
        <v>3.7</v>
      </c>
      <c r="AO107">
        <v>2.9</v>
      </c>
      <c r="AP107" s="52">
        <v>2.9</v>
      </c>
      <c r="AQ107">
        <v>341</v>
      </c>
      <c r="AR107">
        <v>4060</v>
      </c>
      <c r="AS107">
        <v>109</v>
      </c>
      <c r="AT107">
        <v>31</v>
      </c>
      <c r="AU107">
        <v>0.54</v>
      </c>
      <c r="AV107">
        <v>0.3</v>
      </c>
      <c r="AW107">
        <v>0.49</v>
      </c>
    </row>
    <row r="108" spans="4:49" customFormat="1" x14ac:dyDescent="0.2">
      <c r="D108">
        <v>1084</v>
      </c>
      <c r="F108">
        <v>72</v>
      </c>
      <c r="G108">
        <v>16</v>
      </c>
      <c r="H108">
        <v>116</v>
      </c>
      <c r="I108">
        <v>109</v>
      </c>
      <c r="J108">
        <v>106</v>
      </c>
      <c r="K108">
        <v>142</v>
      </c>
      <c r="L108">
        <v>126</v>
      </c>
      <c r="N108">
        <v>36</v>
      </c>
      <c r="O108">
        <v>32</v>
      </c>
      <c r="P108">
        <v>25</v>
      </c>
      <c r="Q108" s="55" t="s">
        <v>328</v>
      </c>
      <c r="R108" s="55" t="s">
        <v>401</v>
      </c>
      <c r="S108" s="55" t="s">
        <v>402</v>
      </c>
      <c r="W108">
        <v>549</v>
      </c>
      <c r="Y108">
        <v>1</v>
      </c>
      <c r="Z108">
        <v>98</v>
      </c>
      <c r="AA108">
        <v>63</v>
      </c>
      <c r="AC108">
        <v>93</v>
      </c>
      <c r="AE108">
        <v>5.9</v>
      </c>
      <c r="AH108">
        <v>29</v>
      </c>
      <c r="AI108">
        <v>0.3</v>
      </c>
      <c r="AJ108">
        <v>0.6</v>
      </c>
      <c r="AK108">
        <v>14</v>
      </c>
      <c r="AL108">
        <v>17</v>
      </c>
      <c r="AM108" t="s">
        <v>282</v>
      </c>
      <c r="AN108" t="s">
        <v>282</v>
      </c>
      <c r="AO108">
        <v>2.9</v>
      </c>
      <c r="AP108" s="52">
        <v>2.9</v>
      </c>
      <c r="AQ108">
        <v>298</v>
      </c>
      <c r="AR108">
        <v>2803</v>
      </c>
      <c r="AS108">
        <v>161</v>
      </c>
      <c r="AT108">
        <v>30</v>
      </c>
      <c r="AU108">
        <v>0.26</v>
      </c>
      <c r="AV108">
        <v>0.27</v>
      </c>
      <c r="AW108">
        <v>1.03</v>
      </c>
    </row>
    <row r="109" spans="4:49" customFormat="1" x14ac:dyDescent="0.2">
      <c r="D109">
        <v>1085</v>
      </c>
      <c r="F109">
        <v>68</v>
      </c>
      <c r="G109">
        <v>9</v>
      </c>
      <c r="H109">
        <v>75</v>
      </c>
      <c r="I109">
        <v>76</v>
      </c>
      <c r="J109">
        <v>98</v>
      </c>
      <c r="K109">
        <v>68</v>
      </c>
      <c r="L109">
        <v>83</v>
      </c>
      <c r="M109">
        <v>29.72</v>
      </c>
      <c r="N109">
        <v>32</v>
      </c>
      <c r="O109">
        <v>36</v>
      </c>
      <c r="P109">
        <v>20</v>
      </c>
      <c r="Q109" s="55" t="s">
        <v>403</v>
      </c>
      <c r="R109" s="55" t="s">
        <v>404</v>
      </c>
      <c r="S109" s="55" t="s">
        <v>405</v>
      </c>
      <c r="W109">
        <v>510</v>
      </c>
      <c r="Y109">
        <v>2</v>
      </c>
      <c r="Z109">
        <v>98</v>
      </c>
      <c r="AA109">
        <v>70</v>
      </c>
      <c r="AC109">
        <v>84</v>
      </c>
      <c r="AE109">
        <v>6.5</v>
      </c>
      <c r="AH109">
        <v>53</v>
      </c>
      <c r="AI109">
        <v>0.6</v>
      </c>
      <c r="AJ109">
        <v>9.8000000000000007</v>
      </c>
      <c r="AK109">
        <v>158</v>
      </c>
      <c r="AL109">
        <v>20</v>
      </c>
      <c r="AM109">
        <v>1.2</v>
      </c>
      <c r="AN109">
        <v>1.2</v>
      </c>
      <c r="AO109">
        <v>7.8</v>
      </c>
      <c r="AP109" s="52">
        <v>7.8</v>
      </c>
      <c r="AQ109" s="47">
        <v>13336</v>
      </c>
      <c r="AR109">
        <v>2491</v>
      </c>
      <c r="AS109">
        <v>98</v>
      </c>
      <c r="AT109">
        <v>69</v>
      </c>
      <c r="AU109">
        <v>1.04</v>
      </c>
      <c r="AV109">
        <v>0.43</v>
      </c>
      <c r="AW109">
        <v>0.45</v>
      </c>
    </row>
    <row r="110" spans="4:49" customFormat="1" x14ac:dyDescent="0.2">
      <c r="D110">
        <v>1086</v>
      </c>
      <c r="F110">
        <v>69</v>
      </c>
      <c r="G110">
        <v>5</v>
      </c>
      <c r="H110">
        <v>85</v>
      </c>
      <c r="I110">
        <v>80</v>
      </c>
      <c r="J110">
        <v>106</v>
      </c>
      <c r="K110">
        <v>105</v>
      </c>
      <c r="L110">
        <v>89</v>
      </c>
      <c r="M110">
        <v>30.87</v>
      </c>
      <c r="N110">
        <v>22</v>
      </c>
      <c r="O110">
        <v>32</v>
      </c>
      <c r="P110">
        <v>3</v>
      </c>
      <c r="Q110" s="55" t="s">
        <v>406</v>
      </c>
      <c r="R110" s="55" t="s">
        <v>407</v>
      </c>
      <c r="S110" s="55" t="s">
        <v>408</v>
      </c>
      <c r="W110">
        <v>552</v>
      </c>
      <c r="Y110">
        <v>1</v>
      </c>
      <c r="Z110">
        <v>98</v>
      </c>
      <c r="AA110">
        <v>66</v>
      </c>
      <c r="AC110">
        <v>78</v>
      </c>
      <c r="AE110">
        <v>5.8</v>
      </c>
      <c r="AH110">
        <v>48</v>
      </c>
      <c r="AI110">
        <v>0.2</v>
      </c>
      <c r="AJ110" t="s">
        <v>299</v>
      </c>
      <c r="AK110">
        <v>14</v>
      </c>
      <c r="AL110">
        <v>10</v>
      </c>
      <c r="AM110" t="s">
        <v>282</v>
      </c>
      <c r="AN110" t="s">
        <v>282</v>
      </c>
      <c r="AO110">
        <v>2.9</v>
      </c>
      <c r="AP110" s="52">
        <v>2.9</v>
      </c>
      <c r="AQ110">
        <v>143</v>
      </c>
      <c r="AR110">
        <v>4173</v>
      </c>
      <c r="AS110">
        <v>78</v>
      </c>
      <c r="AT110">
        <v>38</v>
      </c>
      <c r="AU110">
        <v>0.57999999999999996</v>
      </c>
      <c r="AV110">
        <v>0.25</v>
      </c>
      <c r="AW110">
        <v>0.51</v>
      </c>
    </row>
    <row r="111" spans="4:49" customFormat="1" x14ac:dyDescent="0.2">
      <c r="D111">
        <v>1087</v>
      </c>
      <c r="F111">
        <v>60</v>
      </c>
      <c r="G111">
        <v>5</v>
      </c>
      <c r="H111">
        <v>100</v>
      </c>
      <c r="I111">
        <v>98</v>
      </c>
      <c r="J111">
        <v>101</v>
      </c>
      <c r="K111">
        <v>103</v>
      </c>
      <c r="L111">
        <v>105</v>
      </c>
      <c r="M111">
        <v>14.4</v>
      </c>
      <c r="N111">
        <v>33</v>
      </c>
      <c r="O111">
        <v>43</v>
      </c>
      <c r="P111">
        <v>17</v>
      </c>
      <c r="Q111" s="55" t="s">
        <v>409</v>
      </c>
      <c r="R111" s="55" t="s">
        <v>410</v>
      </c>
      <c r="S111" s="55" t="s">
        <v>411</v>
      </c>
      <c r="W111">
        <v>580</v>
      </c>
      <c r="Y111">
        <v>2</v>
      </c>
      <c r="Z111">
        <v>99</v>
      </c>
      <c r="AA111">
        <v>65</v>
      </c>
      <c r="AC111">
        <v>82</v>
      </c>
      <c r="AE111">
        <v>5.5</v>
      </c>
      <c r="AH111">
        <v>37</v>
      </c>
      <c r="AI111">
        <v>0.2</v>
      </c>
      <c r="AJ111">
        <v>3.5</v>
      </c>
      <c r="AK111">
        <v>269</v>
      </c>
      <c r="AL111">
        <v>134</v>
      </c>
      <c r="AM111">
        <v>2.1</v>
      </c>
      <c r="AN111">
        <v>2.1</v>
      </c>
      <c r="AO111">
        <v>2.8</v>
      </c>
      <c r="AP111" s="52">
        <v>2.8</v>
      </c>
      <c r="AQ111">
        <v>7009</v>
      </c>
      <c r="AR111">
        <v>2223</v>
      </c>
      <c r="AS111">
        <v>146</v>
      </c>
      <c r="AT111">
        <v>236</v>
      </c>
      <c r="AU111">
        <v>0.52</v>
      </c>
      <c r="AV111">
        <v>0.41</v>
      </c>
      <c r="AW111">
        <v>0.73</v>
      </c>
    </row>
    <row r="112" spans="4:49" customFormat="1" x14ac:dyDescent="0.2">
      <c r="D112">
        <v>1089</v>
      </c>
      <c r="F112">
        <v>73</v>
      </c>
      <c r="G112">
        <v>1</v>
      </c>
      <c r="H112">
        <v>74</v>
      </c>
      <c r="I112">
        <v>76</v>
      </c>
      <c r="J112">
        <v>97</v>
      </c>
      <c r="K112">
        <v>60</v>
      </c>
      <c r="L112">
        <v>111</v>
      </c>
      <c r="M112">
        <v>26.9</v>
      </c>
      <c r="N112">
        <v>33</v>
      </c>
      <c r="O112">
        <v>34</v>
      </c>
      <c r="P112">
        <v>14</v>
      </c>
      <c r="Q112" s="55" t="s">
        <v>246</v>
      </c>
      <c r="R112" s="55" t="s">
        <v>412</v>
      </c>
      <c r="S112" s="55" t="s">
        <v>413</v>
      </c>
      <c r="W112">
        <v>550</v>
      </c>
      <c r="Y112">
        <v>0.5</v>
      </c>
      <c r="Z112">
        <v>99</v>
      </c>
      <c r="AA112">
        <v>55</v>
      </c>
      <c r="AC112">
        <v>77</v>
      </c>
      <c r="AE112">
        <v>6.2</v>
      </c>
      <c r="AH112">
        <v>18</v>
      </c>
      <c r="AI112">
        <v>0.5</v>
      </c>
      <c r="AJ112">
        <v>1.3</v>
      </c>
      <c r="AK112">
        <v>31</v>
      </c>
      <c r="AL112">
        <v>26</v>
      </c>
      <c r="AM112" t="s">
        <v>282</v>
      </c>
      <c r="AN112" t="s">
        <v>282</v>
      </c>
      <c r="AO112">
        <v>6.2</v>
      </c>
      <c r="AP112" s="52">
        <v>6.2</v>
      </c>
      <c r="AQ112">
        <v>354</v>
      </c>
      <c r="AR112">
        <v>2475</v>
      </c>
      <c r="AS112">
        <v>168</v>
      </c>
      <c r="AT112">
        <v>316</v>
      </c>
      <c r="AU112">
        <v>0.52</v>
      </c>
      <c r="AV112">
        <v>1.77</v>
      </c>
      <c r="AW112">
        <v>0.53</v>
      </c>
    </row>
    <row r="113" spans="4:49" customFormat="1" x14ac:dyDescent="0.2">
      <c r="D113">
        <v>1090</v>
      </c>
      <c r="F113">
        <v>79</v>
      </c>
      <c r="G113">
        <v>9</v>
      </c>
      <c r="H113">
        <v>66</v>
      </c>
      <c r="I113">
        <v>74</v>
      </c>
      <c r="J113">
        <v>89</v>
      </c>
      <c r="K113">
        <v>48</v>
      </c>
      <c r="L113">
        <v>72</v>
      </c>
      <c r="M113">
        <v>25.36</v>
      </c>
      <c r="N113">
        <v>30</v>
      </c>
      <c r="O113">
        <v>39</v>
      </c>
      <c r="P113">
        <v>12</v>
      </c>
      <c r="Q113" s="55" t="s">
        <v>414</v>
      </c>
      <c r="R113" s="55" t="s">
        <v>415</v>
      </c>
      <c r="S113" s="55" t="s">
        <v>416</v>
      </c>
      <c r="W113">
        <v>518</v>
      </c>
      <c r="Y113">
        <v>0.5</v>
      </c>
      <c r="Z113">
        <v>98</v>
      </c>
      <c r="AA113">
        <v>87</v>
      </c>
      <c r="AC113">
        <v>97</v>
      </c>
      <c r="AE113">
        <v>7</v>
      </c>
      <c r="AH113">
        <v>17</v>
      </c>
      <c r="AI113">
        <v>0.2</v>
      </c>
      <c r="AJ113">
        <v>0.6</v>
      </c>
      <c r="AK113">
        <v>12</v>
      </c>
      <c r="AL113">
        <v>25</v>
      </c>
      <c r="AM113">
        <v>1.2</v>
      </c>
      <c r="AN113">
        <v>1.2</v>
      </c>
      <c r="AO113">
        <v>5.5</v>
      </c>
      <c r="AP113" s="52">
        <v>5.5</v>
      </c>
      <c r="AQ113">
        <v>265</v>
      </c>
      <c r="AR113">
        <v>2122</v>
      </c>
      <c r="AS113">
        <v>175</v>
      </c>
      <c r="AT113">
        <v>26</v>
      </c>
      <c r="AU113">
        <v>0.76</v>
      </c>
      <c r="AV113">
        <v>1.63</v>
      </c>
      <c r="AW113">
        <v>0.33</v>
      </c>
    </row>
    <row r="114" spans="4:49" customFormat="1" x14ac:dyDescent="0.2">
      <c r="D114">
        <v>1092</v>
      </c>
      <c r="F114">
        <v>73</v>
      </c>
      <c r="G114">
        <v>9</v>
      </c>
      <c r="H114">
        <v>67</v>
      </c>
      <c r="I114">
        <v>70</v>
      </c>
      <c r="J114">
        <v>97</v>
      </c>
      <c r="K114">
        <v>60</v>
      </c>
      <c r="L114">
        <v>78</v>
      </c>
      <c r="N114">
        <v>22</v>
      </c>
      <c r="O114">
        <v>30</v>
      </c>
      <c r="P114">
        <v>6</v>
      </c>
      <c r="Q114" s="55" t="s">
        <v>417</v>
      </c>
      <c r="R114" s="55" t="s">
        <v>418</v>
      </c>
      <c r="S114" s="55" t="s">
        <v>419</v>
      </c>
      <c r="W114">
        <v>459</v>
      </c>
      <c r="Y114">
        <v>8</v>
      </c>
      <c r="Z114">
        <v>99</v>
      </c>
      <c r="AA114">
        <v>68</v>
      </c>
      <c r="AC114">
        <v>110</v>
      </c>
      <c r="AE114">
        <v>5.5</v>
      </c>
      <c r="AH114">
        <v>42</v>
      </c>
      <c r="AI114">
        <v>3.1</v>
      </c>
      <c r="AJ114">
        <v>1.9</v>
      </c>
      <c r="AK114">
        <v>18</v>
      </c>
      <c r="AL114">
        <v>30</v>
      </c>
      <c r="AM114">
        <v>10.5</v>
      </c>
      <c r="AN114">
        <v>10.5</v>
      </c>
      <c r="AO114">
        <v>2.9</v>
      </c>
      <c r="AP114" s="52">
        <v>2.9</v>
      </c>
      <c r="AQ114">
        <v>340</v>
      </c>
      <c r="AR114">
        <v>3968</v>
      </c>
      <c r="AS114">
        <v>135</v>
      </c>
      <c r="AT114">
        <v>44</v>
      </c>
      <c r="AU114">
        <v>0.53</v>
      </c>
      <c r="AV114" t="s">
        <v>509</v>
      </c>
      <c r="AW114">
        <v>0.33</v>
      </c>
    </row>
    <row r="115" spans="4:49" customFormat="1" x14ac:dyDescent="0.2">
      <c r="D115">
        <v>1093</v>
      </c>
      <c r="F115">
        <v>73</v>
      </c>
      <c r="G115">
        <v>1</v>
      </c>
      <c r="H115">
        <v>103</v>
      </c>
      <c r="I115">
        <v>106</v>
      </c>
      <c r="J115">
        <v>97</v>
      </c>
      <c r="K115">
        <v>89</v>
      </c>
      <c r="L115">
        <v>113</v>
      </c>
      <c r="M115">
        <v>26.39</v>
      </c>
      <c r="N115">
        <v>29</v>
      </c>
      <c r="O115">
        <v>28</v>
      </c>
      <c r="P115">
        <v>6</v>
      </c>
      <c r="Q115" s="55" t="s">
        <v>325</v>
      </c>
      <c r="R115" s="55" t="s">
        <v>420</v>
      </c>
      <c r="S115" s="55" t="s">
        <v>421</v>
      </c>
      <c r="W115">
        <v>683</v>
      </c>
      <c r="Y115">
        <v>2</v>
      </c>
      <c r="Z115">
        <v>99</v>
      </c>
      <c r="AA115">
        <v>58</v>
      </c>
      <c r="AC115">
        <v>85</v>
      </c>
      <c r="AE115">
        <v>5.7</v>
      </c>
      <c r="AH115">
        <v>37</v>
      </c>
      <c r="AI115">
        <v>0.5</v>
      </c>
      <c r="AJ115">
        <v>0.6</v>
      </c>
      <c r="AK115">
        <v>17</v>
      </c>
      <c r="AL115">
        <v>14</v>
      </c>
      <c r="AM115">
        <v>1.2</v>
      </c>
      <c r="AN115">
        <v>1.2</v>
      </c>
      <c r="AO115">
        <v>3.1</v>
      </c>
      <c r="AP115" s="52">
        <v>3.1</v>
      </c>
      <c r="AQ115">
        <v>338</v>
      </c>
      <c r="AR115">
        <v>5480</v>
      </c>
      <c r="AS115">
        <v>83</v>
      </c>
      <c r="AT115">
        <v>41</v>
      </c>
      <c r="AU115">
        <v>0.39</v>
      </c>
      <c r="AV115">
        <v>0.82</v>
      </c>
      <c r="AW115">
        <v>0.57999999999999996</v>
      </c>
    </row>
    <row r="116" spans="4:49" customFormat="1" x14ac:dyDescent="0.2">
      <c r="D116">
        <v>1094</v>
      </c>
      <c r="F116">
        <v>74</v>
      </c>
      <c r="G116">
        <v>8</v>
      </c>
      <c r="H116">
        <v>79</v>
      </c>
      <c r="I116">
        <v>75</v>
      </c>
      <c r="J116">
        <v>105</v>
      </c>
      <c r="K116">
        <v>87</v>
      </c>
      <c r="L116">
        <v>112</v>
      </c>
      <c r="M116">
        <v>22.72</v>
      </c>
      <c r="N116">
        <v>27</v>
      </c>
      <c r="O116">
        <v>36</v>
      </c>
      <c r="P116">
        <v>13</v>
      </c>
      <c r="Q116" s="55" t="s">
        <v>422</v>
      </c>
      <c r="R116" s="55" t="s">
        <v>423</v>
      </c>
      <c r="S116" s="55" t="s">
        <v>424</v>
      </c>
      <c r="W116">
        <v>536</v>
      </c>
      <c r="Y116">
        <v>1</v>
      </c>
      <c r="Z116">
        <v>98</v>
      </c>
      <c r="AA116">
        <v>75</v>
      </c>
      <c r="AC116">
        <v>97</v>
      </c>
      <c r="AE116">
        <v>6.3</v>
      </c>
      <c r="AH116">
        <v>62</v>
      </c>
      <c r="AI116">
        <v>0.2</v>
      </c>
      <c r="AJ116">
        <v>0.6</v>
      </c>
      <c r="AK116">
        <v>18</v>
      </c>
      <c r="AL116">
        <v>16</v>
      </c>
      <c r="AM116" t="s">
        <v>282</v>
      </c>
      <c r="AN116" t="s">
        <v>282</v>
      </c>
      <c r="AO116">
        <v>2.9</v>
      </c>
      <c r="AP116" s="52">
        <v>2.9</v>
      </c>
      <c r="AQ116">
        <v>293</v>
      </c>
      <c r="AR116">
        <v>1941</v>
      </c>
      <c r="AS116">
        <v>190</v>
      </c>
      <c r="AT116">
        <v>17</v>
      </c>
      <c r="AU116">
        <v>0.6</v>
      </c>
      <c r="AV116">
        <v>0.11</v>
      </c>
      <c r="AW116">
        <v>1.05</v>
      </c>
    </row>
    <row r="117" spans="4:49" customFormat="1" x14ac:dyDescent="0.2">
      <c r="D117">
        <v>1095</v>
      </c>
      <c r="F117">
        <v>74</v>
      </c>
      <c r="G117">
        <v>4</v>
      </c>
      <c r="H117">
        <v>83</v>
      </c>
      <c r="I117">
        <v>83</v>
      </c>
      <c r="J117">
        <v>99</v>
      </c>
      <c r="K117">
        <v>79</v>
      </c>
      <c r="L117">
        <v>84</v>
      </c>
      <c r="M117">
        <v>17.309999999999999</v>
      </c>
      <c r="N117">
        <v>28</v>
      </c>
      <c r="O117">
        <v>30</v>
      </c>
      <c r="P117">
        <v>11</v>
      </c>
      <c r="Q117" s="55" t="s">
        <v>425</v>
      </c>
      <c r="R117" s="55" t="s">
        <v>426</v>
      </c>
      <c r="S117" s="55" t="s">
        <v>427</v>
      </c>
      <c r="W117">
        <v>458</v>
      </c>
      <c r="Y117">
        <v>1</v>
      </c>
      <c r="Z117">
        <v>98</v>
      </c>
      <c r="AA117">
        <v>71</v>
      </c>
      <c r="AC117">
        <v>73</v>
      </c>
      <c r="AE117">
        <v>4.8</v>
      </c>
      <c r="AH117">
        <v>45</v>
      </c>
      <c r="AI117">
        <v>4.0999999999999996</v>
      </c>
      <c r="AJ117">
        <v>0.8</v>
      </c>
      <c r="AK117">
        <v>18</v>
      </c>
      <c r="AL117">
        <v>23</v>
      </c>
      <c r="AM117">
        <v>2.7</v>
      </c>
      <c r="AN117">
        <v>2.7</v>
      </c>
      <c r="AO117">
        <v>3.2</v>
      </c>
      <c r="AP117" s="52">
        <v>3.2</v>
      </c>
      <c r="AQ117">
        <v>126</v>
      </c>
      <c r="AR117">
        <v>3811</v>
      </c>
      <c r="AS117">
        <v>88</v>
      </c>
      <c r="AT117">
        <v>14</v>
      </c>
      <c r="AU117">
        <v>1.08</v>
      </c>
      <c r="AV117">
        <v>0.28000000000000003</v>
      </c>
      <c r="AW117">
        <v>0.39</v>
      </c>
    </row>
    <row r="118" spans="4:49" customFormat="1" x14ac:dyDescent="0.2">
      <c r="D118">
        <v>1096</v>
      </c>
      <c r="F118">
        <v>72</v>
      </c>
      <c r="G118">
        <v>1</v>
      </c>
      <c r="H118">
        <v>100</v>
      </c>
      <c r="I118">
        <v>97</v>
      </c>
      <c r="J118">
        <v>103</v>
      </c>
      <c r="K118">
        <v>108</v>
      </c>
      <c r="L118">
        <v>106</v>
      </c>
      <c r="M118">
        <v>28.48</v>
      </c>
      <c r="N118">
        <v>29</v>
      </c>
      <c r="O118">
        <v>30</v>
      </c>
      <c r="P118">
        <v>10</v>
      </c>
      <c r="Q118" s="55" t="s">
        <v>428</v>
      </c>
      <c r="R118" s="55" t="s">
        <v>429</v>
      </c>
      <c r="S118" s="55" t="s">
        <v>430</v>
      </c>
      <c r="W118">
        <v>565</v>
      </c>
      <c r="Y118">
        <v>4</v>
      </c>
      <c r="Z118">
        <v>98</v>
      </c>
      <c r="AA118">
        <v>64</v>
      </c>
      <c r="AC118">
        <v>103</v>
      </c>
      <c r="AE118">
        <v>6.1</v>
      </c>
      <c r="AH118">
        <v>31</v>
      </c>
      <c r="AI118">
        <v>4.5</v>
      </c>
      <c r="AJ118">
        <v>0.6</v>
      </c>
      <c r="AK118">
        <v>15</v>
      </c>
      <c r="AL118">
        <v>12</v>
      </c>
      <c r="AM118">
        <v>2.6</v>
      </c>
      <c r="AN118">
        <v>2.6</v>
      </c>
      <c r="AO118">
        <v>4.2</v>
      </c>
      <c r="AP118" s="52">
        <v>4.2</v>
      </c>
      <c r="AQ118">
        <v>210</v>
      </c>
      <c r="AR118">
        <v>2703</v>
      </c>
      <c r="AS118">
        <v>44</v>
      </c>
      <c r="AT118">
        <v>22</v>
      </c>
      <c r="AU118">
        <v>0.87</v>
      </c>
      <c r="AV118">
        <v>0.3</v>
      </c>
      <c r="AW118">
        <v>0.36</v>
      </c>
    </row>
    <row r="119" spans="4:49" customFormat="1" x14ac:dyDescent="0.2">
      <c r="D119">
        <v>1097</v>
      </c>
      <c r="F119">
        <v>51</v>
      </c>
      <c r="G119">
        <v>11</v>
      </c>
      <c r="H119">
        <v>93</v>
      </c>
      <c r="I119">
        <v>89</v>
      </c>
      <c r="J119">
        <v>103</v>
      </c>
      <c r="K119">
        <v>120</v>
      </c>
      <c r="L119">
        <v>118</v>
      </c>
      <c r="M119">
        <v>27.46</v>
      </c>
      <c r="N119">
        <v>35</v>
      </c>
      <c r="O119">
        <v>40</v>
      </c>
      <c r="P119">
        <v>23</v>
      </c>
      <c r="Q119" s="55" t="s">
        <v>431</v>
      </c>
      <c r="R119" s="55" t="s">
        <v>426</v>
      </c>
      <c r="S119" s="55" t="s">
        <v>432</v>
      </c>
      <c r="W119">
        <v>668</v>
      </c>
      <c r="Y119">
        <v>2</v>
      </c>
      <c r="Z119">
        <v>98</v>
      </c>
      <c r="AA119">
        <v>71</v>
      </c>
      <c r="AC119">
        <v>115</v>
      </c>
      <c r="AE119">
        <v>5.8</v>
      </c>
      <c r="AH119">
        <v>38</v>
      </c>
      <c r="AI119">
        <v>0.2</v>
      </c>
      <c r="AJ119">
        <v>2.2000000000000002</v>
      </c>
      <c r="AK119">
        <v>88</v>
      </c>
      <c r="AL119">
        <v>240</v>
      </c>
      <c r="AM119">
        <v>60.5</v>
      </c>
      <c r="AN119">
        <v>60.5</v>
      </c>
      <c r="AO119">
        <v>4.7</v>
      </c>
      <c r="AP119" s="52">
        <v>4.7</v>
      </c>
      <c r="AQ119">
        <v>201</v>
      </c>
      <c r="AR119">
        <v>2252</v>
      </c>
      <c r="AS119">
        <v>203</v>
      </c>
      <c r="AT119">
        <v>55</v>
      </c>
      <c r="AU119">
        <v>0.34</v>
      </c>
      <c r="AV119">
        <v>0.61</v>
      </c>
      <c r="AW119">
        <v>0.62</v>
      </c>
    </row>
    <row r="120" spans="4:49" customFormat="1" x14ac:dyDescent="0.2">
      <c r="D120">
        <v>1099</v>
      </c>
      <c r="F120">
        <v>55</v>
      </c>
      <c r="G120">
        <v>7</v>
      </c>
      <c r="H120">
        <v>86</v>
      </c>
      <c r="I120">
        <v>86</v>
      </c>
      <c r="J120">
        <v>99</v>
      </c>
      <c r="K120">
        <v>91</v>
      </c>
      <c r="L120">
        <v>69</v>
      </c>
      <c r="M120">
        <v>23.63</v>
      </c>
      <c r="N120">
        <v>32</v>
      </c>
      <c r="O120">
        <v>43</v>
      </c>
      <c r="P120">
        <v>6</v>
      </c>
      <c r="Q120" s="55" t="s">
        <v>433</v>
      </c>
      <c r="R120" s="55" t="s">
        <v>434</v>
      </c>
      <c r="S120" s="55" t="s">
        <v>435</v>
      </c>
      <c r="W120">
        <v>531</v>
      </c>
      <c r="Y120">
        <v>2</v>
      </c>
      <c r="Z120">
        <v>98</v>
      </c>
      <c r="AA120">
        <v>69</v>
      </c>
      <c r="AC120">
        <v>91</v>
      </c>
      <c r="AE120">
        <v>5.7</v>
      </c>
      <c r="AH120">
        <v>25</v>
      </c>
      <c r="AI120">
        <v>1.2</v>
      </c>
      <c r="AJ120" t="s">
        <v>299</v>
      </c>
      <c r="AK120">
        <v>6</v>
      </c>
      <c r="AL120">
        <v>10</v>
      </c>
      <c r="AM120" t="s">
        <v>282</v>
      </c>
      <c r="AN120" t="s">
        <v>282</v>
      </c>
      <c r="AO120">
        <v>1.8</v>
      </c>
      <c r="AP120" s="52">
        <v>1.8</v>
      </c>
      <c r="AQ120">
        <v>140</v>
      </c>
      <c r="AR120">
        <v>1295</v>
      </c>
      <c r="AS120">
        <v>65</v>
      </c>
      <c r="AT120">
        <v>10</v>
      </c>
      <c r="AU120">
        <v>0.23</v>
      </c>
      <c r="AV120">
        <v>0.83</v>
      </c>
      <c r="AW120">
        <v>1.04</v>
      </c>
    </row>
    <row r="121" spans="4:49" customFormat="1" x14ac:dyDescent="0.2">
      <c r="D121">
        <v>1100</v>
      </c>
      <c r="F121">
        <v>79</v>
      </c>
      <c r="G121">
        <v>3</v>
      </c>
      <c r="H121">
        <v>65</v>
      </c>
      <c r="I121">
        <v>70</v>
      </c>
      <c r="J121">
        <v>93</v>
      </c>
      <c r="K121">
        <v>56</v>
      </c>
      <c r="L121">
        <v>90</v>
      </c>
      <c r="M121">
        <v>29.85</v>
      </c>
      <c r="N121">
        <v>24</v>
      </c>
      <c r="O121">
        <v>29</v>
      </c>
      <c r="P121">
        <v>7</v>
      </c>
      <c r="Q121" s="55" t="s">
        <v>436</v>
      </c>
      <c r="R121" s="55" t="s">
        <v>437</v>
      </c>
      <c r="S121" s="55" t="s">
        <v>368</v>
      </c>
      <c r="W121">
        <v>430</v>
      </c>
      <c r="Y121">
        <v>0</v>
      </c>
      <c r="Z121">
        <v>98</v>
      </c>
      <c r="AA121">
        <v>73</v>
      </c>
      <c r="AC121">
        <v>85</v>
      </c>
      <c r="AE121">
        <v>6</v>
      </c>
      <c r="AH121">
        <v>50</v>
      </c>
      <c r="AI121">
        <v>0.9</v>
      </c>
      <c r="AJ121">
        <v>0.9</v>
      </c>
      <c r="AK121">
        <v>18</v>
      </c>
      <c r="AL121">
        <v>16</v>
      </c>
      <c r="AM121">
        <v>10.3</v>
      </c>
      <c r="AN121">
        <v>10.3</v>
      </c>
      <c r="AO121">
        <v>1.9</v>
      </c>
      <c r="AP121" s="52">
        <v>1.9</v>
      </c>
      <c r="AQ121">
        <v>232</v>
      </c>
      <c r="AR121">
        <v>5772</v>
      </c>
      <c r="AS121">
        <v>79</v>
      </c>
      <c r="AT121">
        <v>6</v>
      </c>
      <c r="AU121">
        <v>0.46</v>
      </c>
      <c r="AV121">
        <v>0.57999999999999996</v>
      </c>
      <c r="AW121">
        <v>1.68</v>
      </c>
    </row>
    <row r="122" spans="4:49" customFormat="1" x14ac:dyDescent="0.2">
      <c r="D122">
        <v>1101</v>
      </c>
      <c r="F122">
        <v>66</v>
      </c>
      <c r="G122">
        <v>26</v>
      </c>
      <c r="H122">
        <v>83</v>
      </c>
      <c r="I122">
        <v>86</v>
      </c>
      <c r="J122">
        <v>96</v>
      </c>
      <c r="K122">
        <v>71</v>
      </c>
      <c r="L122">
        <v>83</v>
      </c>
      <c r="M122">
        <v>27.05</v>
      </c>
      <c r="N122">
        <v>31</v>
      </c>
      <c r="O122">
        <v>32</v>
      </c>
      <c r="P122">
        <v>22</v>
      </c>
      <c r="Q122" s="55" t="s">
        <v>438</v>
      </c>
      <c r="R122" s="55" t="s">
        <v>439</v>
      </c>
      <c r="S122" s="55" t="s">
        <v>440</v>
      </c>
      <c r="W122">
        <v>486</v>
      </c>
      <c r="Y122">
        <v>7</v>
      </c>
      <c r="Z122">
        <v>98</v>
      </c>
      <c r="AA122">
        <v>60</v>
      </c>
      <c r="AC122">
        <v>91</v>
      </c>
      <c r="AE122">
        <v>6.3</v>
      </c>
      <c r="AH122">
        <v>44</v>
      </c>
      <c r="AI122">
        <v>1.7</v>
      </c>
      <c r="AJ122" t="s">
        <v>299</v>
      </c>
      <c r="AK122">
        <v>11</v>
      </c>
      <c r="AL122">
        <v>15</v>
      </c>
      <c r="AM122" t="s">
        <v>282</v>
      </c>
      <c r="AN122" t="s">
        <v>282</v>
      </c>
      <c r="AO122">
        <v>1.7</v>
      </c>
      <c r="AP122" s="52">
        <v>1.7</v>
      </c>
      <c r="AQ122">
        <v>163</v>
      </c>
      <c r="AR122">
        <v>3973</v>
      </c>
      <c r="AS122">
        <v>107</v>
      </c>
      <c r="AT122">
        <v>8</v>
      </c>
      <c r="AU122">
        <v>0.4</v>
      </c>
      <c r="AV122" t="s">
        <v>509</v>
      </c>
      <c r="AW122">
        <v>0.65</v>
      </c>
    </row>
    <row r="123" spans="4:49" customFormat="1" x14ac:dyDescent="0.2">
      <c r="D123">
        <v>1102</v>
      </c>
      <c r="F123">
        <v>68</v>
      </c>
      <c r="G123">
        <v>9</v>
      </c>
      <c r="H123">
        <v>91</v>
      </c>
      <c r="I123">
        <v>89</v>
      </c>
      <c r="J123">
        <v>102</v>
      </c>
      <c r="K123">
        <v>97</v>
      </c>
      <c r="L123">
        <v>89</v>
      </c>
      <c r="M123">
        <v>20.75</v>
      </c>
      <c r="N123">
        <v>30</v>
      </c>
      <c r="O123">
        <v>33</v>
      </c>
      <c r="P123">
        <v>24</v>
      </c>
      <c r="Q123" s="55" t="s">
        <v>441</v>
      </c>
      <c r="R123" s="55" t="s">
        <v>442</v>
      </c>
      <c r="S123" s="55" t="s">
        <v>443</v>
      </c>
      <c r="W123">
        <v>526</v>
      </c>
      <c r="Y123">
        <v>3</v>
      </c>
      <c r="Z123">
        <v>98</v>
      </c>
      <c r="AA123">
        <v>59</v>
      </c>
      <c r="AC123">
        <v>78</v>
      </c>
      <c r="AE123">
        <v>5.7</v>
      </c>
      <c r="AH123">
        <v>48</v>
      </c>
      <c r="AI123">
        <v>1</v>
      </c>
      <c r="AJ123">
        <v>0.6</v>
      </c>
      <c r="AK123">
        <v>17</v>
      </c>
      <c r="AL123">
        <v>35</v>
      </c>
      <c r="AM123">
        <v>2</v>
      </c>
      <c r="AN123">
        <v>2</v>
      </c>
      <c r="AO123">
        <v>6.9</v>
      </c>
      <c r="AP123" s="52">
        <v>6.9</v>
      </c>
      <c r="AQ123">
        <v>587</v>
      </c>
      <c r="AR123">
        <v>4703</v>
      </c>
      <c r="AS123">
        <v>95</v>
      </c>
      <c r="AT123">
        <v>12</v>
      </c>
      <c r="AU123">
        <v>0.36</v>
      </c>
      <c r="AV123">
        <v>0.52</v>
      </c>
      <c r="AW123">
        <v>1.03</v>
      </c>
    </row>
    <row r="124" spans="4:49" customFormat="1" x14ac:dyDescent="0.2">
      <c r="D124">
        <v>1103</v>
      </c>
      <c r="F124">
        <v>72</v>
      </c>
      <c r="G124">
        <v>9</v>
      </c>
      <c r="H124">
        <v>84</v>
      </c>
      <c r="I124">
        <v>84</v>
      </c>
      <c r="J124">
        <v>100</v>
      </c>
      <c r="K124">
        <v>83</v>
      </c>
      <c r="L124">
        <v>100</v>
      </c>
      <c r="M124">
        <v>21.22</v>
      </c>
      <c r="N124">
        <v>39</v>
      </c>
      <c r="O124">
        <v>35</v>
      </c>
      <c r="P124">
        <v>18</v>
      </c>
      <c r="Q124" s="55" t="s">
        <v>233</v>
      </c>
      <c r="R124" s="55" t="s">
        <v>242</v>
      </c>
      <c r="S124" s="55" t="s">
        <v>444</v>
      </c>
      <c r="W124">
        <v>576</v>
      </c>
      <c r="Y124">
        <v>5</v>
      </c>
      <c r="Z124">
        <v>98</v>
      </c>
      <c r="AA124">
        <v>63</v>
      </c>
      <c r="AC124">
        <v>91</v>
      </c>
      <c r="AE124">
        <v>5.5</v>
      </c>
      <c r="AH124">
        <v>40</v>
      </c>
      <c r="AI124">
        <v>0.3</v>
      </c>
      <c r="AJ124">
        <v>1.3</v>
      </c>
      <c r="AK124">
        <v>22</v>
      </c>
      <c r="AL124">
        <v>29</v>
      </c>
      <c r="AM124">
        <v>16.100000000000001</v>
      </c>
      <c r="AN124">
        <v>16.100000000000001</v>
      </c>
      <c r="AO124">
        <v>5.0999999999999996</v>
      </c>
      <c r="AP124" s="52">
        <v>5.0999999999999996</v>
      </c>
      <c r="AQ124">
        <v>438</v>
      </c>
      <c r="AR124">
        <v>6092</v>
      </c>
      <c r="AS124">
        <v>186</v>
      </c>
      <c r="AT124">
        <v>2738</v>
      </c>
      <c r="AU124">
        <v>1.07</v>
      </c>
      <c r="AV124">
        <v>1.78</v>
      </c>
      <c r="AW124">
        <v>0.26</v>
      </c>
    </row>
    <row r="125" spans="4:49" customFormat="1" x14ac:dyDescent="0.2">
      <c r="D125">
        <v>1104</v>
      </c>
      <c r="F125">
        <v>69</v>
      </c>
      <c r="G125">
        <v>14</v>
      </c>
      <c r="H125">
        <v>87</v>
      </c>
      <c r="I125">
        <v>88</v>
      </c>
      <c r="J125">
        <v>99</v>
      </c>
      <c r="K125">
        <v>81</v>
      </c>
      <c r="L125">
        <v>99</v>
      </c>
      <c r="M125">
        <v>27.6</v>
      </c>
      <c r="N125">
        <v>37</v>
      </c>
      <c r="O125">
        <v>36</v>
      </c>
      <c r="P125">
        <v>22</v>
      </c>
      <c r="Q125" s="55" t="s">
        <v>445</v>
      </c>
      <c r="R125" s="55" t="s">
        <v>446</v>
      </c>
      <c r="S125" s="55" t="s">
        <v>447</v>
      </c>
      <c r="W125">
        <v>654</v>
      </c>
      <c r="Y125">
        <v>7</v>
      </c>
      <c r="AA125">
        <v>84</v>
      </c>
      <c r="AC125">
        <v>81</v>
      </c>
      <c r="AE125">
        <v>4.0999999999999996</v>
      </c>
      <c r="AH125">
        <v>179</v>
      </c>
      <c r="AI125">
        <v>0.4</v>
      </c>
      <c r="AJ125" t="s">
        <v>299</v>
      </c>
      <c r="AK125">
        <v>21</v>
      </c>
      <c r="AL125">
        <v>38</v>
      </c>
      <c r="AM125">
        <v>2</v>
      </c>
      <c r="AN125">
        <v>2</v>
      </c>
      <c r="AO125">
        <v>2.6</v>
      </c>
      <c r="AP125" s="52">
        <v>2.6</v>
      </c>
      <c r="AQ125">
        <v>183</v>
      </c>
      <c r="AR125">
        <v>2475</v>
      </c>
      <c r="AS125">
        <v>152</v>
      </c>
      <c r="AT125">
        <v>31</v>
      </c>
      <c r="AU125">
        <v>0.32</v>
      </c>
      <c r="AV125">
        <v>0.89</v>
      </c>
      <c r="AW125">
        <v>0.5</v>
      </c>
    </row>
    <row r="126" spans="4:49" customFormat="1" x14ac:dyDescent="0.2">
      <c r="D126">
        <v>1105</v>
      </c>
      <c r="F126">
        <v>63</v>
      </c>
      <c r="G126">
        <v>7</v>
      </c>
      <c r="H126">
        <v>87</v>
      </c>
      <c r="I126">
        <v>83</v>
      </c>
      <c r="J126">
        <v>103</v>
      </c>
      <c r="K126">
        <v>98</v>
      </c>
      <c r="L126">
        <v>94</v>
      </c>
      <c r="M126">
        <v>12.04</v>
      </c>
      <c r="N126">
        <v>24</v>
      </c>
      <c r="O126">
        <v>46</v>
      </c>
      <c r="P126">
        <v>5</v>
      </c>
      <c r="Q126" s="55" t="s">
        <v>448</v>
      </c>
      <c r="R126" s="55" t="s">
        <v>449</v>
      </c>
      <c r="S126" s="55" t="s">
        <v>450</v>
      </c>
      <c r="W126">
        <v>470</v>
      </c>
      <c r="Y126">
        <v>2</v>
      </c>
      <c r="Z126">
        <v>97</v>
      </c>
      <c r="AA126">
        <v>71</v>
      </c>
      <c r="AC126">
        <v>88</v>
      </c>
      <c r="AE126">
        <v>6.9</v>
      </c>
      <c r="AH126">
        <v>18</v>
      </c>
      <c r="AI126">
        <v>1.3</v>
      </c>
      <c r="AP126" s="52"/>
    </row>
    <row r="127" spans="4:49" customFormat="1" x14ac:dyDescent="0.2">
      <c r="D127">
        <v>1106</v>
      </c>
      <c r="F127">
        <v>61</v>
      </c>
      <c r="G127">
        <v>4</v>
      </c>
      <c r="H127">
        <v>125</v>
      </c>
      <c r="I127">
        <v>126</v>
      </c>
      <c r="J127">
        <v>99</v>
      </c>
      <c r="K127">
        <v>125</v>
      </c>
      <c r="L127">
        <v>108</v>
      </c>
      <c r="N127">
        <v>37</v>
      </c>
      <c r="O127">
        <v>39</v>
      </c>
      <c r="P127">
        <v>10</v>
      </c>
      <c r="Q127" s="55" t="s">
        <v>451</v>
      </c>
      <c r="R127" s="55" t="s">
        <v>452</v>
      </c>
      <c r="S127" s="55" t="s">
        <v>453</v>
      </c>
      <c r="W127">
        <v>429</v>
      </c>
      <c r="Y127">
        <v>1</v>
      </c>
      <c r="Z127">
        <v>98</v>
      </c>
      <c r="AA127">
        <v>60</v>
      </c>
      <c r="AC127">
        <v>73</v>
      </c>
      <c r="AE127">
        <v>6.6</v>
      </c>
      <c r="AH127">
        <v>42</v>
      </c>
      <c r="AI127">
        <v>0.6</v>
      </c>
      <c r="AJ127">
        <v>0.6</v>
      </c>
      <c r="AK127">
        <v>20</v>
      </c>
      <c r="AL127">
        <v>15</v>
      </c>
      <c r="AM127">
        <v>2.5</v>
      </c>
      <c r="AN127">
        <v>2.5</v>
      </c>
      <c r="AO127">
        <v>2.8</v>
      </c>
      <c r="AP127" s="52">
        <v>2.8</v>
      </c>
      <c r="AQ127">
        <v>1391</v>
      </c>
      <c r="AR127">
        <v>3621</v>
      </c>
      <c r="AS127">
        <v>60</v>
      </c>
      <c r="AT127">
        <v>7</v>
      </c>
      <c r="AU127" t="s">
        <v>509</v>
      </c>
      <c r="AV127">
        <v>0.24</v>
      </c>
      <c r="AW127">
        <v>0.75</v>
      </c>
    </row>
    <row r="128" spans="4:49" customFormat="1" x14ac:dyDescent="0.2">
      <c r="D128">
        <v>1107</v>
      </c>
      <c r="F128">
        <v>70</v>
      </c>
      <c r="G128">
        <v>6</v>
      </c>
      <c r="H128">
        <v>99</v>
      </c>
      <c r="I128">
        <v>90</v>
      </c>
      <c r="J128">
        <v>109</v>
      </c>
      <c r="K128">
        <v>128</v>
      </c>
      <c r="L128">
        <v>111</v>
      </c>
      <c r="M128">
        <v>15.33</v>
      </c>
      <c r="N128">
        <v>29</v>
      </c>
      <c r="O128">
        <v>33</v>
      </c>
      <c r="P128">
        <v>9</v>
      </c>
      <c r="Q128" s="55" t="s">
        <v>454</v>
      </c>
      <c r="R128" s="55" t="s">
        <v>455</v>
      </c>
      <c r="S128" s="55" t="s">
        <v>456</v>
      </c>
      <c r="W128">
        <v>563</v>
      </c>
      <c r="Y128">
        <v>3</v>
      </c>
      <c r="Z128">
        <v>98</v>
      </c>
      <c r="AA128">
        <v>83</v>
      </c>
      <c r="AC128">
        <v>110</v>
      </c>
      <c r="AE128">
        <v>6.2</v>
      </c>
      <c r="AH128">
        <v>54</v>
      </c>
      <c r="AI128">
        <v>1.8</v>
      </c>
      <c r="AJ128">
        <v>0.7</v>
      </c>
      <c r="AK128">
        <v>18</v>
      </c>
      <c r="AL128">
        <v>25</v>
      </c>
      <c r="AM128">
        <v>4.9000000000000004</v>
      </c>
      <c r="AN128">
        <v>4.9000000000000004</v>
      </c>
      <c r="AO128">
        <v>6.1</v>
      </c>
      <c r="AP128" s="52">
        <v>6.1</v>
      </c>
      <c r="AQ128">
        <v>132</v>
      </c>
      <c r="AR128">
        <v>1934</v>
      </c>
      <c r="AS128">
        <v>6.6</v>
      </c>
      <c r="AT128">
        <v>9</v>
      </c>
      <c r="AU128">
        <v>0.59</v>
      </c>
      <c r="AV128">
        <v>0.18</v>
      </c>
      <c r="AW128">
        <v>1.24</v>
      </c>
    </row>
    <row r="129" spans="4:49" customFormat="1" x14ac:dyDescent="0.2">
      <c r="D129">
        <v>1108</v>
      </c>
      <c r="F129">
        <v>67</v>
      </c>
      <c r="G129">
        <v>9</v>
      </c>
      <c r="H129">
        <v>93</v>
      </c>
      <c r="I129">
        <v>99</v>
      </c>
      <c r="J129">
        <v>93</v>
      </c>
      <c r="K129">
        <v>71</v>
      </c>
      <c r="L129">
        <v>99</v>
      </c>
      <c r="M129">
        <v>16.22</v>
      </c>
      <c r="N129">
        <v>29</v>
      </c>
      <c r="O129">
        <v>37</v>
      </c>
      <c r="P129">
        <v>14</v>
      </c>
      <c r="Q129" s="55" t="s">
        <v>457</v>
      </c>
      <c r="R129" s="55" t="s">
        <v>458</v>
      </c>
      <c r="S129" s="55" t="s">
        <v>223</v>
      </c>
      <c r="W129">
        <v>566</v>
      </c>
      <c r="Y129">
        <v>6</v>
      </c>
      <c r="Z129">
        <v>82</v>
      </c>
      <c r="AA129">
        <v>58</v>
      </c>
      <c r="AC129">
        <v>83</v>
      </c>
      <c r="AE129">
        <v>5.2</v>
      </c>
      <c r="AH129">
        <v>10</v>
      </c>
      <c r="AI129">
        <v>0.1</v>
      </c>
      <c r="AJ129" t="s">
        <v>299</v>
      </c>
      <c r="AK129">
        <v>21</v>
      </c>
      <c r="AL129">
        <v>12</v>
      </c>
      <c r="AM129" t="s">
        <v>282</v>
      </c>
      <c r="AN129" t="s">
        <v>282</v>
      </c>
      <c r="AO129">
        <v>3.6</v>
      </c>
      <c r="AP129" s="52">
        <v>3.6</v>
      </c>
      <c r="AQ129">
        <v>266</v>
      </c>
      <c r="AR129">
        <v>1751</v>
      </c>
      <c r="AS129">
        <v>146</v>
      </c>
      <c r="AT129">
        <v>22</v>
      </c>
      <c r="AU129">
        <v>0.46</v>
      </c>
      <c r="AV129">
        <v>1.9</v>
      </c>
      <c r="AW129">
        <v>0.2</v>
      </c>
    </row>
    <row r="130" spans="4:49" customFormat="1" x14ac:dyDescent="0.2">
      <c r="D130">
        <v>1109</v>
      </c>
      <c r="F130">
        <v>57</v>
      </c>
      <c r="G130">
        <v>11</v>
      </c>
      <c r="H130">
        <v>94</v>
      </c>
      <c r="I130">
        <v>86</v>
      </c>
      <c r="J130">
        <v>108</v>
      </c>
      <c r="K130">
        <v>128</v>
      </c>
      <c r="L130">
        <v>87</v>
      </c>
      <c r="M130">
        <v>15.57</v>
      </c>
      <c r="N130">
        <v>32</v>
      </c>
      <c r="O130">
        <v>46</v>
      </c>
      <c r="P130">
        <v>12</v>
      </c>
      <c r="Q130" s="55" t="s">
        <v>372</v>
      </c>
      <c r="R130" s="55" t="s">
        <v>459</v>
      </c>
      <c r="S130" s="55" t="s">
        <v>460</v>
      </c>
      <c r="W130">
        <v>584</v>
      </c>
      <c r="Y130">
        <v>3</v>
      </c>
      <c r="Z130">
        <v>98</v>
      </c>
      <c r="AA130">
        <v>77</v>
      </c>
      <c r="AC130">
        <v>91</v>
      </c>
      <c r="AE130">
        <v>6</v>
      </c>
      <c r="AH130">
        <v>48</v>
      </c>
      <c r="AI130">
        <v>5.5</v>
      </c>
      <c r="AJ130" t="s">
        <v>510</v>
      </c>
      <c r="AK130">
        <v>15</v>
      </c>
      <c r="AL130">
        <v>11</v>
      </c>
      <c r="AM130">
        <v>1.8</v>
      </c>
      <c r="AN130">
        <v>1.8</v>
      </c>
      <c r="AO130">
        <v>4.5</v>
      </c>
      <c r="AP130" s="52">
        <v>4.5</v>
      </c>
      <c r="AQ130">
        <v>127</v>
      </c>
      <c r="AR130">
        <v>1920</v>
      </c>
      <c r="AS130">
        <v>88</v>
      </c>
      <c r="AT130">
        <v>26</v>
      </c>
      <c r="AU130">
        <v>0.26</v>
      </c>
      <c r="AV130">
        <v>0.33</v>
      </c>
      <c r="AW130">
        <v>0.43</v>
      </c>
    </row>
    <row r="131" spans="4:49" customFormat="1" x14ac:dyDescent="0.2">
      <c r="D131">
        <v>1110</v>
      </c>
      <c r="F131">
        <v>67</v>
      </c>
      <c r="G131">
        <v>15</v>
      </c>
      <c r="H131">
        <v>82</v>
      </c>
      <c r="I131">
        <v>84</v>
      </c>
      <c r="J131">
        <v>97</v>
      </c>
      <c r="K131">
        <v>72</v>
      </c>
      <c r="L131">
        <v>85</v>
      </c>
      <c r="M131">
        <v>25.42</v>
      </c>
      <c r="N131">
        <v>40</v>
      </c>
      <c r="O131">
        <v>38</v>
      </c>
      <c r="P131">
        <v>29</v>
      </c>
      <c r="Q131" s="55" t="s">
        <v>350</v>
      </c>
      <c r="R131" s="55" t="s">
        <v>468</v>
      </c>
      <c r="S131" s="55" t="s">
        <v>469</v>
      </c>
      <c r="W131">
        <v>397</v>
      </c>
      <c r="Y131">
        <v>2</v>
      </c>
      <c r="Z131">
        <v>98</v>
      </c>
      <c r="AA131">
        <v>82</v>
      </c>
      <c r="AC131">
        <v>106</v>
      </c>
      <c r="AE131">
        <v>6.1</v>
      </c>
      <c r="AH131">
        <v>38</v>
      </c>
      <c r="AI131">
        <v>0.5</v>
      </c>
      <c r="AJ131">
        <v>0.8</v>
      </c>
      <c r="AK131">
        <v>16</v>
      </c>
      <c r="AL131">
        <v>27</v>
      </c>
      <c r="AM131">
        <v>1.1000000000000001</v>
      </c>
      <c r="AN131">
        <v>1.1000000000000001</v>
      </c>
      <c r="AO131">
        <v>4.5999999999999996</v>
      </c>
      <c r="AP131" s="52">
        <v>4.5999999999999996</v>
      </c>
      <c r="AQ131">
        <v>105</v>
      </c>
      <c r="AR131">
        <v>724</v>
      </c>
      <c r="AS131">
        <v>68</v>
      </c>
      <c r="AT131">
        <v>7</v>
      </c>
      <c r="AU131">
        <v>0.45</v>
      </c>
      <c r="AV131">
        <v>0.34</v>
      </c>
      <c r="AW131">
        <v>1.17</v>
      </c>
    </row>
    <row r="132" spans="4:49" customFormat="1" x14ac:dyDescent="0.2">
      <c r="D132">
        <v>1111</v>
      </c>
      <c r="F132">
        <v>71</v>
      </c>
      <c r="G132">
        <v>8</v>
      </c>
      <c r="H132">
        <v>79</v>
      </c>
      <c r="I132">
        <v>83</v>
      </c>
      <c r="J132">
        <v>95</v>
      </c>
      <c r="K132">
        <v>63</v>
      </c>
      <c r="L132">
        <v>92</v>
      </c>
      <c r="M132">
        <v>28.23</v>
      </c>
      <c r="N132">
        <v>28</v>
      </c>
      <c r="O132">
        <v>33</v>
      </c>
      <c r="P132">
        <v>10</v>
      </c>
      <c r="Q132" s="55" t="s">
        <v>470</v>
      </c>
      <c r="R132" s="55" t="s">
        <v>471</v>
      </c>
      <c r="S132" s="55" t="s">
        <v>472</v>
      </c>
      <c r="W132">
        <v>468</v>
      </c>
      <c r="Y132">
        <v>4</v>
      </c>
      <c r="Z132">
        <v>98</v>
      </c>
      <c r="AA132">
        <v>77</v>
      </c>
      <c r="AC132">
        <v>95</v>
      </c>
      <c r="AE132">
        <v>5.7</v>
      </c>
      <c r="AH132">
        <v>24</v>
      </c>
      <c r="AI132">
        <v>3.4</v>
      </c>
      <c r="AP132" s="52"/>
    </row>
    <row r="133" spans="4:49" customFormat="1" x14ac:dyDescent="0.2">
      <c r="D133">
        <v>1112</v>
      </c>
      <c r="F133">
        <v>72</v>
      </c>
      <c r="G133">
        <v>3</v>
      </c>
      <c r="H133">
        <v>85</v>
      </c>
      <c r="I133">
        <v>80</v>
      </c>
      <c r="J133">
        <v>106</v>
      </c>
      <c r="K133">
        <v>109</v>
      </c>
      <c r="L133">
        <v>76</v>
      </c>
      <c r="M133">
        <v>21.01</v>
      </c>
      <c r="N133">
        <v>33</v>
      </c>
      <c r="O133">
        <v>31</v>
      </c>
      <c r="P133">
        <v>26</v>
      </c>
      <c r="Q133" s="55" t="s">
        <v>451</v>
      </c>
      <c r="R133" s="55" t="s">
        <v>473</v>
      </c>
      <c r="S133" s="55" t="s">
        <v>474</v>
      </c>
      <c r="W133">
        <v>414</v>
      </c>
      <c r="Y133">
        <v>1</v>
      </c>
      <c r="Z133">
        <v>93</v>
      </c>
      <c r="AA133">
        <v>61</v>
      </c>
      <c r="AC133">
        <v>91</v>
      </c>
      <c r="AE133">
        <v>7.2</v>
      </c>
      <c r="AH133">
        <v>38</v>
      </c>
      <c r="AI133">
        <v>1</v>
      </c>
      <c r="AJ133" t="s">
        <v>299</v>
      </c>
      <c r="AK133">
        <v>18</v>
      </c>
      <c r="AL133">
        <v>10</v>
      </c>
      <c r="AM133">
        <v>1.3</v>
      </c>
      <c r="AN133">
        <v>1.3</v>
      </c>
      <c r="AO133">
        <v>4.4000000000000004</v>
      </c>
      <c r="AP133" s="52">
        <v>4.4000000000000004</v>
      </c>
      <c r="AQ133">
        <v>154</v>
      </c>
      <c r="AR133">
        <v>10677</v>
      </c>
      <c r="AS133">
        <v>50</v>
      </c>
      <c r="AT133">
        <v>15</v>
      </c>
      <c r="AU133">
        <v>0.48</v>
      </c>
      <c r="AV133">
        <v>0.33</v>
      </c>
      <c r="AW133">
        <v>0.4</v>
      </c>
    </row>
    <row r="134" spans="4:49" customFormat="1" x14ac:dyDescent="0.2">
      <c r="D134">
        <v>1113</v>
      </c>
      <c r="F134">
        <v>62</v>
      </c>
      <c r="G134">
        <v>9</v>
      </c>
      <c r="H134">
        <v>77</v>
      </c>
      <c r="I134">
        <v>77</v>
      </c>
      <c r="J134">
        <v>99</v>
      </c>
      <c r="K134">
        <v>74</v>
      </c>
      <c r="L134">
        <v>91</v>
      </c>
      <c r="M134">
        <v>24.86</v>
      </c>
      <c r="N134">
        <v>35</v>
      </c>
      <c r="O134">
        <v>40</v>
      </c>
      <c r="P134">
        <v>7</v>
      </c>
      <c r="Q134" s="55" t="s">
        <v>475</v>
      </c>
      <c r="R134" s="55" t="s">
        <v>476</v>
      </c>
      <c r="S134" s="55" t="s">
        <v>477</v>
      </c>
      <c r="W134">
        <v>585</v>
      </c>
      <c r="Y134">
        <v>3</v>
      </c>
      <c r="Z134">
        <v>99</v>
      </c>
      <c r="AA134">
        <v>79</v>
      </c>
      <c r="AC134">
        <v>121</v>
      </c>
      <c r="AE134">
        <v>5.4</v>
      </c>
      <c r="AH134">
        <v>32</v>
      </c>
      <c r="AI134">
        <v>0.9</v>
      </c>
      <c r="AP134" s="52"/>
    </row>
    <row r="135" spans="4:49" customFormat="1" x14ac:dyDescent="0.2">
      <c r="D135">
        <v>1114</v>
      </c>
      <c r="F135">
        <v>59</v>
      </c>
      <c r="G135">
        <v>7</v>
      </c>
      <c r="H135">
        <v>92</v>
      </c>
      <c r="I135">
        <v>90</v>
      </c>
      <c r="J135">
        <v>102</v>
      </c>
      <c r="K135">
        <v>98</v>
      </c>
      <c r="L135">
        <v>133</v>
      </c>
      <c r="M135">
        <v>33</v>
      </c>
      <c r="N135" t="s">
        <v>463</v>
      </c>
      <c r="O135" t="s">
        <v>464</v>
      </c>
      <c r="P135">
        <v>29</v>
      </c>
      <c r="Q135" s="55" t="s">
        <v>461</v>
      </c>
      <c r="R135" s="55" t="s">
        <v>424</v>
      </c>
      <c r="S135" s="55" t="s">
        <v>462</v>
      </c>
      <c r="W135">
        <v>581</v>
      </c>
      <c r="Y135">
        <v>1.5</v>
      </c>
      <c r="Z135">
        <v>98</v>
      </c>
      <c r="AA135">
        <v>53</v>
      </c>
      <c r="AC135">
        <v>82</v>
      </c>
      <c r="AE135">
        <v>6.1</v>
      </c>
      <c r="AH135">
        <v>31</v>
      </c>
      <c r="AI135">
        <v>0.5</v>
      </c>
      <c r="AJ135">
        <v>0.5</v>
      </c>
      <c r="AK135" t="s">
        <v>511</v>
      </c>
      <c r="AL135">
        <v>13</v>
      </c>
      <c r="AM135" t="s">
        <v>282</v>
      </c>
      <c r="AN135" t="s">
        <v>282</v>
      </c>
      <c r="AO135">
        <v>2.1</v>
      </c>
      <c r="AP135" s="52">
        <v>2.1</v>
      </c>
      <c r="AQ135">
        <v>251</v>
      </c>
      <c r="AR135">
        <v>3653</v>
      </c>
      <c r="AS135">
        <v>84</v>
      </c>
      <c r="AT135">
        <v>18</v>
      </c>
      <c r="AU135">
        <v>0.18</v>
      </c>
      <c r="AV135">
        <v>0.51</v>
      </c>
      <c r="AW135">
        <v>0.62</v>
      </c>
    </row>
    <row r="136" spans="4:49" customFormat="1" x14ac:dyDescent="0.2">
      <c r="D136">
        <v>1115</v>
      </c>
      <c r="F136">
        <v>61</v>
      </c>
      <c r="G136">
        <v>7</v>
      </c>
      <c r="H136">
        <v>71</v>
      </c>
      <c r="I136">
        <v>65</v>
      </c>
      <c r="J136">
        <v>108</v>
      </c>
      <c r="K136">
        <v>100</v>
      </c>
      <c r="L136">
        <v>77</v>
      </c>
      <c r="M136">
        <v>21.63</v>
      </c>
      <c r="N136">
        <v>41</v>
      </c>
      <c r="O136">
        <v>46</v>
      </c>
      <c r="P136">
        <v>27</v>
      </c>
      <c r="Q136" s="55" t="s">
        <v>414</v>
      </c>
      <c r="R136" s="55" t="s">
        <v>478</v>
      </c>
      <c r="S136" s="55" t="s">
        <v>479</v>
      </c>
      <c r="W136">
        <v>517</v>
      </c>
      <c r="Y136">
        <v>2</v>
      </c>
      <c r="Z136">
        <v>98</v>
      </c>
      <c r="AA136">
        <v>67</v>
      </c>
      <c r="AC136">
        <v>90</v>
      </c>
      <c r="AE136">
        <v>6</v>
      </c>
      <c r="AH136">
        <v>33</v>
      </c>
      <c r="AI136">
        <v>3.7</v>
      </c>
      <c r="AP136" s="52"/>
    </row>
    <row r="137" spans="4:49" customFormat="1" x14ac:dyDescent="0.2">
      <c r="D137">
        <v>1116</v>
      </c>
      <c r="F137">
        <v>66</v>
      </c>
      <c r="G137">
        <v>14</v>
      </c>
      <c r="H137">
        <v>79</v>
      </c>
      <c r="I137">
        <v>86</v>
      </c>
      <c r="J137">
        <v>92</v>
      </c>
      <c r="K137">
        <v>55</v>
      </c>
      <c r="L137">
        <v>82</v>
      </c>
      <c r="M137">
        <v>29.67</v>
      </c>
      <c r="N137">
        <v>26</v>
      </c>
      <c r="O137">
        <v>34</v>
      </c>
      <c r="P137">
        <v>9</v>
      </c>
      <c r="Q137" s="55" t="s">
        <v>465</v>
      </c>
      <c r="R137" s="55" t="s">
        <v>466</v>
      </c>
      <c r="S137" s="55" t="s">
        <v>467</v>
      </c>
      <c r="W137">
        <v>440</v>
      </c>
      <c r="Y137">
        <v>4</v>
      </c>
      <c r="Z137">
        <v>98</v>
      </c>
      <c r="AA137">
        <v>69</v>
      </c>
      <c r="AC137">
        <v>84</v>
      </c>
      <c r="AE137">
        <v>5.8</v>
      </c>
      <c r="AH137">
        <v>37</v>
      </c>
      <c r="AI137">
        <v>1.8</v>
      </c>
      <c r="AJ137">
        <v>1.6</v>
      </c>
      <c r="AK137">
        <v>23</v>
      </c>
      <c r="AL137">
        <v>17</v>
      </c>
      <c r="AM137">
        <v>2.7</v>
      </c>
      <c r="AN137">
        <v>2.7</v>
      </c>
      <c r="AO137">
        <v>5</v>
      </c>
      <c r="AP137" s="52">
        <v>5</v>
      </c>
      <c r="AQ137">
        <v>185</v>
      </c>
      <c r="AR137">
        <v>2436</v>
      </c>
      <c r="AS137">
        <v>84</v>
      </c>
      <c r="AT137">
        <v>22</v>
      </c>
      <c r="AU137">
        <v>0.36</v>
      </c>
      <c r="AV137">
        <v>0.15</v>
      </c>
      <c r="AW137">
        <v>0.93</v>
      </c>
    </row>
    <row r="138" spans="4:49" customFormat="1" x14ac:dyDescent="0.2">
      <c r="D138">
        <v>1118</v>
      </c>
      <c r="F138">
        <v>64</v>
      </c>
      <c r="G138">
        <v>7</v>
      </c>
      <c r="H138">
        <v>69</v>
      </c>
      <c r="I138">
        <v>64</v>
      </c>
      <c r="J138">
        <v>107</v>
      </c>
      <c r="K138">
        <v>84</v>
      </c>
      <c r="L138">
        <v>50</v>
      </c>
      <c r="M138">
        <v>26.23</v>
      </c>
      <c r="N138">
        <v>37</v>
      </c>
      <c r="O138">
        <v>31</v>
      </c>
      <c r="P138">
        <v>21</v>
      </c>
      <c r="Q138" s="55" t="s">
        <v>480</v>
      </c>
      <c r="R138" s="55" t="s">
        <v>481</v>
      </c>
      <c r="S138" s="55" t="s">
        <v>482</v>
      </c>
      <c r="W138">
        <v>484</v>
      </c>
      <c r="Y138">
        <v>5</v>
      </c>
      <c r="Z138">
        <v>98</v>
      </c>
      <c r="AA138">
        <v>82</v>
      </c>
      <c r="AC138">
        <v>96</v>
      </c>
      <c r="AP138" s="52"/>
    </row>
    <row r="139" spans="4:49" customFormat="1" x14ac:dyDescent="0.2">
      <c r="D139">
        <v>1120</v>
      </c>
      <c r="F139">
        <v>68</v>
      </c>
      <c r="G139">
        <v>3</v>
      </c>
      <c r="H139">
        <v>75</v>
      </c>
      <c r="I139">
        <v>74</v>
      </c>
      <c r="J139">
        <v>101</v>
      </c>
      <c r="K139">
        <v>68</v>
      </c>
      <c r="L139">
        <v>52</v>
      </c>
      <c r="M139">
        <v>30.58</v>
      </c>
      <c r="N139">
        <v>29</v>
      </c>
      <c r="O139">
        <v>33</v>
      </c>
      <c r="P139">
        <v>6</v>
      </c>
      <c r="Q139" s="55" t="s">
        <v>483</v>
      </c>
      <c r="R139" s="55" t="s">
        <v>484</v>
      </c>
      <c r="S139" s="55" t="s">
        <v>485</v>
      </c>
      <c r="W139">
        <v>519</v>
      </c>
      <c r="Y139">
        <v>3</v>
      </c>
      <c r="Z139">
        <v>98</v>
      </c>
      <c r="AA139">
        <v>79</v>
      </c>
      <c r="AC139">
        <v>101</v>
      </c>
      <c r="AE139">
        <v>6.4</v>
      </c>
      <c r="AH139">
        <v>44</v>
      </c>
      <c r="AI139">
        <v>1</v>
      </c>
      <c r="AJ139">
        <v>7.7</v>
      </c>
      <c r="AK139">
        <v>65</v>
      </c>
      <c r="AL139" t="s">
        <v>511</v>
      </c>
      <c r="AM139">
        <v>1.7</v>
      </c>
      <c r="AN139">
        <v>1.7</v>
      </c>
      <c r="AO139">
        <v>2.6</v>
      </c>
      <c r="AP139" s="52">
        <v>2.6</v>
      </c>
      <c r="AQ139">
        <v>176</v>
      </c>
      <c r="AR139">
        <v>1343</v>
      </c>
      <c r="AS139">
        <v>60</v>
      </c>
      <c r="AT139">
        <v>30</v>
      </c>
      <c r="AU139">
        <v>0.64</v>
      </c>
      <c r="AV139">
        <v>0.5</v>
      </c>
      <c r="AW139">
        <v>0.88</v>
      </c>
    </row>
    <row r="140" spans="4:49" customFormat="1" x14ac:dyDescent="0.2">
      <c r="D140">
        <v>1126</v>
      </c>
      <c r="F140">
        <v>70</v>
      </c>
      <c r="G140">
        <v>2</v>
      </c>
      <c r="H140">
        <v>85</v>
      </c>
      <c r="I140">
        <v>90</v>
      </c>
      <c r="J140">
        <v>94</v>
      </c>
      <c r="K140">
        <v>63</v>
      </c>
      <c r="L140">
        <v>96</v>
      </c>
      <c r="M140">
        <v>27.95</v>
      </c>
      <c r="N140">
        <v>23</v>
      </c>
      <c r="O140">
        <v>24</v>
      </c>
      <c r="P140">
        <v>10</v>
      </c>
      <c r="Q140" s="55" t="s">
        <v>486</v>
      </c>
      <c r="R140" s="55" t="s">
        <v>487</v>
      </c>
      <c r="S140" s="55" t="s">
        <v>488</v>
      </c>
      <c r="W140">
        <v>514</v>
      </c>
      <c r="Y140">
        <v>3</v>
      </c>
      <c r="Z140">
        <v>98</v>
      </c>
      <c r="AA140">
        <v>72</v>
      </c>
      <c r="AC140">
        <v>74</v>
      </c>
      <c r="AE140">
        <v>5.8</v>
      </c>
      <c r="AH140">
        <v>41</v>
      </c>
      <c r="AI140">
        <v>0.9</v>
      </c>
      <c r="AJ140">
        <v>1</v>
      </c>
      <c r="AK140">
        <v>13</v>
      </c>
      <c r="AL140">
        <v>25</v>
      </c>
      <c r="AM140">
        <v>1.9</v>
      </c>
      <c r="AN140">
        <v>1.9</v>
      </c>
      <c r="AO140">
        <v>5.3</v>
      </c>
      <c r="AP140" s="52">
        <v>5.3</v>
      </c>
      <c r="AQ140">
        <v>115</v>
      </c>
      <c r="AR140">
        <v>2410</v>
      </c>
      <c r="AS140">
        <v>64</v>
      </c>
      <c r="AT140">
        <v>11</v>
      </c>
      <c r="AU140">
        <v>0.12</v>
      </c>
      <c r="AV140">
        <v>0.31</v>
      </c>
      <c r="AW140">
        <v>0.79</v>
      </c>
    </row>
    <row r="141" spans="4:49" customFormat="1" x14ac:dyDescent="0.2">
      <c r="D141">
        <v>1127</v>
      </c>
      <c r="F141">
        <v>60</v>
      </c>
      <c r="G141">
        <v>19</v>
      </c>
      <c r="H141">
        <v>68</v>
      </c>
      <c r="I141">
        <v>74</v>
      </c>
      <c r="J141">
        <v>92</v>
      </c>
      <c r="K141">
        <v>50</v>
      </c>
      <c r="L141">
        <v>72</v>
      </c>
      <c r="M141">
        <v>19.79</v>
      </c>
      <c r="N141">
        <v>40</v>
      </c>
      <c r="O141">
        <v>42</v>
      </c>
      <c r="P141">
        <v>18</v>
      </c>
      <c r="Q141" s="55" t="s">
        <v>489</v>
      </c>
      <c r="R141" s="55" t="s">
        <v>490</v>
      </c>
      <c r="S141" s="55" t="s">
        <v>488</v>
      </c>
      <c r="W141">
        <v>637</v>
      </c>
      <c r="Y141">
        <v>3</v>
      </c>
      <c r="Z141">
        <v>98</v>
      </c>
      <c r="AA141">
        <v>74</v>
      </c>
      <c r="AC141">
        <v>99</v>
      </c>
      <c r="AE141">
        <v>5.4</v>
      </c>
      <c r="AH141">
        <v>26</v>
      </c>
      <c r="AI141">
        <v>0.5</v>
      </c>
      <c r="AJ141">
        <v>0.9</v>
      </c>
      <c r="AK141">
        <v>12</v>
      </c>
      <c r="AL141">
        <v>23</v>
      </c>
      <c r="AM141">
        <v>5.3</v>
      </c>
      <c r="AN141">
        <v>5.3</v>
      </c>
      <c r="AO141">
        <v>5.7</v>
      </c>
      <c r="AP141" s="52">
        <v>5.7</v>
      </c>
      <c r="AQ141">
        <v>475</v>
      </c>
      <c r="AR141">
        <v>2309</v>
      </c>
      <c r="AS141">
        <v>118</v>
      </c>
      <c r="AT141">
        <v>121</v>
      </c>
      <c r="AU141">
        <v>0.19</v>
      </c>
      <c r="AV141">
        <v>0.52</v>
      </c>
      <c r="AW141">
        <v>0.55000000000000004</v>
      </c>
    </row>
    <row r="142" spans="4:49" customFormat="1" x14ac:dyDescent="0.2">
      <c r="D142">
        <v>1130</v>
      </c>
      <c r="F142">
        <v>66</v>
      </c>
      <c r="G142">
        <v>2</v>
      </c>
      <c r="H142">
        <v>109</v>
      </c>
      <c r="I142">
        <v>110</v>
      </c>
      <c r="J142">
        <v>99</v>
      </c>
      <c r="K142">
        <v>102</v>
      </c>
      <c r="L142">
        <v>118</v>
      </c>
      <c r="M142">
        <v>24.29</v>
      </c>
      <c r="N142">
        <v>27</v>
      </c>
      <c r="O142">
        <v>27</v>
      </c>
      <c r="P142">
        <v>5</v>
      </c>
      <c r="Q142" s="55" t="s">
        <v>491</v>
      </c>
      <c r="R142" s="55" t="s">
        <v>492</v>
      </c>
      <c r="S142" s="55" t="s">
        <v>493</v>
      </c>
      <c r="W142">
        <v>646</v>
      </c>
      <c r="Y142">
        <v>4</v>
      </c>
      <c r="Z142">
        <v>99</v>
      </c>
      <c r="AA142">
        <v>72</v>
      </c>
      <c r="AC142">
        <v>115</v>
      </c>
      <c r="AE142">
        <v>6.2</v>
      </c>
      <c r="AH142">
        <v>80</v>
      </c>
      <c r="AI142">
        <v>0.8</v>
      </c>
      <c r="AJ142" t="s">
        <v>299</v>
      </c>
      <c r="AK142">
        <v>11</v>
      </c>
      <c r="AL142">
        <v>12</v>
      </c>
      <c r="AM142">
        <v>1</v>
      </c>
      <c r="AN142">
        <v>1</v>
      </c>
      <c r="AO142">
        <v>4.9000000000000004</v>
      </c>
      <c r="AP142" s="52">
        <v>4.9000000000000004</v>
      </c>
      <c r="AQ142">
        <v>503</v>
      </c>
      <c r="AR142">
        <v>4470</v>
      </c>
      <c r="AS142">
        <v>196</v>
      </c>
      <c r="AT142">
        <v>629</v>
      </c>
      <c r="AU142">
        <v>1.42</v>
      </c>
      <c r="AV142">
        <v>0.66</v>
      </c>
      <c r="AW142">
        <v>0.42</v>
      </c>
    </row>
    <row r="143" spans="4:49" customFormat="1" x14ac:dyDescent="0.2">
      <c r="D143">
        <v>1131</v>
      </c>
      <c r="F143">
        <v>64</v>
      </c>
      <c r="G143">
        <v>12</v>
      </c>
      <c r="H143">
        <v>94</v>
      </c>
      <c r="I143">
        <v>92</v>
      </c>
      <c r="J143">
        <v>102</v>
      </c>
      <c r="K143">
        <v>102</v>
      </c>
      <c r="L143">
        <v>104</v>
      </c>
      <c r="M143">
        <v>24.44</v>
      </c>
      <c r="N143">
        <v>28</v>
      </c>
      <c r="O143">
        <v>39</v>
      </c>
      <c r="P143">
        <v>18</v>
      </c>
      <c r="Q143" s="55" t="s">
        <v>494</v>
      </c>
      <c r="R143" s="55" t="s">
        <v>495</v>
      </c>
      <c r="S143" s="55" t="s">
        <v>496</v>
      </c>
      <c r="W143">
        <v>554</v>
      </c>
      <c r="Y143">
        <v>2</v>
      </c>
      <c r="Z143">
        <v>98</v>
      </c>
      <c r="AA143">
        <v>59</v>
      </c>
      <c r="AC143">
        <v>81</v>
      </c>
      <c r="AE143">
        <v>7</v>
      </c>
      <c r="AH143">
        <v>30</v>
      </c>
      <c r="AI143">
        <v>0.3</v>
      </c>
      <c r="AJ143" t="s">
        <v>299</v>
      </c>
      <c r="AK143">
        <v>21</v>
      </c>
      <c r="AL143">
        <v>26</v>
      </c>
      <c r="AM143">
        <v>1.1000000000000001</v>
      </c>
      <c r="AN143">
        <v>1.1000000000000001</v>
      </c>
      <c r="AO143">
        <v>8.4</v>
      </c>
      <c r="AP143" s="52">
        <v>8.4</v>
      </c>
      <c r="AQ143">
        <v>61</v>
      </c>
      <c r="AR143">
        <v>1487</v>
      </c>
      <c r="AS143">
        <v>68</v>
      </c>
      <c r="AT143">
        <v>30</v>
      </c>
      <c r="AU143">
        <v>0.52</v>
      </c>
      <c r="AV143">
        <v>0.74</v>
      </c>
      <c r="AW143">
        <v>0.6</v>
      </c>
    </row>
    <row r="144" spans="4:49" customFormat="1" x14ac:dyDescent="0.2">
      <c r="D144">
        <v>1132</v>
      </c>
      <c r="F144">
        <v>71</v>
      </c>
      <c r="G144">
        <v>24</v>
      </c>
      <c r="H144">
        <v>68</v>
      </c>
      <c r="I144">
        <v>67</v>
      </c>
      <c r="J144">
        <v>101</v>
      </c>
      <c r="K144">
        <v>65</v>
      </c>
      <c r="L144">
        <v>93</v>
      </c>
      <c r="M144">
        <v>21.88</v>
      </c>
      <c r="N144">
        <v>41</v>
      </c>
      <c r="O144">
        <v>48</v>
      </c>
      <c r="P144">
        <v>24</v>
      </c>
      <c r="Q144" s="55" t="s">
        <v>497</v>
      </c>
      <c r="R144" s="55" t="s">
        <v>498</v>
      </c>
      <c r="S144" s="55" t="s">
        <v>498</v>
      </c>
      <c r="W144" t="s">
        <v>498</v>
      </c>
      <c r="Y144" t="s">
        <v>498</v>
      </c>
      <c r="Z144">
        <v>99</v>
      </c>
      <c r="AA144">
        <v>50</v>
      </c>
      <c r="AC144" t="s">
        <v>498</v>
      </c>
      <c r="AE144">
        <v>10</v>
      </c>
      <c r="AH144">
        <v>39</v>
      </c>
      <c r="AI144">
        <v>2.5</v>
      </c>
      <c r="AP144" s="52"/>
    </row>
    <row r="145" spans="1:54" customFormat="1" x14ac:dyDescent="0.2">
      <c r="D145">
        <v>1133</v>
      </c>
      <c r="F145">
        <v>65</v>
      </c>
      <c r="G145">
        <v>6</v>
      </c>
      <c r="H145">
        <v>87</v>
      </c>
      <c r="I145">
        <v>91</v>
      </c>
      <c r="J145">
        <v>95</v>
      </c>
      <c r="K145">
        <v>66</v>
      </c>
      <c r="L145">
        <v>114</v>
      </c>
      <c r="M145">
        <v>29.51</v>
      </c>
      <c r="N145">
        <v>24</v>
      </c>
      <c r="O145">
        <v>37</v>
      </c>
      <c r="P145">
        <v>10</v>
      </c>
      <c r="Q145" s="55" t="s">
        <v>499</v>
      </c>
      <c r="R145" s="55" t="s">
        <v>500</v>
      </c>
      <c r="S145" s="55" t="s">
        <v>501</v>
      </c>
      <c r="W145">
        <v>587</v>
      </c>
      <c r="Y145">
        <v>4</v>
      </c>
      <c r="Z145">
        <v>99</v>
      </c>
      <c r="AA145">
        <v>75</v>
      </c>
      <c r="AC145">
        <v>109</v>
      </c>
      <c r="AE145" t="s">
        <v>512</v>
      </c>
      <c r="AH145">
        <v>33</v>
      </c>
      <c r="AI145">
        <v>0.9</v>
      </c>
      <c r="AJ145" t="s">
        <v>299</v>
      </c>
      <c r="AK145">
        <v>11</v>
      </c>
      <c r="AL145">
        <v>20</v>
      </c>
      <c r="AM145">
        <v>2.1</v>
      </c>
      <c r="AN145">
        <v>2.1</v>
      </c>
      <c r="AO145">
        <v>2.7</v>
      </c>
      <c r="AP145" s="52">
        <v>2.7</v>
      </c>
      <c r="AQ145">
        <v>102</v>
      </c>
      <c r="AR145">
        <v>1099</v>
      </c>
      <c r="AS145">
        <v>673</v>
      </c>
      <c r="AT145">
        <v>19</v>
      </c>
      <c r="AU145">
        <v>0.48</v>
      </c>
      <c r="AV145">
        <v>0.61</v>
      </c>
      <c r="AW145">
        <v>0.78</v>
      </c>
    </row>
    <row r="146" spans="1:54" customFormat="1" x14ac:dyDescent="0.2">
      <c r="D146">
        <v>4001</v>
      </c>
      <c r="F146">
        <v>69</v>
      </c>
      <c r="G146">
        <v>20</v>
      </c>
      <c r="H146">
        <v>104</v>
      </c>
      <c r="I146">
        <v>93</v>
      </c>
      <c r="J146">
        <v>112</v>
      </c>
      <c r="K146">
        <v>157</v>
      </c>
      <c r="L146">
        <v>152</v>
      </c>
      <c r="M146">
        <v>27.76</v>
      </c>
      <c r="N146">
        <v>44</v>
      </c>
      <c r="O146">
        <v>43</v>
      </c>
      <c r="P146">
        <v>27</v>
      </c>
      <c r="Q146" s="55" t="s">
        <v>502</v>
      </c>
      <c r="R146" s="55" t="s">
        <v>503</v>
      </c>
      <c r="S146" s="55" t="s">
        <v>504</v>
      </c>
      <c r="W146">
        <v>464</v>
      </c>
      <c r="Y146">
        <v>1</v>
      </c>
      <c r="Z146">
        <v>97</v>
      </c>
      <c r="AA146">
        <v>73</v>
      </c>
      <c r="AC146">
        <v>102</v>
      </c>
      <c r="AE146">
        <v>6.6</v>
      </c>
      <c r="AH146">
        <v>31</v>
      </c>
      <c r="AI146">
        <v>1.4</v>
      </c>
    </row>
    <row r="147" spans="1:54" customFormat="1" x14ac:dyDescent="0.2">
      <c r="D147">
        <v>4003</v>
      </c>
      <c r="F147">
        <v>55</v>
      </c>
      <c r="H147">
        <v>108</v>
      </c>
      <c r="I147">
        <v>103</v>
      </c>
      <c r="J147">
        <v>104</v>
      </c>
      <c r="K147">
        <v>123</v>
      </c>
      <c r="L147">
        <v>114</v>
      </c>
      <c r="N147">
        <v>31</v>
      </c>
      <c r="O147">
        <v>36</v>
      </c>
      <c r="P147">
        <v>7</v>
      </c>
      <c r="Q147" s="55" t="s">
        <v>505</v>
      </c>
      <c r="R147" s="55" t="s">
        <v>506</v>
      </c>
      <c r="S147" s="55" t="s">
        <v>406</v>
      </c>
      <c r="W147">
        <v>655</v>
      </c>
      <c r="Y147">
        <v>6</v>
      </c>
      <c r="Z147">
        <v>98</v>
      </c>
      <c r="AA147">
        <v>63</v>
      </c>
      <c r="AC147">
        <v>119</v>
      </c>
      <c r="AE147">
        <v>5.9</v>
      </c>
      <c r="AH147">
        <v>34</v>
      </c>
      <c r="AI147">
        <v>8</v>
      </c>
    </row>
    <row r="148" spans="1:54" customFormat="1" x14ac:dyDescent="0.2">
      <c r="D148">
        <v>4004</v>
      </c>
      <c r="F148">
        <v>70</v>
      </c>
      <c r="G148">
        <v>12</v>
      </c>
      <c r="H148">
        <v>88</v>
      </c>
      <c r="I148">
        <v>96</v>
      </c>
      <c r="J148">
        <v>91</v>
      </c>
      <c r="K148">
        <v>64</v>
      </c>
      <c r="L148">
        <v>78</v>
      </c>
      <c r="M148">
        <v>21.6</v>
      </c>
      <c r="N148">
        <v>40</v>
      </c>
      <c r="O148">
        <v>41</v>
      </c>
      <c r="P148">
        <v>24</v>
      </c>
      <c r="Q148" s="55" t="s">
        <v>269</v>
      </c>
      <c r="R148" s="55" t="s">
        <v>507</v>
      </c>
      <c r="S148" s="55" t="s">
        <v>508</v>
      </c>
      <c r="W148">
        <v>657</v>
      </c>
      <c r="Y148">
        <v>4</v>
      </c>
      <c r="Z148">
        <v>98</v>
      </c>
      <c r="AA148">
        <v>57</v>
      </c>
      <c r="AC148">
        <v>84</v>
      </c>
      <c r="AE148">
        <v>5.9</v>
      </c>
      <c r="AH148">
        <v>40</v>
      </c>
      <c r="AI148">
        <v>0.1</v>
      </c>
    </row>
    <row r="149" spans="1:54" s="16" customFormat="1" x14ac:dyDescent="0.2">
      <c r="B149" s="15"/>
      <c r="AY149" s="19"/>
    </row>
    <row r="150" spans="1:54" s="12" customFormat="1" x14ac:dyDescent="0.2">
      <c r="B150" s="13"/>
      <c r="H150" s="4"/>
      <c r="I150" s="4"/>
      <c r="K150" s="5"/>
      <c r="S150" s="14"/>
      <c r="AP150" s="24"/>
      <c r="AU150" s="41"/>
      <c r="AY150" s="7"/>
    </row>
    <row r="151" spans="1:54" s="6" customFormat="1" x14ac:dyDescent="0.2">
      <c r="A151" s="6" t="s">
        <v>513</v>
      </c>
      <c r="D151" s="6" t="s">
        <v>155</v>
      </c>
      <c r="F151" s="6">
        <f>AVERAGE(F4:F78)</f>
        <v>68.396551724137936</v>
      </c>
      <c r="G151" s="6">
        <f>AVERAGE(G4:G92)</f>
        <v>8.9294117647058826</v>
      </c>
      <c r="H151" s="6">
        <f>AVERAGE(H4:H70)</f>
        <v>83.6</v>
      </c>
      <c r="I151" s="6">
        <f>AVERAGE(I4:I70)</f>
        <v>84.676923076923075</v>
      </c>
      <c r="J151" s="6">
        <f>AVERAGE(J4:J70)</f>
        <v>98.538461538461533</v>
      </c>
      <c r="K151" s="6">
        <f>AVERAGE(K4:K70)</f>
        <v>85.07692307692308</v>
      </c>
      <c r="L151" s="6">
        <f>AVERAGE(L4:L70)</f>
        <v>89.384615384615387</v>
      </c>
      <c r="M151" s="6">
        <f>AVERAGE(M4:M72)</f>
        <v>24.252343750000005</v>
      </c>
      <c r="N151" s="6">
        <f>AVERAGE(N4:N92)</f>
        <v>30.827586206896552</v>
      </c>
      <c r="O151" s="6">
        <f>AVERAGE(O4:O92)</f>
        <v>35.241379310344826</v>
      </c>
      <c r="P151" s="6">
        <f>AVERAGE(P4:P92)</f>
        <v>13.91764705882353</v>
      </c>
      <c r="Q151" s="6" t="e">
        <f>AVERAGE(Q4:Q92)</f>
        <v>#DIV/0!</v>
      </c>
      <c r="R151" s="6" t="e">
        <f>AVERAGE(R4:R92)</f>
        <v>#DIV/0!</v>
      </c>
      <c r="T151" s="6">
        <f>AVERAGE(T4:T92)</f>
        <v>80.52873563218391</v>
      </c>
      <c r="U151" s="6">
        <f>AVERAGE(U4:U92)</f>
        <v>134.64367816091954</v>
      </c>
      <c r="V151" s="6">
        <f>AVERAGE(V4:V92)</f>
        <v>54.114942528735632</v>
      </c>
      <c r="W151" s="6">
        <f>AVERAGE(W4:W72)</f>
        <v>563.24444444444441</v>
      </c>
      <c r="X151" s="6">
        <f>AVERAGE(X4:X70)</f>
        <v>113.25</v>
      </c>
      <c r="Y151" s="6">
        <f>AVERAGE(Y4:Y73)</f>
        <v>4.0317460317460316</v>
      </c>
      <c r="Z151" s="6">
        <f>AVERAGE(Z4:Z80)</f>
        <v>97.8</v>
      </c>
      <c r="AA151" s="6">
        <f>AVERAGE(AA4:AA85)</f>
        <v>71.337500000000006</v>
      </c>
      <c r="AB151" s="6">
        <f>AVERAGE(AB4:AB85)</f>
        <v>17.243589743589745</v>
      </c>
      <c r="AC151" s="6">
        <f>AVERAGE(AC4:AC85)</f>
        <v>88.696202531645568</v>
      </c>
      <c r="AD151" s="6" t="e">
        <f t="shared" ref="AD151:AJ151" si="3">AVERAGE(AD4:AD70)</f>
        <v>#DIV/0!</v>
      </c>
      <c r="AE151" s="6">
        <f t="shared" si="3"/>
        <v>5.5343750000000016</v>
      </c>
      <c r="AF151" s="6">
        <f t="shared" si="3"/>
        <v>14</v>
      </c>
      <c r="AG151" s="6">
        <f t="shared" si="3"/>
        <v>40.1875</v>
      </c>
      <c r="AH151" s="6">
        <f t="shared" si="3"/>
        <v>40.476923076923079</v>
      </c>
      <c r="AI151" s="6">
        <f t="shared" si="3"/>
        <v>2.4846153846153838</v>
      </c>
      <c r="AJ151" s="6">
        <f t="shared" si="3"/>
        <v>2.3710526315789475</v>
      </c>
      <c r="AK151" s="6">
        <f>AVERAGE(AK4:AK71)</f>
        <v>54.865384615384613</v>
      </c>
      <c r="AL151" s="6">
        <f>AVERAGE(AL4:AL71)</f>
        <v>36.450980392156865</v>
      </c>
      <c r="AM151" s="6">
        <f>AVERAGE(AM4:AM71)</f>
        <v>4.833333333333333</v>
      </c>
      <c r="AN151" s="6" t="e">
        <f>AVERAGE(AN4:AN70)</f>
        <v>#DIV/0!</v>
      </c>
      <c r="AO151" s="6" t="e">
        <f>AVERAGE(AO4:AO70)</f>
        <v>#DIV/0!</v>
      </c>
      <c r="AQ151" s="6">
        <f t="shared" ref="AQ151:BB151" si="4">AVERAGE(AQ4:AQ70)</f>
        <v>302.1396226415095</v>
      </c>
      <c r="AR151" s="6">
        <f t="shared" si="4"/>
        <v>2441.0059615384616</v>
      </c>
      <c r="AS151" s="6">
        <f t="shared" si="4"/>
        <v>76.846603773584889</v>
      </c>
      <c r="AT151" s="6">
        <f t="shared" si="4"/>
        <v>125.18018867924529</v>
      </c>
      <c r="AV151" s="6">
        <f t="shared" si="4"/>
        <v>0.62264150943396213</v>
      </c>
      <c r="AW151" s="6">
        <f t="shared" si="4"/>
        <v>0.8111764705882355</v>
      </c>
      <c r="AX151" s="6" t="e">
        <f t="shared" si="4"/>
        <v>#DIV/0!</v>
      </c>
      <c r="AY151" s="6">
        <f t="shared" si="4"/>
        <v>34.062051987620535</v>
      </c>
      <c r="AZ151" s="6">
        <f t="shared" si="4"/>
        <v>124.03533287166746</v>
      </c>
      <c r="BA151" s="6">
        <f t="shared" si="4"/>
        <v>207.64972016610358</v>
      </c>
      <c r="BB151" s="6">
        <f t="shared" si="4"/>
        <v>0.73129629629629633</v>
      </c>
    </row>
    <row r="152" spans="1:54" x14ac:dyDescent="0.2">
      <c r="D152" s="1" t="s">
        <v>185</v>
      </c>
      <c r="F152" s="1">
        <f>MEDIAN(F5:F95)</f>
        <v>68</v>
      </c>
      <c r="G152" s="46">
        <f t="shared" ref="G152:N152" si="5">MEDIAN(G5:G95)</f>
        <v>8</v>
      </c>
      <c r="H152" s="46">
        <f t="shared" si="5"/>
        <v>85</v>
      </c>
      <c r="I152" s="46">
        <f t="shared" si="5"/>
        <v>87</v>
      </c>
      <c r="J152" s="46">
        <f t="shared" si="5"/>
        <v>99</v>
      </c>
      <c r="K152" s="46">
        <f t="shared" si="5"/>
        <v>77</v>
      </c>
      <c r="L152" s="46">
        <f t="shared" si="5"/>
        <v>92</v>
      </c>
      <c r="M152" s="46">
        <f t="shared" si="5"/>
        <v>24.64</v>
      </c>
      <c r="N152" s="46">
        <f t="shared" si="5"/>
        <v>30</v>
      </c>
      <c r="O152" s="32">
        <f t="shared" ref="O152:BB152" si="6">MEDIAN(O5:O91)</f>
        <v>34.5</v>
      </c>
      <c r="P152" s="32">
        <f t="shared" si="6"/>
        <v>13</v>
      </c>
      <c r="Q152" s="32" t="e">
        <f t="shared" si="6"/>
        <v>#NUM!</v>
      </c>
      <c r="R152" s="32" t="e">
        <f t="shared" si="6"/>
        <v>#NUM!</v>
      </c>
      <c r="S152" s="32" t="e">
        <f t="shared" si="6"/>
        <v>#NUM!</v>
      </c>
      <c r="T152" s="32">
        <f t="shared" si="6"/>
        <v>79.5</v>
      </c>
      <c r="U152" s="32">
        <f t="shared" si="6"/>
        <v>131</v>
      </c>
      <c r="V152" s="32">
        <f t="shared" si="6"/>
        <v>51</v>
      </c>
      <c r="W152" s="32">
        <f t="shared" si="6"/>
        <v>559</v>
      </c>
      <c r="X152" s="32">
        <f t="shared" si="6"/>
        <v>118</v>
      </c>
      <c r="Y152" s="32">
        <f t="shared" si="6"/>
        <v>4</v>
      </c>
      <c r="Z152" s="32">
        <f t="shared" si="6"/>
        <v>98</v>
      </c>
      <c r="AA152" s="32">
        <f t="shared" si="6"/>
        <v>70</v>
      </c>
      <c r="AB152" s="32">
        <f t="shared" si="6"/>
        <v>16</v>
      </c>
      <c r="AC152" s="32">
        <f t="shared" si="6"/>
        <v>87</v>
      </c>
      <c r="AD152" s="32" t="e">
        <f t="shared" si="6"/>
        <v>#NUM!</v>
      </c>
      <c r="AE152" s="32">
        <f t="shared" si="6"/>
        <v>5.5</v>
      </c>
      <c r="AF152" s="32">
        <f t="shared" si="6"/>
        <v>5</v>
      </c>
      <c r="AG152" s="32">
        <f t="shared" si="6"/>
        <v>37</v>
      </c>
      <c r="AH152" s="32">
        <f t="shared" si="6"/>
        <v>37</v>
      </c>
      <c r="AI152" s="32">
        <f t="shared" si="6"/>
        <v>0.9</v>
      </c>
      <c r="AJ152" s="32">
        <f t="shared" si="6"/>
        <v>1.25</v>
      </c>
      <c r="AK152" s="32">
        <f t="shared" si="6"/>
        <v>36</v>
      </c>
      <c r="AL152" s="32">
        <f t="shared" si="6"/>
        <v>26.5</v>
      </c>
      <c r="AM152" s="32">
        <f t="shared" si="6"/>
        <v>2.5</v>
      </c>
      <c r="AN152" s="32" t="e">
        <f t="shared" si="6"/>
        <v>#NUM!</v>
      </c>
      <c r="AO152" s="32" t="e">
        <f t="shared" si="6"/>
        <v>#NUM!</v>
      </c>
      <c r="AP152" s="32">
        <f t="shared" si="6"/>
        <v>5.45</v>
      </c>
      <c r="AQ152" s="32">
        <f t="shared" si="6"/>
        <v>187</v>
      </c>
      <c r="AR152" s="32">
        <f t="shared" si="6"/>
        <v>2171</v>
      </c>
      <c r="AS152" s="32">
        <f t="shared" si="6"/>
        <v>69.884999999999991</v>
      </c>
      <c r="AT152" s="32">
        <f t="shared" si="6"/>
        <v>29.5</v>
      </c>
      <c r="AV152" s="32">
        <f t="shared" si="6"/>
        <v>0.55000000000000004</v>
      </c>
      <c r="AW152" s="32">
        <f t="shared" si="6"/>
        <v>0.76500000000000001</v>
      </c>
      <c r="AX152" s="32" t="e">
        <f t="shared" si="6"/>
        <v>#NUM!</v>
      </c>
      <c r="AY152" s="32">
        <f t="shared" si="6"/>
        <v>30.454999999999998</v>
      </c>
      <c r="AZ152" s="32">
        <f t="shared" si="6"/>
        <v>118.49000000000001</v>
      </c>
      <c r="BA152" s="32">
        <f t="shared" si="6"/>
        <v>14.585000000000001</v>
      </c>
      <c r="BB152" s="32">
        <f t="shared" si="6"/>
        <v>0.625</v>
      </c>
    </row>
    <row r="154" spans="1:54" x14ac:dyDescent="0.2">
      <c r="A154" s="1" t="s">
        <v>514</v>
      </c>
      <c r="F154" s="56">
        <f>AVERAGE(F97:F152)</f>
        <v>67.414750957854409</v>
      </c>
      <c r="G154" s="56">
        <f t="shared" ref="G154:BB154" si="7">AVERAGE(G97:G152)</f>
        <v>8.8288568257491669</v>
      </c>
      <c r="H154" s="56">
        <f t="shared" si="7"/>
        <v>87.566666666666677</v>
      </c>
      <c r="I154" s="56">
        <f t="shared" si="7"/>
        <v>87.456980056980058</v>
      </c>
      <c r="J154" s="56">
        <f t="shared" si="7"/>
        <v>99.769230769230774</v>
      </c>
      <c r="K154" s="56">
        <f t="shared" si="7"/>
        <v>90.186609686609685</v>
      </c>
      <c r="L154" s="56">
        <f t="shared" si="7"/>
        <v>96.229344729344731</v>
      </c>
      <c r="M154" s="56">
        <f t="shared" si="7"/>
        <v>24.293446875000004</v>
      </c>
      <c r="N154" s="56">
        <f t="shared" si="7"/>
        <v>32.260897852960312</v>
      </c>
      <c r="O154" s="56">
        <f t="shared" si="7"/>
        <v>35.919648666232924</v>
      </c>
      <c r="P154" s="56">
        <f t="shared" si="7"/>
        <v>15.776252723311545</v>
      </c>
      <c r="Q154" s="56" t="e">
        <f t="shared" si="7"/>
        <v>#DIV/0!</v>
      </c>
      <c r="R154" s="56" t="e">
        <f t="shared" si="7"/>
        <v>#DIV/0!</v>
      </c>
      <c r="S154" s="56" t="e">
        <f t="shared" si="7"/>
        <v>#NUM!</v>
      </c>
      <c r="T154" s="56">
        <f t="shared" si="7"/>
        <v>77.342911877394627</v>
      </c>
      <c r="U154" s="56">
        <f t="shared" si="7"/>
        <v>121.54789272030651</v>
      </c>
      <c r="V154" s="56">
        <f t="shared" si="7"/>
        <v>52.55747126436782</v>
      </c>
      <c r="W154" s="56">
        <f t="shared" si="7"/>
        <v>538.52159329140466</v>
      </c>
      <c r="X154" s="56">
        <f t="shared" si="7"/>
        <v>115.625</v>
      </c>
      <c r="Y154" s="56">
        <f t="shared" si="7"/>
        <v>3.1043725666367172</v>
      </c>
      <c r="Z154" s="56">
        <f t="shared" si="7"/>
        <v>97.675471698113213</v>
      </c>
      <c r="AA154" s="56">
        <f t="shared" si="7"/>
        <v>68.08032407407407</v>
      </c>
      <c r="AB154" s="56">
        <f t="shared" si="7"/>
        <v>16.621794871794872</v>
      </c>
      <c r="AC154" s="56">
        <f t="shared" si="7"/>
        <v>91.145211368521615</v>
      </c>
      <c r="AD154" s="56" t="e">
        <f t="shared" si="7"/>
        <v>#DIV/0!</v>
      </c>
      <c r="AE154" s="56">
        <f t="shared" si="7"/>
        <v>5.9429687499999977</v>
      </c>
      <c r="AF154" s="56">
        <f t="shared" si="7"/>
        <v>9.5</v>
      </c>
      <c r="AG154" s="56">
        <f t="shared" si="7"/>
        <v>38.59375</v>
      </c>
      <c r="AH154" s="56">
        <f t="shared" si="7"/>
        <v>40.990130624092885</v>
      </c>
      <c r="AI154" s="56">
        <f t="shared" si="7"/>
        <v>1.7034833091436867</v>
      </c>
      <c r="AJ154" s="56">
        <f t="shared" si="7"/>
        <v>1.552153110047847</v>
      </c>
      <c r="AK154" s="56">
        <f t="shared" si="7"/>
        <v>39.17875874125874</v>
      </c>
      <c r="AL154" s="56">
        <f t="shared" si="7"/>
        <v>27.771613190730839</v>
      </c>
      <c r="AM154" s="56">
        <f t="shared" si="7"/>
        <v>4.9888888888888898</v>
      </c>
      <c r="AN154" s="56" t="e">
        <f t="shared" si="7"/>
        <v>#DIV/0!</v>
      </c>
      <c r="AO154" s="56" t="e">
        <f t="shared" si="7"/>
        <v>#DIV/0!</v>
      </c>
      <c r="AP154" s="56">
        <f t="shared" si="7"/>
        <v>4.0397727272727266</v>
      </c>
      <c r="AQ154" s="56">
        <f t="shared" si="7"/>
        <v>710.20310272536688</v>
      </c>
      <c r="AR154" s="56">
        <f t="shared" si="7"/>
        <v>3101.3779102564104</v>
      </c>
      <c r="AS154" s="56">
        <f t="shared" si="7"/>
        <v>116.34070230607969</v>
      </c>
      <c r="AT154" s="56">
        <f t="shared" si="7"/>
        <v>143.10400419287211</v>
      </c>
      <c r="AU154" s="56">
        <f t="shared" si="7"/>
        <v>0.55071428571428582</v>
      </c>
      <c r="AV154" s="56">
        <f t="shared" si="7"/>
        <v>0.61099166301009189</v>
      </c>
      <c r="AW154" s="56">
        <f t="shared" si="7"/>
        <v>0.68191503267973863</v>
      </c>
      <c r="AX154" s="56" t="e">
        <f t="shared" si="7"/>
        <v>#DIV/0!</v>
      </c>
      <c r="AY154" s="56">
        <f t="shared" si="7"/>
        <v>32.258525993810267</v>
      </c>
      <c r="AZ154" s="56">
        <f t="shared" si="7"/>
        <v>121.26266643583374</v>
      </c>
      <c r="BA154" s="56">
        <f t="shared" si="7"/>
        <v>111.11736008305179</v>
      </c>
      <c r="BB154" s="56">
        <f t="shared" si="7"/>
        <v>0.67814814814814817</v>
      </c>
    </row>
    <row r="156" spans="1:54" x14ac:dyDescent="0.2">
      <c r="A156" s="1" t="s">
        <v>515</v>
      </c>
      <c r="F156" s="1">
        <f>AVERAGE(F5:F148)</f>
        <v>68.025000000000006</v>
      </c>
      <c r="G156" s="54">
        <f t="shared" ref="G156:BB156" si="8">AVERAGE(G5:G148)</f>
        <v>8.992700729927007</v>
      </c>
      <c r="H156" s="54">
        <f t="shared" si="8"/>
        <v>85.687943262411352</v>
      </c>
      <c r="I156" s="54">
        <f t="shared" si="8"/>
        <v>87.326241134751768</v>
      </c>
      <c r="J156" s="54">
        <f t="shared" si="8"/>
        <v>98.00709219858156</v>
      </c>
      <c r="K156" s="54">
        <f t="shared" si="8"/>
        <v>84.645390070921991</v>
      </c>
      <c r="L156" s="54">
        <f t="shared" si="8"/>
        <v>92.418439716312051</v>
      </c>
      <c r="M156" s="54">
        <f t="shared" si="8"/>
        <v>24.324961832061074</v>
      </c>
      <c r="N156" s="54">
        <f t="shared" si="8"/>
        <v>31.442857142857143</v>
      </c>
      <c r="O156" s="54">
        <f t="shared" si="8"/>
        <v>35.485714285714288</v>
      </c>
      <c r="P156" s="54">
        <f t="shared" si="8"/>
        <v>14.710144927536232</v>
      </c>
      <c r="Q156" s="54" t="e">
        <f t="shared" si="8"/>
        <v>#DIV/0!</v>
      </c>
      <c r="R156" s="54" t="e">
        <f t="shared" si="8"/>
        <v>#DIV/0!</v>
      </c>
      <c r="S156" s="54" t="e">
        <f t="shared" si="8"/>
        <v>#DIV/0!</v>
      </c>
      <c r="T156" s="54">
        <f t="shared" si="8"/>
        <v>80.477777777777774</v>
      </c>
      <c r="U156" s="54">
        <f t="shared" si="8"/>
        <v>134.06666666666666</v>
      </c>
      <c r="V156" s="54">
        <f t="shared" si="8"/>
        <v>53.887640449438202</v>
      </c>
      <c r="W156" s="54">
        <f t="shared" si="8"/>
        <v>547.06623999999999</v>
      </c>
      <c r="X156" s="54">
        <f t="shared" si="8"/>
        <v>113.25</v>
      </c>
      <c r="Y156" s="54">
        <f t="shared" si="8"/>
        <v>3.7196969696969697</v>
      </c>
      <c r="Z156" s="54">
        <f t="shared" si="8"/>
        <v>97.746268656716424</v>
      </c>
      <c r="AA156" s="54">
        <f t="shared" si="8"/>
        <v>69.99290780141844</v>
      </c>
      <c r="AB156" s="54">
        <f t="shared" si="8"/>
        <v>17.827586206896552</v>
      </c>
      <c r="AC156" s="54">
        <f t="shared" si="8"/>
        <v>89.892086330935257</v>
      </c>
      <c r="AD156" s="54" t="e">
        <f t="shared" si="8"/>
        <v>#DIV/0!</v>
      </c>
      <c r="AE156" s="54">
        <f t="shared" si="8"/>
        <v>5.6309352517985616</v>
      </c>
      <c r="AF156" s="54">
        <f t="shared" si="8"/>
        <v>12.2</v>
      </c>
      <c r="AG156" s="54">
        <f t="shared" si="8"/>
        <v>45.50561797752809</v>
      </c>
      <c r="AH156" s="54">
        <f t="shared" si="8"/>
        <v>44.035460992907801</v>
      </c>
      <c r="AI156" s="54">
        <f t="shared" si="8"/>
        <v>2.0283687943262398</v>
      </c>
      <c r="AJ156" s="54">
        <f t="shared" si="8"/>
        <v>1.9449999999999996</v>
      </c>
      <c r="AK156" s="54">
        <f t="shared" si="8"/>
        <v>45.972727272727276</v>
      </c>
      <c r="AL156" s="54">
        <f t="shared" si="8"/>
        <v>33.412844036697251</v>
      </c>
      <c r="AM156" s="54">
        <f t="shared" si="8"/>
        <v>4.6637362637362632</v>
      </c>
      <c r="AN156" s="54">
        <f t="shared" si="8"/>
        <v>5.0741935483870968</v>
      </c>
      <c r="AO156" s="54">
        <f t="shared" si="8"/>
        <v>4.006976744186046</v>
      </c>
      <c r="AP156" s="54">
        <f t="shared" si="8"/>
        <v>5.027380952380951</v>
      </c>
      <c r="AQ156" s="54">
        <f t="shared" si="8"/>
        <v>456.98973684210529</v>
      </c>
      <c r="AR156" s="54">
        <f t="shared" si="8"/>
        <v>4639.4983185840711</v>
      </c>
      <c r="AS156" s="54">
        <f t="shared" si="8"/>
        <v>93.781052631578945</v>
      </c>
      <c r="AT156" s="54">
        <f t="shared" si="8"/>
        <v>124.40456140350877</v>
      </c>
      <c r="AU156" s="54">
        <f t="shared" si="8"/>
        <v>0.63411764705882356</v>
      </c>
      <c r="AV156" s="54">
        <f t="shared" si="8"/>
        <v>0.65401785714285698</v>
      </c>
      <c r="AW156" s="54">
        <f t="shared" si="8"/>
        <v>0.74517857142857202</v>
      </c>
      <c r="AX156" s="54" t="e">
        <f t="shared" si="8"/>
        <v>#DIV/0!</v>
      </c>
      <c r="AY156" s="54">
        <f t="shared" si="8"/>
        <v>36.202185613500134</v>
      </c>
      <c r="AZ156" s="54">
        <f t="shared" si="8"/>
        <v>135.14794166768178</v>
      </c>
      <c r="BA156" s="54">
        <f t="shared" si="8"/>
        <v>188.28747705084893</v>
      </c>
      <c r="BB156" s="54">
        <f t="shared" si="8"/>
        <v>0.72231884057970996</v>
      </c>
    </row>
  </sheetData>
  <sortState ref="L47:M77">
    <sortCondition descending="1" ref="L46"/>
  </sortState>
  <mergeCells count="4">
    <mergeCell ref="AY2:BB2"/>
    <mergeCell ref="AF3:AG3"/>
    <mergeCell ref="U2:U3"/>
    <mergeCell ref="P2:P3"/>
  </mergeCells>
  <phoneticPr fontId="8" type="noConversion"/>
  <pageMargins left="0.75" right="0.75" top="1" bottom="1" header="0.5" footer="0.5"/>
  <pageSetup scale="84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O141"/>
  <sheetViews>
    <sheetView tabSelected="1" topLeftCell="B1" zoomScale="60" zoomScaleNormal="60" zoomScalePageLayoutView="60" workbookViewId="0">
      <selection activeCell="T79" sqref="T79"/>
    </sheetView>
  </sheetViews>
  <sheetFormatPr baseColWidth="10" defaultRowHeight="16" x14ac:dyDescent="0.2"/>
  <cols>
    <col min="1" max="1" width="4.1640625" customWidth="1"/>
    <col min="2" max="2" width="13.5" customWidth="1"/>
    <col min="3" max="3" width="5.83203125" customWidth="1"/>
    <col min="4" max="4" width="20.6640625" customWidth="1"/>
    <col min="5" max="5" width="1.6640625" customWidth="1"/>
    <col min="6" max="6" width="19.6640625" customWidth="1"/>
    <col min="7" max="7" width="23.5" customWidth="1"/>
    <col min="8" max="8" width="13.5" customWidth="1"/>
    <col min="9" max="9" width="3.1640625" customWidth="1"/>
    <col min="10" max="10" width="16.83203125" customWidth="1"/>
    <col min="11" max="11" width="15.1640625" customWidth="1"/>
    <col min="12" max="12" width="10" customWidth="1"/>
    <col min="17" max="17" width="10.33203125" customWidth="1"/>
    <col min="22" max="22" width="19.5" customWidth="1"/>
    <col min="29" max="29" width="19" customWidth="1"/>
  </cols>
  <sheetData>
    <row r="1" spans="2:67" s="190" customFormat="1" ht="17" thickBot="1" x14ac:dyDescent="0.25"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</row>
    <row r="2" spans="2:67" ht="50" customHeight="1" thickBot="1" x14ac:dyDescent="0.25">
      <c r="F2" s="191" t="s">
        <v>551</v>
      </c>
      <c r="G2" s="192"/>
      <c r="H2" s="192"/>
      <c r="I2" s="193"/>
    </row>
    <row r="3" spans="2:67" ht="21" x14ac:dyDescent="0.2">
      <c r="E3" s="83"/>
      <c r="F3" s="83" t="s">
        <v>552</v>
      </c>
    </row>
    <row r="5" spans="2:67" ht="17" thickBot="1" x14ac:dyDescent="0.25"/>
    <row r="6" spans="2:67" ht="22" thickBot="1" x14ac:dyDescent="0.25">
      <c r="E6" s="86"/>
      <c r="F6" s="290" t="s">
        <v>579</v>
      </c>
      <c r="G6" s="291"/>
      <c r="H6" s="291"/>
      <c r="I6" s="292"/>
      <c r="J6" s="288">
        <v>8</v>
      </c>
      <c r="K6" s="287">
        <v>80</v>
      </c>
      <c r="L6" s="289"/>
      <c r="M6" s="286">
        <v>80</v>
      </c>
      <c r="N6" s="85">
        <v>80</v>
      </c>
      <c r="O6" s="85">
        <v>80</v>
      </c>
      <c r="P6" s="85"/>
      <c r="Q6" s="85">
        <v>40</v>
      </c>
      <c r="R6" s="85">
        <v>40</v>
      </c>
      <c r="S6" s="85">
        <v>12</v>
      </c>
      <c r="T6" s="85"/>
      <c r="U6" s="85">
        <v>90</v>
      </c>
      <c r="V6" s="85">
        <v>140</v>
      </c>
      <c r="W6" s="85">
        <v>60</v>
      </c>
      <c r="X6" s="85"/>
      <c r="Y6" s="85">
        <v>90</v>
      </c>
      <c r="Z6" s="85">
        <v>140</v>
      </c>
      <c r="AA6" s="85">
        <v>60</v>
      </c>
      <c r="AB6" s="85"/>
      <c r="AC6" s="85"/>
      <c r="AD6" s="86"/>
      <c r="AE6" s="84"/>
      <c r="AF6" s="85"/>
      <c r="AG6" s="85"/>
      <c r="AH6" s="85"/>
      <c r="AI6" s="85"/>
      <c r="AJ6" s="86"/>
      <c r="AK6" s="84">
        <v>6</v>
      </c>
      <c r="AL6" s="85" t="s">
        <v>526</v>
      </c>
      <c r="AM6" s="85">
        <v>3</v>
      </c>
      <c r="AN6" s="87" t="s">
        <v>175</v>
      </c>
    </row>
    <row r="7" spans="2:67" ht="20" thickBot="1" x14ac:dyDescent="0.3">
      <c r="B7" s="92"/>
      <c r="C7" s="92"/>
      <c r="D7" s="92"/>
      <c r="E7" s="195"/>
      <c r="I7" s="53"/>
      <c r="J7" s="293"/>
      <c r="K7" s="294"/>
      <c r="L7" s="294"/>
      <c r="M7" s="295"/>
      <c r="N7" s="295"/>
      <c r="O7" s="295"/>
      <c r="P7" s="295"/>
      <c r="Q7" s="295"/>
      <c r="R7" s="295"/>
      <c r="S7" s="295"/>
      <c r="T7" s="296" t="s">
        <v>532</v>
      </c>
      <c r="U7" s="297"/>
      <c r="V7" s="297"/>
      <c r="W7" s="298"/>
      <c r="X7" s="299" t="s">
        <v>533</v>
      </c>
      <c r="Y7" s="300"/>
      <c r="Z7" s="300"/>
      <c r="AA7" s="301"/>
      <c r="AB7" s="296" t="s">
        <v>534</v>
      </c>
      <c r="AC7" s="297"/>
      <c r="AD7" s="302"/>
      <c r="AE7" s="303"/>
      <c r="AF7" s="295"/>
      <c r="AG7" s="295"/>
      <c r="AH7" s="295"/>
      <c r="AI7" s="295"/>
      <c r="AJ7" s="304"/>
      <c r="AK7" s="303"/>
      <c r="AL7" s="295"/>
      <c r="AM7" s="295"/>
      <c r="AN7" s="305"/>
    </row>
    <row r="8" spans="2:67" ht="58" thickBot="1" x14ac:dyDescent="0.25">
      <c r="B8" s="270" t="s">
        <v>544</v>
      </c>
      <c r="C8" s="275"/>
      <c r="D8" s="276"/>
      <c r="E8" s="75"/>
      <c r="F8" s="306"/>
      <c r="G8" s="307" t="s">
        <v>190</v>
      </c>
      <c r="H8" s="307" t="s">
        <v>1</v>
      </c>
      <c r="I8" s="192"/>
      <c r="J8" s="216" t="s">
        <v>2</v>
      </c>
      <c r="K8" s="217" t="s">
        <v>4</v>
      </c>
      <c r="L8" s="217" t="s">
        <v>92</v>
      </c>
      <c r="M8" s="217" t="s">
        <v>5</v>
      </c>
      <c r="N8" s="217" t="s">
        <v>91</v>
      </c>
      <c r="O8" s="217" t="s">
        <v>6</v>
      </c>
      <c r="P8" s="217" t="s">
        <v>3</v>
      </c>
      <c r="Q8" s="217" t="s">
        <v>7</v>
      </c>
      <c r="R8" s="217" t="s">
        <v>8</v>
      </c>
      <c r="S8" s="217" t="s">
        <v>9</v>
      </c>
      <c r="T8" s="217" t="s">
        <v>535</v>
      </c>
      <c r="U8" s="217" t="s">
        <v>517</v>
      </c>
      <c r="V8" s="217" t="s">
        <v>516</v>
      </c>
      <c r="W8" s="217" t="s">
        <v>536</v>
      </c>
      <c r="X8" s="217" t="s">
        <v>11</v>
      </c>
      <c r="Y8" s="217" t="s">
        <v>517</v>
      </c>
      <c r="Z8" s="217" t="s">
        <v>516</v>
      </c>
      <c r="AA8" s="217" t="s">
        <v>536</v>
      </c>
      <c r="AB8" s="217" t="s">
        <v>517</v>
      </c>
      <c r="AC8" s="217" t="s">
        <v>516</v>
      </c>
      <c r="AD8" s="308" t="s">
        <v>536</v>
      </c>
      <c r="AE8" s="216" t="s">
        <v>12</v>
      </c>
      <c r="AF8" s="217" t="s">
        <v>14</v>
      </c>
      <c r="AG8" s="217" t="s">
        <v>15</v>
      </c>
      <c r="AH8" s="217" t="s">
        <v>16</v>
      </c>
      <c r="AI8" s="217" t="s">
        <v>17</v>
      </c>
      <c r="AJ8" s="308" t="s">
        <v>153</v>
      </c>
      <c r="AK8" s="216" t="s">
        <v>101</v>
      </c>
      <c r="AL8" s="217" t="s">
        <v>523</v>
      </c>
      <c r="AM8" s="217" t="s">
        <v>100</v>
      </c>
      <c r="AN8" s="218" t="s">
        <v>169</v>
      </c>
    </row>
    <row r="9" spans="2:67" ht="24" customHeight="1" x14ac:dyDescent="0.25">
      <c r="B9" s="277"/>
      <c r="C9" s="236" t="s">
        <v>531</v>
      </c>
      <c r="D9" s="278" t="s">
        <v>554</v>
      </c>
      <c r="E9" s="75"/>
      <c r="F9" s="245" t="s">
        <v>537</v>
      </c>
      <c r="G9" s="258">
        <v>42094</v>
      </c>
      <c r="H9" s="97" t="s">
        <v>564</v>
      </c>
      <c r="I9" s="64"/>
      <c r="J9" s="100">
        <v>14</v>
      </c>
      <c r="K9" s="98">
        <v>61</v>
      </c>
      <c r="L9" s="98">
        <v>65</v>
      </c>
      <c r="M9" s="98">
        <v>94</v>
      </c>
      <c r="N9" s="98">
        <v>38</v>
      </c>
      <c r="O9" s="98">
        <v>111</v>
      </c>
      <c r="P9" s="98">
        <v>22.55</v>
      </c>
      <c r="Q9" s="98">
        <v>38</v>
      </c>
      <c r="R9" s="98">
        <v>46</v>
      </c>
      <c r="S9" s="99">
        <v>17</v>
      </c>
      <c r="T9" s="98" t="s">
        <v>193</v>
      </c>
      <c r="U9" s="98">
        <v>61</v>
      </c>
      <c r="V9" s="98">
        <v>108</v>
      </c>
      <c r="W9" s="99">
        <v>47</v>
      </c>
      <c r="X9" s="100" t="s">
        <v>194</v>
      </c>
      <c r="Y9" s="98">
        <v>66</v>
      </c>
      <c r="Z9" s="109">
        <v>124</v>
      </c>
      <c r="AA9" s="110">
        <f>Z9-Y9</f>
        <v>58</v>
      </c>
      <c r="AB9" s="111">
        <f>Y9-U9</f>
        <v>5</v>
      </c>
      <c r="AC9" s="109">
        <f>Z9-V9</f>
        <v>16</v>
      </c>
      <c r="AD9" s="73">
        <f>AA9-W9</f>
        <v>11</v>
      </c>
      <c r="AE9" s="100">
        <v>581</v>
      </c>
      <c r="AF9" s="98">
        <v>9</v>
      </c>
      <c r="AG9" s="98">
        <v>98</v>
      </c>
      <c r="AH9" s="98">
        <v>68</v>
      </c>
      <c r="AI9" s="98"/>
      <c r="AJ9" s="98"/>
      <c r="AK9" s="100">
        <v>5.8</v>
      </c>
      <c r="AL9" s="98">
        <v>36</v>
      </c>
      <c r="AM9" s="98">
        <v>1</v>
      </c>
      <c r="AN9" s="101">
        <v>9.8000000000000007</v>
      </c>
    </row>
    <row r="10" spans="2:67" ht="24" customHeight="1" x14ac:dyDescent="0.25">
      <c r="B10" s="279"/>
      <c r="C10" s="206" t="s">
        <v>531</v>
      </c>
      <c r="D10" s="280" t="s">
        <v>538</v>
      </c>
      <c r="E10" s="196"/>
      <c r="F10" s="246"/>
      <c r="G10" s="259">
        <v>42093</v>
      </c>
      <c r="H10" s="98" t="s">
        <v>565</v>
      </c>
      <c r="I10" s="254"/>
      <c r="J10" s="103">
        <v>16</v>
      </c>
      <c r="K10" s="102">
        <v>100</v>
      </c>
      <c r="L10" s="102">
        <v>95</v>
      </c>
      <c r="M10" s="102">
        <v>104</v>
      </c>
      <c r="N10" s="102">
        <v>108</v>
      </c>
      <c r="O10" s="102">
        <v>115</v>
      </c>
      <c r="P10" s="102">
        <v>25.18</v>
      </c>
      <c r="Q10" s="102">
        <v>24</v>
      </c>
      <c r="R10" s="102">
        <v>31</v>
      </c>
      <c r="S10" s="104">
        <v>10</v>
      </c>
      <c r="T10" s="102" t="s">
        <v>196</v>
      </c>
      <c r="U10" s="102">
        <v>100</v>
      </c>
      <c r="V10" s="102">
        <v>163</v>
      </c>
      <c r="W10" s="104">
        <f t="shared" ref="W10:W22" si="0">(V10-U10)</f>
        <v>63</v>
      </c>
      <c r="X10" s="103"/>
      <c r="Y10" s="102"/>
      <c r="Z10" s="82"/>
      <c r="AA10" s="105"/>
      <c r="AB10" s="106"/>
      <c r="AC10" s="82"/>
      <c r="AD10" s="48"/>
      <c r="AE10" s="103">
        <v>607</v>
      </c>
      <c r="AF10" s="107"/>
      <c r="AG10" s="102">
        <v>99</v>
      </c>
      <c r="AH10" s="102">
        <v>69</v>
      </c>
      <c r="AI10" s="102"/>
      <c r="AJ10" s="102"/>
      <c r="AK10" s="103">
        <v>5.2</v>
      </c>
      <c r="AL10" s="102">
        <v>27</v>
      </c>
      <c r="AM10" s="102">
        <v>2</v>
      </c>
      <c r="AN10" s="108">
        <v>48.5</v>
      </c>
    </row>
    <row r="11" spans="2:67" ht="24" customHeight="1" x14ac:dyDescent="0.25">
      <c r="B11" s="281"/>
      <c r="C11" s="206" t="s">
        <v>531</v>
      </c>
      <c r="D11" s="280" t="s">
        <v>539</v>
      </c>
      <c r="E11" s="196"/>
      <c r="F11" s="246"/>
      <c r="G11" s="259">
        <v>42094</v>
      </c>
      <c r="H11" s="98" t="s">
        <v>566</v>
      </c>
      <c r="I11" s="254"/>
      <c r="J11" s="103">
        <v>8</v>
      </c>
      <c r="K11" s="102">
        <v>68</v>
      </c>
      <c r="L11" s="102">
        <v>71</v>
      </c>
      <c r="M11" s="102">
        <v>96</v>
      </c>
      <c r="N11" s="102">
        <v>56</v>
      </c>
      <c r="O11" s="102">
        <v>68</v>
      </c>
      <c r="P11" s="102">
        <v>25.96</v>
      </c>
      <c r="Q11" s="102">
        <v>24</v>
      </c>
      <c r="R11" s="102">
        <v>27</v>
      </c>
      <c r="S11" s="104">
        <v>9</v>
      </c>
      <c r="T11" s="102" t="s">
        <v>199</v>
      </c>
      <c r="U11" s="102">
        <v>76</v>
      </c>
      <c r="V11" s="102">
        <v>122</v>
      </c>
      <c r="W11" s="104">
        <f t="shared" si="0"/>
        <v>46</v>
      </c>
      <c r="X11" s="103" t="s">
        <v>200</v>
      </c>
      <c r="Y11" s="102">
        <v>70</v>
      </c>
      <c r="Z11" s="82">
        <v>168</v>
      </c>
      <c r="AA11" s="105">
        <f t="shared" ref="AA11:AA42" si="1">Z11-Y11</f>
        <v>98</v>
      </c>
      <c r="AB11" s="106">
        <f t="shared" ref="AB11:AD42" si="2">Y11-U11</f>
        <v>-6</v>
      </c>
      <c r="AC11" s="82">
        <f t="shared" si="2"/>
        <v>46</v>
      </c>
      <c r="AD11" s="48">
        <f t="shared" si="2"/>
        <v>52</v>
      </c>
      <c r="AE11" s="103">
        <v>591</v>
      </c>
      <c r="AF11" s="102">
        <v>7</v>
      </c>
      <c r="AG11" s="102">
        <v>98</v>
      </c>
      <c r="AH11" s="102">
        <v>92</v>
      </c>
      <c r="AI11" s="102">
        <v>108</v>
      </c>
      <c r="AJ11" s="102">
        <v>16</v>
      </c>
      <c r="AK11" s="103">
        <v>5.5</v>
      </c>
      <c r="AL11" s="102">
        <v>70</v>
      </c>
      <c r="AM11" s="102">
        <v>11.7</v>
      </c>
      <c r="AN11" s="108">
        <v>48.7</v>
      </c>
    </row>
    <row r="12" spans="2:67" ht="24" customHeight="1" x14ac:dyDescent="0.25">
      <c r="B12" s="271"/>
      <c r="C12" s="206" t="s">
        <v>531</v>
      </c>
      <c r="D12" s="272" t="s">
        <v>546</v>
      </c>
      <c r="E12" s="75"/>
      <c r="F12" s="246"/>
      <c r="G12" s="260">
        <v>42094</v>
      </c>
      <c r="H12" s="98" t="s">
        <v>567</v>
      </c>
      <c r="I12" s="254"/>
      <c r="J12" s="100">
        <v>2</v>
      </c>
      <c r="K12" s="98">
        <v>108</v>
      </c>
      <c r="L12" s="98">
        <v>108</v>
      </c>
      <c r="M12" s="98">
        <v>99</v>
      </c>
      <c r="N12" s="98">
        <v>105</v>
      </c>
      <c r="O12" s="98">
        <v>100</v>
      </c>
      <c r="P12" s="98">
        <v>19.63</v>
      </c>
      <c r="Q12" s="98">
        <v>27</v>
      </c>
      <c r="R12" s="98">
        <v>32</v>
      </c>
      <c r="S12" s="99">
        <v>14</v>
      </c>
      <c r="T12" s="98" t="s">
        <v>203</v>
      </c>
      <c r="U12" s="98">
        <v>70</v>
      </c>
      <c r="V12" s="98">
        <v>107</v>
      </c>
      <c r="W12" s="99">
        <f t="shared" si="0"/>
        <v>37</v>
      </c>
      <c r="X12" s="100" t="s">
        <v>204</v>
      </c>
      <c r="Y12" s="98">
        <v>74</v>
      </c>
      <c r="Z12" s="109">
        <v>128</v>
      </c>
      <c r="AA12" s="110">
        <f t="shared" si="1"/>
        <v>54</v>
      </c>
      <c r="AB12" s="111">
        <f t="shared" si="2"/>
        <v>4</v>
      </c>
      <c r="AC12" s="109">
        <f t="shared" si="2"/>
        <v>21</v>
      </c>
      <c r="AD12" s="73">
        <f t="shared" si="2"/>
        <v>17</v>
      </c>
      <c r="AE12" s="100">
        <v>477</v>
      </c>
      <c r="AF12" s="98">
        <v>2</v>
      </c>
      <c r="AG12" s="98">
        <v>98</v>
      </c>
      <c r="AH12" s="98">
        <v>81</v>
      </c>
      <c r="AI12" s="98">
        <v>69</v>
      </c>
      <c r="AJ12" s="98">
        <v>-12</v>
      </c>
      <c r="AK12" s="100">
        <v>5.2</v>
      </c>
      <c r="AL12" s="98">
        <v>39</v>
      </c>
      <c r="AM12" s="98">
        <v>0.4</v>
      </c>
      <c r="AN12" s="112">
        <v>93.6</v>
      </c>
    </row>
    <row r="13" spans="2:67" ht="24" customHeight="1" x14ac:dyDescent="0.25">
      <c r="B13" s="79"/>
      <c r="C13" s="206" t="s">
        <v>531</v>
      </c>
      <c r="D13" s="272" t="s">
        <v>548</v>
      </c>
      <c r="E13" s="75"/>
      <c r="F13" s="246"/>
      <c r="G13" s="259">
        <v>42094</v>
      </c>
      <c r="H13" s="98" t="s">
        <v>568</v>
      </c>
      <c r="I13" s="254"/>
      <c r="J13" s="103">
        <v>4</v>
      </c>
      <c r="K13" s="102">
        <v>80</v>
      </c>
      <c r="L13" s="102">
        <v>84</v>
      </c>
      <c r="M13" s="102">
        <v>95</v>
      </c>
      <c r="N13" s="102">
        <v>64</v>
      </c>
      <c r="O13" s="102">
        <v>101</v>
      </c>
      <c r="P13" s="107"/>
      <c r="Q13" s="102">
        <v>21</v>
      </c>
      <c r="R13" s="102">
        <v>23</v>
      </c>
      <c r="S13" s="104">
        <v>5</v>
      </c>
      <c r="T13" s="102" t="s">
        <v>209</v>
      </c>
      <c r="U13" s="102">
        <v>73</v>
      </c>
      <c r="V13" s="102">
        <v>122</v>
      </c>
      <c r="W13" s="104">
        <f t="shared" si="0"/>
        <v>49</v>
      </c>
      <c r="X13" s="103" t="s">
        <v>210</v>
      </c>
      <c r="Y13" s="102">
        <v>83</v>
      </c>
      <c r="Z13" s="82">
        <v>181</v>
      </c>
      <c r="AA13" s="105">
        <f t="shared" si="1"/>
        <v>98</v>
      </c>
      <c r="AB13" s="106">
        <f t="shared" si="2"/>
        <v>10</v>
      </c>
      <c r="AC13" s="82">
        <f t="shared" si="2"/>
        <v>59</v>
      </c>
      <c r="AD13" s="48">
        <f t="shared" si="2"/>
        <v>49</v>
      </c>
      <c r="AE13" s="103">
        <v>628</v>
      </c>
      <c r="AF13" s="102">
        <v>7</v>
      </c>
      <c r="AG13" s="102">
        <v>98</v>
      </c>
      <c r="AH13" s="102">
        <v>70</v>
      </c>
      <c r="AI13" s="102">
        <v>82</v>
      </c>
      <c r="AJ13" s="102">
        <v>12</v>
      </c>
      <c r="AK13" s="103">
        <v>5</v>
      </c>
      <c r="AL13" s="102">
        <v>49</v>
      </c>
      <c r="AM13" s="102">
        <v>2.2000000000000002</v>
      </c>
      <c r="AN13" s="108">
        <v>51.3</v>
      </c>
    </row>
    <row r="14" spans="2:67" ht="24" customHeight="1" thickBot="1" x14ac:dyDescent="0.3">
      <c r="B14" s="273"/>
      <c r="C14" s="206" t="s">
        <v>531</v>
      </c>
      <c r="D14" s="274" t="s">
        <v>558</v>
      </c>
      <c r="E14" s="75"/>
      <c r="F14" s="246"/>
      <c r="G14" s="259">
        <v>42085</v>
      </c>
      <c r="H14" s="98" t="s">
        <v>569</v>
      </c>
      <c r="I14" s="254"/>
      <c r="J14" s="103">
        <v>2</v>
      </c>
      <c r="K14" s="102">
        <v>86</v>
      </c>
      <c r="L14" s="102">
        <v>82</v>
      </c>
      <c r="M14" s="102">
        <v>105</v>
      </c>
      <c r="N14" s="102">
        <v>105</v>
      </c>
      <c r="O14" s="102">
        <v>97</v>
      </c>
      <c r="P14" s="102">
        <v>28.81</v>
      </c>
      <c r="Q14" s="102">
        <v>20</v>
      </c>
      <c r="R14" s="102">
        <v>35</v>
      </c>
      <c r="S14" s="104">
        <v>11</v>
      </c>
      <c r="T14" s="102" t="s">
        <v>216</v>
      </c>
      <c r="U14" s="102">
        <v>63</v>
      </c>
      <c r="V14" s="102">
        <v>106</v>
      </c>
      <c r="W14" s="104">
        <f t="shared" si="0"/>
        <v>43</v>
      </c>
      <c r="X14" s="103" t="s">
        <v>217</v>
      </c>
      <c r="Y14" s="102">
        <v>75</v>
      </c>
      <c r="Z14" s="82">
        <v>159</v>
      </c>
      <c r="AA14" s="105">
        <f t="shared" si="1"/>
        <v>84</v>
      </c>
      <c r="AB14" s="106">
        <f t="shared" si="2"/>
        <v>12</v>
      </c>
      <c r="AC14" s="82">
        <f t="shared" si="2"/>
        <v>53</v>
      </c>
      <c r="AD14" s="48">
        <f t="shared" si="2"/>
        <v>41</v>
      </c>
      <c r="AE14" s="103">
        <v>299</v>
      </c>
      <c r="AF14" s="102">
        <v>3</v>
      </c>
      <c r="AG14" s="102">
        <v>98</v>
      </c>
      <c r="AH14" s="102">
        <v>79</v>
      </c>
      <c r="AI14" s="102">
        <v>98</v>
      </c>
      <c r="AJ14" s="102">
        <v>19</v>
      </c>
      <c r="AK14" s="103">
        <v>5.7</v>
      </c>
      <c r="AL14" s="102">
        <v>32</v>
      </c>
      <c r="AM14" s="102">
        <v>0.4</v>
      </c>
      <c r="AN14" s="104"/>
    </row>
    <row r="15" spans="2:67" ht="24" customHeight="1" x14ac:dyDescent="0.25">
      <c r="B15" s="85"/>
      <c r="C15" s="206" t="s">
        <v>531</v>
      </c>
      <c r="D15" s="282" t="s">
        <v>553</v>
      </c>
      <c r="E15" s="75"/>
      <c r="F15" s="246"/>
      <c r="G15" s="260">
        <v>42071</v>
      </c>
      <c r="H15" s="98" t="s">
        <v>570</v>
      </c>
      <c r="I15" s="254"/>
      <c r="J15" s="100">
        <v>6</v>
      </c>
      <c r="K15" s="98">
        <v>66</v>
      </c>
      <c r="L15" s="98">
        <v>76</v>
      </c>
      <c r="M15" s="98">
        <v>87</v>
      </c>
      <c r="N15" s="98">
        <v>42</v>
      </c>
      <c r="O15" s="98">
        <v>67</v>
      </c>
      <c r="P15" s="98">
        <v>23.69</v>
      </c>
      <c r="Q15" s="98">
        <v>33</v>
      </c>
      <c r="R15" s="98">
        <v>39</v>
      </c>
      <c r="S15" s="99">
        <v>20</v>
      </c>
      <c r="T15" s="98" t="s">
        <v>220</v>
      </c>
      <c r="U15" s="98">
        <v>85</v>
      </c>
      <c r="V15" s="98">
        <v>149</v>
      </c>
      <c r="W15" s="99">
        <f t="shared" si="0"/>
        <v>64</v>
      </c>
      <c r="X15" s="100" t="s">
        <v>221</v>
      </c>
      <c r="Y15" s="98">
        <v>93</v>
      </c>
      <c r="Z15" s="109">
        <v>157</v>
      </c>
      <c r="AA15" s="110">
        <f t="shared" si="1"/>
        <v>64</v>
      </c>
      <c r="AB15" s="111">
        <f t="shared" si="2"/>
        <v>8</v>
      </c>
      <c r="AC15" s="109">
        <f t="shared" si="2"/>
        <v>8</v>
      </c>
      <c r="AD15" s="73">
        <f t="shared" si="2"/>
        <v>0</v>
      </c>
      <c r="AE15" s="100">
        <v>514</v>
      </c>
      <c r="AF15" s="113"/>
      <c r="AG15" s="98">
        <v>98</v>
      </c>
      <c r="AH15" s="98">
        <v>65</v>
      </c>
      <c r="AI15" s="98">
        <v>74</v>
      </c>
      <c r="AJ15" s="98">
        <v>9</v>
      </c>
      <c r="AK15" s="100">
        <v>5.8</v>
      </c>
      <c r="AL15" s="98">
        <v>29</v>
      </c>
      <c r="AM15" s="98">
        <v>4.3</v>
      </c>
      <c r="AN15" s="101">
        <v>9.9</v>
      </c>
    </row>
    <row r="16" spans="2:67" ht="24" customHeight="1" thickBot="1" x14ac:dyDescent="0.3">
      <c r="B16" s="283"/>
      <c r="C16" s="284" t="s">
        <v>531</v>
      </c>
      <c r="D16" s="285" t="s">
        <v>578</v>
      </c>
      <c r="E16" s="75"/>
      <c r="F16" s="246"/>
      <c r="G16" s="259">
        <v>42114</v>
      </c>
      <c r="H16" s="98" t="s">
        <v>571</v>
      </c>
      <c r="I16" s="254"/>
      <c r="J16" s="114"/>
      <c r="K16" s="102">
        <v>92</v>
      </c>
      <c r="L16" s="102">
        <v>87</v>
      </c>
      <c r="M16" s="102">
        <v>104</v>
      </c>
      <c r="N16" s="102">
        <v>115</v>
      </c>
      <c r="O16" s="102">
        <v>82</v>
      </c>
      <c r="P16" s="102"/>
      <c r="Q16" s="102">
        <v>34</v>
      </c>
      <c r="R16" s="102">
        <v>27</v>
      </c>
      <c r="S16" s="104"/>
      <c r="T16" s="102" t="s">
        <v>225</v>
      </c>
      <c r="U16" s="102">
        <v>79</v>
      </c>
      <c r="V16" s="102">
        <v>141</v>
      </c>
      <c r="W16" s="104">
        <f t="shared" si="0"/>
        <v>62</v>
      </c>
      <c r="X16" s="103" t="s">
        <v>226</v>
      </c>
      <c r="Y16" s="102">
        <v>77</v>
      </c>
      <c r="Z16" s="82">
        <v>200</v>
      </c>
      <c r="AA16" s="105">
        <f t="shared" si="1"/>
        <v>123</v>
      </c>
      <c r="AB16" s="106">
        <f t="shared" si="2"/>
        <v>-2</v>
      </c>
      <c r="AC16" s="82">
        <f t="shared" si="2"/>
        <v>59</v>
      </c>
      <c r="AD16" s="48">
        <f t="shared" si="2"/>
        <v>61</v>
      </c>
      <c r="AE16" s="103">
        <v>560</v>
      </c>
      <c r="AF16" s="102">
        <v>7</v>
      </c>
      <c r="AG16" s="102">
        <v>98</v>
      </c>
      <c r="AH16" s="102">
        <v>73</v>
      </c>
      <c r="AI16" s="102">
        <v>104</v>
      </c>
      <c r="AJ16" s="102">
        <v>31</v>
      </c>
      <c r="AK16" s="103">
        <v>5.3</v>
      </c>
      <c r="AL16" s="102">
        <v>13</v>
      </c>
      <c r="AM16" s="102">
        <v>9.1</v>
      </c>
      <c r="AN16" s="115">
        <v>7.7</v>
      </c>
    </row>
    <row r="17" spans="4:40" x14ac:dyDescent="0.2">
      <c r="E17" s="75"/>
      <c r="F17" s="246"/>
      <c r="G17" s="259">
        <v>42199</v>
      </c>
      <c r="H17" s="98" t="s">
        <v>572</v>
      </c>
      <c r="I17" s="254"/>
      <c r="J17" s="103">
        <v>4</v>
      </c>
      <c r="K17" s="102">
        <v>109</v>
      </c>
      <c r="L17" s="102">
        <v>102</v>
      </c>
      <c r="M17" s="102">
        <v>106</v>
      </c>
      <c r="N17" s="102">
        <v>127</v>
      </c>
      <c r="O17" s="102">
        <v>118</v>
      </c>
      <c r="P17" s="102">
        <v>29.35</v>
      </c>
      <c r="Q17" s="102">
        <v>38</v>
      </c>
      <c r="R17" s="102">
        <v>30</v>
      </c>
      <c r="S17" s="104">
        <v>28</v>
      </c>
      <c r="T17" s="102" t="s">
        <v>243</v>
      </c>
      <c r="U17" s="102">
        <v>91</v>
      </c>
      <c r="V17" s="102">
        <v>133</v>
      </c>
      <c r="W17" s="104">
        <f t="shared" si="0"/>
        <v>42</v>
      </c>
      <c r="X17" s="103"/>
      <c r="Y17" s="102"/>
      <c r="Z17" s="82"/>
      <c r="AA17" s="105"/>
      <c r="AB17" s="106"/>
      <c r="AC17" s="82"/>
      <c r="AD17" s="48"/>
      <c r="AE17" s="103">
        <v>510</v>
      </c>
      <c r="AF17" s="102">
        <v>6</v>
      </c>
      <c r="AG17" s="102">
        <v>99</v>
      </c>
      <c r="AH17" s="102">
        <v>65</v>
      </c>
      <c r="AI17" s="102">
        <v>87</v>
      </c>
      <c r="AJ17" s="102">
        <v>22</v>
      </c>
      <c r="AK17" s="103">
        <v>5.2</v>
      </c>
      <c r="AL17" s="102">
        <v>32</v>
      </c>
      <c r="AM17" s="102">
        <v>0.4</v>
      </c>
      <c r="AN17" s="108">
        <v>33.200000000000003</v>
      </c>
    </row>
    <row r="18" spans="4:40" x14ac:dyDescent="0.2">
      <c r="E18" s="75"/>
      <c r="F18" s="246"/>
      <c r="G18" s="260">
        <v>42262</v>
      </c>
      <c r="H18" s="98" t="s">
        <v>573</v>
      </c>
      <c r="I18" s="254"/>
      <c r="J18" s="100">
        <v>10</v>
      </c>
      <c r="K18" s="98">
        <v>99</v>
      </c>
      <c r="L18" s="98">
        <v>108</v>
      </c>
      <c r="M18" s="98">
        <v>92</v>
      </c>
      <c r="N18" s="98">
        <v>74</v>
      </c>
      <c r="O18" s="98">
        <v>87</v>
      </c>
      <c r="P18" s="98">
        <v>31.05</v>
      </c>
      <c r="Q18" s="98">
        <v>22</v>
      </c>
      <c r="R18" s="98">
        <v>32</v>
      </c>
      <c r="S18" s="99">
        <v>17</v>
      </c>
      <c r="T18" s="98" t="s">
        <v>246</v>
      </c>
      <c r="U18" s="98">
        <v>84</v>
      </c>
      <c r="V18" s="98">
        <v>128</v>
      </c>
      <c r="W18" s="99">
        <f t="shared" si="0"/>
        <v>44</v>
      </c>
      <c r="X18" s="100" t="s">
        <v>247</v>
      </c>
      <c r="Y18" s="98">
        <v>91</v>
      </c>
      <c r="Z18" s="109">
        <v>156</v>
      </c>
      <c r="AA18" s="110">
        <f t="shared" si="1"/>
        <v>65</v>
      </c>
      <c r="AB18" s="111">
        <f t="shared" si="2"/>
        <v>7</v>
      </c>
      <c r="AC18" s="109">
        <f t="shared" si="2"/>
        <v>28</v>
      </c>
      <c r="AD18" s="73">
        <f t="shared" si="2"/>
        <v>21</v>
      </c>
      <c r="AE18" s="100">
        <v>472</v>
      </c>
      <c r="AF18" s="98">
        <v>1</v>
      </c>
      <c r="AG18" s="98">
        <v>97</v>
      </c>
      <c r="AH18" s="98">
        <v>85</v>
      </c>
      <c r="AI18" s="98">
        <v>104</v>
      </c>
      <c r="AJ18" s="98"/>
      <c r="AK18" s="100">
        <v>5.5</v>
      </c>
      <c r="AL18" s="98">
        <v>51</v>
      </c>
      <c r="AM18" s="98">
        <v>0.9</v>
      </c>
      <c r="AN18" s="112"/>
    </row>
    <row r="19" spans="4:40" x14ac:dyDescent="0.2">
      <c r="E19" s="75"/>
      <c r="F19" s="246"/>
      <c r="G19" s="259">
        <v>42226</v>
      </c>
      <c r="H19" s="98" t="s">
        <v>574</v>
      </c>
      <c r="I19" s="254"/>
      <c r="J19" s="103">
        <v>9</v>
      </c>
      <c r="K19" s="102">
        <v>73</v>
      </c>
      <c r="L19" s="102">
        <v>81</v>
      </c>
      <c r="M19" s="102">
        <v>89</v>
      </c>
      <c r="N19" s="102">
        <v>49</v>
      </c>
      <c r="O19" s="102">
        <v>94</v>
      </c>
      <c r="P19" s="102">
        <v>20.45</v>
      </c>
      <c r="Q19" s="102">
        <v>32</v>
      </c>
      <c r="R19" s="102">
        <v>44</v>
      </c>
      <c r="S19" s="104">
        <v>16</v>
      </c>
      <c r="T19" s="102" t="s">
        <v>248</v>
      </c>
      <c r="U19" s="102">
        <v>85</v>
      </c>
      <c r="V19" s="102">
        <v>116</v>
      </c>
      <c r="W19" s="104">
        <f t="shared" si="0"/>
        <v>31</v>
      </c>
      <c r="X19" s="103"/>
      <c r="Y19" s="102"/>
      <c r="Z19" s="82"/>
      <c r="AA19" s="105"/>
      <c r="AB19" s="106"/>
      <c r="AC19" s="82"/>
      <c r="AD19" s="48"/>
      <c r="AE19" s="103">
        <v>652</v>
      </c>
      <c r="AF19" s="102">
        <v>5</v>
      </c>
      <c r="AG19" s="107"/>
      <c r="AH19" s="102">
        <v>79</v>
      </c>
      <c r="AI19" s="102">
        <v>91</v>
      </c>
      <c r="AJ19" s="102">
        <v>12</v>
      </c>
      <c r="AK19" s="103">
        <v>5</v>
      </c>
      <c r="AL19" s="102">
        <v>33</v>
      </c>
      <c r="AM19" s="102">
        <v>0.2</v>
      </c>
      <c r="AN19" s="104"/>
    </row>
    <row r="20" spans="4:40" x14ac:dyDescent="0.2">
      <c r="E20" s="75"/>
      <c r="F20" s="246"/>
      <c r="G20" s="259">
        <v>42227</v>
      </c>
      <c r="H20" s="98" t="s">
        <v>575</v>
      </c>
      <c r="I20" s="254"/>
      <c r="J20" s="103">
        <v>9</v>
      </c>
      <c r="K20" s="102">
        <v>74</v>
      </c>
      <c r="L20" s="102">
        <v>71</v>
      </c>
      <c r="M20" s="102">
        <v>104</v>
      </c>
      <c r="N20" s="102">
        <v>85</v>
      </c>
      <c r="O20" s="102">
        <v>70</v>
      </c>
      <c r="P20" s="102">
        <v>32.15</v>
      </c>
      <c r="Q20" s="102">
        <v>28</v>
      </c>
      <c r="R20" s="102">
        <v>32</v>
      </c>
      <c r="S20" s="104">
        <v>10</v>
      </c>
      <c r="T20" s="102" t="s">
        <v>229</v>
      </c>
      <c r="U20" s="102">
        <v>70</v>
      </c>
      <c r="V20" s="102">
        <v>121</v>
      </c>
      <c r="W20" s="104">
        <f t="shared" si="0"/>
        <v>51</v>
      </c>
      <c r="X20" s="103" t="s">
        <v>252</v>
      </c>
      <c r="Y20" s="102">
        <v>93</v>
      </c>
      <c r="Z20" s="82">
        <v>163</v>
      </c>
      <c r="AA20" s="105">
        <f t="shared" si="1"/>
        <v>70</v>
      </c>
      <c r="AB20" s="106">
        <f t="shared" si="2"/>
        <v>23</v>
      </c>
      <c r="AC20" s="82">
        <f t="shared" si="2"/>
        <v>42</v>
      </c>
      <c r="AD20" s="48">
        <f t="shared" si="2"/>
        <v>19</v>
      </c>
      <c r="AE20" s="103">
        <v>489</v>
      </c>
      <c r="AF20" s="102">
        <v>2</v>
      </c>
      <c r="AG20" s="102">
        <v>98</v>
      </c>
      <c r="AH20" s="102">
        <v>57</v>
      </c>
      <c r="AI20" s="102">
        <v>64</v>
      </c>
      <c r="AJ20" s="102">
        <v>7</v>
      </c>
      <c r="AK20" s="103">
        <v>5.4</v>
      </c>
      <c r="AL20" s="102">
        <v>60</v>
      </c>
      <c r="AM20" s="102">
        <v>0.4</v>
      </c>
      <c r="AN20" s="108"/>
    </row>
    <row r="21" spans="4:40" x14ac:dyDescent="0.2">
      <c r="E21" s="75"/>
      <c r="F21" s="246"/>
      <c r="G21" s="260">
        <v>42241</v>
      </c>
      <c r="H21" s="98" t="s">
        <v>576</v>
      </c>
      <c r="I21" s="254"/>
      <c r="J21" s="100">
        <v>4</v>
      </c>
      <c r="K21" s="98">
        <v>97</v>
      </c>
      <c r="L21" s="98">
        <v>107</v>
      </c>
      <c r="M21" s="98">
        <v>91</v>
      </c>
      <c r="N21" s="98">
        <v>82</v>
      </c>
      <c r="O21" s="98">
        <v>87</v>
      </c>
      <c r="P21" s="98">
        <v>18.34</v>
      </c>
      <c r="Q21" s="98">
        <v>44</v>
      </c>
      <c r="R21" s="98">
        <v>45</v>
      </c>
      <c r="S21" s="99">
        <v>11</v>
      </c>
      <c r="T21" s="98" t="s">
        <v>253</v>
      </c>
      <c r="U21" s="98">
        <v>101</v>
      </c>
      <c r="V21" s="98">
        <v>171</v>
      </c>
      <c r="W21" s="99">
        <f t="shared" si="0"/>
        <v>70</v>
      </c>
      <c r="X21" s="100" t="s">
        <v>254</v>
      </c>
      <c r="Y21" s="98">
        <v>121</v>
      </c>
      <c r="Z21" s="109">
        <v>211</v>
      </c>
      <c r="AA21" s="110">
        <f t="shared" si="1"/>
        <v>90</v>
      </c>
      <c r="AB21" s="111">
        <f t="shared" si="2"/>
        <v>20</v>
      </c>
      <c r="AC21" s="109">
        <f t="shared" si="2"/>
        <v>40</v>
      </c>
      <c r="AD21" s="73">
        <f t="shared" si="2"/>
        <v>20</v>
      </c>
      <c r="AE21" s="100">
        <v>396</v>
      </c>
      <c r="AF21" s="98">
        <v>4</v>
      </c>
      <c r="AG21" s="98">
        <v>99</v>
      </c>
      <c r="AH21" s="98">
        <v>85</v>
      </c>
      <c r="AI21" s="98">
        <v>112</v>
      </c>
      <c r="AJ21" s="98">
        <v>27</v>
      </c>
      <c r="AK21" s="100">
        <v>3.5</v>
      </c>
      <c r="AL21" s="98">
        <v>58</v>
      </c>
      <c r="AM21" s="98">
        <v>2.5</v>
      </c>
      <c r="AN21" s="99">
        <v>15.4</v>
      </c>
    </row>
    <row r="22" spans="4:40" ht="17" thickBot="1" x14ac:dyDescent="0.25">
      <c r="D22" s="269"/>
      <c r="E22" s="75"/>
      <c r="F22" s="247"/>
      <c r="G22" s="261">
        <v>42241</v>
      </c>
      <c r="H22" s="98" t="s">
        <v>577</v>
      </c>
      <c r="I22" s="254"/>
      <c r="J22" s="117">
        <v>10</v>
      </c>
      <c r="K22" s="116">
        <v>99</v>
      </c>
      <c r="L22" s="118"/>
      <c r="M22" s="116">
        <v>85</v>
      </c>
      <c r="N22" s="116">
        <v>56</v>
      </c>
      <c r="O22" s="116">
        <v>101</v>
      </c>
      <c r="P22" s="116">
        <v>24.64</v>
      </c>
      <c r="Q22" s="116">
        <v>27</v>
      </c>
      <c r="R22" s="116">
        <v>26</v>
      </c>
      <c r="S22" s="119">
        <v>8</v>
      </c>
      <c r="T22" s="116" t="s">
        <v>258</v>
      </c>
      <c r="U22" s="116">
        <v>101</v>
      </c>
      <c r="V22" s="116">
        <v>140</v>
      </c>
      <c r="W22" s="119">
        <f t="shared" si="0"/>
        <v>39</v>
      </c>
      <c r="X22" s="117" t="s">
        <v>259</v>
      </c>
      <c r="Y22" s="116">
        <v>97</v>
      </c>
      <c r="Z22" s="118">
        <v>160</v>
      </c>
      <c r="AA22" s="120">
        <f t="shared" si="1"/>
        <v>63</v>
      </c>
      <c r="AB22" s="121">
        <f t="shared" si="2"/>
        <v>-4</v>
      </c>
      <c r="AC22" s="118">
        <f t="shared" si="2"/>
        <v>20</v>
      </c>
      <c r="AD22" s="73">
        <f t="shared" si="2"/>
        <v>24</v>
      </c>
      <c r="AE22" s="117">
        <v>538</v>
      </c>
      <c r="AF22" s="116">
        <v>3</v>
      </c>
      <c r="AG22" s="116">
        <v>99</v>
      </c>
      <c r="AH22" s="116">
        <v>57</v>
      </c>
      <c r="AI22" s="116">
        <v>68</v>
      </c>
      <c r="AJ22" s="116">
        <v>11</v>
      </c>
      <c r="AK22" s="117">
        <v>5.3</v>
      </c>
      <c r="AL22" s="116">
        <v>39</v>
      </c>
      <c r="AM22" s="116">
        <v>4.0999999999999996</v>
      </c>
      <c r="AN22" s="122"/>
    </row>
    <row r="23" spans="4:40" ht="17" thickBot="1" x14ac:dyDescent="0.25">
      <c r="E23" s="75"/>
      <c r="F23" s="65"/>
      <c r="G23" s="309" t="s">
        <v>529</v>
      </c>
      <c r="H23" s="66"/>
      <c r="I23" s="310"/>
      <c r="J23" s="58">
        <f>COUNT(J9:J22)</f>
        <v>13</v>
      </c>
      <c r="K23" s="59">
        <f t="shared" ref="K23:AN23" si="3">COUNT(K9:K22)</f>
        <v>14</v>
      </c>
      <c r="L23" s="59">
        <f t="shared" si="3"/>
        <v>13</v>
      </c>
      <c r="M23" s="59">
        <f t="shared" si="3"/>
        <v>14</v>
      </c>
      <c r="N23" s="59">
        <f t="shared" si="3"/>
        <v>14</v>
      </c>
      <c r="O23" s="59">
        <f t="shared" si="3"/>
        <v>14</v>
      </c>
      <c r="P23" s="59">
        <f t="shared" si="3"/>
        <v>12</v>
      </c>
      <c r="Q23" s="59">
        <f t="shared" si="3"/>
        <v>14</v>
      </c>
      <c r="R23" s="59">
        <f t="shared" si="3"/>
        <v>14</v>
      </c>
      <c r="S23" s="60">
        <f t="shared" si="3"/>
        <v>13</v>
      </c>
      <c r="T23">
        <f t="shared" si="3"/>
        <v>0</v>
      </c>
      <c r="U23">
        <f t="shared" si="3"/>
        <v>14</v>
      </c>
      <c r="V23">
        <f t="shared" si="3"/>
        <v>14</v>
      </c>
      <c r="W23">
        <f t="shared" si="3"/>
        <v>14</v>
      </c>
      <c r="X23">
        <v>12</v>
      </c>
      <c r="Y23">
        <f t="shared" si="3"/>
        <v>11</v>
      </c>
      <c r="Z23">
        <f t="shared" si="3"/>
        <v>11</v>
      </c>
      <c r="AA23">
        <f t="shared" si="3"/>
        <v>11</v>
      </c>
      <c r="AB23">
        <f t="shared" si="3"/>
        <v>11</v>
      </c>
      <c r="AC23">
        <f t="shared" si="3"/>
        <v>11</v>
      </c>
      <c r="AD23">
        <f t="shared" si="3"/>
        <v>11</v>
      </c>
      <c r="AE23" s="58">
        <f t="shared" si="3"/>
        <v>14</v>
      </c>
      <c r="AF23" s="59">
        <f t="shared" si="3"/>
        <v>12</v>
      </c>
      <c r="AG23" s="59">
        <f t="shared" si="3"/>
        <v>13</v>
      </c>
      <c r="AH23" s="59">
        <f t="shared" si="3"/>
        <v>14</v>
      </c>
      <c r="AI23" s="59">
        <f t="shared" si="3"/>
        <v>12</v>
      </c>
      <c r="AJ23" s="59">
        <f t="shared" si="3"/>
        <v>11</v>
      </c>
      <c r="AK23" s="58">
        <f t="shared" si="3"/>
        <v>14</v>
      </c>
      <c r="AL23" s="59">
        <f t="shared" si="3"/>
        <v>14</v>
      </c>
      <c r="AM23" s="59">
        <f t="shared" si="3"/>
        <v>14</v>
      </c>
      <c r="AN23" s="60">
        <f t="shared" si="3"/>
        <v>9</v>
      </c>
    </row>
    <row r="24" spans="4:40" x14ac:dyDescent="0.2">
      <c r="E24" s="75"/>
      <c r="G24" s="263" t="s">
        <v>540</v>
      </c>
      <c r="H24" s="68"/>
      <c r="J24" s="124">
        <f t="shared" ref="J24:S24" si="4">AVERAGE(J9:J22)</f>
        <v>7.5384615384615383</v>
      </c>
      <c r="K24" s="125">
        <f t="shared" si="4"/>
        <v>86.571428571428569</v>
      </c>
      <c r="L24" s="125">
        <f t="shared" si="4"/>
        <v>87.461538461538467</v>
      </c>
      <c r="M24" s="125">
        <f t="shared" si="4"/>
        <v>96.5</v>
      </c>
      <c r="N24" s="125">
        <f t="shared" si="4"/>
        <v>79</v>
      </c>
      <c r="O24" s="125">
        <f t="shared" si="4"/>
        <v>92.714285714285708</v>
      </c>
      <c r="P24" s="125">
        <f t="shared" si="4"/>
        <v>25.149999999999995</v>
      </c>
      <c r="Q24" s="125">
        <f t="shared" si="4"/>
        <v>29.428571428571427</v>
      </c>
      <c r="R24" s="125">
        <f t="shared" si="4"/>
        <v>33.5</v>
      </c>
      <c r="S24" s="126">
        <f t="shared" si="4"/>
        <v>13.538461538461538</v>
      </c>
      <c r="T24" s="68"/>
      <c r="U24" s="68">
        <f>AVERAGE(U9:U22)</f>
        <v>81.357142857142861</v>
      </c>
      <c r="V24" s="68">
        <f>AVERAGE(V9:V22)</f>
        <v>130.5</v>
      </c>
      <c r="W24" s="68">
        <f>AVERAGE(W9:W22)</f>
        <v>49.142857142857146</v>
      </c>
      <c r="X24" s="68"/>
      <c r="Y24" s="68">
        <f t="shared" ref="Y24:AH24" si="5">AVERAGE(Y9:Y22)</f>
        <v>85.454545454545453</v>
      </c>
      <c r="Z24" s="68">
        <f t="shared" si="5"/>
        <v>164.27272727272728</v>
      </c>
      <c r="AA24" s="68">
        <f t="shared" si="5"/>
        <v>78.818181818181813</v>
      </c>
      <c r="AB24" s="68">
        <f t="shared" si="5"/>
        <v>7</v>
      </c>
      <c r="AC24" s="68">
        <f t="shared" si="5"/>
        <v>35.636363636363633</v>
      </c>
      <c r="AD24" s="68">
        <f t="shared" si="5"/>
        <v>28.636363636363637</v>
      </c>
      <c r="AE24" s="124">
        <f t="shared" si="5"/>
        <v>522.42857142857144</v>
      </c>
      <c r="AF24" s="125">
        <f t="shared" si="5"/>
        <v>4.666666666666667</v>
      </c>
      <c r="AG24" s="125">
        <f t="shared" si="5"/>
        <v>98.230769230769226</v>
      </c>
      <c r="AH24" s="125">
        <f t="shared" si="5"/>
        <v>73.214285714285708</v>
      </c>
      <c r="AI24" s="125">
        <f>AVERAGE(AI9:AI22)</f>
        <v>88.416666666666671</v>
      </c>
      <c r="AJ24" s="125">
        <f>AVERAGE(AJ9:AJ22)</f>
        <v>14</v>
      </c>
      <c r="AK24" s="124">
        <f t="shared" ref="AK24:AN24" si="6">AVERAGE(AK9:AK22)</f>
        <v>5.242857142857142</v>
      </c>
      <c r="AL24" s="125">
        <f t="shared" si="6"/>
        <v>40.571428571428569</v>
      </c>
      <c r="AM24" s="125">
        <f t="shared" si="6"/>
        <v>2.8285714285714287</v>
      </c>
      <c r="AN24" s="126">
        <f t="shared" si="6"/>
        <v>35.344444444444434</v>
      </c>
    </row>
    <row r="25" spans="4:40" x14ac:dyDescent="0.2">
      <c r="E25" s="75"/>
      <c r="G25" s="262" t="s">
        <v>541</v>
      </c>
      <c r="J25" s="127">
        <f>STDEV(J9:J22)</f>
        <v>4.3896731961765418</v>
      </c>
      <c r="K25" s="62">
        <f t="shared" ref="K25:S25" si="7">STDEV(K9:K22)</f>
        <v>16.166034125309118</v>
      </c>
      <c r="L25" s="62">
        <f t="shared" si="7"/>
        <v>15.152642149228095</v>
      </c>
      <c r="M25" s="62">
        <f t="shared" si="7"/>
        <v>7.2084352297526024</v>
      </c>
      <c r="N25" s="62">
        <f t="shared" si="7"/>
        <v>29.215380564669385</v>
      </c>
      <c r="O25" s="62">
        <f t="shared" si="7"/>
        <v>16.753546450865823</v>
      </c>
      <c r="P25" s="62">
        <f t="shared" si="7"/>
        <v>4.5084849299555749</v>
      </c>
      <c r="Q25" s="62">
        <f t="shared" si="7"/>
        <v>7.2718031380889858</v>
      </c>
      <c r="R25" s="62">
        <f t="shared" si="7"/>
        <v>7.3771998023014751</v>
      </c>
      <c r="S25" s="128">
        <f t="shared" si="7"/>
        <v>6.0774910477842274</v>
      </c>
      <c r="T25" s="57"/>
      <c r="U25" s="57">
        <f>STDEV(U9:U22)</f>
        <v>13.471377879713058</v>
      </c>
      <c r="V25" s="57">
        <f>STDEV(V9:V22)</f>
        <v>20.296835676073709</v>
      </c>
      <c r="W25" s="57">
        <f>STDEV(W9:W22)</f>
        <v>11.521599400571628</v>
      </c>
      <c r="X25" s="57"/>
      <c r="Y25" s="57">
        <f t="shared" ref="Y25:AN25" si="8">STDEV(Y9:Y22)</f>
        <v>15.737621398188734</v>
      </c>
      <c r="Z25" s="57">
        <f t="shared" si="8"/>
        <v>26.19194879763975</v>
      </c>
      <c r="AA25" s="57">
        <f t="shared" si="8"/>
        <v>21.51194171532725</v>
      </c>
      <c r="AB25" s="57">
        <f t="shared" si="8"/>
        <v>9.1869472622846811</v>
      </c>
      <c r="AC25" s="57">
        <f t="shared" si="8"/>
        <v>17.96258738195991</v>
      </c>
      <c r="AD25" s="57">
        <f t="shared" si="8"/>
        <v>19.169103929358446</v>
      </c>
      <c r="AE25" s="127">
        <f t="shared" si="8"/>
        <v>94.757759402768556</v>
      </c>
      <c r="AF25" s="62">
        <f t="shared" si="8"/>
        <v>2.5346089292516956</v>
      </c>
      <c r="AG25" s="62">
        <f t="shared" si="8"/>
        <v>0.599144689515278</v>
      </c>
      <c r="AH25" s="62">
        <f t="shared" si="8"/>
        <v>10.649511158362532</v>
      </c>
      <c r="AI25" s="62">
        <f t="shared" si="8"/>
        <v>16.96230223082048</v>
      </c>
      <c r="AJ25" s="62">
        <f t="shared" si="8"/>
        <v>11.480418110852932</v>
      </c>
      <c r="AK25" s="127">
        <f t="shared" si="8"/>
        <v>0.56529677122768773</v>
      </c>
      <c r="AL25" s="62">
        <f t="shared" si="8"/>
        <v>15.280527003166663</v>
      </c>
      <c r="AM25" s="62">
        <f t="shared" si="8"/>
        <v>3.5144599259955385</v>
      </c>
      <c r="AN25" s="128">
        <f t="shared" si="8"/>
        <v>28.430314415739026</v>
      </c>
    </row>
    <row r="26" spans="4:40" ht="17" thickBot="1" x14ac:dyDescent="0.25">
      <c r="E26" s="75"/>
      <c r="G26" s="262" t="s">
        <v>542</v>
      </c>
      <c r="J26" s="129">
        <f>J25^2</f>
        <v>19.269230769230777</v>
      </c>
      <c r="K26" s="61">
        <f t="shared" ref="K26:S26" si="9">K25^2</f>
        <v>261.34065934065893</v>
      </c>
      <c r="L26" s="61">
        <f t="shared" si="9"/>
        <v>229.60256410256383</v>
      </c>
      <c r="M26" s="61">
        <f t="shared" si="9"/>
        <v>51.961538461538453</v>
      </c>
      <c r="N26" s="61">
        <f t="shared" si="9"/>
        <v>853.53846153846166</v>
      </c>
      <c r="O26" s="61">
        <f t="shared" si="9"/>
        <v>280.68131868131883</v>
      </c>
      <c r="P26" s="61">
        <f t="shared" si="9"/>
        <v>20.326436363636525</v>
      </c>
      <c r="Q26" s="61">
        <f t="shared" si="9"/>
        <v>52.879120879120819</v>
      </c>
      <c r="R26" s="61">
        <f t="shared" si="9"/>
        <v>54.42307692307692</v>
      </c>
      <c r="S26" s="130">
        <f t="shared" si="9"/>
        <v>36.935897435897424</v>
      </c>
      <c r="T26" s="57"/>
      <c r="U26" s="57">
        <f>U25^2</f>
        <v>181.4780219780223</v>
      </c>
      <c r="V26" s="57">
        <f>V25^2</f>
        <v>411.96153846153851</v>
      </c>
      <c r="W26" s="57">
        <f>W25^2</f>
        <v>132.74725274725247</v>
      </c>
      <c r="X26" s="57"/>
      <c r="Y26" s="57">
        <f t="shared" ref="Y26:AN26" si="10">Y25^2</f>
        <v>247.67272727272794</v>
      </c>
      <c r="Z26" s="57">
        <f t="shared" si="10"/>
        <v>686.01818181818237</v>
      </c>
      <c r="AA26" s="57">
        <f t="shared" si="10"/>
        <v>462.76363636363669</v>
      </c>
      <c r="AB26" s="57">
        <f t="shared" si="10"/>
        <v>84.399999999999991</v>
      </c>
      <c r="AC26" s="57">
        <f t="shared" si="10"/>
        <v>322.65454545454537</v>
      </c>
      <c r="AD26" s="57">
        <f t="shared" si="10"/>
        <v>367.45454545454544</v>
      </c>
      <c r="AE26" s="127">
        <f t="shared" si="10"/>
        <v>8979.032967032972</v>
      </c>
      <c r="AF26" s="62">
        <f t="shared" si="10"/>
        <v>6.4242424242424265</v>
      </c>
      <c r="AG26" s="62">
        <f t="shared" si="10"/>
        <v>0.35897435897435886</v>
      </c>
      <c r="AH26" s="62">
        <f t="shared" si="10"/>
        <v>113.41208791208808</v>
      </c>
      <c r="AI26" s="62">
        <f t="shared" si="10"/>
        <v>287.71969696969745</v>
      </c>
      <c r="AJ26" s="62">
        <f t="shared" si="10"/>
        <v>131.80000000000001</v>
      </c>
      <c r="AK26" s="127">
        <f t="shared" si="10"/>
        <v>0.31956043956044872</v>
      </c>
      <c r="AL26" s="62">
        <f t="shared" si="10"/>
        <v>233.49450549450555</v>
      </c>
      <c r="AM26" s="62">
        <f t="shared" si="10"/>
        <v>12.351428571428565</v>
      </c>
      <c r="AN26" s="128">
        <f t="shared" si="10"/>
        <v>808.28277777777828</v>
      </c>
    </row>
    <row r="27" spans="4:40" x14ac:dyDescent="0.2">
      <c r="E27" s="75"/>
      <c r="G27" s="264"/>
      <c r="AE27" s="58"/>
      <c r="AF27" s="59"/>
      <c r="AG27" s="59"/>
      <c r="AH27" s="59"/>
      <c r="AI27" s="59"/>
      <c r="AJ27" s="59"/>
      <c r="AK27" s="58"/>
      <c r="AL27" s="59"/>
      <c r="AM27" s="59"/>
      <c r="AN27" s="60"/>
    </row>
    <row r="28" spans="4:40" ht="18" customHeight="1" thickBot="1" x14ac:dyDescent="0.25">
      <c r="E28" s="75"/>
      <c r="G28" s="264"/>
      <c r="AE28" s="58"/>
      <c r="AF28" s="59"/>
      <c r="AG28" s="59"/>
      <c r="AH28" s="59"/>
      <c r="AI28" s="59"/>
      <c r="AJ28" s="59"/>
      <c r="AK28" s="58"/>
      <c r="AL28" s="59"/>
      <c r="AM28" s="59"/>
      <c r="AN28" s="60"/>
    </row>
    <row r="29" spans="4:40" ht="20" customHeight="1" x14ac:dyDescent="0.2">
      <c r="E29" s="75"/>
      <c r="F29" s="242" t="s">
        <v>543</v>
      </c>
      <c r="G29" s="265">
        <v>42241</v>
      </c>
      <c r="H29" s="131" t="s">
        <v>564</v>
      </c>
      <c r="I29" s="64"/>
      <c r="J29" s="132">
        <v>12</v>
      </c>
      <c r="K29" s="131">
        <v>59</v>
      </c>
      <c r="L29" s="131">
        <v>64</v>
      </c>
      <c r="M29" s="131">
        <v>92</v>
      </c>
      <c r="N29" s="131">
        <v>38</v>
      </c>
      <c r="O29" s="131">
        <v>99</v>
      </c>
      <c r="P29" s="131">
        <v>24.42</v>
      </c>
      <c r="Q29" s="131">
        <v>32</v>
      </c>
      <c r="R29" s="131">
        <v>46</v>
      </c>
      <c r="S29" s="133">
        <v>15</v>
      </c>
      <c r="T29" s="131" t="s">
        <v>195</v>
      </c>
      <c r="U29" s="131">
        <v>60</v>
      </c>
      <c r="V29" s="131">
        <v>107</v>
      </c>
      <c r="W29" s="133">
        <v>47</v>
      </c>
      <c r="X29" s="132" t="s">
        <v>275</v>
      </c>
      <c r="Y29" s="131">
        <v>94</v>
      </c>
      <c r="Z29" s="134">
        <v>204</v>
      </c>
      <c r="AA29" s="135">
        <f t="shared" si="1"/>
        <v>110</v>
      </c>
      <c r="AB29" s="136">
        <f t="shared" si="2"/>
        <v>34</v>
      </c>
      <c r="AC29" s="134">
        <f t="shared" si="2"/>
        <v>97</v>
      </c>
      <c r="AD29" s="81">
        <f t="shared" si="2"/>
        <v>63</v>
      </c>
      <c r="AE29" s="132">
        <v>592</v>
      </c>
      <c r="AF29" s="131">
        <v>8</v>
      </c>
      <c r="AG29" s="131">
        <v>96</v>
      </c>
      <c r="AH29" s="131">
        <v>69</v>
      </c>
      <c r="AI29" s="137"/>
      <c r="AJ29" s="137"/>
      <c r="AK29" s="132">
        <v>5.4</v>
      </c>
      <c r="AL29" s="131">
        <v>35</v>
      </c>
      <c r="AM29" s="131">
        <v>1.3</v>
      </c>
      <c r="AN29" s="215">
        <v>31.21</v>
      </c>
    </row>
    <row r="30" spans="4:40" ht="16" customHeight="1" x14ac:dyDescent="0.2">
      <c r="E30" s="75"/>
      <c r="F30" s="243"/>
      <c r="G30" s="259">
        <v>42240</v>
      </c>
      <c r="H30" s="139" t="s">
        <v>565</v>
      </c>
      <c r="I30" s="60"/>
      <c r="J30" s="103">
        <v>7</v>
      </c>
      <c r="K30" s="102">
        <v>96</v>
      </c>
      <c r="L30" s="102">
        <v>96</v>
      </c>
      <c r="M30" s="102">
        <v>100</v>
      </c>
      <c r="N30" s="102">
        <v>91</v>
      </c>
      <c r="O30" s="102">
        <v>123</v>
      </c>
      <c r="P30" s="102">
        <v>29.56</v>
      </c>
      <c r="Q30" s="102">
        <v>24</v>
      </c>
      <c r="R30" s="102">
        <v>37</v>
      </c>
      <c r="S30" s="104">
        <v>8</v>
      </c>
      <c r="T30" s="102" t="s">
        <v>198</v>
      </c>
      <c r="U30" s="102">
        <v>79</v>
      </c>
      <c r="V30" s="102">
        <v>129</v>
      </c>
      <c r="W30" s="104">
        <f t="shared" ref="W30:W37" si="11">(V30-U30)</f>
        <v>50</v>
      </c>
      <c r="X30" s="114"/>
      <c r="Y30" s="107"/>
      <c r="Z30" s="82"/>
      <c r="AA30" s="105"/>
      <c r="AB30" s="106"/>
      <c r="AC30" s="82"/>
      <c r="AD30" s="48"/>
      <c r="AE30" s="103">
        <v>601</v>
      </c>
      <c r="AF30" s="102"/>
      <c r="AG30" s="102">
        <v>97</v>
      </c>
      <c r="AH30" s="102">
        <v>60</v>
      </c>
      <c r="AI30" s="107"/>
      <c r="AJ30" s="107"/>
      <c r="AK30" s="103">
        <v>5.6</v>
      </c>
      <c r="AL30" s="102">
        <v>36</v>
      </c>
      <c r="AM30" s="102">
        <v>1.9</v>
      </c>
      <c r="AN30" s="138">
        <v>12.4</v>
      </c>
    </row>
    <row r="31" spans="4:40" x14ac:dyDescent="0.2">
      <c r="E31" s="75"/>
      <c r="F31" s="243"/>
      <c r="G31" s="259">
        <v>42212</v>
      </c>
      <c r="H31" s="139" t="s">
        <v>566</v>
      </c>
      <c r="I31" s="60"/>
      <c r="J31" s="103">
        <v>6</v>
      </c>
      <c r="K31" s="102">
        <v>70</v>
      </c>
      <c r="L31" s="102">
        <v>68</v>
      </c>
      <c r="M31" s="102">
        <v>103</v>
      </c>
      <c r="N31" s="102">
        <v>67</v>
      </c>
      <c r="O31" s="102">
        <v>77</v>
      </c>
      <c r="P31" s="102">
        <v>26.87</v>
      </c>
      <c r="Q31" s="102">
        <v>22</v>
      </c>
      <c r="R31" s="102">
        <v>38</v>
      </c>
      <c r="S31" s="104">
        <v>8</v>
      </c>
      <c r="T31" s="102" t="s">
        <v>201</v>
      </c>
      <c r="U31" s="102">
        <v>69</v>
      </c>
      <c r="V31" s="102">
        <v>111</v>
      </c>
      <c r="W31" s="104">
        <f t="shared" si="11"/>
        <v>42</v>
      </c>
      <c r="X31" s="103" t="s">
        <v>202</v>
      </c>
      <c r="Y31" s="102">
        <v>73</v>
      </c>
      <c r="Z31" s="82">
        <v>118</v>
      </c>
      <c r="AA31" s="105">
        <f t="shared" si="1"/>
        <v>45</v>
      </c>
      <c r="AB31" s="106">
        <f t="shared" si="2"/>
        <v>4</v>
      </c>
      <c r="AC31" s="82">
        <f t="shared" si="2"/>
        <v>7</v>
      </c>
      <c r="AD31" s="48">
        <f t="shared" si="2"/>
        <v>3</v>
      </c>
      <c r="AE31" s="103">
        <v>619</v>
      </c>
      <c r="AF31" s="102">
        <v>8</v>
      </c>
      <c r="AG31" s="102">
        <v>97</v>
      </c>
      <c r="AH31" s="102">
        <v>72</v>
      </c>
      <c r="AI31" s="102">
        <v>86</v>
      </c>
      <c r="AJ31" s="102">
        <v>14</v>
      </c>
      <c r="AK31" s="103">
        <v>5.8</v>
      </c>
      <c r="AL31" s="102">
        <v>59</v>
      </c>
      <c r="AM31" s="102">
        <v>0.8</v>
      </c>
      <c r="AN31" s="108">
        <v>41.9</v>
      </c>
    </row>
    <row r="32" spans="4:40" x14ac:dyDescent="0.2">
      <c r="E32" s="75"/>
      <c r="F32" s="243"/>
      <c r="G32" s="266">
        <v>42212</v>
      </c>
      <c r="H32" s="139" t="s">
        <v>567</v>
      </c>
      <c r="I32" s="60"/>
      <c r="J32" s="140">
        <v>4</v>
      </c>
      <c r="K32" s="139">
        <v>104</v>
      </c>
      <c r="L32" s="139">
        <v>104</v>
      </c>
      <c r="M32" s="139">
        <v>99</v>
      </c>
      <c r="N32" s="139">
        <v>99</v>
      </c>
      <c r="O32" s="139">
        <v>111</v>
      </c>
      <c r="P32" s="139">
        <v>24.25</v>
      </c>
      <c r="Q32" s="139">
        <v>29</v>
      </c>
      <c r="R32" s="139">
        <v>31</v>
      </c>
      <c r="S32" s="141">
        <v>15</v>
      </c>
      <c r="T32" s="139" t="s">
        <v>205</v>
      </c>
      <c r="U32" s="139">
        <v>66</v>
      </c>
      <c r="V32" s="139">
        <v>108</v>
      </c>
      <c r="W32" s="141">
        <f t="shared" si="11"/>
        <v>42</v>
      </c>
      <c r="X32" s="140" t="s">
        <v>206</v>
      </c>
      <c r="Y32" s="139">
        <v>56</v>
      </c>
      <c r="Z32" s="77">
        <v>134</v>
      </c>
      <c r="AA32" s="78">
        <f t="shared" si="1"/>
        <v>78</v>
      </c>
      <c r="AB32" s="76">
        <f t="shared" si="2"/>
        <v>-10</v>
      </c>
      <c r="AC32" s="77">
        <f t="shared" si="2"/>
        <v>26</v>
      </c>
      <c r="AD32" s="81">
        <f t="shared" si="2"/>
        <v>36</v>
      </c>
      <c r="AE32" s="140">
        <v>554</v>
      </c>
      <c r="AF32" s="139">
        <v>6</v>
      </c>
      <c r="AG32" s="139">
        <v>98</v>
      </c>
      <c r="AH32" s="139">
        <v>78</v>
      </c>
      <c r="AI32" s="139">
        <v>73</v>
      </c>
      <c r="AJ32" s="139">
        <v>-5</v>
      </c>
      <c r="AK32" s="140">
        <v>5.8</v>
      </c>
      <c r="AL32" s="139">
        <v>36</v>
      </c>
      <c r="AM32" s="139">
        <v>0.4</v>
      </c>
      <c r="AN32" s="142">
        <v>95.3</v>
      </c>
    </row>
    <row r="33" spans="2:40" x14ac:dyDescent="0.2">
      <c r="E33" s="75"/>
      <c r="F33" s="243"/>
      <c r="G33" s="259">
        <v>42213</v>
      </c>
      <c r="H33" s="139" t="s">
        <v>568</v>
      </c>
      <c r="I33" s="60"/>
      <c r="J33" s="103">
        <v>8</v>
      </c>
      <c r="K33" s="102">
        <v>78</v>
      </c>
      <c r="L33" s="102">
        <v>83</v>
      </c>
      <c r="M33" s="102">
        <v>94</v>
      </c>
      <c r="N33" s="102">
        <v>58</v>
      </c>
      <c r="O33" s="102">
        <v>110</v>
      </c>
      <c r="P33" s="102"/>
      <c r="Q33" s="102">
        <v>23</v>
      </c>
      <c r="R33" s="102">
        <v>32</v>
      </c>
      <c r="S33" s="104">
        <v>13</v>
      </c>
      <c r="T33" s="102" t="s">
        <v>211</v>
      </c>
      <c r="U33" s="102">
        <v>80</v>
      </c>
      <c r="V33" s="102">
        <v>151</v>
      </c>
      <c r="W33" s="104">
        <f t="shared" si="11"/>
        <v>71</v>
      </c>
      <c r="X33" s="103" t="s">
        <v>212</v>
      </c>
      <c r="Y33" s="102">
        <v>102</v>
      </c>
      <c r="Z33" s="82">
        <v>193</v>
      </c>
      <c r="AA33" s="105">
        <f t="shared" si="1"/>
        <v>91</v>
      </c>
      <c r="AB33" s="106">
        <f t="shared" si="2"/>
        <v>22</v>
      </c>
      <c r="AC33" s="82">
        <f t="shared" si="2"/>
        <v>42</v>
      </c>
      <c r="AD33" s="48">
        <f t="shared" si="2"/>
        <v>20</v>
      </c>
      <c r="AE33" s="103">
        <v>720</v>
      </c>
      <c r="AF33" s="102">
        <v>2</v>
      </c>
      <c r="AG33" s="102">
        <v>98</v>
      </c>
      <c r="AH33" s="102">
        <v>67</v>
      </c>
      <c r="AI33" s="102">
        <v>88</v>
      </c>
      <c r="AJ33" s="102">
        <v>21</v>
      </c>
      <c r="AK33" s="103">
        <v>4.2</v>
      </c>
      <c r="AL33" s="102">
        <v>65</v>
      </c>
      <c r="AM33" s="102">
        <v>1.9</v>
      </c>
      <c r="AN33" s="108">
        <v>38.299999999999997</v>
      </c>
    </row>
    <row r="34" spans="2:40" x14ac:dyDescent="0.2">
      <c r="E34" s="75"/>
      <c r="F34" s="243"/>
      <c r="G34" s="259">
        <v>42205</v>
      </c>
      <c r="H34" s="139" t="s">
        <v>569</v>
      </c>
      <c r="I34" s="60"/>
      <c r="J34" s="103">
        <v>8</v>
      </c>
      <c r="K34" s="102">
        <v>86</v>
      </c>
      <c r="L34" s="102">
        <v>83</v>
      </c>
      <c r="M34" s="102">
        <v>105</v>
      </c>
      <c r="N34" s="102">
        <v>108</v>
      </c>
      <c r="O34" s="102">
        <v>98</v>
      </c>
      <c r="P34" s="102">
        <v>40.049999999999997</v>
      </c>
      <c r="Q34" s="102">
        <v>20</v>
      </c>
      <c r="R34" s="102">
        <v>32</v>
      </c>
      <c r="S34" s="104">
        <v>6</v>
      </c>
      <c r="T34" s="102" t="s">
        <v>218</v>
      </c>
      <c r="U34" s="102">
        <v>61</v>
      </c>
      <c r="V34" s="102">
        <v>102</v>
      </c>
      <c r="W34" s="104">
        <f t="shared" si="11"/>
        <v>41</v>
      </c>
      <c r="X34" s="103" t="s">
        <v>219</v>
      </c>
      <c r="Y34" s="102">
        <v>68</v>
      </c>
      <c r="Z34" s="82">
        <v>121</v>
      </c>
      <c r="AA34" s="105">
        <f t="shared" si="1"/>
        <v>53</v>
      </c>
      <c r="AB34" s="106">
        <f t="shared" si="2"/>
        <v>7</v>
      </c>
      <c r="AC34" s="82">
        <f t="shared" si="2"/>
        <v>19</v>
      </c>
      <c r="AD34" s="48">
        <f t="shared" si="2"/>
        <v>12</v>
      </c>
      <c r="AE34" s="103">
        <v>624</v>
      </c>
      <c r="AF34" s="102">
        <v>3</v>
      </c>
      <c r="AG34" s="102">
        <v>98</v>
      </c>
      <c r="AH34" s="102">
        <v>79</v>
      </c>
      <c r="AI34" s="102">
        <v>110</v>
      </c>
      <c r="AJ34" s="102">
        <v>31</v>
      </c>
      <c r="AK34" s="103">
        <v>5.8</v>
      </c>
      <c r="AL34" s="102">
        <v>37</v>
      </c>
      <c r="AM34" s="102">
        <v>0.3</v>
      </c>
      <c r="AN34" s="104"/>
    </row>
    <row r="35" spans="2:40" x14ac:dyDescent="0.2">
      <c r="E35" s="75"/>
      <c r="F35" s="243"/>
      <c r="G35" s="266">
        <v>42205</v>
      </c>
      <c r="H35" s="139" t="s">
        <v>570</v>
      </c>
      <c r="I35" s="60"/>
      <c r="J35" s="140">
        <v>11</v>
      </c>
      <c r="K35" s="139">
        <v>69</v>
      </c>
      <c r="L35" s="139">
        <v>79</v>
      </c>
      <c r="M35" s="139">
        <v>87</v>
      </c>
      <c r="N35" s="139">
        <v>43</v>
      </c>
      <c r="O35" s="139">
        <v>62</v>
      </c>
      <c r="P35" s="139">
        <v>26</v>
      </c>
      <c r="Q35" s="139">
        <v>32</v>
      </c>
      <c r="R35" s="139">
        <v>41</v>
      </c>
      <c r="S35" s="141">
        <v>14</v>
      </c>
      <c r="T35" s="139" t="s">
        <v>222</v>
      </c>
      <c r="U35" s="139">
        <v>83</v>
      </c>
      <c r="V35" s="139">
        <v>126</v>
      </c>
      <c r="W35" s="141">
        <f t="shared" si="11"/>
        <v>43</v>
      </c>
      <c r="X35" s="140" t="s">
        <v>223</v>
      </c>
      <c r="Y35" s="139">
        <v>73</v>
      </c>
      <c r="Z35" s="77">
        <v>147</v>
      </c>
      <c r="AA35" s="78">
        <f t="shared" si="1"/>
        <v>74</v>
      </c>
      <c r="AB35" s="76">
        <f t="shared" si="2"/>
        <v>-10</v>
      </c>
      <c r="AC35" s="77">
        <f t="shared" si="2"/>
        <v>21</v>
      </c>
      <c r="AD35" s="81">
        <f t="shared" si="2"/>
        <v>31</v>
      </c>
      <c r="AE35" s="140">
        <v>571</v>
      </c>
      <c r="AF35" s="143"/>
      <c r="AG35" s="139">
        <v>98</v>
      </c>
      <c r="AH35" s="139">
        <v>67</v>
      </c>
      <c r="AI35" s="139">
        <v>76</v>
      </c>
      <c r="AJ35" s="139">
        <v>9</v>
      </c>
      <c r="AK35" s="140">
        <v>5.5</v>
      </c>
      <c r="AL35" s="139">
        <v>27</v>
      </c>
      <c r="AM35" s="139">
        <v>0.5</v>
      </c>
      <c r="AN35" s="144">
        <v>17.100000000000001</v>
      </c>
    </row>
    <row r="36" spans="2:40" x14ac:dyDescent="0.2">
      <c r="E36" s="75"/>
      <c r="F36" s="243"/>
      <c r="G36" s="259">
        <v>42240</v>
      </c>
      <c r="H36" s="139" t="s">
        <v>571</v>
      </c>
      <c r="I36" s="60"/>
      <c r="J36" s="114"/>
      <c r="K36" s="102">
        <v>89</v>
      </c>
      <c r="L36" s="102">
        <v>87</v>
      </c>
      <c r="M36" s="102">
        <v>102</v>
      </c>
      <c r="N36" s="102">
        <v>105</v>
      </c>
      <c r="O36" s="102">
        <v>92</v>
      </c>
      <c r="P36" s="107"/>
      <c r="Q36" s="102">
        <v>30</v>
      </c>
      <c r="R36" s="102">
        <v>37</v>
      </c>
      <c r="S36" s="145"/>
      <c r="T36" s="102" t="s">
        <v>227</v>
      </c>
      <c r="U36" s="102">
        <v>95</v>
      </c>
      <c r="V36" s="102">
        <v>125</v>
      </c>
      <c r="W36" s="104">
        <f t="shared" si="11"/>
        <v>30</v>
      </c>
      <c r="X36" s="103" t="s">
        <v>228</v>
      </c>
      <c r="Y36" s="102">
        <v>88</v>
      </c>
      <c r="Z36" s="82">
        <v>197</v>
      </c>
      <c r="AA36" s="105">
        <f t="shared" si="1"/>
        <v>109</v>
      </c>
      <c r="AB36" s="106">
        <f t="shared" si="2"/>
        <v>-7</v>
      </c>
      <c r="AC36" s="82">
        <f t="shared" si="2"/>
        <v>72</v>
      </c>
      <c r="AD36" s="48">
        <f t="shared" si="2"/>
        <v>79</v>
      </c>
      <c r="AE36" s="103">
        <v>576</v>
      </c>
      <c r="AF36" s="102">
        <v>4</v>
      </c>
      <c r="AG36" s="102">
        <v>98</v>
      </c>
      <c r="AH36" s="102">
        <v>75</v>
      </c>
      <c r="AI36" s="102">
        <v>107</v>
      </c>
      <c r="AJ36" s="102">
        <v>32</v>
      </c>
      <c r="AK36" s="103">
        <v>5.0999999999999996</v>
      </c>
      <c r="AL36" s="102">
        <v>26</v>
      </c>
      <c r="AM36" s="102">
        <v>5.6</v>
      </c>
      <c r="AN36" s="104">
        <v>19.100000000000001</v>
      </c>
    </row>
    <row r="37" spans="2:40" x14ac:dyDescent="0.2">
      <c r="E37" s="75"/>
      <c r="F37" s="243"/>
      <c r="G37" s="259">
        <v>42345</v>
      </c>
      <c r="H37" s="139" t="s">
        <v>572</v>
      </c>
      <c r="I37" s="60"/>
      <c r="J37" s="103">
        <v>4</v>
      </c>
      <c r="K37" s="102">
        <v>111</v>
      </c>
      <c r="L37" s="102">
        <v>111</v>
      </c>
      <c r="M37" s="102">
        <v>99</v>
      </c>
      <c r="N37" s="102">
        <v>54</v>
      </c>
      <c r="O37" s="102">
        <v>117</v>
      </c>
      <c r="P37" s="102">
        <v>32.33</v>
      </c>
      <c r="Q37" s="102">
        <v>34</v>
      </c>
      <c r="R37" s="102">
        <v>29</v>
      </c>
      <c r="S37" s="104">
        <v>22</v>
      </c>
      <c r="T37" s="102" t="s">
        <v>316</v>
      </c>
      <c r="U37" s="102">
        <v>88</v>
      </c>
      <c r="V37" s="102">
        <v>127</v>
      </c>
      <c r="W37" s="104">
        <f t="shared" si="11"/>
        <v>39</v>
      </c>
      <c r="X37" s="103"/>
      <c r="Y37" s="102"/>
      <c r="Z37" s="82"/>
      <c r="AA37" s="105"/>
      <c r="AB37" s="106"/>
      <c r="AC37" s="82"/>
      <c r="AD37" s="48"/>
      <c r="AE37" s="103">
        <v>595</v>
      </c>
      <c r="AF37" s="102">
        <v>5</v>
      </c>
      <c r="AG37" s="102">
        <v>98</v>
      </c>
      <c r="AH37" s="102">
        <v>70</v>
      </c>
      <c r="AI37" s="102">
        <v>79</v>
      </c>
      <c r="AJ37" s="102">
        <v>9</v>
      </c>
      <c r="AK37" s="103">
        <v>4.3</v>
      </c>
      <c r="AL37" s="102">
        <v>44</v>
      </c>
      <c r="AM37" s="102">
        <v>0.3</v>
      </c>
      <c r="AN37" s="108">
        <v>37.6</v>
      </c>
    </row>
    <row r="38" spans="2:40" x14ac:dyDescent="0.2">
      <c r="E38" s="75"/>
      <c r="F38" s="243"/>
      <c r="G38" s="266">
        <v>42405</v>
      </c>
      <c r="H38" s="139" t="s">
        <v>573</v>
      </c>
      <c r="I38" s="60"/>
      <c r="J38" s="140">
        <v>8</v>
      </c>
      <c r="K38" s="139">
        <v>102</v>
      </c>
      <c r="L38" s="139">
        <v>108</v>
      </c>
      <c r="M38" s="139">
        <v>94</v>
      </c>
      <c r="N38" s="139">
        <v>91</v>
      </c>
      <c r="O38" s="139">
        <v>85</v>
      </c>
      <c r="P38" s="139">
        <v>31.2</v>
      </c>
      <c r="Q38" s="139">
        <v>26</v>
      </c>
      <c r="R38" s="139">
        <v>33</v>
      </c>
      <c r="S38" s="141">
        <v>17</v>
      </c>
      <c r="T38" s="139" t="s">
        <v>222</v>
      </c>
      <c r="U38" s="139">
        <v>83</v>
      </c>
      <c r="V38" s="139">
        <v>126</v>
      </c>
      <c r="W38" s="141">
        <v>43</v>
      </c>
      <c r="X38" s="140" t="s">
        <v>368</v>
      </c>
      <c r="Y38" s="139">
        <v>86</v>
      </c>
      <c r="Z38" s="77">
        <v>132</v>
      </c>
      <c r="AA38" s="78">
        <f t="shared" si="1"/>
        <v>46</v>
      </c>
      <c r="AB38" s="76">
        <f t="shared" si="2"/>
        <v>3</v>
      </c>
      <c r="AC38" s="77">
        <f t="shared" si="2"/>
        <v>6</v>
      </c>
      <c r="AD38" s="81">
        <f t="shared" si="2"/>
        <v>3</v>
      </c>
      <c r="AE38" s="140">
        <v>541</v>
      </c>
      <c r="AF38" s="139">
        <v>3</v>
      </c>
      <c r="AG38" s="139">
        <v>98</v>
      </c>
      <c r="AH38" s="139">
        <v>72</v>
      </c>
      <c r="AI38" s="139">
        <v>87</v>
      </c>
      <c r="AJ38" s="143"/>
      <c r="AK38" s="140">
        <v>5.2</v>
      </c>
      <c r="AL38" s="139">
        <v>48</v>
      </c>
      <c r="AM38" s="139">
        <v>0.3</v>
      </c>
      <c r="AN38" s="141"/>
    </row>
    <row r="39" spans="2:40" x14ac:dyDescent="0.2">
      <c r="E39" s="75"/>
      <c r="F39" s="243"/>
      <c r="G39" s="259">
        <v>42394</v>
      </c>
      <c r="H39" s="139" t="s">
        <v>574</v>
      </c>
      <c r="I39" s="60"/>
      <c r="J39" s="103">
        <v>4</v>
      </c>
      <c r="K39" s="102">
        <v>70</v>
      </c>
      <c r="L39" s="102">
        <v>82</v>
      </c>
      <c r="M39" s="102">
        <v>86</v>
      </c>
      <c r="N39" s="102">
        <v>39</v>
      </c>
      <c r="O39" s="102">
        <v>117</v>
      </c>
      <c r="P39" s="102">
        <v>25.32</v>
      </c>
      <c r="Q39" s="102">
        <v>27</v>
      </c>
      <c r="R39" s="102">
        <v>34</v>
      </c>
      <c r="S39" s="104">
        <v>13</v>
      </c>
      <c r="T39" s="102" t="s">
        <v>353</v>
      </c>
      <c r="U39" s="102">
        <v>89</v>
      </c>
      <c r="V39" s="102">
        <v>129</v>
      </c>
      <c r="W39" s="104">
        <f>(V39-U39)</f>
        <v>40</v>
      </c>
      <c r="X39" s="103"/>
      <c r="Y39" s="102"/>
      <c r="Z39" s="82"/>
      <c r="AA39" s="105"/>
      <c r="AB39" s="106"/>
      <c r="AC39" s="82"/>
      <c r="AD39" s="48"/>
      <c r="AE39" s="103">
        <v>665</v>
      </c>
      <c r="AF39" s="102">
        <v>5</v>
      </c>
      <c r="AG39" s="102"/>
      <c r="AH39" s="102">
        <v>59</v>
      </c>
      <c r="AI39" s="102">
        <v>116</v>
      </c>
      <c r="AJ39" s="102">
        <v>57</v>
      </c>
      <c r="AK39" s="103">
        <v>4.5</v>
      </c>
      <c r="AL39" s="102">
        <v>22</v>
      </c>
      <c r="AM39" s="102">
        <v>0.2</v>
      </c>
      <c r="AN39" s="104"/>
    </row>
    <row r="40" spans="2:40" x14ac:dyDescent="0.2">
      <c r="E40" s="75"/>
      <c r="F40" s="243"/>
      <c r="G40" s="259">
        <v>42394</v>
      </c>
      <c r="H40" s="139" t="s">
        <v>575</v>
      </c>
      <c r="I40" s="60"/>
      <c r="J40" s="103">
        <v>2</v>
      </c>
      <c r="K40" s="102">
        <v>69</v>
      </c>
      <c r="L40" s="102">
        <v>61</v>
      </c>
      <c r="M40" s="102">
        <v>113</v>
      </c>
      <c r="N40" s="102">
        <v>96</v>
      </c>
      <c r="O40" s="102">
        <v>68</v>
      </c>
      <c r="P40" s="102">
        <v>28.21</v>
      </c>
      <c r="Q40" s="102">
        <v>24</v>
      </c>
      <c r="R40" s="102">
        <v>32</v>
      </c>
      <c r="S40" s="104">
        <v>4</v>
      </c>
      <c r="T40" s="102" t="s">
        <v>356</v>
      </c>
      <c r="U40" s="102">
        <v>79</v>
      </c>
      <c r="V40" s="102">
        <v>118</v>
      </c>
      <c r="W40" s="104">
        <f>(V40-U40)</f>
        <v>39</v>
      </c>
      <c r="X40" s="103" t="s">
        <v>357</v>
      </c>
      <c r="Y40" s="102">
        <v>81</v>
      </c>
      <c r="Z40" s="82">
        <v>137</v>
      </c>
      <c r="AA40" s="105">
        <f t="shared" si="1"/>
        <v>56</v>
      </c>
      <c r="AB40" s="106">
        <f t="shared" si="2"/>
        <v>2</v>
      </c>
      <c r="AC40" s="82">
        <f t="shared" si="2"/>
        <v>19</v>
      </c>
      <c r="AD40" s="48">
        <f t="shared" si="2"/>
        <v>17</v>
      </c>
      <c r="AE40" s="103">
        <v>547</v>
      </c>
      <c r="AF40" s="102">
        <v>3</v>
      </c>
      <c r="AG40" s="102">
        <v>99</v>
      </c>
      <c r="AH40" s="102">
        <v>59</v>
      </c>
      <c r="AI40" s="102">
        <v>70</v>
      </c>
      <c r="AJ40" s="102">
        <v>11</v>
      </c>
      <c r="AK40" s="103">
        <v>4.8</v>
      </c>
      <c r="AL40" s="102">
        <v>60</v>
      </c>
      <c r="AM40" s="102">
        <v>0.3</v>
      </c>
      <c r="AN40" s="104"/>
    </row>
    <row r="41" spans="2:40" x14ac:dyDescent="0.2">
      <c r="E41" s="75"/>
      <c r="F41" s="243"/>
      <c r="G41" s="266">
        <v>42352</v>
      </c>
      <c r="H41" s="139" t="s">
        <v>576</v>
      </c>
      <c r="I41" s="60"/>
      <c r="J41" s="140">
        <v>3</v>
      </c>
      <c r="K41" s="139">
        <v>95</v>
      </c>
      <c r="L41" s="139">
        <v>107</v>
      </c>
      <c r="M41" s="139">
        <v>89</v>
      </c>
      <c r="N41" s="139">
        <v>75</v>
      </c>
      <c r="O41" s="139">
        <v>83</v>
      </c>
      <c r="P41" s="139">
        <v>22.69</v>
      </c>
      <c r="Q41" s="139">
        <v>27</v>
      </c>
      <c r="R41" s="139">
        <v>26</v>
      </c>
      <c r="S41" s="141">
        <v>9</v>
      </c>
      <c r="T41" s="139" t="s">
        <v>323</v>
      </c>
      <c r="U41" s="139">
        <v>77</v>
      </c>
      <c r="V41" s="139">
        <v>128</v>
      </c>
      <c r="W41" s="141">
        <f>(V41-U41)</f>
        <v>51</v>
      </c>
      <c r="X41" s="140" t="s">
        <v>326</v>
      </c>
      <c r="Y41" s="139">
        <v>96</v>
      </c>
      <c r="Z41" s="77">
        <v>197</v>
      </c>
      <c r="AA41" s="78">
        <f t="shared" si="1"/>
        <v>101</v>
      </c>
      <c r="AB41" s="76">
        <f t="shared" si="2"/>
        <v>19</v>
      </c>
      <c r="AC41" s="77">
        <f t="shared" si="2"/>
        <v>69</v>
      </c>
      <c r="AD41" s="81">
        <f t="shared" si="2"/>
        <v>50</v>
      </c>
      <c r="AE41" s="140">
        <v>423.48</v>
      </c>
      <c r="AF41" s="139">
        <v>4</v>
      </c>
      <c r="AG41" s="139">
        <v>98</v>
      </c>
      <c r="AH41" s="139">
        <v>72</v>
      </c>
      <c r="AI41" s="139">
        <v>94</v>
      </c>
      <c r="AJ41" s="139">
        <v>22</v>
      </c>
      <c r="AK41" s="140">
        <v>4.7</v>
      </c>
      <c r="AL41" s="139">
        <v>46</v>
      </c>
      <c r="AM41" s="139">
        <v>4.3</v>
      </c>
      <c r="AN41" s="141">
        <v>18.100000000000001</v>
      </c>
    </row>
    <row r="42" spans="2:40" ht="17" thickBot="1" x14ac:dyDescent="0.25">
      <c r="E42" s="75"/>
      <c r="F42" s="244"/>
      <c r="G42" s="267">
        <v>42352</v>
      </c>
      <c r="H42" s="146" t="s">
        <v>577</v>
      </c>
      <c r="I42" s="67"/>
      <c r="J42" s="147">
        <v>9</v>
      </c>
      <c r="K42" s="146">
        <v>107</v>
      </c>
      <c r="L42" s="146"/>
      <c r="M42" s="146">
        <v>87</v>
      </c>
      <c r="N42" s="146">
        <v>62</v>
      </c>
      <c r="O42" s="146">
        <v>101</v>
      </c>
      <c r="P42" s="146">
        <v>22.36</v>
      </c>
      <c r="Q42" s="146">
        <v>27</v>
      </c>
      <c r="R42" s="146">
        <v>28</v>
      </c>
      <c r="S42" s="148">
        <v>5</v>
      </c>
      <c r="T42" s="146" t="s">
        <v>324</v>
      </c>
      <c r="U42" s="146">
        <v>86</v>
      </c>
      <c r="V42" s="146">
        <v>113</v>
      </c>
      <c r="W42" s="148">
        <f>(V42-U42)</f>
        <v>27</v>
      </c>
      <c r="X42" s="147" t="s">
        <v>336</v>
      </c>
      <c r="Y42" s="146">
        <v>94</v>
      </c>
      <c r="Z42" s="149">
        <v>159</v>
      </c>
      <c r="AA42" s="150">
        <f t="shared" si="1"/>
        <v>65</v>
      </c>
      <c r="AB42" s="151">
        <f t="shared" si="2"/>
        <v>8</v>
      </c>
      <c r="AC42" s="149">
        <f t="shared" si="2"/>
        <v>46</v>
      </c>
      <c r="AD42" s="81">
        <f t="shared" si="2"/>
        <v>38</v>
      </c>
      <c r="AE42" s="147">
        <v>627</v>
      </c>
      <c r="AF42" s="146">
        <v>7</v>
      </c>
      <c r="AG42" s="146">
        <v>98</v>
      </c>
      <c r="AH42" s="146">
        <v>62</v>
      </c>
      <c r="AI42" s="146">
        <v>85</v>
      </c>
      <c r="AJ42" s="146">
        <v>23</v>
      </c>
      <c r="AK42" s="147">
        <v>5.0999999999999996</v>
      </c>
      <c r="AL42" s="146">
        <v>29</v>
      </c>
      <c r="AM42" s="146">
        <v>0.7</v>
      </c>
      <c r="AN42" s="148"/>
    </row>
    <row r="43" spans="2:40" x14ac:dyDescent="0.2">
      <c r="E43" s="75"/>
      <c r="G43" s="49" t="s">
        <v>529</v>
      </c>
      <c r="J43" s="58">
        <f>COUNT(J29:J42)</f>
        <v>13</v>
      </c>
      <c r="K43" s="59">
        <f t="shared" ref="K43:S43" si="12">COUNT(K29:K42)</f>
        <v>14</v>
      </c>
      <c r="L43" s="59">
        <f t="shared" si="12"/>
        <v>13</v>
      </c>
      <c r="M43" s="59">
        <f t="shared" si="12"/>
        <v>14</v>
      </c>
      <c r="N43" s="59">
        <f t="shared" si="12"/>
        <v>14</v>
      </c>
      <c r="O43" s="59">
        <f t="shared" si="12"/>
        <v>14</v>
      </c>
      <c r="P43" s="59">
        <f t="shared" si="12"/>
        <v>12</v>
      </c>
      <c r="Q43" s="59">
        <f t="shared" si="12"/>
        <v>14</v>
      </c>
      <c r="R43" s="59">
        <f t="shared" si="12"/>
        <v>14</v>
      </c>
      <c r="S43" s="60">
        <f t="shared" si="12"/>
        <v>13</v>
      </c>
      <c r="U43">
        <f>COUNT(U29:U42)</f>
        <v>14</v>
      </c>
      <c r="V43">
        <f>COUNT(V29:V42)</f>
        <v>14</v>
      </c>
      <c r="W43">
        <f>COUNT(W29:W42)</f>
        <v>14</v>
      </c>
      <c r="X43">
        <v>12</v>
      </c>
      <c r="Y43">
        <f t="shared" ref="Y43:AN43" si="13">COUNT(Y29:Y42)</f>
        <v>11</v>
      </c>
      <c r="Z43">
        <f t="shared" si="13"/>
        <v>11</v>
      </c>
      <c r="AA43">
        <f t="shared" si="13"/>
        <v>11</v>
      </c>
      <c r="AB43">
        <f t="shared" si="13"/>
        <v>11</v>
      </c>
      <c r="AC43">
        <f t="shared" si="13"/>
        <v>11</v>
      </c>
      <c r="AD43">
        <f t="shared" si="13"/>
        <v>11</v>
      </c>
      <c r="AE43" s="58">
        <f t="shared" si="13"/>
        <v>14</v>
      </c>
      <c r="AF43" s="59">
        <f t="shared" si="13"/>
        <v>12</v>
      </c>
      <c r="AG43" s="59">
        <f t="shared" si="13"/>
        <v>13</v>
      </c>
      <c r="AH43" s="59">
        <f t="shared" si="13"/>
        <v>14</v>
      </c>
      <c r="AI43" s="59">
        <f t="shared" si="13"/>
        <v>12</v>
      </c>
      <c r="AJ43" s="59">
        <f t="shared" si="13"/>
        <v>11</v>
      </c>
      <c r="AK43" s="58">
        <f t="shared" si="13"/>
        <v>14</v>
      </c>
      <c r="AL43" s="59">
        <f t="shared" si="13"/>
        <v>14</v>
      </c>
      <c r="AM43" s="59">
        <f t="shared" si="13"/>
        <v>14</v>
      </c>
      <c r="AN43" s="60">
        <f t="shared" si="13"/>
        <v>9</v>
      </c>
    </row>
    <row r="44" spans="2:40" x14ac:dyDescent="0.2">
      <c r="E44" s="75"/>
      <c r="G44" s="123" t="s">
        <v>540</v>
      </c>
      <c r="H44" s="68"/>
      <c r="J44" s="124">
        <f t="shared" ref="J44:S44" si="14">AVERAGE(J29:J42)</f>
        <v>6.615384615384615</v>
      </c>
      <c r="K44" s="125">
        <f t="shared" si="14"/>
        <v>86.071428571428569</v>
      </c>
      <c r="L44" s="125">
        <f t="shared" si="14"/>
        <v>87.15384615384616</v>
      </c>
      <c r="M44" s="125">
        <f t="shared" si="14"/>
        <v>96.428571428571431</v>
      </c>
      <c r="N44" s="125">
        <f t="shared" si="14"/>
        <v>73.285714285714292</v>
      </c>
      <c r="O44" s="125">
        <f t="shared" si="14"/>
        <v>95.928571428571431</v>
      </c>
      <c r="P44" s="125">
        <f t="shared" si="14"/>
        <v>27.771666666666665</v>
      </c>
      <c r="Q44" s="125">
        <f t="shared" si="14"/>
        <v>26.928571428571427</v>
      </c>
      <c r="R44" s="125">
        <f t="shared" si="14"/>
        <v>34</v>
      </c>
      <c r="S44" s="126">
        <f t="shared" si="14"/>
        <v>11.461538461538462</v>
      </c>
      <c r="T44" s="68"/>
      <c r="U44" s="68">
        <f>AVERAGE(U29:U42)</f>
        <v>78.214285714285708</v>
      </c>
      <c r="V44" s="68">
        <f>AVERAGE(V29:V42)</f>
        <v>121.42857142857143</v>
      </c>
      <c r="W44" s="68">
        <f>AVERAGE(W29:W42)</f>
        <v>43.214285714285715</v>
      </c>
      <c r="X44" s="68"/>
      <c r="Y44" s="68">
        <f t="shared" ref="Y44:AH44" si="15">AVERAGE(Y29:Y42)</f>
        <v>82.818181818181813</v>
      </c>
      <c r="Z44" s="68">
        <f t="shared" si="15"/>
        <v>158.09090909090909</v>
      </c>
      <c r="AA44" s="68">
        <f t="shared" si="15"/>
        <v>75.272727272727266</v>
      </c>
      <c r="AB44" s="68">
        <f t="shared" si="15"/>
        <v>6.5454545454545459</v>
      </c>
      <c r="AC44" s="68">
        <f t="shared" si="15"/>
        <v>38.545454545454547</v>
      </c>
      <c r="AD44" s="68">
        <f t="shared" si="15"/>
        <v>32</v>
      </c>
      <c r="AE44" s="124">
        <f t="shared" si="15"/>
        <v>589.67714285714283</v>
      </c>
      <c r="AF44" s="125">
        <f t="shared" si="15"/>
        <v>4.833333333333333</v>
      </c>
      <c r="AG44" s="125">
        <f t="shared" si="15"/>
        <v>97.769230769230774</v>
      </c>
      <c r="AH44" s="125">
        <f t="shared" si="15"/>
        <v>68.642857142857139</v>
      </c>
      <c r="AI44" s="125">
        <f>AVERAGE(AI29:AI42)</f>
        <v>89.25</v>
      </c>
      <c r="AJ44" s="125">
        <f>AVERAGE(AJ29:AJ42)</f>
        <v>20.363636363636363</v>
      </c>
      <c r="AK44" s="124">
        <f>AVERAGE(AK29:AK42)</f>
        <v>5.1285714285714281</v>
      </c>
      <c r="AL44" s="125">
        <f t="shared" ref="AL44:AN44" si="16">AVERAGE(AL29:AL42)</f>
        <v>40.714285714285715</v>
      </c>
      <c r="AM44" s="125">
        <f t="shared" si="16"/>
        <v>1.342857142857143</v>
      </c>
      <c r="AN44" s="126">
        <f t="shared" si="16"/>
        <v>34.556666666666672</v>
      </c>
    </row>
    <row r="45" spans="2:40" x14ac:dyDescent="0.2">
      <c r="E45" s="75"/>
      <c r="G45" s="49" t="s">
        <v>541</v>
      </c>
      <c r="J45" s="127">
        <f>STDEV(J29:J42)</f>
        <v>3.0967311135685627</v>
      </c>
      <c r="K45" s="62">
        <f t="shared" ref="K45:S45" si="17">STDEV(K29:K42)</f>
        <v>16.913646223432369</v>
      </c>
      <c r="L45" s="62">
        <f t="shared" si="17"/>
        <v>17.013946014207267</v>
      </c>
      <c r="M45" s="62">
        <f t="shared" si="17"/>
        <v>7.949013346750224</v>
      </c>
      <c r="N45" s="62">
        <f t="shared" si="17"/>
        <v>25.005933361838416</v>
      </c>
      <c r="O45" s="62">
        <f t="shared" si="17"/>
        <v>18.96743884302084</v>
      </c>
      <c r="P45" s="62">
        <f t="shared" si="17"/>
        <v>5.0035202759172712</v>
      </c>
      <c r="Q45" s="62">
        <f t="shared" si="17"/>
        <v>4.1224392651081514</v>
      </c>
      <c r="R45" s="62">
        <f t="shared" si="17"/>
        <v>5.3636956260800979</v>
      </c>
      <c r="S45" s="128">
        <f t="shared" si="17"/>
        <v>5.2854420284303032</v>
      </c>
      <c r="T45" s="57"/>
      <c r="U45" s="57">
        <f>STDEV(U29:U42)</f>
        <v>10.627819600019075</v>
      </c>
      <c r="V45" s="57">
        <f>STDEV(V29:V42)</f>
        <v>12.635202873256596</v>
      </c>
      <c r="W45" s="57">
        <f>STDEV(W29:W42)</f>
        <v>10.319351287218149</v>
      </c>
      <c r="X45" s="57"/>
      <c r="Y45" s="57">
        <f t="shared" ref="Y45:AN45" si="18">STDEV(Y29:Y42)</f>
        <v>14.012980994907428</v>
      </c>
      <c r="Z45" s="57">
        <f t="shared" si="18"/>
        <v>33.416925488304749</v>
      </c>
      <c r="AA45" s="57">
        <f t="shared" si="18"/>
        <v>24.511592804593128</v>
      </c>
      <c r="AB45" s="57">
        <f t="shared" si="18"/>
        <v>13.859030531488386</v>
      </c>
      <c r="AC45" s="57">
        <f t="shared" si="18"/>
        <v>29.689606384604144</v>
      </c>
      <c r="AD45" s="57">
        <f t="shared" si="18"/>
        <v>24.49081460466352</v>
      </c>
      <c r="AE45" s="127">
        <f t="shared" si="18"/>
        <v>67.863806534578231</v>
      </c>
      <c r="AF45" s="62">
        <f t="shared" si="18"/>
        <v>2.0375267241229387</v>
      </c>
      <c r="AG45" s="62">
        <f t="shared" si="18"/>
        <v>0.72501105208198413</v>
      </c>
      <c r="AH45" s="62">
        <f t="shared" si="18"/>
        <v>6.6864632810471045</v>
      </c>
      <c r="AI45" s="62">
        <f t="shared" si="18"/>
        <v>14.876002640005632</v>
      </c>
      <c r="AJ45" s="62">
        <f t="shared" si="18"/>
        <v>16.21895636144772</v>
      </c>
      <c r="AK45" s="127">
        <f t="shared" si="18"/>
        <v>0.55667774330406683</v>
      </c>
      <c r="AL45" s="62">
        <f t="shared" si="18"/>
        <v>13.504577978360755</v>
      </c>
      <c r="AM45" s="62">
        <f t="shared" si="18"/>
        <v>1.6514395984270049</v>
      </c>
      <c r="AN45" s="128">
        <f t="shared" si="18"/>
        <v>25.207972945082268</v>
      </c>
    </row>
    <row r="46" spans="2:40" ht="17" thickBot="1" x14ac:dyDescent="0.25">
      <c r="E46" s="75"/>
      <c r="G46" s="49" t="s">
        <v>542</v>
      </c>
      <c r="J46" s="129">
        <f>J45^2</f>
        <v>9.5897435897435894</v>
      </c>
      <c r="K46" s="61">
        <f t="shared" ref="K46:S46" si="19">K45^2</f>
        <v>286.07142857142804</v>
      </c>
      <c r="L46" s="61">
        <f t="shared" si="19"/>
        <v>289.47435897435935</v>
      </c>
      <c r="M46" s="61">
        <f t="shared" si="19"/>
        <v>63.186813186813197</v>
      </c>
      <c r="N46" s="61">
        <f t="shared" si="19"/>
        <v>625.29670329670353</v>
      </c>
      <c r="O46" s="61">
        <f t="shared" si="19"/>
        <v>359.76373626373578</v>
      </c>
      <c r="P46" s="61">
        <f t="shared" si="19"/>
        <v>25.035215151515246</v>
      </c>
      <c r="Q46" s="61">
        <f t="shared" si="19"/>
        <v>16.994505494505436</v>
      </c>
      <c r="R46" s="61">
        <f t="shared" si="19"/>
        <v>28.769230769230774</v>
      </c>
      <c r="S46" s="130">
        <f t="shared" si="19"/>
        <v>27.935897435897438</v>
      </c>
      <c r="T46" s="57"/>
      <c r="U46" s="57">
        <f>U45^2</f>
        <v>112.95054945054962</v>
      </c>
      <c r="V46" s="57">
        <f>V45^2</f>
        <v>159.64835164835173</v>
      </c>
      <c r="W46" s="57">
        <f>W45^2</f>
        <v>106.48901098901086</v>
      </c>
      <c r="X46" s="57"/>
      <c r="Y46" s="57">
        <f t="shared" ref="Y46:AN46" si="20">Y45^2</f>
        <v>196.36363636363677</v>
      </c>
      <c r="Z46" s="57">
        <f t="shared" si="20"/>
        <v>1116.6909090909116</v>
      </c>
      <c r="AA46" s="57">
        <f t="shared" si="20"/>
        <v>600.81818181818164</v>
      </c>
      <c r="AB46" s="57">
        <f t="shared" si="20"/>
        <v>192.07272727272726</v>
      </c>
      <c r="AC46" s="57">
        <f t="shared" si="20"/>
        <v>881.47272727272707</v>
      </c>
      <c r="AD46" s="57">
        <f t="shared" si="20"/>
        <v>599.79999999999995</v>
      </c>
      <c r="AE46" s="127">
        <f t="shared" si="20"/>
        <v>4605.4962373626631</v>
      </c>
      <c r="AF46" s="62">
        <f t="shared" si="20"/>
        <v>4.151515151515154</v>
      </c>
      <c r="AG46" s="62">
        <f t="shared" si="20"/>
        <v>0.52564102564102555</v>
      </c>
      <c r="AH46" s="62">
        <f t="shared" si="20"/>
        <v>44.708791208791212</v>
      </c>
      <c r="AI46" s="62">
        <f t="shared" si="20"/>
        <v>221.29545454545453</v>
      </c>
      <c r="AJ46" s="62">
        <f t="shared" si="20"/>
        <v>263.05454545454546</v>
      </c>
      <c r="AK46" s="127">
        <f t="shared" si="20"/>
        <v>0.30989010989010851</v>
      </c>
      <c r="AL46" s="62">
        <f t="shared" si="20"/>
        <v>182.37362637362628</v>
      </c>
      <c r="AM46" s="62">
        <f t="shared" si="20"/>
        <v>2.7272527472527472</v>
      </c>
      <c r="AN46" s="128">
        <f t="shared" si="20"/>
        <v>635.44189999999958</v>
      </c>
    </row>
    <row r="47" spans="2:40" ht="20" thickBot="1" x14ac:dyDescent="0.3">
      <c r="B47" s="53"/>
      <c r="C47" s="53"/>
      <c r="D47" s="53"/>
      <c r="E47" s="194"/>
      <c r="G47" s="49"/>
      <c r="J47" s="57"/>
      <c r="K47" s="57"/>
      <c r="L47" s="57"/>
      <c r="M47" s="57"/>
      <c r="N47" s="57"/>
      <c r="O47" s="57"/>
      <c r="P47" s="57"/>
      <c r="Q47" s="57"/>
      <c r="R47" s="57"/>
      <c r="S47" s="57"/>
      <c r="AE47" s="127"/>
      <c r="AF47" s="62"/>
      <c r="AG47" s="62"/>
      <c r="AH47" s="62"/>
      <c r="AI47" s="62"/>
      <c r="AJ47" s="62"/>
      <c r="AK47" s="127"/>
      <c r="AL47" s="62"/>
      <c r="AM47" s="62"/>
      <c r="AN47" s="128"/>
    </row>
    <row r="48" spans="2:40" ht="19" x14ac:dyDescent="0.25">
      <c r="J48" s="88"/>
      <c r="K48" s="89"/>
      <c r="L48" s="89"/>
      <c r="M48" s="89"/>
      <c r="N48" s="89"/>
      <c r="O48" s="89"/>
      <c r="P48" s="89"/>
      <c r="Q48" s="89"/>
      <c r="R48" s="89"/>
      <c r="S48" s="89"/>
      <c r="T48" s="241" t="s">
        <v>532</v>
      </c>
      <c r="U48" s="252"/>
      <c r="V48" s="252"/>
      <c r="W48" s="252"/>
      <c r="X48" s="256" t="s">
        <v>533</v>
      </c>
      <c r="Y48" s="255"/>
      <c r="Z48" s="255"/>
      <c r="AA48" s="257"/>
      <c r="AB48" s="252" t="s">
        <v>534</v>
      </c>
      <c r="AC48" s="252"/>
      <c r="AD48" s="253"/>
      <c r="AE48" s="88"/>
      <c r="AF48" s="89"/>
      <c r="AG48" s="89"/>
      <c r="AH48" s="89"/>
      <c r="AI48" s="89"/>
      <c r="AJ48" s="90"/>
      <c r="AK48" s="88"/>
      <c r="AL48" s="89"/>
      <c r="AM48" s="89"/>
      <c r="AN48" s="91"/>
    </row>
    <row r="49" spans="2:40" ht="39" thickBot="1" x14ac:dyDescent="0.3">
      <c r="B49" s="152"/>
      <c r="C49" s="152"/>
      <c r="D49" s="152"/>
      <c r="E49" s="197"/>
      <c r="F49" s="53"/>
      <c r="G49" s="53"/>
      <c r="H49" s="53"/>
      <c r="J49" s="153" t="s">
        <v>2</v>
      </c>
      <c r="K49" s="154" t="s">
        <v>4</v>
      </c>
      <c r="L49" s="154" t="s">
        <v>92</v>
      </c>
      <c r="M49" s="154" t="s">
        <v>5</v>
      </c>
      <c r="N49" s="154" t="s">
        <v>91</v>
      </c>
      <c r="O49" s="154" t="s">
        <v>6</v>
      </c>
      <c r="P49" s="154" t="s">
        <v>3</v>
      </c>
      <c r="Q49" s="154" t="s">
        <v>520</v>
      </c>
      <c r="R49" s="154" t="s">
        <v>521</v>
      </c>
      <c r="S49" s="154" t="s">
        <v>9</v>
      </c>
      <c r="T49" s="94" t="s">
        <v>535</v>
      </c>
      <c r="U49" s="94" t="s">
        <v>517</v>
      </c>
      <c r="V49" s="94" t="s">
        <v>516</v>
      </c>
      <c r="W49" s="95" t="s">
        <v>536</v>
      </c>
      <c r="X49" s="93" t="s">
        <v>11</v>
      </c>
      <c r="Y49" s="94" t="s">
        <v>517</v>
      </c>
      <c r="Z49" s="94" t="s">
        <v>516</v>
      </c>
      <c r="AA49" s="96" t="s">
        <v>536</v>
      </c>
      <c r="AB49" s="198" t="s">
        <v>517</v>
      </c>
      <c r="AC49" s="94" t="s">
        <v>516</v>
      </c>
      <c r="AD49" s="95" t="s">
        <v>536</v>
      </c>
      <c r="AE49" s="153" t="s">
        <v>12</v>
      </c>
      <c r="AF49" s="154" t="s">
        <v>14</v>
      </c>
      <c r="AG49" s="154" t="s">
        <v>15</v>
      </c>
      <c r="AH49" s="154" t="s">
        <v>518</v>
      </c>
      <c r="AI49" s="154" t="s">
        <v>519</v>
      </c>
      <c r="AJ49" s="155" t="s">
        <v>153</v>
      </c>
      <c r="AK49" s="153" t="s">
        <v>101</v>
      </c>
      <c r="AL49" s="154" t="s">
        <v>523</v>
      </c>
      <c r="AM49" s="154" t="s">
        <v>100</v>
      </c>
      <c r="AN49" s="156" t="s">
        <v>169</v>
      </c>
    </row>
    <row r="50" spans="2:40" ht="19" x14ac:dyDescent="0.25">
      <c r="C50" s="208"/>
      <c r="D50" s="208"/>
      <c r="E50" s="199"/>
      <c r="F50" s="152"/>
      <c r="G50" s="248" t="s">
        <v>559</v>
      </c>
      <c r="H50" s="157" t="s">
        <v>545</v>
      </c>
      <c r="J50" s="158">
        <f t="shared" ref="J50:S50" si="21">J24</f>
        <v>7.5384615384615383</v>
      </c>
      <c r="K50" s="158">
        <f t="shared" si="21"/>
        <v>86.571428571428569</v>
      </c>
      <c r="L50" s="158">
        <f t="shared" si="21"/>
        <v>87.461538461538467</v>
      </c>
      <c r="M50" s="158">
        <f t="shared" si="21"/>
        <v>96.5</v>
      </c>
      <c r="N50" s="158">
        <f t="shared" si="21"/>
        <v>79</v>
      </c>
      <c r="O50" s="158">
        <f t="shared" si="21"/>
        <v>92.714285714285708</v>
      </c>
      <c r="P50" s="158">
        <f t="shared" si="21"/>
        <v>25.149999999999995</v>
      </c>
      <c r="Q50" s="158">
        <f t="shared" si="21"/>
        <v>29.428571428571427</v>
      </c>
      <c r="R50" s="158">
        <f t="shared" si="21"/>
        <v>33.5</v>
      </c>
      <c r="S50" s="158">
        <f t="shared" si="21"/>
        <v>13.538461538461538</v>
      </c>
      <c r="T50" s="158"/>
      <c r="U50" s="158">
        <f>U24</f>
        <v>81.357142857142861</v>
      </c>
      <c r="V50" s="158">
        <f>V24</f>
        <v>130.5</v>
      </c>
      <c r="W50" s="158">
        <f>W24</f>
        <v>49.142857142857146</v>
      </c>
      <c r="X50" s="58"/>
      <c r="Y50" s="158">
        <f t="shared" ref="Y50:AN50" si="22">Y24</f>
        <v>85.454545454545453</v>
      </c>
      <c r="Z50" s="158">
        <f t="shared" si="22"/>
        <v>164.27272727272728</v>
      </c>
      <c r="AA50" s="160">
        <f t="shared" si="22"/>
        <v>78.818181818181813</v>
      </c>
      <c r="AB50" s="158">
        <f t="shared" si="22"/>
        <v>7</v>
      </c>
      <c r="AC50" s="158">
        <f t="shared" si="22"/>
        <v>35.636363636363633</v>
      </c>
      <c r="AD50" s="158">
        <f t="shared" si="22"/>
        <v>28.636363636363637</v>
      </c>
      <c r="AE50" s="159">
        <f t="shared" si="22"/>
        <v>522.42857142857144</v>
      </c>
      <c r="AF50" s="158">
        <f t="shared" si="22"/>
        <v>4.666666666666667</v>
      </c>
      <c r="AG50" s="158">
        <f t="shared" si="22"/>
        <v>98.230769230769226</v>
      </c>
      <c r="AH50" s="158">
        <f t="shared" si="22"/>
        <v>73.214285714285708</v>
      </c>
      <c r="AI50" s="158">
        <f t="shared" si="22"/>
        <v>88.416666666666671</v>
      </c>
      <c r="AJ50" s="158">
        <f t="shared" si="22"/>
        <v>14</v>
      </c>
      <c r="AK50" s="159">
        <f t="shared" si="22"/>
        <v>5.242857142857142</v>
      </c>
      <c r="AL50" s="158">
        <f t="shared" si="22"/>
        <v>40.571428571428569</v>
      </c>
      <c r="AM50" s="158">
        <f t="shared" si="22"/>
        <v>2.8285714285714287</v>
      </c>
      <c r="AN50" s="160">
        <f t="shared" si="22"/>
        <v>35.344444444444434</v>
      </c>
    </row>
    <row r="51" spans="2:40" ht="20" thickBot="1" x14ac:dyDescent="0.3">
      <c r="E51" s="200"/>
      <c r="G51" s="249"/>
      <c r="H51" s="161" t="s">
        <v>547</v>
      </c>
      <c r="J51" s="162">
        <f t="shared" ref="J51:S51" si="23">J44</f>
        <v>6.615384615384615</v>
      </c>
      <c r="K51" s="162">
        <f t="shared" si="23"/>
        <v>86.071428571428569</v>
      </c>
      <c r="L51" s="162">
        <f t="shared" si="23"/>
        <v>87.15384615384616</v>
      </c>
      <c r="M51" s="162">
        <f t="shared" si="23"/>
        <v>96.428571428571431</v>
      </c>
      <c r="N51" s="162">
        <f t="shared" si="23"/>
        <v>73.285714285714292</v>
      </c>
      <c r="O51" s="162">
        <f t="shared" si="23"/>
        <v>95.928571428571431</v>
      </c>
      <c r="P51" s="162">
        <f t="shared" si="23"/>
        <v>27.771666666666665</v>
      </c>
      <c r="Q51" s="162">
        <f t="shared" si="23"/>
        <v>26.928571428571427</v>
      </c>
      <c r="R51" s="162">
        <f t="shared" si="23"/>
        <v>34</v>
      </c>
      <c r="S51" s="162">
        <f t="shared" si="23"/>
        <v>11.461538461538462</v>
      </c>
      <c r="T51" s="162"/>
      <c r="U51" s="162">
        <f>U44</f>
        <v>78.214285714285708</v>
      </c>
      <c r="V51" s="162">
        <f>V44</f>
        <v>121.42857142857143</v>
      </c>
      <c r="W51" s="162">
        <f>W44</f>
        <v>43.214285714285715</v>
      </c>
      <c r="X51" s="58"/>
      <c r="Y51" s="162">
        <f t="shared" ref="Y51:AN51" si="24">Y44</f>
        <v>82.818181818181813</v>
      </c>
      <c r="Z51" s="162">
        <f t="shared" si="24"/>
        <v>158.09090909090909</v>
      </c>
      <c r="AA51" s="164">
        <f t="shared" si="24"/>
        <v>75.272727272727266</v>
      </c>
      <c r="AB51" s="162">
        <f t="shared" si="24"/>
        <v>6.5454545454545459</v>
      </c>
      <c r="AC51" s="162">
        <f t="shared" si="24"/>
        <v>38.545454545454547</v>
      </c>
      <c r="AD51" s="162">
        <f t="shared" si="24"/>
        <v>32</v>
      </c>
      <c r="AE51" s="163">
        <f t="shared" si="24"/>
        <v>589.67714285714283</v>
      </c>
      <c r="AF51" s="162">
        <f t="shared" si="24"/>
        <v>4.833333333333333</v>
      </c>
      <c r="AG51" s="162">
        <f t="shared" si="24"/>
        <v>97.769230769230774</v>
      </c>
      <c r="AH51" s="162">
        <f t="shared" si="24"/>
        <v>68.642857142857139</v>
      </c>
      <c r="AI51" s="162">
        <f t="shared" si="24"/>
        <v>89.25</v>
      </c>
      <c r="AJ51" s="162">
        <f t="shared" si="24"/>
        <v>20.363636363636363</v>
      </c>
      <c r="AK51" s="163">
        <f t="shared" si="24"/>
        <v>5.1285714285714281</v>
      </c>
      <c r="AL51" s="162">
        <f t="shared" si="24"/>
        <v>40.714285714285715</v>
      </c>
      <c r="AM51" s="162">
        <f t="shared" si="24"/>
        <v>1.342857142857143</v>
      </c>
      <c r="AN51" s="164">
        <f t="shared" si="24"/>
        <v>34.556666666666672</v>
      </c>
    </row>
    <row r="52" spans="2:40" ht="19" x14ac:dyDescent="0.25">
      <c r="E52" s="200"/>
      <c r="H52" s="165" t="s">
        <v>549</v>
      </c>
      <c r="J52" s="74">
        <f t="shared" ref="J52:S52" si="25">(J51-J50)/J24</f>
        <v>-0.12244897959183677</v>
      </c>
      <c r="K52" s="74">
        <f t="shared" si="25"/>
        <v>-5.7755775577557761E-3</v>
      </c>
      <c r="L52" s="74">
        <f t="shared" si="25"/>
        <v>-3.5180299032541648E-3</v>
      </c>
      <c r="M52" s="74">
        <f t="shared" si="25"/>
        <v>-7.4019245003698855E-4</v>
      </c>
      <c r="N52" s="74">
        <f t="shared" si="25"/>
        <v>-7.2332730560578581E-2</v>
      </c>
      <c r="O52" s="74">
        <f t="shared" si="25"/>
        <v>3.4668721109399163E-2</v>
      </c>
      <c r="P52" s="166">
        <f t="shared" si="25"/>
        <v>0.10424121935056342</v>
      </c>
      <c r="Q52" s="166">
        <f t="shared" si="25"/>
        <v>-8.4951456310679616E-2</v>
      </c>
      <c r="R52" s="166">
        <f t="shared" si="25"/>
        <v>1.4925373134328358E-2</v>
      </c>
      <c r="S52" s="166">
        <f t="shared" si="25"/>
        <v>-0.15340909090909088</v>
      </c>
      <c r="T52" s="166"/>
      <c r="U52" s="166">
        <f>(U51-U50)/U24</f>
        <v>-3.8630377524144111E-2</v>
      </c>
      <c r="V52" s="166">
        <f>(V51-V50)/V24</f>
        <v>-6.9512862616310872E-2</v>
      </c>
      <c r="W52" s="166">
        <f>(W51-W50)/W24</f>
        <v>-0.12063953488372096</v>
      </c>
      <c r="X52" s="58"/>
      <c r="Y52" s="166">
        <f t="shared" ref="Y52:AN52" si="26">(Y51-Y50)/Y24</f>
        <v>-3.0851063829787279E-2</v>
      </c>
      <c r="Z52" s="166">
        <f t="shared" si="26"/>
        <v>-3.7631433314886581E-2</v>
      </c>
      <c r="AA52" s="201">
        <f t="shared" si="26"/>
        <v>-4.4982698961937732E-2</v>
      </c>
      <c r="AB52" s="167">
        <f t="shared" si="26"/>
        <v>-6.4935064935064873E-2</v>
      </c>
      <c r="AC52" s="166">
        <f t="shared" si="26"/>
        <v>8.1632653061224622E-2</v>
      </c>
      <c r="AD52" s="166">
        <f t="shared" si="26"/>
        <v>0.11746031746031745</v>
      </c>
      <c r="AE52" s="268">
        <f t="shared" si="26"/>
        <v>0.1287229969920699</v>
      </c>
      <c r="AF52" s="74">
        <f t="shared" si="26"/>
        <v>3.5714285714285587E-2</v>
      </c>
      <c r="AG52" s="74">
        <f t="shared" si="26"/>
        <v>-4.6985121378229338E-3</v>
      </c>
      <c r="AH52" s="74">
        <f t="shared" si="26"/>
        <v>-6.2439024390243882E-2</v>
      </c>
      <c r="AI52" s="74">
        <f t="shared" si="26"/>
        <v>9.4250706880301058E-3</v>
      </c>
      <c r="AJ52" s="210">
        <f t="shared" si="26"/>
        <v>0.45454545454545453</v>
      </c>
      <c r="AK52" s="168">
        <f t="shared" si="26"/>
        <v>-2.179836512261573E-2</v>
      </c>
      <c r="AL52" s="74">
        <f t="shared" si="26"/>
        <v>3.5211267605634554E-3</v>
      </c>
      <c r="AM52" s="210">
        <f t="shared" si="26"/>
        <v>-0.52525252525252519</v>
      </c>
      <c r="AN52" s="169">
        <f t="shared" si="26"/>
        <v>-2.2288588494183789E-2</v>
      </c>
    </row>
    <row r="53" spans="2:40" ht="20" thickBot="1" x14ac:dyDescent="0.3">
      <c r="E53" s="202"/>
      <c r="H53" s="170" t="s">
        <v>550</v>
      </c>
      <c r="J53" s="171">
        <f t="shared" ref="J53:S53" si="27">_xlfn.T.TEST(J9:J22,J29:J42,1,1)</f>
        <v>0.23504861223815321</v>
      </c>
      <c r="K53" s="171">
        <f t="shared" si="27"/>
        <v>0.30858428332169008</v>
      </c>
      <c r="L53" s="171">
        <f t="shared" si="27"/>
        <v>0.39970039645155864</v>
      </c>
      <c r="M53" s="171">
        <f t="shared" si="27"/>
        <v>0.47487360991042826</v>
      </c>
      <c r="N53" s="171">
        <f t="shared" si="27"/>
        <v>0.17003222922535316</v>
      </c>
      <c r="O53" s="171">
        <f t="shared" si="27"/>
        <v>9.9475090388880014E-2</v>
      </c>
      <c r="P53" s="212">
        <f t="shared" si="27"/>
        <v>1.9738454747448762E-2</v>
      </c>
      <c r="Q53" s="212">
        <f t="shared" si="27"/>
        <v>4.5098821921378762E-2</v>
      </c>
      <c r="R53" s="171">
        <f t="shared" si="27"/>
        <v>0.40847623052324106</v>
      </c>
      <c r="S53" s="212">
        <f t="shared" si="27"/>
        <v>3.6009930142481078E-2</v>
      </c>
      <c r="T53" s="72"/>
      <c r="U53" s="171">
        <f>_xlfn.T.TEST(U9:U22,U29:U42,1,1)</f>
        <v>0.15347550034666504</v>
      </c>
      <c r="V53" s="212">
        <f>_xlfn.T.TEST(V9:V22,V29:V42,1,1)</f>
        <v>4.6624822894181399E-2</v>
      </c>
      <c r="W53" s="172">
        <f>_xlfn.T.TEST(W9:W22,W29:W42,1,1)</f>
        <v>6.3657507407851255E-2</v>
      </c>
      <c r="X53" s="65"/>
      <c r="Y53" s="203">
        <f t="shared" ref="Y53:AN53" si="28">_xlfn.T.TEST(Y9:Y22,Y29:Y42,1,1)</f>
        <v>0.30553372115357225</v>
      </c>
      <c r="Z53" s="203">
        <f t="shared" si="28"/>
        <v>0.280802957264636</v>
      </c>
      <c r="AA53" s="204">
        <f t="shared" si="28"/>
        <v>0.34262315747306649</v>
      </c>
      <c r="AB53" s="171">
        <f t="shared" si="28"/>
        <v>0.46100620416323201</v>
      </c>
      <c r="AC53" s="171">
        <f t="shared" si="28"/>
        <v>0.39452953261447626</v>
      </c>
      <c r="AD53" s="171">
        <f t="shared" si="28"/>
        <v>0.36403906813031861</v>
      </c>
      <c r="AE53" s="213">
        <f t="shared" si="28"/>
        <v>4.1791529576151645E-3</v>
      </c>
      <c r="AF53" s="173">
        <f t="shared" si="28"/>
        <v>0.41377313210159733</v>
      </c>
      <c r="AG53" s="174">
        <f t="shared" si="28"/>
        <v>5.5532526491916978E-2</v>
      </c>
      <c r="AH53" s="214">
        <f t="shared" si="28"/>
        <v>3.6993456980592157E-2</v>
      </c>
      <c r="AI53" s="173">
        <f t="shared" si="28"/>
        <v>0.42289589391210264</v>
      </c>
      <c r="AJ53" s="173">
        <f t="shared" si="28"/>
        <v>9.3166214492578892E-2</v>
      </c>
      <c r="AK53" s="175">
        <f t="shared" si="28"/>
        <v>0.23662857885326349</v>
      </c>
      <c r="AL53" s="173">
        <f t="shared" si="28"/>
        <v>0.47809031589153039</v>
      </c>
      <c r="AM53" s="214">
        <f t="shared" si="28"/>
        <v>5.1119498639992253E-2</v>
      </c>
      <c r="AN53" s="176">
        <f t="shared" si="28"/>
        <v>0.44488199927745131</v>
      </c>
    </row>
    <row r="54" spans="2:40" s="221" customFormat="1" ht="29" customHeight="1" thickBot="1" x14ac:dyDescent="0.35">
      <c r="C54" s="222"/>
      <c r="D54" s="223"/>
      <c r="E54" s="224"/>
      <c r="F54" s="225"/>
      <c r="H54" s="226"/>
      <c r="J54" s="226"/>
      <c r="P54" s="227" t="s">
        <v>557</v>
      </c>
      <c r="Q54" s="227" t="s">
        <v>557</v>
      </c>
      <c r="S54" s="227" t="s">
        <v>557</v>
      </c>
      <c r="V54" s="227" t="s">
        <v>557</v>
      </c>
      <c r="Y54" s="226"/>
      <c r="AE54" s="228" t="s">
        <v>563</v>
      </c>
      <c r="AF54" s="229"/>
      <c r="AG54" s="229"/>
      <c r="AH54" s="227" t="s">
        <v>557</v>
      </c>
      <c r="AI54" s="229"/>
      <c r="AJ54" s="229"/>
      <c r="AK54" s="230"/>
      <c r="AL54" s="229"/>
      <c r="AM54" s="227" t="s">
        <v>562</v>
      </c>
      <c r="AN54" s="231"/>
    </row>
    <row r="55" spans="2:40" ht="21" x14ac:dyDescent="0.25">
      <c r="C55" s="80"/>
      <c r="D55" s="205"/>
      <c r="E55" s="75"/>
      <c r="F55" s="311"/>
      <c r="G55" s="63"/>
      <c r="H55" s="312" t="s">
        <v>553</v>
      </c>
      <c r="I55" s="63"/>
      <c r="J55" s="84">
        <v>8</v>
      </c>
      <c r="K55" s="85">
        <v>80</v>
      </c>
      <c r="L55" s="85"/>
      <c r="M55" s="85">
        <v>80</v>
      </c>
      <c r="N55" s="85">
        <v>80</v>
      </c>
      <c r="O55" s="85">
        <v>80</v>
      </c>
      <c r="P55" s="85"/>
      <c r="Q55" s="85">
        <v>40</v>
      </c>
      <c r="R55" s="85">
        <v>40</v>
      </c>
      <c r="S55" s="85">
        <v>12</v>
      </c>
      <c r="T55" s="85"/>
      <c r="U55" s="85">
        <v>90</v>
      </c>
      <c r="V55" s="85">
        <v>140</v>
      </c>
      <c r="W55" s="85">
        <v>60</v>
      </c>
      <c r="X55" s="63"/>
      <c r="Y55" s="85">
        <v>90</v>
      </c>
      <c r="Z55" s="85">
        <v>140</v>
      </c>
      <c r="AA55" s="85">
        <v>60</v>
      </c>
      <c r="AB55" s="85"/>
      <c r="AC55" s="85"/>
      <c r="AD55" s="86"/>
      <c r="AE55" s="84"/>
      <c r="AF55" s="85"/>
      <c r="AG55" s="85"/>
      <c r="AH55" s="85"/>
      <c r="AI55" s="85"/>
      <c r="AJ55" s="86"/>
      <c r="AK55" s="84">
        <v>6</v>
      </c>
      <c r="AL55" s="85" t="s">
        <v>526</v>
      </c>
      <c r="AM55" s="85">
        <v>3</v>
      </c>
      <c r="AN55" s="87" t="s">
        <v>175</v>
      </c>
    </row>
    <row r="56" spans="2:40" ht="19" x14ac:dyDescent="0.2">
      <c r="E56" s="207"/>
      <c r="F56" s="58"/>
      <c r="G56" s="59"/>
      <c r="H56" s="234" t="s">
        <v>527</v>
      </c>
      <c r="I56" s="59"/>
      <c r="J56" s="177">
        <v>6</v>
      </c>
      <c r="K56" s="178">
        <v>5</v>
      </c>
      <c r="L56" s="179">
        <v>4</v>
      </c>
      <c r="M56" s="179"/>
      <c r="N56" s="179">
        <v>7</v>
      </c>
      <c r="O56" s="179">
        <v>3</v>
      </c>
      <c r="P56" s="179"/>
      <c r="Q56" s="179">
        <v>1</v>
      </c>
      <c r="R56" s="179">
        <v>3</v>
      </c>
      <c r="S56" s="179">
        <v>6</v>
      </c>
      <c r="T56" s="179"/>
      <c r="U56" s="179">
        <v>4</v>
      </c>
      <c r="V56" s="179">
        <v>6</v>
      </c>
      <c r="W56" s="179">
        <v>4</v>
      </c>
      <c r="X56" s="59"/>
      <c r="Y56" s="179">
        <v>5</v>
      </c>
      <c r="Z56" s="179">
        <v>9</v>
      </c>
      <c r="AA56" s="179">
        <v>9</v>
      </c>
      <c r="AB56" s="59"/>
      <c r="AC56" s="59"/>
      <c r="AD56" s="59"/>
      <c r="AE56" s="59"/>
      <c r="AF56" s="59"/>
      <c r="AG56" s="59"/>
      <c r="AH56" s="59"/>
      <c r="AI56" s="59"/>
      <c r="AJ56" s="59"/>
      <c r="AK56" s="180"/>
      <c r="AL56" s="179">
        <v>3</v>
      </c>
      <c r="AM56" s="179">
        <v>4</v>
      </c>
      <c r="AN56" s="177">
        <v>5</v>
      </c>
    </row>
    <row r="57" spans="2:40" ht="19" x14ac:dyDescent="0.2">
      <c r="B57" s="207"/>
      <c r="C57" s="207"/>
      <c r="D57" s="207"/>
      <c r="E57" s="207"/>
      <c r="F57" s="58"/>
      <c r="G57" s="59"/>
      <c r="H57" s="234" t="s">
        <v>528</v>
      </c>
      <c r="I57" s="59"/>
      <c r="J57" s="69">
        <v>3</v>
      </c>
      <c r="K57" s="70">
        <v>6</v>
      </c>
      <c r="L57" s="71">
        <v>4</v>
      </c>
      <c r="M57" s="71"/>
      <c r="N57" s="71">
        <v>8</v>
      </c>
      <c r="O57" s="71">
        <v>3</v>
      </c>
      <c r="P57" s="71"/>
      <c r="Q57" s="71">
        <v>0</v>
      </c>
      <c r="R57" s="71">
        <v>2</v>
      </c>
      <c r="S57" s="71">
        <v>7</v>
      </c>
      <c r="T57" s="71"/>
      <c r="U57" s="71">
        <v>1</v>
      </c>
      <c r="V57" s="71">
        <v>1</v>
      </c>
      <c r="W57" s="71">
        <v>1</v>
      </c>
      <c r="X57" s="59"/>
      <c r="Y57" s="71">
        <v>4</v>
      </c>
      <c r="Z57" s="71">
        <v>6</v>
      </c>
      <c r="AA57" s="71">
        <v>7</v>
      </c>
      <c r="AB57" s="59"/>
      <c r="AC57" s="59"/>
      <c r="AD57" s="59"/>
      <c r="AE57" s="59"/>
      <c r="AF57" s="59"/>
      <c r="AG57" s="59"/>
      <c r="AH57" s="59"/>
      <c r="AI57" s="59"/>
      <c r="AJ57" s="59"/>
      <c r="AK57" s="181"/>
      <c r="AL57" s="71">
        <v>4</v>
      </c>
      <c r="AM57" s="71">
        <v>2</v>
      </c>
      <c r="AN57" s="69">
        <v>5</v>
      </c>
    </row>
    <row r="58" spans="2:40" ht="19" x14ac:dyDescent="0.2">
      <c r="B58" s="207"/>
      <c r="C58" s="207"/>
      <c r="D58" s="207"/>
      <c r="E58" s="207"/>
      <c r="F58" s="58"/>
      <c r="G58" s="59"/>
      <c r="H58" s="234" t="s">
        <v>524</v>
      </c>
      <c r="I58" s="59"/>
      <c r="J58" s="182">
        <f>J56/J23</f>
        <v>0.46153846153846156</v>
      </c>
      <c r="K58" s="182">
        <f>K56/K23</f>
        <v>0.35714285714285715</v>
      </c>
      <c r="L58" s="182">
        <f t="shared" ref="L58:S58" si="29">L56/L23</f>
        <v>0.30769230769230771</v>
      </c>
      <c r="M58" s="182"/>
      <c r="N58" s="182">
        <f t="shared" si="29"/>
        <v>0.5</v>
      </c>
      <c r="O58" s="182">
        <f t="shared" si="29"/>
        <v>0.21428571428571427</v>
      </c>
      <c r="P58" s="182">
        <f t="shared" si="29"/>
        <v>0</v>
      </c>
      <c r="Q58" s="182">
        <f t="shared" si="29"/>
        <v>7.1428571428571425E-2</v>
      </c>
      <c r="R58" s="182">
        <f t="shared" si="29"/>
        <v>0.21428571428571427</v>
      </c>
      <c r="S58" s="182">
        <f t="shared" si="29"/>
        <v>0.46153846153846156</v>
      </c>
      <c r="T58" s="182"/>
      <c r="U58" s="182">
        <f>U56/U23</f>
        <v>0.2857142857142857</v>
      </c>
      <c r="V58" s="182">
        <f>V56/V23</f>
        <v>0.42857142857142855</v>
      </c>
      <c r="W58" s="182">
        <f>W56/W23</f>
        <v>0.2857142857142857</v>
      </c>
      <c r="X58" s="59"/>
      <c r="Y58" s="182">
        <f t="shared" ref="Y58:AA58" si="30">Y56/Y23</f>
        <v>0.45454545454545453</v>
      </c>
      <c r="Z58" s="182">
        <f t="shared" si="30"/>
        <v>0.81818181818181823</v>
      </c>
      <c r="AA58" s="182">
        <f t="shared" si="30"/>
        <v>0.81818181818181823</v>
      </c>
      <c r="AB58" s="59"/>
      <c r="AC58" s="59"/>
      <c r="AD58" s="59"/>
      <c r="AE58" s="59"/>
      <c r="AF58" s="59"/>
      <c r="AG58" s="59"/>
      <c r="AH58" s="59"/>
      <c r="AI58" s="59"/>
      <c r="AJ58" s="59"/>
      <c r="AK58" s="183">
        <f>AK56/AK23</f>
        <v>0</v>
      </c>
      <c r="AL58" s="182">
        <f>AL56/AL23</f>
        <v>0.21428571428571427</v>
      </c>
      <c r="AM58" s="182">
        <f>AM56/AM23</f>
        <v>0.2857142857142857</v>
      </c>
      <c r="AN58" s="182">
        <f t="shared" ref="AN58" si="31">AN56/AN23</f>
        <v>0.55555555555555558</v>
      </c>
    </row>
    <row r="59" spans="2:40" ht="19" x14ac:dyDescent="0.2">
      <c r="B59" s="207"/>
      <c r="C59" s="207"/>
      <c r="D59" s="207"/>
      <c r="E59" s="207"/>
      <c r="F59" s="58"/>
      <c r="G59" s="59"/>
      <c r="H59" s="234" t="s">
        <v>525</v>
      </c>
      <c r="I59" s="59"/>
      <c r="J59" s="184">
        <f>J57/J43</f>
        <v>0.23076923076923078</v>
      </c>
      <c r="K59" s="184">
        <f>K57/K43</f>
        <v>0.42857142857142855</v>
      </c>
      <c r="L59" s="184">
        <f t="shared" ref="L59:S59" si="32">L57/L43</f>
        <v>0.30769230769230771</v>
      </c>
      <c r="M59" s="184"/>
      <c r="N59" s="184">
        <f t="shared" si="32"/>
        <v>0.5714285714285714</v>
      </c>
      <c r="O59" s="184">
        <f t="shared" si="32"/>
        <v>0.21428571428571427</v>
      </c>
      <c r="P59" s="184">
        <f t="shared" si="32"/>
        <v>0</v>
      </c>
      <c r="Q59" s="184">
        <f t="shared" si="32"/>
        <v>0</v>
      </c>
      <c r="R59" s="184">
        <f t="shared" si="32"/>
        <v>0.14285714285714285</v>
      </c>
      <c r="S59" s="184">
        <f t="shared" si="32"/>
        <v>0.53846153846153844</v>
      </c>
      <c r="T59" s="184"/>
      <c r="U59" s="184">
        <f>U57/U43</f>
        <v>7.1428571428571425E-2</v>
      </c>
      <c r="V59" s="184">
        <f>V57/V43</f>
        <v>7.1428571428571425E-2</v>
      </c>
      <c r="W59" s="184">
        <f>W57/W43</f>
        <v>7.1428571428571425E-2</v>
      </c>
      <c r="X59" s="59"/>
      <c r="Y59" s="184">
        <f t="shared" ref="Y59:AA59" si="33">Y57/Y43</f>
        <v>0.36363636363636365</v>
      </c>
      <c r="Z59" s="184">
        <f t="shared" si="33"/>
        <v>0.54545454545454541</v>
      </c>
      <c r="AA59" s="184">
        <f t="shared" si="33"/>
        <v>0.63636363636363635</v>
      </c>
      <c r="AB59" s="59"/>
      <c r="AC59" s="59"/>
      <c r="AD59" s="59"/>
      <c r="AE59" s="59"/>
      <c r="AF59" s="59"/>
      <c r="AG59" s="59"/>
      <c r="AH59" s="59"/>
      <c r="AI59" s="59"/>
      <c r="AJ59" s="59"/>
      <c r="AK59" s="185">
        <f>AK57/AK43</f>
        <v>0</v>
      </c>
      <c r="AL59" s="184">
        <f>AL57/AL43</f>
        <v>0.2857142857142857</v>
      </c>
      <c r="AM59" s="184">
        <f>AM57/AM43</f>
        <v>0.14285714285714285</v>
      </c>
      <c r="AN59" s="184">
        <f t="shared" ref="AN59" si="34">AN57/AN43</f>
        <v>0.55555555555555558</v>
      </c>
    </row>
    <row r="60" spans="2:40" ht="19" x14ac:dyDescent="0.2">
      <c r="B60" s="207"/>
      <c r="C60" s="207"/>
      <c r="D60" s="207"/>
      <c r="E60" s="207"/>
      <c r="F60" s="58"/>
      <c r="G60" s="59"/>
      <c r="H60" s="234" t="s">
        <v>522</v>
      </c>
      <c r="I60" s="59"/>
      <c r="J60" s="211">
        <f>J58-J59</f>
        <v>0.23076923076923078</v>
      </c>
      <c r="K60" s="186">
        <f>K58-K59</f>
        <v>-7.1428571428571397E-2</v>
      </c>
      <c r="L60" s="186">
        <f t="shared" ref="L60:S60" si="35">L58-L59</f>
        <v>0</v>
      </c>
      <c r="M60" s="186"/>
      <c r="N60" s="186">
        <f t="shared" si="35"/>
        <v>-7.1428571428571397E-2</v>
      </c>
      <c r="O60" s="186">
        <f t="shared" si="35"/>
        <v>0</v>
      </c>
      <c r="P60" s="186">
        <f t="shared" si="35"/>
        <v>0</v>
      </c>
      <c r="Q60" s="186">
        <f t="shared" si="35"/>
        <v>7.1428571428571425E-2</v>
      </c>
      <c r="R60" s="186">
        <f t="shared" si="35"/>
        <v>7.1428571428571425E-2</v>
      </c>
      <c r="S60" s="186">
        <f t="shared" si="35"/>
        <v>-7.6923076923076872E-2</v>
      </c>
      <c r="T60" s="186"/>
      <c r="U60" s="211">
        <f>U58-U59</f>
        <v>0.21428571428571427</v>
      </c>
      <c r="V60" s="211">
        <f>V58-V59</f>
        <v>0.3571428571428571</v>
      </c>
      <c r="W60" s="211">
        <f>W58-W59</f>
        <v>0.21428571428571427</v>
      </c>
      <c r="X60" s="59"/>
      <c r="Y60" s="187">
        <f t="shared" ref="Y60:AA60" si="36">Y58-Y59</f>
        <v>9.0909090909090884E-2</v>
      </c>
      <c r="Z60" s="187">
        <f t="shared" si="36"/>
        <v>0.27272727272727282</v>
      </c>
      <c r="AA60" s="187">
        <f t="shared" si="36"/>
        <v>0.18181818181818188</v>
      </c>
      <c r="AB60" s="59"/>
      <c r="AC60" s="59"/>
      <c r="AD60" s="59"/>
      <c r="AE60" s="59"/>
      <c r="AF60" s="59"/>
      <c r="AG60" s="59"/>
      <c r="AH60" s="59"/>
      <c r="AI60" s="59"/>
      <c r="AJ60" s="59"/>
      <c r="AK60" s="188">
        <f>AK58-AK59</f>
        <v>0</v>
      </c>
      <c r="AL60" s="186">
        <f>AL58-AL59</f>
        <v>-7.1428571428571425E-2</v>
      </c>
      <c r="AM60" s="186">
        <f>AM58-AM59</f>
        <v>0.14285714285714285</v>
      </c>
      <c r="AN60" s="186">
        <f t="shared" ref="AN60" si="37">AN58-AN59</f>
        <v>0</v>
      </c>
    </row>
    <row r="61" spans="2:40" ht="20" thickBot="1" x14ac:dyDescent="0.25">
      <c r="B61" s="207"/>
      <c r="C61" s="207"/>
      <c r="D61" s="207"/>
      <c r="E61" s="207"/>
      <c r="F61" s="58"/>
      <c r="G61" s="59"/>
      <c r="H61" s="234" t="s">
        <v>530</v>
      </c>
      <c r="I61" s="59"/>
      <c r="J61" s="209">
        <f>(J56-J57)/J56</f>
        <v>0.5</v>
      </c>
      <c r="K61" s="313"/>
      <c r="L61" s="313"/>
      <c r="M61" s="313"/>
      <c r="N61" s="209">
        <f t="shared" ref="N61:S61" si="38">(N56-N57)/N56</f>
        <v>-0.14285714285714285</v>
      </c>
      <c r="O61" s="313"/>
      <c r="P61" s="313"/>
      <c r="Q61" s="313"/>
      <c r="R61" s="209">
        <f t="shared" si="38"/>
        <v>0.33333333333333331</v>
      </c>
      <c r="S61" s="189">
        <f t="shared" si="38"/>
        <v>-0.16666666666666666</v>
      </c>
      <c r="T61" s="313"/>
      <c r="U61" s="209">
        <f>(U56-U57)/U56</f>
        <v>0.75</v>
      </c>
      <c r="V61" s="209">
        <f>(V56-V57)/V56</f>
        <v>0.83333333333333337</v>
      </c>
      <c r="W61" s="209">
        <f>(W56-W57)/W56</f>
        <v>0.75</v>
      </c>
      <c r="X61" s="59"/>
      <c r="Y61" s="189">
        <f t="shared" ref="Y61:AA61" si="39">(Y56-Y57)/Y56</f>
        <v>0.2</v>
      </c>
      <c r="Z61" s="189">
        <f t="shared" si="39"/>
        <v>0.33333333333333331</v>
      </c>
      <c r="AA61" s="189">
        <f t="shared" si="39"/>
        <v>0.22222222222222221</v>
      </c>
      <c r="AB61" s="59"/>
      <c r="AC61" s="59"/>
      <c r="AD61" s="59"/>
      <c r="AE61" s="59"/>
      <c r="AF61" s="59"/>
      <c r="AG61" s="59"/>
      <c r="AH61" s="59"/>
      <c r="AI61" s="59"/>
      <c r="AJ61" s="59"/>
      <c r="AK61" s="235"/>
      <c r="AL61" s="209">
        <f>(AL56-AL57)/AL56</f>
        <v>-0.33333333333333331</v>
      </c>
      <c r="AM61" s="209">
        <f>(AM56-AM57)/AM56</f>
        <v>0.5</v>
      </c>
      <c r="AN61" s="209">
        <f t="shared" ref="AN61" si="40">(AN56-AN57)/AN56</f>
        <v>0</v>
      </c>
    </row>
    <row r="62" spans="2:40" s="219" customFormat="1" ht="24" x14ac:dyDescent="0.3">
      <c r="B62" s="220"/>
      <c r="C62" s="220"/>
      <c r="D62" s="220"/>
      <c r="E62" s="220"/>
      <c r="F62" s="250" t="s">
        <v>560</v>
      </c>
      <c r="G62" s="314"/>
      <c r="H62" s="232" t="s">
        <v>555</v>
      </c>
      <c r="I62" s="314"/>
      <c r="J62" s="315">
        <v>0.5</v>
      </c>
      <c r="K62" s="315" t="s">
        <v>556</v>
      </c>
      <c r="L62" s="315" t="s">
        <v>556</v>
      </c>
      <c r="M62" s="315" t="s">
        <v>556</v>
      </c>
      <c r="N62" s="315" t="s">
        <v>556</v>
      </c>
      <c r="O62" s="315" t="s">
        <v>556</v>
      </c>
      <c r="P62" s="314"/>
      <c r="Q62" s="315">
        <v>0.5</v>
      </c>
      <c r="R62" s="315" t="s">
        <v>556</v>
      </c>
      <c r="S62" s="315" t="s">
        <v>556</v>
      </c>
      <c r="T62" s="314"/>
      <c r="U62" s="315">
        <v>0.5</v>
      </c>
      <c r="V62" s="316" t="s">
        <v>557</v>
      </c>
      <c r="W62" s="317">
        <v>0.5</v>
      </c>
      <c r="X62" s="314"/>
      <c r="Y62" s="315" t="s">
        <v>556</v>
      </c>
      <c r="Z62" s="315">
        <v>0.5</v>
      </c>
      <c r="AA62" s="233">
        <v>0.5</v>
      </c>
      <c r="AB62" s="314"/>
      <c r="AC62" s="314"/>
      <c r="AD62" s="314"/>
      <c r="AE62" s="314"/>
      <c r="AF62" s="314"/>
      <c r="AG62" s="314"/>
      <c r="AH62" s="314"/>
      <c r="AI62" s="314"/>
      <c r="AJ62" s="314"/>
      <c r="AK62" s="233" t="s">
        <v>556</v>
      </c>
      <c r="AL62" s="233" t="s">
        <v>556</v>
      </c>
      <c r="AM62" s="233">
        <v>0.5</v>
      </c>
      <c r="AN62" s="318" t="s">
        <v>556</v>
      </c>
    </row>
    <row r="63" spans="2:40" ht="20" thickBot="1" x14ac:dyDescent="0.25">
      <c r="E63" s="207"/>
      <c r="F63" s="251"/>
      <c r="G63" s="59"/>
      <c r="H63" s="234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60"/>
    </row>
    <row r="64" spans="2:40" ht="19" x14ac:dyDescent="0.2">
      <c r="E64" s="207"/>
      <c r="F64" s="58"/>
      <c r="G64" s="59"/>
      <c r="H64" s="234"/>
      <c r="I64" s="59" t="s">
        <v>561</v>
      </c>
      <c r="J64" s="59">
        <f>((((J65*J68)-(J67*J66))^2)*J73)/(J69*J70*J72*J71)</f>
        <v>1.5294117647058822</v>
      </c>
      <c r="K64" s="59">
        <f t="shared" ref="K64:AN64" si="41">((((K65*K68)-(K67*K66))^2)*K73)/(K69*K70*K72*K71)</f>
        <v>0.1497326203208556</v>
      </c>
      <c r="L64" s="59">
        <f t="shared" si="41"/>
        <v>0</v>
      </c>
      <c r="M64" s="59"/>
      <c r="N64" s="59">
        <f t="shared" si="41"/>
        <v>0.14358974358974358</v>
      </c>
      <c r="O64" s="59">
        <f t="shared" si="41"/>
        <v>0</v>
      </c>
      <c r="P64" s="59"/>
      <c r="Q64" s="59">
        <f t="shared" si="41"/>
        <v>1.037037037037037</v>
      </c>
      <c r="R64" s="59">
        <f t="shared" si="41"/>
        <v>0.24347826086956523</v>
      </c>
      <c r="S64" s="59">
        <f t="shared" si="41"/>
        <v>0.15384615384615385</v>
      </c>
      <c r="T64" s="59"/>
      <c r="U64" s="59">
        <f t="shared" si="41"/>
        <v>2.1913043478260867</v>
      </c>
      <c r="V64" s="59">
        <f t="shared" si="41"/>
        <v>4.7619047619047619</v>
      </c>
      <c r="W64" s="59">
        <f t="shared" si="41"/>
        <v>2.1913043478260867</v>
      </c>
      <c r="X64" s="59"/>
      <c r="Y64" s="59">
        <f t="shared" si="41"/>
        <v>0.18803418803418803</v>
      </c>
      <c r="Z64" s="59">
        <f t="shared" si="41"/>
        <v>1.8857142857142857</v>
      </c>
      <c r="AA64" s="59">
        <f t="shared" si="41"/>
        <v>0.91666666666666663</v>
      </c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>
        <f t="shared" si="41"/>
        <v>0.19047619047619047</v>
      </c>
      <c r="AM64" s="59">
        <f t="shared" si="41"/>
        <v>0.84848484848484851</v>
      </c>
      <c r="AN64" s="128">
        <f t="shared" si="41"/>
        <v>0</v>
      </c>
    </row>
    <row r="65" spans="2:40" ht="19" x14ac:dyDescent="0.2">
      <c r="E65" s="207"/>
      <c r="F65" s="58"/>
      <c r="G65" s="59"/>
      <c r="H65" s="234"/>
      <c r="I65" s="59"/>
      <c r="J65" s="59">
        <f>J23-J56</f>
        <v>7</v>
      </c>
      <c r="K65" s="59">
        <f t="shared" ref="K65:AN65" si="42">K23-K56</f>
        <v>9</v>
      </c>
      <c r="L65" s="59">
        <f t="shared" si="42"/>
        <v>9</v>
      </c>
      <c r="M65" s="59"/>
      <c r="N65" s="59">
        <f t="shared" si="42"/>
        <v>7</v>
      </c>
      <c r="O65" s="59">
        <f t="shared" si="42"/>
        <v>11</v>
      </c>
      <c r="P65" s="59"/>
      <c r="Q65" s="59">
        <f t="shared" si="42"/>
        <v>13</v>
      </c>
      <c r="R65" s="59">
        <f t="shared" si="42"/>
        <v>11</v>
      </c>
      <c r="S65" s="59">
        <f t="shared" si="42"/>
        <v>7</v>
      </c>
      <c r="T65" s="59"/>
      <c r="U65" s="59">
        <f t="shared" si="42"/>
        <v>10</v>
      </c>
      <c r="V65" s="59">
        <f t="shared" si="42"/>
        <v>8</v>
      </c>
      <c r="W65" s="59">
        <f t="shared" si="42"/>
        <v>10</v>
      </c>
      <c r="X65" s="59"/>
      <c r="Y65" s="59">
        <f t="shared" si="42"/>
        <v>6</v>
      </c>
      <c r="Z65" s="59">
        <f t="shared" si="42"/>
        <v>2</v>
      </c>
      <c r="AA65" s="59">
        <f t="shared" si="42"/>
        <v>2</v>
      </c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>
        <f t="shared" si="42"/>
        <v>11</v>
      </c>
      <c r="AM65" s="59">
        <f t="shared" si="42"/>
        <v>10</v>
      </c>
      <c r="AN65" s="60">
        <f t="shared" si="42"/>
        <v>4</v>
      </c>
    </row>
    <row r="66" spans="2:40" ht="19" x14ac:dyDescent="0.2">
      <c r="E66" s="207"/>
      <c r="F66" s="58"/>
      <c r="G66" s="59"/>
      <c r="H66" s="234"/>
      <c r="I66" s="59"/>
      <c r="J66" s="59">
        <f>J56</f>
        <v>6</v>
      </c>
      <c r="K66" s="59">
        <f t="shared" ref="K66:AN66" si="43">K56</f>
        <v>5</v>
      </c>
      <c r="L66" s="59">
        <f t="shared" si="43"/>
        <v>4</v>
      </c>
      <c r="M66" s="59"/>
      <c r="N66" s="59">
        <f t="shared" si="43"/>
        <v>7</v>
      </c>
      <c r="O66" s="59">
        <f t="shared" si="43"/>
        <v>3</v>
      </c>
      <c r="P66" s="59"/>
      <c r="Q66" s="59">
        <f t="shared" si="43"/>
        <v>1</v>
      </c>
      <c r="R66" s="59">
        <f t="shared" si="43"/>
        <v>3</v>
      </c>
      <c r="S66" s="59">
        <f t="shared" si="43"/>
        <v>6</v>
      </c>
      <c r="T66" s="59"/>
      <c r="U66" s="59">
        <f t="shared" si="43"/>
        <v>4</v>
      </c>
      <c r="V66" s="59">
        <f t="shared" si="43"/>
        <v>6</v>
      </c>
      <c r="W66" s="59">
        <f t="shared" si="43"/>
        <v>4</v>
      </c>
      <c r="X66" s="59"/>
      <c r="Y66" s="59">
        <f t="shared" si="43"/>
        <v>5</v>
      </c>
      <c r="Z66" s="59">
        <f t="shared" si="43"/>
        <v>9</v>
      </c>
      <c r="AA66" s="59">
        <f t="shared" si="43"/>
        <v>9</v>
      </c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>
        <f t="shared" si="43"/>
        <v>3</v>
      </c>
      <c r="AM66" s="59">
        <f t="shared" si="43"/>
        <v>4</v>
      </c>
      <c r="AN66" s="60">
        <f t="shared" si="43"/>
        <v>5</v>
      </c>
    </row>
    <row r="67" spans="2:40" ht="19" x14ac:dyDescent="0.2">
      <c r="E67" s="207"/>
      <c r="F67" s="58"/>
      <c r="G67" s="59"/>
      <c r="H67" s="234"/>
      <c r="I67" s="59"/>
      <c r="J67" s="59">
        <f>J43-J57</f>
        <v>10</v>
      </c>
      <c r="K67" s="59">
        <f t="shared" ref="K67:AN67" si="44">K43-K57</f>
        <v>8</v>
      </c>
      <c r="L67" s="59">
        <f t="shared" si="44"/>
        <v>9</v>
      </c>
      <c r="M67" s="59"/>
      <c r="N67" s="59">
        <f t="shared" si="44"/>
        <v>6</v>
      </c>
      <c r="O67" s="59">
        <f t="shared" si="44"/>
        <v>11</v>
      </c>
      <c r="P67" s="59"/>
      <c r="Q67" s="59">
        <f t="shared" si="44"/>
        <v>14</v>
      </c>
      <c r="R67" s="59">
        <f t="shared" si="44"/>
        <v>12</v>
      </c>
      <c r="S67" s="59">
        <f t="shared" si="44"/>
        <v>6</v>
      </c>
      <c r="T67" s="59"/>
      <c r="U67" s="59">
        <f t="shared" si="44"/>
        <v>13</v>
      </c>
      <c r="V67" s="59">
        <f t="shared" si="44"/>
        <v>13</v>
      </c>
      <c r="W67" s="59">
        <f t="shared" si="44"/>
        <v>13</v>
      </c>
      <c r="X67" s="59"/>
      <c r="Y67" s="59">
        <f t="shared" si="44"/>
        <v>7</v>
      </c>
      <c r="Z67" s="59">
        <f t="shared" si="44"/>
        <v>5</v>
      </c>
      <c r="AA67" s="59">
        <f t="shared" si="44"/>
        <v>4</v>
      </c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>
        <f t="shared" si="44"/>
        <v>10</v>
      </c>
      <c r="AM67" s="59">
        <f t="shared" si="44"/>
        <v>12</v>
      </c>
      <c r="AN67" s="60">
        <f t="shared" si="44"/>
        <v>4</v>
      </c>
    </row>
    <row r="68" spans="2:40" ht="19" x14ac:dyDescent="0.2">
      <c r="E68" s="207"/>
      <c r="F68" s="58"/>
      <c r="G68" s="59"/>
      <c r="H68" s="234"/>
      <c r="I68" s="59"/>
      <c r="J68" s="59">
        <f>J57</f>
        <v>3</v>
      </c>
      <c r="K68" s="59">
        <f t="shared" ref="K68:AN68" si="45">K57</f>
        <v>6</v>
      </c>
      <c r="L68" s="59">
        <f t="shared" si="45"/>
        <v>4</v>
      </c>
      <c r="M68" s="59"/>
      <c r="N68" s="59">
        <f t="shared" si="45"/>
        <v>8</v>
      </c>
      <c r="O68" s="59">
        <f t="shared" si="45"/>
        <v>3</v>
      </c>
      <c r="P68" s="59"/>
      <c r="Q68" s="59">
        <f t="shared" si="45"/>
        <v>0</v>
      </c>
      <c r="R68" s="59">
        <f t="shared" si="45"/>
        <v>2</v>
      </c>
      <c r="S68" s="59">
        <f t="shared" si="45"/>
        <v>7</v>
      </c>
      <c r="T68" s="59"/>
      <c r="U68" s="59">
        <f t="shared" si="45"/>
        <v>1</v>
      </c>
      <c r="V68" s="59">
        <f t="shared" si="45"/>
        <v>1</v>
      </c>
      <c r="W68" s="59">
        <f t="shared" si="45"/>
        <v>1</v>
      </c>
      <c r="X68" s="59"/>
      <c r="Y68" s="59">
        <f t="shared" si="45"/>
        <v>4</v>
      </c>
      <c r="Z68" s="59">
        <f t="shared" si="45"/>
        <v>6</v>
      </c>
      <c r="AA68" s="59">
        <f t="shared" si="45"/>
        <v>7</v>
      </c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>
        <f t="shared" si="45"/>
        <v>4</v>
      </c>
      <c r="AM68" s="59">
        <f t="shared" si="45"/>
        <v>2</v>
      </c>
      <c r="AN68" s="60">
        <f t="shared" si="45"/>
        <v>5</v>
      </c>
    </row>
    <row r="69" spans="2:40" ht="19" x14ac:dyDescent="0.2">
      <c r="E69" s="207"/>
      <c r="F69" s="58"/>
      <c r="G69" s="59"/>
      <c r="H69" s="234"/>
      <c r="I69" s="59"/>
      <c r="J69" s="59">
        <f>J65+J66</f>
        <v>13</v>
      </c>
      <c r="K69" s="59">
        <f t="shared" ref="K69:AN69" si="46">K65+K66</f>
        <v>14</v>
      </c>
      <c r="L69" s="59">
        <f t="shared" si="46"/>
        <v>13</v>
      </c>
      <c r="M69" s="59"/>
      <c r="N69" s="59">
        <f t="shared" si="46"/>
        <v>14</v>
      </c>
      <c r="O69" s="59">
        <f t="shared" si="46"/>
        <v>14</v>
      </c>
      <c r="P69" s="59"/>
      <c r="Q69" s="59">
        <f t="shared" si="46"/>
        <v>14</v>
      </c>
      <c r="R69" s="59">
        <f t="shared" si="46"/>
        <v>14</v>
      </c>
      <c r="S69" s="59">
        <f t="shared" si="46"/>
        <v>13</v>
      </c>
      <c r="T69" s="59"/>
      <c r="U69" s="59">
        <f t="shared" si="46"/>
        <v>14</v>
      </c>
      <c r="V69" s="59">
        <f t="shared" si="46"/>
        <v>14</v>
      </c>
      <c r="W69" s="59">
        <f t="shared" si="46"/>
        <v>14</v>
      </c>
      <c r="X69" s="59"/>
      <c r="Y69" s="59">
        <f t="shared" si="46"/>
        <v>11</v>
      </c>
      <c r="Z69" s="59">
        <f t="shared" si="46"/>
        <v>11</v>
      </c>
      <c r="AA69" s="59">
        <f t="shared" si="46"/>
        <v>11</v>
      </c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>
        <f t="shared" si="46"/>
        <v>14</v>
      </c>
      <c r="AM69" s="59">
        <f t="shared" si="46"/>
        <v>14</v>
      </c>
      <c r="AN69" s="60">
        <f t="shared" si="46"/>
        <v>9</v>
      </c>
    </row>
    <row r="70" spans="2:40" ht="19" x14ac:dyDescent="0.2">
      <c r="E70" s="207"/>
      <c r="F70" s="58"/>
      <c r="G70" s="59"/>
      <c r="H70" s="234"/>
      <c r="I70" s="59"/>
      <c r="J70" s="59">
        <f>J67+J68</f>
        <v>13</v>
      </c>
      <c r="K70" s="59">
        <f t="shared" ref="K70:AN70" si="47">K67+K68</f>
        <v>14</v>
      </c>
      <c r="L70" s="59">
        <f t="shared" si="47"/>
        <v>13</v>
      </c>
      <c r="M70" s="59"/>
      <c r="N70" s="59">
        <f t="shared" si="47"/>
        <v>14</v>
      </c>
      <c r="O70" s="59">
        <f t="shared" si="47"/>
        <v>14</v>
      </c>
      <c r="P70" s="59"/>
      <c r="Q70" s="59">
        <f t="shared" si="47"/>
        <v>14</v>
      </c>
      <c r="R70" s="59">
        <f t="shared" si="47"/>
        <v>14</v>
      </c>
      <c r="S70" s="59">
        <f t="shared" si="47"/>
        <v>13</v>
      </c>
      <c r="T70" s="59"/>
      <c r="U70" s="59">
        <f t="shared" si="47"/>
        <v>14</v>
      </c>
      <c r="V70" s="59">
        <f t="shared" si="47"/>
        <v>14</v>
      </c>
      <c r="W70" s="59">
        <f t="shared" si="47"/>
        <v>14</v>
      </c>
      <c r="X70" s="59"/>
      <c r="Y70" s="59">
        <f t="shared" si="47"/>
        <v>11</v>
      </c>
      <c r="Z70" s="59">
        <f t="shared" si="47"/>
        <v>11</v>
      </c>
      <c r="AA70" s="59">
        <f t="shared" si="47"/>
        <v>11</v>
      </c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>
        <f t="shared" si="47"/>
        <v>14</v>
      </c>
      <c r="AM70" s="59">
        <f t="shared" si="47"/>
        <v>14</v>
      </c>
      <c r="AN70" s="60">
        <f t="shared" si="47"/>
        <v>9</v>
      </c>
    </row>
    <row r="71" spans="2:40" ht="19" x14ac:dyDescent="0.2">
      <c r="E71" s="207"/>
      <c r="F71" s="58"/>
      <c r="G71" s="59"/>
      <c r="H71" s="234"/>
      <c r="I71" s="59"/>
      <c r="J71" s="59">
        <f>J67+J65</f>
        <v>17</v>
      </c>
      <c r="K71" s="59">
        <f t="shared" ref="K71:AN72" si="48">K67+K65</f>
        <v>17</v>
      </c>
      <c r="L71" s="59">
        <f t="shared" si="48"/>
        <v>18</v>
      </c>
      <c r="M71" s="59"/>
      <c r="N71" s="59">
        <f t="shared" si="48"/>
        <v>13</v>
      </c>
      <c r="O71" s="59">
        <f t="shared" si="48"/>
        <v>22</v>
      </c>
      <c r="P71" s="59"/>
      <c r="Q71" s="59">
        <f t="shared" si="48"/>
        <v>27</v>
      </c>
      <c r="R71" s="59">
        <f t="shared" si="48"/>
        <v>23</v>
      </c>
      <c r="S71" s="59">
        <f t="shared" si="48"/>
        <v>13</v>
      </c>
      <c r="T71" s="59"/>
      <c r="U71" s="59">
        <f t="shared" si="48"/>
        <v>23</v>
      </c>
      <c r="V71" s="59">
        <f t="shared" si="48"/>
        <v>21</v>
      </c>
      <c r="W71" s="59">
        <f t="shared" si="48"/>
        <v>23</v>
      </c>
      <c r="X71" s="59"/>
      <c r="Y71" s="59">
        <f t="shared" si="48"/>
        <v>13</v>
      </c>
      <c r="Z71" s="59">
        <f t="shared" si="48"/>
        <v>7</v>
      </c>
      <c r="AA71" s="59">
        <f t="shared" si="48"/>
        <v>6</v>
      </c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>
        <f t="shared" si="48"/>
        <v>21</v>
      </c>
      <c r="AM71" s="59">
        <f t="shared" si="48"/>
        <v>22</v>
      </c>
      <c r="AN71" s="60">
        <f t="shared" si="48"/>
        <v>8</v>
      </c>
    </row>
    <row r="72" spans="2:40" ht="19" x14ac:dyDescent="0.2">
      <c r="E72" s="207"/>
      <c r="F72" s="58"/>
      <c r="G72" s="59"/>
      <c r="H72" s="234"/>
      <c r="I72" s="59"/>
      <c r="J72" s="59">
        <f>J68+J66</f>
        <v>9</v>
      </c>
      <c r="K72" s="59">
        <f t="shared" si="48"/>
        <v>11</v>
      </c>
      <c r="L72" s="59">
        <f t="shared" si="48"/>
        <v>8</v>
      </c>
      <c r="M72" s="59"/>
      <c r="N72" s="59">
        <f t="shared" si="48"/>
        <v>15</v>
      </c>
      <c r="O72" s="59">
        <f t="shared" si="48"/>
        <v>6</v>
      </c>
      <c r="P72" s="59"/>
      <c r="Q72" s="59">
        <f t="shared" si="48"/>
        <v>1</v>
      </c>
      <c r="R72" s="59">
        <f t="shared" si="48"/>
        <v>5</v>
      </c>
      <c r="S72" s="59">
        <f t="shared" si="48"/>
        <v>13</v>
      </c>
      <c r="T72" s="59"/>
      <c r="U72" s="59">
        <f t="shared" si="48"/>
        <v>5</v>
      </c>
      <c r="V72" s="59">
        <f t="shared" si="48"/>
        <v>7</v>
      </c>
      <c r="W72" s="59">
        <f t="shared" si="48"/>
        <v>5</v>
      </c>
      <c r="X72" s="59"/>
      <c r="Y72" s="59">
        <f t="shared" si="48"/>
        <v>9</v>
      </c>
      <c r="Z72" s="59">
        <f t="shared" si="48"/>
        <v>15</v>
      </c>
      <c r="AA72" s="59">
        <f t="shared" si="48"/>
        <v>16</v>
      </c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>
        <f t="shared" si="48"/>
        <v>7</v>
      </c>
      <c r="AM72" s="59">
        <f t="shared" si="48"/>
        <v>6</v>
      </c>
      <c r="AN72" s="60">
        <f t="shared" si="48"/>
        <v>10</v>
      </c>
    </row>
    <row r="73" spans="2:40" ht="19" x14ac:dyDescent="0.2">
      <c r="B73" s="207"/>
      <c r="C73" s="207"/>
      <c r="D73" s="207"/>
      <c r="E73" s="207"/>
      <c r="F73" s="58"/>
      <c r="G73" s="59"/>
      <c r="H73" s="234"/>
      <c r="I73" s="59"/>
      <c r="J73" s="59">
        <f>J70+J69</f>
        <v>26</v>
      </c>
      <c r="K73" s="59">
        <f t="shared" ref="K73:AN73" si="49">K70+K69</f>
        <v>28</v>
      </c>
      <c r="L73" s="59">
        <f t="shared" si="49"/>
        <v>26</v>
      </c>
      <c r="M73" s="59"/>
      <c r="N73" s="59">
        <f t="shared" si="49"/>
        <v>28</v>
      </c>
      <c r="O73" s="59">
        <f t="shared" si="49"/>
        <v>28</v>
      </c>
      <c r="P73" s="59"/>
      <c r="Q73" s="59">
        <f t="shared" si="49"/>
        <v>28</v>
      </c>
      <c r="R73" s="59">
        <f t="shared" si="49"/>
        <v>28</v>
      </c>
      <c r="S73" s="59">
        <f t="shared" si="49"/>
        <v>26</v>
      </c>
      <c r="T73" s="59"/>
      <c r="U73" s="59">
        <f t="shared" si="49"/>
        <v>28</v>
      </c>
      <c r="V73" s="59">
        <f t="shared" si="49"/>
        <v>28</v>
      </c>
      <c r="W73" s="59">
        <f t="shared" si="49"/>
        <v>28</v>
      </c>
      <c r="X73" s="59"/>
      <c r="Y73" s="59">
        <f t="shared" si="49"/>
        <v>22</v>
      </c>
      <c r="Z73" s="59">
        <f t="shared" si="49"/>
        <v>22</v>
      </c>
      <c r="AA73" s="59">
        <f t="shared" si="49"/>
        <v>22</v>
      </c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>
        <f t="shared" si="49"/>
        <v>28</v>
      </c>
      <c r="AM73" s="59">
        <f t="shared" si="49"/>
        <v>28</v>
      </c>
      <c r="AN73" s="60">
        <f t="shared" si="49"/>
        <v>18</v>
      </c>
    </row>
    <row r="74" spans="2:40" ht="20" thickBot="1" x14ac:dyDescent="0.25">
      <c r="B74" s="207"/>
      <c r="F74" s="65"/>
      <c r="G74" s="284"/>
      <c r="H74" s="319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7"/>
    </row>
    <row r="78" spans="2:40" ht="5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108" ht="21" customHeight="1" x14ac:dyDescent="0.2"/>
    <row r="110" ht="22" customHeight="1" x14ac:dyDescent="0.2"/>
    <row r="111" ht="22" customHeight="1" x14ac:dyDescent="0.2"/>
    <row r="112" ht="22" customHeight="1" x14ac:dyDescent="0.2"/>
    <row r="113" ht="22" customHeight="1" x14ac:dyDescent="0.2"/>
    <row r="114" ht="22" customHeight="1" x14ac:dyDescent="0.2"/>
    <row r="115" ht="22" customHeight="1" x14ac:dyDescent="0.2"/>
    <row r="116" ht="22" customHeight="1" x14ac:dyDescent="0.2"/>
    <row r="117" ht="22" customHeight="1" x14ac:dyDescent="0.2"/>
    <row r="118" ht="22" customHeight="1" x14ac:dyDescent="0.2"/>
    <row r="119" ht="29" customHeight="1" x14ac:dyDescent="0.2"/>
    <row r="120" ht="49" customHeight="1" x14ac:dyDescent="0.2"/>
    <row r="121" ht="30" customHeight="1" x14ac:dyDescent="0.2"/>
    <row r="123" ht="20" customHeight="1" x14ac:dyDescent="0.2"/>
    <row r="124" ht="20" customHeight="1" x14ac:dyDescent="0.2"/>
    <row r="125" ht="23" customHeight="1" x14ac:dyDescent="0.2"/>
    <row r="126" ht="20" customHeight="1" x14ac:dyDescent="0.2"/>
    <row r="127" ht="20" customHeight="1" x14ac:dyDescent="0.2"/>
    <row r="128" ht="20" customHeight="1" x14ac:dyDescent="0.2"/>
    <row r="129" ht="34" customHeight="1" x14ac:dyDescent="0.2"/>
    <row r="133" ht="23" customHeight="1" x14ac:dyDescent="0.2"/>
    <row r="134" ht="41" customHeight="1" x14ac:dyDescent="0.2"/>
    <row r="135" ht="20" customHeight="1" x14ac:dyDescent="0.2"/>
    <row r="136" ht="13" customHeight="1" x14ac:dyDescent="0.2"/>
    <row r="137" ht="20" customHeight="1" x14ac:dyDescent="0.2"/>
    <row r="138" ht="20" customHeight="1" x14ac:dyDescent="0.2"/>
    <row r="139" ht="20" customHeight="1" x14ac:dyDescent="0.2"/>
    <row r="141" ht="22" customHeight="1" x14ac:dyDescent="0.2"/>
  </sheetData>
  <mergeCells count="13">
    <mergeCell ref="B8:D8"/>
    <mergeCell ref="F6:I6"/>
    <mergeCell ref="F29:F42"/>
    <mergeCell ref="T7:W7"/>
    <mergeCell ref="X7:AA7"/>
    <mergeCell ref="AB7:AD7"/>
    <mergeCell ref="I10:I23"/>
    <mergeCell ref="F9:F22"/>
    <mergeCell ref="T48:W48"/>
    <mergeCell ref="X48:AA48"/>
    <mergeCell ref="AB48:AD48"/>
    <mergeCell ref="G50:G51"/>
    <mergeCell ref="F62:F63"/>
  </mergeCells>
  <conditionalFormatting sqref="U9:U22 U27:U42">
    <cfRule type="cellIs" dxfId="22" priority="20" operator="greaterThan">
      <formula>89</formula>
    </cfRule>
  </conditionalFormatting>
  <conditionalFormatting sqref="V28:V42 V9:V22">
    <cfRule type="cellIs" dxfId="21" priority="19" operator="greaterThan">
      <formula>130</formula>
    </cfRule>
  </conditionalFormatting>
  <conditionalFormatting sqref="V9:V22 V27:V42">
    <cfRule type="cellIs" dxfId="20" priority="18" operator="greaterThan">
      <formula>140</formula>
    </cfRule>
  </conditionalFormatting>
  <conditionalFormatting sqref="W9:W22 W27:W42">
    <cfRule type="cellIs" dxfId="19" priority="17" operator="greaterThan">
      <formula>59</formula>
    </cfRule>
  </conditionalFormatting>
  <conditionalFormatting sqref="J9:J22 J24 J27:J42">
    <cfRule type="cellIs" dxfId="18" priority="16" operator="greaterThan">
      <formula>8</formula>
    </cfRule>
  </conditionalFormatting>
  <conditionalFormatting sqref="K9:L21 K29:L42 N29:O42 O24 N9:O22 K22 K24:L24">
    <cfRule type="cellIs" dxfId="17" priority="15" operator="lessThan">
      <formula>80</formula>
    </cfRule>
  </conditionalFormatting>
  <conditionalFormatting sqref="Q9:R22 Q24:R24 Q27:R42">
    <cfRule type="cellIs" dxfId="16" priority="14" operator="greaterThan">
      <formula>39</formula>
    </cfRule>
  </conditionalFormatting>
  <conditionalFormatting sqref="S9:S22 S27:S42">
    <cfRule type="cellIs" dxfId="15" priority="13" operator="greaterThan">
      <formula>12</formula>
    </cfRule>
  </conditionalFormatting>
  <conditionalFormatting sqref="AK9:AK22 AK24 AK27:AK42">
    <cfRule type="cellIs" dxfId="14" priority="12" operator="greaterThan">
      <formula>5.9</formula>
    </cfRule>
  </conditionalFormatting>
  <conditionalFormatting sqref="AL29:AL42 AL24 AL9:AL22">
    <cfRule type="cellIs" dxfId="13" priority="11" operator="lessThan">
      <formula>32</formula>
    </cfRule>
  </conditionalFormatting>
  <conditionalFormatting sqref="AM9:AM22 AM24 AM27:AM42">
    <cfRule type="cellIs" dxfId="12" priority="10" operator="greaterThan">
      <formula>2.9</formula>
    </cfRule>
  </conditionalFormatting>
  <conditionalFormatting sqref="Y9:Y22">
    <cfRule type="cellIs" dxfId="10" priority="8" operator="greaterThan">
      <formula>89</formula>
    </cfRule>
  </conditionalFormatting>
  <conditionalFormatting sqref="Z9:Z22">
    <cfRule type="cellIs" dxfId="9" priority="5" operator="greaterThan">
      <formula>139</formula>
    </cfRule>
    <cfRule type="cellIs" dxfId="8" priority="7" operator="greaterThan">
      <formula>140</formula>
    </cfRule>
  </conditionalFormatting>
  <conditionalFormatting sqref="Z29:Z42">
    <cfRule type="cellIs" dxfId="7" priority="6" operator="greaterThan">
      <formula>139</formula>
    </cfRule>
  </conditionalFormatting>
  <conditionalFormatting sqref="AA9:AA22">
    <cfRule type="cellIs" dxfId="6" priority="4" operator="greaterThan">
      <formula>59</formula>
    </cfRule>
  </conditionalFormatting>
  <conditionalFormatting sqref="AA29:AA42">
    <cfRule type="cellIs" dxfId="5" priority="3" operator="greaterThan">
      <formula>59</formula>
    </cfRule>
  </conditionalFormatting>
  <conditionalFormatting sqref="Y29:Y42">
    <cfRule type="cellIs" dxfId="4" priority="2" operator="greaterThan">
      <formula>89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Full Summary w Stats (2)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Mardi Crane</dc:creator>
  <cp:keywords/>
  <dc:description/>
  <cp:lastModifiedBy>Peter Payne</cp:lastModifiedBy>
  <cp:lastPrinted>2015-04-22T18:57:39Z</cp:lastPrinted>
  <dcterms:created xsi:type="dcterms:W3CDTF">2014-10-03T18:17:52Z</dcterms:created>
  <dcterms:modified xsi:type="dcterms:W3CDTF">2016-09-14T23:30:00Z</dcterms:modified>
  <cp:category/>
</cp:coreProperties>
</file>