
<file path=[Content_Types].xml><?xml version="1.0" encoding="utf-8"?>
<Types xmlns="http://schemas.openxmlformats.org/package/2006/content-types">
  <Default Extension="xml" ContentType="application/xml"/>
  <Default Extension="png" ContentType="image/png"/>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6519"/>
  <workbookPr date1904="1" autoCompressPictures="0"/>
  <bookViews>
    <workbookView xWindow="500" yWindow="0" windowWidth="27640" windowHeight="17520"/>
  </bookViews>
  <sheets>
    <sheet name="Ark 1" sheetId="1" r:id="rId1"/>
    <sheet name="Ark 2" sheetId="2" r:id="rId2"/>
  </sheets>
  <calcPr calcId="140001" iterateDelta="1E-4" concurrentCalc="0"/>
  <extLst>
    <ext xmlns:mx="http://schemas.microsoft.com/office/mac/excel/2008/main" uri="{7523E5D3-25F3-A5E0-1632-64F254C22452}">
      <mx:ArchID Flags="2"/>
    </ext>
  </extLst>
</workbook>
</file>

<file path=xl/calcChain.xml><?xml version="1.0" encoding="utf-8"?>
<calcChain xmlns="http://schemas.openxmlformats.org/spreadsheetml/2006/main">
  <c r="E541" i="1" l="1"/>
  <c r="J538" i="1"/>
  <c r="B108" i="1"/>
  <c r="B111" i="1"/>
  <c r="C108" i="1"/>
  <c r="C111" i="1"/>
  <c r="D108" i="1"/>
  <c r="D111" i="1"/>
  <c r="E108" i="1"/>
  <c r="E111" i="1"/>
  <c r="F108" i="1"/>
  <c r="F111" i="1"/>
  <c r="G108" i="1"/>
  <c r="G111" i="1"/>
  <c r="H108" i="1"/>
  <c r="H111" i="1"/>
  <c r="I108" i="1"/>
  <c r="I111" i="1"/>
  <c r="J108" i="1"/>
  <c r="J111" i="1"/>
  <c r="K111" i="1"/>
  <c r="K102" i="1"/>
  <c r="K103" i="1"/>
  <c r="K104" i="1"/>
  <c r="K105" i="1"/>
  <c r="K106" i="1"/>
  <c r="K107" i="1"/>
  <c r="K108" i="1"/>
  <c r="K109" i="1"/>
  <c r="K110" i="1"/>
  <c r="M111" i="1"/>
  <c r="L111" i="1"/>
  <c r="M110" i="1"/>
  <c r="L110" i="1"/>
  <c r="M109" i="1"/>
  <c r="L109" i="1"/>
  <c r="M108" i="1"/>
  <c r="L102" i="1"/>
  <c r="L103" i="1"/>
  <c r="L104" i="1"/>
  <c r="L105" i="1"/>
  <c r="L106" i="1"/>
  <c r="L107" i="1"/>
  <c r="L108" i="1"/>
  <c r="M107" i="1"/>
  <c r="M106" i="1"/>
  <c r="M105" i="1"/>
  <c r="M104" i="1"/>
  <c r="M103" i="1"/>
  <c r="M102" i="1"/>
  <c r="K90" i="1"/>
  <c r="K91" i="1"/>
  <c r="K92" i="1"/>
  <c r="K93" i="1"/>
  <c r="K94" i="1"/>
  <c r="K95" i="1"/>
  <c r="K96" i="1"/>
  <c r="J96" i="1"/>
  <c r="I96" i="1"/>
  <c r="H96" i="1"/>
  <c r="G96" i="1"/>
  <c r="F96" i="1"/>
  <c r="E96" i="1"/>
  <c r="D96" i="1"/>
  <c r="C96" i="1"/>
  <c r="B96" i="1"/>
  <c r="B99" i="1"/>
  <c r="C99" i="1"/>
  <c r="D99" i="1"/>
  <c r="E99" i="1"/>
  <c r="F99" i="1"/>
  <c r="G99" i="1"/>
  <c r="H99" i="1"/>
  <c r="I99" i="1"/>
  <c r="J99" i="1"/>
  <c r="K99" i="1"/>
  <c r="K97" i="1"/>
  <c r="K98" i="1"/>
  <c r="M99" i="1"/>
  <c r="L99" i="1"/>
  <c r="M98" i="1"/>
  <c r="L98" i="1"/>
  <c r="M97" i="1"/>
  <c r="L97" i="1"/>
  <c r="M96" i="1"/>
  <c r="L90" i="1"/>
  <c r="L91" i="1"/>
  <c r="L92" i="1"/>
  <c r="L93" i="1"/>
  <c r="L94" i="1"/>
  <c r="L95" i="1"/>
  <c r="L96" i="1"/>
  <c r="M95" i="1"/>
  <c r="M94" i="1"/>
  <c r="M93" i="1"/>
  <c r="M92" i="1"/>
  <c r="M91" i="1"/>
  <c r="M90" i="1"/>
  <c r="C62" i="1"/>
  <c r="D62" i="1"/>
  <c r="E62" i="1"/>
  <c r="F62" i="1"/>
  <c r="G62" i="1"/>
  <c r="H62" i="1"/>
  <c r="I62" i="1"/>
  <c r="J62" i="1"/>
  <c r="K62" i="1"/>
  <c r="K64" i="1"/>
  <c r="C65" i="1"/>
  <c r="D65" i="1"/>
  <c r="E65" i="1"/>
  <c r="F65" i="1"/>
  <c r="G65" i="1"/>
  <c r="H65" i="1"/>
  <c r="I65" i="1"/>
  <c r="J65" i="1"/>
  <c r="K65" i="1"/>
  <c r="M64" i="1"/>
  <c r="K63" i="1"/>
  <c r="M63" i="1"/>
  <c r="M62" i="1"/>
  <c r="K59" i="1"/>
  <c r="L59" i="1"/>
  <c r="K60" i="1"/>
  <c r="L60" i="1"/>
  <c r="K61" i="1"/>
  <c r="L61" i="1"/>
  <c r="L62" i="1"/>
  <c r="M61" i="1"/>
  <c r="M60" i="1"/>
  <c r="M59" i="1"/>
  <c r="M65" i="1"/>
  <c r="L65" i="1"/>
  <c r="J53" i="1"/>
  <c r="J56" i="1"/>
  <c r="I53" i="1"/>
  <c r="I56" i="1"/>
  <c r="H53" i="1"/>
  <c r="H56" i="1"/>
  <c r="G53" i="1"/>
  <c r="G56" i="1"/>
  <c r="F53" i="1"/>
  <c r="F56" i="1"/>
  <c r="E53" i="1"/>
  <c r="E56" i="1"/>
  <c r="D53" i="1"/>
  <c r="D56" i="1"/>
  <c r="C53" i="1"/>
  <c r="C56" i="1"/>
  <c r="K56" i="1"/>
  <c r="K53" i="1"/>
  <c r="K54" i="1"/>
  <c r="K55" i="1"/>
  <c r="M56" i="1"/>
  <c r="L56" i="1"/>
  <c r="M55" i="1"/>
  <c r="M54" i="1"/>
  <c r="M53" i="1"/>
  <c r="K50" i="1"/>
  <c r="L50" i="1"/>
  <c r="K51" i="1"/>
  <c r="L51" i="1"/>
  <c r="K52" i="1"/>
  <c r="L52" i="1"/>
  <c r="L53" i="1"/>
  <c r="M52" i="1"/>
  <c r="M51" i="1"/>
  <c r="M50" i="1"/>
  <c r="BC576" i="1"/>
  <c r="BC577" i="1"/>
  <c r="BC578" i="1"/>
  <c r="BC579" i="1"/>
  <c r="BC580" i="1"/>
  <c r="BC581" i="1"/>
  <c r="BC582" i="1"/>
  <c r="BC583" i="1"/>
  <c r="BC584" i="1"/>
  <c r="BC585" i="1"/>
  <c r="BC586" i="1"/>
  <c r="BC587" i="1"/>
  <c r="BD587" i="1"/>
  <c r="BB582" i="1"/>
  <c r="BB587" i="1"/>
  <c r="BA582" i="1"/>
  <c r="BA587" i="1"/>
  <c r="AZ582" i="1"/>
  <c r="AZ587" i="1"/>
  <c r="AY582" i="1"/>
  <c r="AY587" i="1"/>
  <c r="AX582" i="1"/>
  <c r="AX587" i="1"/>
  <c r="AU576" i="1"/>
  <c r="AU577" i="1"/>
  <c r="AU578" i="1"/>
  <c r="AU579" i="1"/>
  <c r="AU580" i="1"/>
  <c r="AU581" i="1"/>
  <c r="AU582" i="1"/>
  <c r="AU583" i="1"/>
  <c r="AU584" i="1"/>
  <c r="AU585" i="1"/>
  <c r="AU586" i="1"/>
  <c r="AU587" i="1"/>
  <c r="AV587" i="1"/>
  <c r="AT582" i="1"/>
  <c r="AT587" i="1"/>
  <c r="AS582" i="1"/>
  <c r="AS587" i="1"/>
  <c r="AR582" i="1"/>
  <c r="AR587" i="1"/>
  <c r="AQ582" i="1"/>
  <c r="AQ587" i="1"/>
  <c r="AP582" i="1"/>
  <c r="AP587" i="1"/>
  <c r="AO582" i="1"/>
  <c r="AO587" i="1"/>
  <c r="AL576" i="1"/>
  <c r="AL577" i="1"/>
  <c r="AL578" i="1"/>
  <c r="AL579" i="1"/>
  <c r="AL580" i="1"/>
  <c r="AL581" i="1"/>
  <c r="AL582" i="1"/>
  <c r="AL583" i="1"/>
  <c r="AL584" i="1"/>
  <c r="AL585" i="1"/>
  <c r="AL586" i="1"/>
  <c r="AL587" i="1"/>
  <c r="AM587" i="1"/>
  <c r="AK582" i="1"/>
  <c r="AK587" i="1"/>
  <c r="AJ582" i="1"/>
  <c r="AJ587" i="1"/>
  <c r="AI582" i="1"/>
  <c r="AI587" i="1"/>
  <c r="AH582" i="1"/>
  <c r="AH587" i="1"/>
  <c r="AG582" i="1"/>
  <c r="AG587" i="1"/>
  <c r="AF582" i="1"/>
  <c r="AF587" i="1"/>
  <c r="AC576" i="1"/>
  <c r="AC577" i="1"/>
  <c r="AC578" i="1"/>
  <c r="AC579" i="1"/>
  <c r="AC580" i="1"/>
  <c r="AC581" i="1"/>
  <c r="AC582" i="1"/>
  <c r="AC583" i="1"/>
  <c r="AC584" i="1"/>
  <c r="AC585" i="1"/>
  <c r="AC586" i="1"/>
  <c r="AC587" i="1"/>
  <c r="AD587" i="1"/>
  <c r="AB582" i="1"/>
  <c r="AB587" i="1"/>
  <c r="AA582" i="1"/>
  <c r="AA587" i="1"/>
  <c r="Z582" i="1"/>
  <c r="Z587" i="1"/>
  <c r="Y582" i="1"/>
  <c r="Y587" i="1"/>
  <c r="X582" i="1"/>
  <c r="X587" i="1"/>
  <c r="W582" i="1"/>
  <c r="W587" i="1"/>
  <c r="C582" i="1"/>
  <c r="C587" i="1"/>
  <c r="D582" i="1"/>
  <c r="D587" i="1"/>
  <c r="E582" i="1"/>
  <c r="E587" i="1"/>
  <c r="F582" i="1"/>
  <c r="F587" i="1"/>
  <c r="G582" i="1"/>
  <c r="G587" i="1"/>
  <c r="J582" i="1"/>
  <c r="J587" i="1"/>
  <c r="K587" i="1"/>
  <c r="K586" i="1"/>
  <c r="K585" i="1"/>
  <c r="K584" i="1"/>
  <c r="K583" i="1"/>
  <c r="K576" i="1"/>
  <c r="K577" i="1"/>
  <c r="K578" i="1"/>
  <c r="K579" i="1"/>
  <c r="K580" i="1"/>
  <c r="K581" i="1"/>
  <c r="K582" i="1"/>
  <c r="M587" i="1"/>
  <c r="L587" i="1"/>
  <c r="BD586" i="1"/>
  <c r="AV586" i="1"/>
  <c r="AM586" i="1"/>
  <c r="AD586" i="1"/>
  <c r="M586" i="1"/>
  <c r="L586" i="1"/>
  <c r="BD585" i="1"/>
  <c r="AV585" i="1"/>
  <c r="AM585" i="1"/>
  <c r="AD585" i="1"/>
  <c r="M585" i="1"/>
  <c r="L585" i="1"/>
  <c r="BD584" i="1"/>
  <c r="AV584" i="1"/>
  <c r="AM584" i="1"/>
  <c r="AD584" i="1"/>
  <c r="M584" i="1"/>
  <c r="L584" i="1"/>
  <c r="BD583" i="1"/>
  <c r="AV583" i="1"/>
  <c r="AM583" i="1"/>
  <c r="AD583" i="1"/>
  <c r="M583" i="1"/>
  <c r="L583" i="1"/>
  <c r="BE582" i="1"/>
  <c r="BD576" i="1"/>
  <c r="BD577" i="1"/>
  <c r="BD578" i="1"/>
  <c r="BD579" i="1"/>
  <c r="BD580" i="1"/>
  <c r="BD581" i="1"/>
  <c r="BD582" i="1"/>
  <c r="AW582" i="1"/>
  <c r="AV576" i="1"/>
  <c r="AV577" i="1"/>
  <c r="AV578" i="1"/>
  <c r="AV579" i="1"/>
  <c r="AV580" i="1"/>
  <c r="AV581" i="1"/>
  <c r="AV582" i="1"/>
  <c r="AN582" i="1"/>
  <c r="AM576" i="1"/>
  <c r="AM577" i="1"/>
  <c r="AM578" i="1"/>
  <c r="AM579" i="1"/>
  <c r="AM580" i="1"/>
  <c r="AM581" i="1"/>
  <c r="AM582" i="1"/>
  <c r="AE582" i="1"/>
  <c r="AD576" i="1"/>
  <c r="AD577" i="1"/>
  <c r="AD578" i="1"/>
  <c r="AD579" i="1"/>
  <c r="AD580" i="1"/>
  <c r="AD581" i="1"/>
  <c r="AD582" i="1"/>
  <c r="V582" i="1"/>
  <c r="U582" i="1"/>
  <c r="T576" i="1"/>
  <c r="T577" i="1"/>
  <c r="T578" i="1"/>
  <c r="T579" i="1"/>
  <c r="T580" i="1"/>
  <c r="T581" i="1"/>
  <c r="T582" i="1"/>
  <c r="S582" i="1"/>
  <c r="R582" i="1"/>
  <c r="Q582" i="1"/>
  <c r="P582" i="1"/>
  <c r="N582" i="1"/>
  <c r="O582" i="1"/>
  <c r="M576" i="1"/>
  <c r="M577" i="1"/>
  <c r="M578" i="1"/>
  <c r="M579" i="1"/>
  <c r="M580" i="1"/>
  <c r="M581" i="1"/>
  <c r="M582" i="1"/>
  <c r="L576" i="1"/>
  <c r="L577" i="1"/>
  <c r="L578" i="1"/>
  <c r="L579" i="1"/>
  <c r="L580" i="1"/>
  <c r="L581" i="1"/>
  <c r="L582" i="1"/>
  <c r="BC560" i="1"/>
  <c r="BC561" i="1"/>
  <c r="BC562" i="1"/>
  <c r="BC563" i="1"/>
  <c r="BC564" i="1"/>
  <c r="BC565" i="1"/>
  <c r="BC566" i="1"/>
  <c r="BC567" i="1"/>
  <c r="BC568" i="1"/>
  <c r="BC569" i="1"/>
  <c r="BC570" i="1"/>
  <c r="BC571" i="1"/>
  <c r="BD571" i="1"/>
  <c r="BB566" i="1"/>
  <c r="BB571" i="1"/>
  <c r="BA566" i="1"/>
  <c r="BA571" i="1"/>
  <c r="AZ566" i="1"/>
  <c r="AZ571" i="1"/>
  <c r="AY566" i="1"/>
  <c r="AY571" i="1"/>
  <c r="AX566" i="1"/>
  <c r="AX571" i="1"/>
  <c r="AU560" i="1"/>
  <c r="AU561" i="1"/>
  <c r="AU562" i="1"/>
  <c r="AU563" i="1"/>
  <c r="AU564" i="1"/>
  <c r="AU565" i="1"/>
  <c r="AU566" i="1"/>
  <c r="AU567" i="1"/>
  <c r="AU568" i="1"/>
  <c r="AU569" i="1"/>
  <c r="AU570" i="1"/>
  <c r="AU571" i="1"/>
  <c r="AV571" i="1"/>
  <c r="AT566" i="1"/>
  <c r="AT571" i="1"/>
  <c r="AS566" i="1"/>
  <c r="AS571" i="1"/>
  <c r="AR566" i="1"/>
  <c r="AR571" i="1"/>
  <c r="AQ566" i="1"/>
  <c r="AQ571" i="1"/>
  <c r="AP566" i="1"/>
  <c r="AP571" i="1"/>
  <c r="AO566" i="1"/>
  <c r="AO571" i="1"/>
  <c r="AL560" i="1"/>
  <c r="AL561" i="1"/>
  <c r="AL562" i="1"/>
  <c r="AL563" i="1"/>
  <c r="AL564" i="1"/>
  <c r="AL565" i="1"/>
  <c r="AL566" i="1"/>
  <c r="AL567" i="1"/>
  <c r="AL568" i="1"/>
  <c r="AL569" i="1"/>
  <c r="AL570" i="1"/>
  <c r="AL571" i="1"/>
  <c r="AM571" i="1"/>
  <c r="AK566" i="1"/>
  <c r="AK571" i="1"/>
  <c r="AJ566" i="1"/>
  <c r="AJ571" i="1"/>
  <c r="AI566" i="1"/>
  <c r="AI571" i="1"/>
  <c r="AH566" i="1"/>
  <c r="AH571" i="1"/>
  <c r="AG566" i="1"/>
  <c r="AG571" i="1"/>
  <c r="AF566" i="1"/>
  <c r="AF571" i="1"/>
  <c r="AC560" i="1"/>
  <c r="AC561" i="1"/>
  <c r="AC562" i="1"/>
  <c r="AC563" i="1"/>
  <c r="AC564" i="1"/>
  <c r="AC565" i="1"/>
  <c r="AC566" i="1"/>
  <c r="AC567" i="1"/>
  <c r="AC568" i="1"/>
  <c r="AC569" i="1"/>
  <c r="AC570" i="1"/>
  <c r="AC571" i="1"/>
  <c r="AD571" i="1"/>
  <c r="AB566" i="1"/>
  <c r="AB571" i="1"/>
  <c r="AA566" i="1"/>
  <c r="AA571" i="1"/>
  <c r="Z566" i="1"/>
  <c r="Z571" i="1"/>
  <c r="Y566" i="1"/>
  <c r="Y571" i="1"/>
  <c r="X566" i="1"/>
  <c r="X571" i="1"/>
  <c r="W566" i="1"/>
  <c r="W571" i="1"/>
  <c r="T560" i="1"/>
  <c r="T561" i="1"/>
  <c r="T562" i="1"/>
  <c r="T563" i="1"/>
  <c r="T564" i="1"/>
  <c r="T565" i="1"/>
  <c r="T566" i="1"/>
  <c r="T567" i="1"/>
  <c r="T568" i="1"/>
  <c r="T569" i="1"/>
  <c r="T570" i="1"/>
  <c r="T571" i="1"/>
  <c r="U571" i="1"/>
  <c r="S566" i="1"/>
  <c r="S571" i="1"/>
  <c r="R571" i="1"/>
  <c r="Q566" i="1"/>
  <c r="Q571" i="1"/>
  <c r="N571" i="1"/>
  <c r="E566" i="1"/>
  <c r="E571" i="1"/>
  <c r="I566" i="1"/>
  <c r="I571" i="1"/>
  <c r="J566" i="1"/>
  <c r="J571" i="1"/>
  <c r="K571" i="1"/>
  <c r="O571" i="1"/>
  <c r="K570" i="1"/>
  <c r="K569" i="1"/>
  <c r="K568" i="1"/>
  <c r="K567" i="1"/>
  <c r="K560" i="1"/>
  <c r="K561" i="1"/>
  <c r="K562" i="1"/>
  <c r="K563" i="1"/>
  <c r="K564" i="1"/>
  <c r="K565" i="1"/>
  <c r="K566" i="1"/>
  <c r="M571" i="1"/>
  <c r="L571" i="1"/>
  <c r="BD570" i="1"/>
  <c r="AV570" i="1"/>
  <c r="AM570" i="1"/>
  <c r="AD570" i="1"/>
  <c r="U570" i="1"/>
  <c r="M570" i="1"/>
  <c r="L570" i="1"/>
  <c r="BD569" i="1"/>
  <c r="AV569" i="1"/>
  <c r="AM569" i="1"/>
  <c r="AD569" i="1"/>
  <c r="U569" i="1"/>
  <c r="M569" i="1"/>
  <c r="L569" i="1"/>
  <c r="BD568" i="1"/>
  <c r="AV568" i="1"/>
  <c r="AM568" i="1"/>
  <c r="AD568" i="1"/>
  <c r="U568" i="1"/>
  <c r="M568" i="1"/>
  <c r="L568" i="1"/>
  <c r="BD567" i="1"/>
  <c r="AV567" i="1"/>
  <c r="AM567" i="1"/>
  <c r="AD567" i="1"/>
  <c r="U567" i="1"/>
  <c r="M567" i="1"/>
  <c r="L567" i="1"/>
  <c r="BE566" i="1"/>
  <c r="BD566" i="1"/>
  <c r="AW566" i="1"/>
  <c r="AV566" i="1"/>
  <c r="AN566" i="1"/>
  <c r="AM566" i="1"/>
  <c r="AE566" i="1"/>
  <c r="AD560" i="1"/>
  <c r="AD561" i="1"/>
  <c r="AD562" i="1"/>
  <c r="AD563" i="1"/>
  <c r="AD564" i="1"/>
  <c r="AD565" i="1"/>
  <c r="AD566" i="1"/>
  <c r="V566" i="1"/>
  <c r="U560" i="1"/>
  <c r="U561" i="1"/>
  <c r="U562" i="1"/>
  <c r="U563" i="1"/>
  <c r="U564" i="1"/>
  <c r="U565" i="1"/>
  <c r="U566" i="1"/>
  <c r="P566" i="1"/>
  <c r="N566" i="1"/>
  <c r="O566" i="1"/>
  <c r="M560" i="1"/>
  <c r="M561" i="1"/>
  <c r="M562" i="1"/>
  <c r="M563" i="1"/>
  <c r="M564" i="1"/>
  <c r="M565" i="1"/>
  <c r="M566" i="1"/>
  <c r="L560" i="1"/>
  <c r="L561" i="1"/>
  <c r="L562" i="1"/>
  <c r="L563" i="1"/>
  <c r="L564" i="1"/>
  <c r="L565" i="1"/>
  <c r="L566" i="1"/>
  <c r="AX554" i="1"/>
  <c r="AX557" i="1"/>
  <c r="AY554" i="1"/>
  <c r="AY557" i="1"/>
  <c r="BA554" i="1"/>
  <c r="BA557" i="1"/>
  <c r="BB554" i="1"/>
  <c r="BB557" i="1"/>
  <c r="BC557" i="1"/>
  <c r="BC549" i="1"/>
  <c r="BC550" i="1"/>
  <c r="BC551" i="1"/>
  <c r="BC552" i="1"/>
  <c r="BC553" i="1"/>
  <c r="BC554" i="1"/>
  <c r="BC555" i="1"/>
  <c r="BC556" i="1"/>
  <c r="BD557" i="1"/>
  <c r="AP554" i="1"/>
  <c r="AP557" i="1"/>
  <c r="AQ554" i="1"/>
  <c r="AQ557" i="1"/>
  <c r="AR554" i="1"/>
  <c r="AR557" i="1"/>
  <c r="AT554" i="1"/>
  <c r="AT557" i="1"/>
  <c r="AO554" i="1"/>
  <c r="AU554" i="1"/>
  <c r="AU557" i="1"/>
  <c r="AV557" i="1"/>
  <c r="AO557" i="1"/>
  <c r="AF554" i="1"/>
  <c r="AF557" i="1"/>
  <c r="AG554" i="1"/>
  <c r="AG557" i="1"/>
  <c r="AI554" i="1"/>
  <c r="AI557" i="1"/>
  <c r="AJ554" i="1"/>
  <c r="AJ557" i="1"/>
  <c r="AK554" i="1"/>
  <c r="AK557" i="1"/>
  <c r="AL554" i="1"/>
  <c r="AL557" i="1"/>
  <c r="AM557" i="1"/>
  <c r="X554" i="1"/>
  <c r="X557" i="1"/>
  <c r="Y554" i="1"/>
  <c r="Y557" i="1"/>
  <c r="AA554" i="1"/>
  <c r="AA557" i="1"/>
  <c r="AB554" i="1"/>
  <c r="AB557" i="1"/>
  <c r="W554" i="1"/>
  <c r="AC554" i="1"/>
  <c r="AC557" i="1"/>
  <c r="AD557" i="1"/>
  <c r="W557" i="1"/>
  <c r="U557" i="1"/>
  <c r="T550" i="1"/>
  <c r="T551" i="1"/>
  <c r="T552" i="1"/>
  <c r="T553" i="1"/>
  <c r="S554" i="1"/>
  <c r="T554" i="1"/>
  <c r="T555" i="1"/>
  <c r="T556" i="1"/>
  <c r="T557" i="1"/>
  <c r="S557" i="1"/>
  <c r="N557" i="1"/>
  <c r="C554" i="1"/>
  <c r="C557" i="1"/>
  <c r="D554" i="1"/>
  <c r="D557" i="1"/>
  <c r="E554" i="1"/>
  <c r="E557" i="1"/>
  <c r="F554" i="1"/>
  <c r="F557" i="1"/>
  <c r="J554" i="1"/>
  <c r="J557" i="1"/>
  <c r="K557" i="1"/>
  <c r="O557" i="1"/>
  <c r="K554" i="1"/>
  <c r="K555" i="1"/>
  <c r="K556" i="1"/>
  <c r="M557" i="1"/>
  <c r="L557" i="1"/>
  <c r="BD556" i="1"/>
  <c r="AV556" i="1"/>
  <c r="AM556" i="1"/>
  <c r="AD556" i="1"/>
  <c r="M556" i="1"/>
  <c r="L556" i="1"/>
  <c r="BD555" i="1"/>
  <c r="AV555" i="1"/>
  <c r="AM555" i="1"/>
  <c r="AD555" i="1"/>
  <c r="M555" i="1"/>
  <c r="L555" i="1"/>
  <c r="BD549" i="1"/>
  <c r="BD550" i="1"/>
  <c r="BD554" i="1"/>
  <c r="AU549" i="1"/>
  <c r="AV549" i="1"/>
  <c r="AU550" i="1"/>
  <c r="AV550" i="1"/>
  <c r="AU552" i="1"/>
  <c r="AV552" i="1"/>
  <c r="AV554" i="1"/>
  <c r="AL549" i="1"/>
  <c r="AM549" i="1"/>
  <c r="AL550" i="1"/>
  <c r="AM550" i="1"/>
  <c r="AL552" i="1"/>
  <c r="AM552" i="1"/>
  <c r="AM554" i="1"/>
  <c r="AC549" i="1"/>
  <c r="AD549" i="1"/>
  <c r="AC550" i="1"/>
  <c r="AD550" i="1"/>
  <c r="AC552" i="1"/>
  <c r="AD552" i="1"/>
  <c r="AD554" i="1"/>
  <c r="N554" i="1"/>
  <c r="O554" i="1"/>
  <c r="M554" i="1"/>
  <c r="K549" i="1"/>
  <c r="K550" i="1"/>
  <c r="K552" i="1"/>
  <c r="K553" i="1"/>
  <c r="L554" i="1"/>
  <c r="AU553" i="1"/>
  <c r="AL553" i="1"/>
  <c r="AC553" i="1"/>
  <c r="N553" i="1"/>
  <c r="M553" i="1"/>
  <c r="L553" i="1"/>
  <c r="N552" i="1"/>
  <c r="M552" i="1"/>
  <c r="L552" i="1"/>
  <c r="AU551" i="1"/>
  <c r="AL551" i="1"/>
  <c r="AC551" i="1"/>
  <c r="N550" i="1"/>
  <c r="M550" i="1"/>
  <c r="L550" i="1"/>
  <c r="T549" i="1"/>
  <c r="N549" i="1"/>
  <c r="M549" i="1"/>
  <c r="L549" i="1"/>
  <c r="BC542" i="1"/>
  <c r="BC543" i="1"/>
  <c r="BC544" i="1"/>
  <c r="BC545" i="1"/>
  <c r="BC546" i="1"/>
  <c r="BD546" i="1"/>
  <c r="BB546" i="1"/>
  <c r="BA546" i="1"/>
  <c r="AY541" i="1"/>
  <c r="AY546" i="1"/>
  <c r="AX546" i="1"/>
  <c r="AU542" i="1"/>
  <c r="AU543" i="1"/>
  <c r="AU544" i="1"/>
  <c r="AU545" i="1"/>
  <c r="AU546" i="1"/>
  <c r="AV546" i="1"/>
  <c r="AT541" i="1"/>
  <c r="AT546" i="1"/>
  <c r="AR546" i="1"/>
  <c r="AQ546" i="1"/>
  <c r="AP546" i="1"/>
  <c r="AO546" i="1"/>
  <c r="AL542" i="1"/>
  <c r="AL543" i="1"/>
  <c r="AL544" i="1"/>
  <c r="AL545" i="1"/>
  <c r="AL546" i="1"/>
  <c r="AM546" i="1"/>
  <c r="AK546" i="1"/>
  <c r="AJ546" i="1"/>
  <c r="AI546" i="1"/>
  <c r="AG546" i="1"/>
  <c r="AF546" i="1"/>
  <c r="AC542" i="1"/>
  <c r="AC543" i="1"/>
  <c r="AC544" i="1"/>
  <c r="AC545" i="1"/>
  <c r="AC546" i="1"/>
  <c r="AD546" i="1"/>
  <c r="AB541" i="1"/>
  <c r="AB546" i="1"/>
  <c r="Y546" i="1"/>
  <c r="X541" i="1"/>
  <c r="X546" i="1"/>
  <c r="W546" i="1"/>
  <c r="T542" i="1"/>
  <c r="T543" i="1"/>
  <c r="T544" i="1"/>
  <c r="T545" i="1"/>
  <c r="T546" i="1"/>
  <c r="U546" i="1"/>
  <c r="S546" i="1"/>
  <c r="R546" i="1"/>
  <c r="Q546" i="1"/>
  <c r="C546" i="1"/>
  <c r="D546" i="1"/>
  <c r="E546" i="1"/>
  <c r="F546" i="1"/>
  <c r="J546" i="1"/>
  <c r="K546" i="1"/>
  <c r="K540" i="1"/>
  <c r="K537" i="1"/>
  <c r="K542" i="1"/>
  <c r="K543" i="1"/>
  <c r="K544" i="1"/>
  <c r="K545" i="1"/>
  <c r="L546" i="1"/>
  <c r="BD545" i="1"/>
  <c r="AV545" i="1"/>
  <c r="AM545" i="1"/>
  <c r="AD545" i="1"/>
  <c r="U545" i="1"/>
  <c r="L545" i="1"/>
  <c r="BD544" i="1"/>
  <c r="AV544" i="1"/>
  <c r="AM544" i="1"/>
  <c r="AD544" i="1"/>
  <c r="U544" i="1"/>
  <c r="L544" i="1"/>
  <c r="BD543" i="1"/>
  <c r="AV543" i="1"/>
  <c r="AM543" i="1"/>
  <c r="AD543" i="1"/>
  <c r="U543" i="1"/>
  <c r="L543" i="1"/>
  <c r="BD542" i="1"/>
  <c r="AV542" i="1"/>
  <c r="AM542" i="1"/>
  <c r="AD542" i="1"/>
  <c r="U542" i="1"/>
  <c r="L542" i="1"/>
  <c r="BB541" i="1"/>
  <c r="AQ541" i="1"/>
  <c r="AP541" i="1"/>
  <c r="AK541" i="1"/>
  <c r="AJ541" i="1"/>
  <c r="AI541" i="1"/>
  <c r="AG541" i="1"/>
  <c r="AF541" i="1"/>
  <c r="AA541" i="1"/>
  <c r="Y541" i="1"/>
  <c r="S541" i="1"/>
  <c r="K539" i="1"/>
  <c r="K541" i="1"/>
  <c r="J541" i="1"/>
  <c r="F541" i="1"/>
  <c r="D541" i="1"/>
  <c r="C541" i="1"/>
  <c r="BB538" i="1"/>
  <c r="BA538" i="1"/>
  <c r="AY538" i="1"/>
  <c r="AT538" i="1"/>
  <c r="AQ538" i="1"/>
  <c r="AP538" i="1"/>
  <c r="AK538" i="1"/>
  <c r="AJ538" i="1"/>
  <c r="AI538" i="1"/>
  <c r="AG538" i="1"/>
  <c r="AF538" i="1"/>
  <c r="AB538" i="1"/>
  <c r="AA538" i="1"/>
  <c r="Y538" i="1"/>
  <c r="X538" i="1"/>
  <c r="S538" i="1"/>
  <c r="K536" i="1"/>
  <c r="K538" i="1"/>
  <c r="F538" i="1"/>
  <c r="E538" i="1"/>
  <c r="D538" i="1"/>
  <c r="C538" i="1"/>
  <c r="BC522" i="1"/>
  <c r="BC523" i="1"/>
  <c r="BC524" i="1"/>
  <c r="BC525" i="1"/>
  <c r="BC526" i="1"/>
  <c r="BC527" i="1"/>
  <c r="BC528" i="1"/>
  <c r="BC529" i="1"/>
  <c r="BC530" i="1"/>
  <c r="BC531" i="1"/>
  <c r="BC532" i="1"/>
  <c r="BC533" i="1"/>
  <c r="BD533" i="1"/>
  <c r="BB528" i="1"/>
  <c r="BB533" i="1"/>
  <c r="BA528" i="1"/>
  <c r="BA533" i="1"/>
  <c r="AZ528" i="1"/>
  <c r="AZ533" i="1"/>
  <c r="AY528" i="1"/>
  <c r="AY533" i="1"/>
  <c r="AX528" i="1"/>
  <c r="AX533" i="1"/>
  <c r="AU522" i="1"/>
  <c r="AU523" i="1"/>
  <c r="AU524" i="1"/>
  <c r="AU525" i="1"/>
  <c r="AU526" i="1"/>
  <c r="AU527" i="1"/>
  <c r="AU528" i="1"/>
  <c r="AU529" i="1"/>
  <c r="AU530" i="1"/>
  <c r="AU531" i="1"/>
  <c r="AU532" i="1"/>
  <c r="AU533" i="1"/>
  <c r="AV533" i="1"/>
  <c r="AT528" i="1"/>
  <c r="AT533" i="1"/>
  <c r="AS528" i="1"/>
  <c r="AS533" i="1"/>
  <c r="AR528" i="1"/>
  <c r="AR533" i="1"/>
  <c r="AQ528" i="1"/>
  <c r="AQ533" i="1"/>
  <c r="AP528" i="1"/>
  <c r="AP533" i="1"/>
  <c r="AO528" i="1"/>
  <c r="AO533" i="1"/>
  <c r="AL522" i="1"/>
  <c r="AL523" i="1"/>
  <c r="AL524" i="1"/>
  <c r="AL525" i="1"/>
  <c r="AL526" i="1"/>
  <c r="AL527" i="1"/>
  <c r="AL528" i="1"/>
  <c r="AL529" i="1"/>
  <c r="AL530" i="1"/>
  <c r="AL531" i="1"/>
  <c r="AL532" i="1"/>
  <c r="AL533" i="1"/>
  <c r="AM533" i="1"/>
  <c r="AK528" i="1"/>
  <c r="AK533" i="1"/>
  <c r="AJ528" i="1"/>
  <c r="AJ533" i="1"/>
  <c r="AI528" i="1"/>
  <c r="AI533" i="1"/>
  <c r="AH528" i="1"/>
  <c r="AH533" i="1"/>
  <c r="AG528" i="1"/>
  <c r="AG533" i="1"/>
  <c r="AF528" i="1"/>
  <c r="AF533" i="1"/>
  <c r="AC522" i="1"/>
  <c r="AC523" i="1"/>
  <c r="AC524" i="1"/>
  <c r="AC525" i="1"/>
  <c r="AC526" i="1"/>
  <c r="AC527" i="1"/>
  <c r="AC528" i="1"/>
  <c r="AC529" i="1"/>
  <c r="AC530" i="1"/>
  <c r="AC531" i="1"/>
  <c r="AC532" i="1"/>
  <c r="AC533" i="1"/>
  <c r="AD533" i="1"/>
  <c r="AB528" i="1"/>
  <c r="AB533" i="1"/>
  <c r="AA528" i="1"/>
  <c r="AA533" i="1"/>
  <c r="Z528" i="1"/>
  <c r="Z533" i="1"/>
  <c r="Y528" i="1"/>
  <c r="Y533" i="1"/>
  <c r="X528" i="1"/>
  <c r="X533" i="1"/>
  <c r="W528" i="1"/>
  <c r="W533" i="1"/>
  <c r="T529" i="1"/>
  <c r="T530" i="1"/>
  <c r="T531" i="1"/>
  <c r="T532" i="1"/>
  <c r="T533" i="1"/>
  <c r="U533" i="1"/>
  <c r="S528" i="1"/>
  <c r="S533" i="1"/>
  <c r="R528" i="1"/>
  <c r="R533" i="1"/>
  <c r="Q528" i="1"/>
  <c r="Q533" i="1"/>
  <c r="N533" i="1"/>
  <c r="C528" i="1"/>
  <c r="C533" i="1"/>
  <c r="D528" i="1"/>
  <c r="D533" i="1"/>
  <c r="E528" i="1"/>
  <c r="E533" i="1"/>
  <c r="F528" i="1"/>
  <c r="F533" i="1"/>
  <c r="J528" i="1"/>
  <c r="J533" i="1"/>
  <c r="K533" i="1"/>
  <c r="O533" i="1"/>
  <c r="K532" i="1"/>
  <c r="K531" i="1"/>
  <c r="K530" i="1"/>
  <c r="K529" i="1"/>
  <c r="K522" i="1"/>
  <c r="K523" i="1"/>
  <c r="K524" i="1"/>
  <c r="K525" i="1"/>
  <c r="K526" i="1"/>
  <c r="K527" i="1"/>
  <c r="K528" i="1"/>
  <c r="M533" i="1"/>
  <c r="L533" i="1"/>
  <c r="BD532" i="1"/>
  <c r="AV532" i="1"/>
  <c r="AM532" i="1"/>
  <c r="AD532" i="1"/>
  <c r="U532" i="1"/>
  <c r="M532" i="1"/>
  <c r="L532" i="1"/>
  <c r="BD531" i="1"/>
  <c r="AV531" i="1"/>
  <c r="AM531" i="1"/>
  <c r="AD531" i="1"/>
  <c r="U531" i="1"/>
  <c r="M531" i="1"/>
  <c r="L531" i="1"/>
  <c r="BD530" i="1"/>
  <c r="AV530" i="1"/>
  <c r="AM530" i="1"/>
  <c r="AD530" i="1"/>
  <c r="U530" i="1"/>
  <c r="M530" i="1"/>
  <c r="L530" i="1"/>
  <c r="BD529" i="1"/>
  <c r="AV529" i="1"/>
  <c r="AM529" i="1"/>
  <c r="AD529" i="1"/>
  <c r="U529" i="1"/>
  <c r="M529" i="1"/>
  <c r="L529" i="1"/>
  <c r="BE528" i="1"/>
  <c r="BD522" i="1"/>
  <c r="BD523" i="1"/>
  <c r="BD524" i="1"/>
  <c r="BD525" i="1"/>
  <c r="BD526" i="1"/>
  <c r="BD527" i="1"/>
  <c r="BD528" i="1"/>
  <c r="AW528" i="1"/>
  <c r="AV522" i="1"/>
  <c r="AV523" i="1"/>
  <c r="AV524" i="1"/>
  <c r="AV525" i="1"/>
  <c r="AV526" i="1"/>
  <c r="AV527" i="1"/>
  <c r="AV528" i="1"/>
  <c r="AN528" i="1"/>
  <c r="AM522" i="1"/>
  <c r="AM523" i="1"/>
  <c r="AM524" i="1"/>
  <c r="AM525" i="1"/>
  <c r="AM526" i="1"/>
  <c r="AM527" i="1"/>
  <c r="AM528" i="1"/>
  <c r="AE528" i="1"/>
  <c r="AD522" i="1"/>
  <c r="AD523" i="1"/>
  <c r="AD524" i="1"/>
  <c r="AD525" i="1"/>
  <c r="AD526" i="1"/>
  <c r="AD527" i="1"/>
  <c r="AD528" i="1"/>
  <c r="V528" i="1"/>
  <c r="T522" i="1"/>
  <c r="U522" i="1"/>
  <c r="U528" i="1"/>
  <c r="P528" i="1"/>
  <c r="N528" i="1"/>
  <c r="O528" i="1"/>
  <c r="M522" i="1"/>
  <c r="M523" i="1"/>
  <c r="M524" i="1"/>
  <c r="M525" i="1"/>
  <c r="M526" i="1"/>
  <c r="M527" i="1"/>
  <c r="M528" i="1"/>
  <c r="L522" i="1"/>
  <c r="L523" i="1"/>
  <c r="L524" i="1"/>
  <c r="L525" i="1"/>
  <c r="L526" i="1"/>
  <c r="L527" i="1"/>
  <c r="L528" i="1"/>
  <c r="T527" i="1"/>
  <c r="U527" i="1"/>
  <c r="T526" i="1"/>
  <c r="U526" i="1"/>
  <c r="T525" i="1"/>
  <c r="U525" i="1"/>
  <c r="T524" i="1"/>
  <c r="U524" i="1"/>
  <c r="T523" i="1"/>
  <c r="U523" i="1"/>
  <c r="BC506" i="1"/>
  <c r="BC507" i="1"/>
  <c r="BC508" i="1"/>
  <c r="BC509" i="1"/>
  <c r="BC510" i="1"/>
  <c r="BC511" i="1"/>
  <c r="BC514" i="1"/>
  <c r="BC515" i="1"/>
  <c r="BC516" i="1"/>
  <c r="BC517" i="1"/>
  <c r="BC518" i="1"/>
  <c r="BC519" i="1"/>
  <c r="BD519" i="1"/>
  <c r="BB514" i="1"/>
  <c r="BB519" i="1"/>
  <c r="BA514" i="1"/>
  <c r="BA519" i="1"/>
  <c r="AZ514" i="1"/>
  <c r="AZ519" i="1"/>
  <c r="AY514" i="1"/>
  <c r="AY519" i="1"/>
  <c r="AX514" i="1"/>
  <c r="AX519" i="1"/>
  <c r="AU506" i="1"/>
  <c r="AU507" i="1"/>
  <c r="AU508" i="1"/>
  <c r="AU509" i="1"/>
  <c r="AU510" i="1"/>
  <c r="AU511" i="1"/>
  <c r="AU514" i="1"/>
  <c r="AU515" i="1"/>
  <c r="AU516" i="1"/>
  <c r="AU517" i="1"/>
  <c r="AU518" i="1"/>
  <c r="AU519" i="1"/>
  <c r="AV519" i="1"/>
  <c r="AT514" i="1"/>
  <c r="AT519" i="1"/>
  <c r="AS514" i="1"/>
  <c r="AS519" i="1"/>
  <c r="AR514" i="1"/>
  <c r="AR519" i="1"/>
  <c r="AQ514" i="1"/>
  <c r="AQ519" i="1"/>
  <c r="AP514" i="1"/>
  <c r="AP519" i="1"/>
  <c r="AO514" i="1"/>
  <c r="AO519" i="1"/>
  <c r="AL506" i="1"/>
  <c r="AL507" i="1"/>
  <c r="AL508" i="1"/>
  <c r="AL509" i="1"/>
  <c r="AL510" i="1"/>
  <c r="AL511" i="1"/>
  <c r="AL514" i="1"/>
  <c r="AL515" i="1"/>
  <c r="AL516" i="1"/>
  <c r="AL517" i="1"/>
  <c r="AL518" i="1"/>
  <c r="AL519" i="1"/>
  <c r="AM519" i="1"/>
  <c r="AK514" i="1"/>
  <c r="AK519" i="1"/>
  <c r="AJ514" i="1"/>
  <c r="AJ519" i="1"/>
  <c r="AI514" i="1"/>
  <c r="AI519" i="1"/>
  <c r="AH514" i="1"/>
  <c r="AH519" i="1"/>
  <c r="AG514" i="1"/>
  <c r="AG519" i="1"/>
  <c r="AF514" i="1"/>
  <c r="AF519" i="1"/>
  <c r="AC506" i="1"/>
  <c r="AC507" i="1"/>
  <c r="AC508" i="1"/>
  <c r="AC509" i="1"/>
  <c r="AC510" i="1"/>
  <c r="AC511" i="1"/>
  <c r="AC514" i="1"/>
  <c r="AC515" i="1"/>
  <c r="AC516" i="1"/>
  <c r="AC517" i="1"/>
  <c r="AC518" i="1"/>
  <c r="AC519" i="1"/>
  <c r="AD519" i="1"/>
  <c r="AB514" i="1"/>
  <c r="AB519" i="1"/>
  <c r="AA514" i="1"/>
  <c r="AA519" i="1"/>
  <c r="Z514" i="1"/>
  <c r="Z519" i="1"/>
  <c r="Y514" i="1"/>
  <c r="Y519" i="1"/>
  <c r="X514" i="1"/>
  <c r="X519" i="1"/>
  <c r="W514" i="1"/>
  <c r="W519" i="1"/>
  <c r="T506" i="1"/>
  <c r="T507" i="1"/>
  <c r="T508" i="1"/>
  <c r="T509" i="1"/>
  <c r="T510" i="1"/>
  <c r="T511" i="1"/>
  <c r="T514" i="1"/>
  <c r="T515" i="1"/>
  <c r="T516" i="1"/>
  <c r="T517" i="1"/>
  <c r="T518" i="1"/>
  <c r="T519" i="1"/>
  <c r="U519" i="1"/>
  <c r="S514" i="1"/>
  <c r="S519" i="1"/>
  <c r="R514" i="1"/>
  <c r="R519" i="1"/>
  <c r="Q514" i="1"/>
  <c r="Q519" i="1"/>
  <c r="N519" i="1"/>
  <c r="B514" i="1"/>
  <c r="B519" i="1"/>
  <c r="C514" i="1"/>
  <c r="C519" i="1"/>
  <c r="D514" i="1"/>
  <c r="D519" i="1"/>
  <c r="E514" i="1"/>
  <c r="E519" i="1"/>
  <c r="F514" i="1"/>
  <c r="F519" i="1"/>
  <c r="G514" i="1"/>
  <c r="G519" i="1"/>
  <c r="H514" i="1"/>
  <c r="H519" i="1"/>
  <c r="I514" i="1"/>
  <c r="I519" i="1"/>
  <c r="J514" i="1"/>
  <c r="J519" i="1"/>
  <c r="K519" i="1"/>
  <c r="O519" i="1"/>
  <c r="K518" i="1"/>
  <c r="K517" i="1"/>
  <c r="K516" i="1"/>
  <c r="K515" i="1"/>
  <c r="K514" i="1"/>
  <c r="M519" i="1"/>
  <c r="L519" i="1"/>
  <c r="BD518" i="1"/>
  <c r="AV518" i="1"/>
  <c r="AM518" i="1"/>
  <c r="AD518" i="1"/>
  <c r="U518" i="1"/>
  <c r="M518" i="1"/>
  <c r="L518" i="1"/>
  <c r="BD517" i="1"/>
  <c r="AV517" i="1"/>
  <c r="AM517" i="1"/>
  <c r="AD517" i="1"/>
  <c r="U517" i="1"/>
  <c r="M517" i="1"/>
  <c r="L517" i="1"/>
  <c r="BD516" i="1"/>
  <c r="AV516" i="1"/>
  <c r="AM516" i="1"/>
  <c r="AD516" i="1"/>
  <c r="U516" i="1"/>
  <c r="M516" i="1"/>
  <c r="L516" i="1"/>
  <c r="BD515" i="1"/>
  <c r="AV515" i="1"/>
  <c r="AM515" i="1"/>
  <c r="AD515" i="1"/>
  <c r="U515" i="1"/>
  <c r="M515" i="1"/>
  <c r="L515" i="1"/>
  <c r="BF514" i="1"/>
  <c r="BG506" i="1"/>
  <c r="BG514" i="1"/>
  <c r="BD506" i="1"/>
  <c r="BD507" i="1"/>
  <c r="BD508" i="1"/>
  <c r="BD510" i="1"/>
  <c r="BD514" i="1"/>
  <c r="AV506" i="1"/>
  <c r="AV507" i="1"/>
  <c r="AV508" i="1"/>
  <c r="AV510" i="1"/>
  <c r="AV514" i="1"/>
  <c r="AM506" i="1"/>
  <c r="AM507" i="1"/>
  <c r="AM508" i="1"/>
  <c r="AM510" i="1"/>
  <c r="AM514" i="1"/>
  <c r="AD506" i="1"/>
  <c r="AD507" i="1"/>
  <c r="AD508" i="1"/>
  <c r="AD510" i="1"/>
  <c r="AD514" i="1"/>
  <c r="U506" i="1"/>
  <c r="U507" i="1"/>
  <c r="U508" i="1"/>
  <c r="U510" i="1"/>
  <c r="U514" i="1"/>
  <c r="N514" i="1"/>
  <c r="O514" i="1"/>
  <c r="K506" i="1"/>
  <c r="M506" i="1"/>
  <c r="K507" i="1"/>
  <c r="M507" i="1"/>
  <c r="K508" i="1"/>
  <c r="M508" i="1"/>
  <c r="K510" i="1"/>
  <c r="M510" i="1"/>
  <c r="K511" i="1"/>
  <c r="M511" i="1"/>
  <c r="M514" i="1"/>
  <c r="K509" i="1"/>
  <c r="L506" i="1"/>
  <c r="L507" i="1"/>
  <c r="L508" i="1"/>
  <c r="K512" i="1"/>
  <c r="K513" i="1"/>
  <c r="L510" i="1"/>
  <c r="L511" i="1"/>
  <c r="L514" i="1"/>
  <c r="BG512" i="1"/>
  <c r="BC512" i="1"/>
  <c r="BD512" i="1"/>
  <c r="AU512" i="1"/>
  <c r="AV512" i="1"/>
  <c r="AL512" i="1"/>
  <c r="AM512" i="1"/>
  <c r="AC512" i="1"/>
  <c r="AD512" i="1"/>
  <c r="T512" i="1"/>
  <c r="U512" i="1"/>
  <c r="L512" i="1"/>
  <c r="N512" i="1"/>
  <c r="M512" i="1"/>
  <c r="BG510" i="1"/>
  <c r="N510" i="1"/>
  <c r="BG508" i="1"/>
  <c r="N508" i="1"/>
  <c r="BG507" i="1"/>
  <c r="BC495" i="1"/>
  <c r="BC496" i="1"/>
  <c r="BC497" i="1"/>
  <c r="BC498" i="1"/>
  <c r="BC499" i="1"/>
  <c r="BC500" i="1"/>
  <c r="BC501" i="1"/>
  <c r="BC502" i="1"/>
  <c r="BC503" i="1"/>
  <c r="BD503" i="1"/>
  <c r="BB498" i="1"/>
  <c r="BB503" i="1"/>
  <c r="BA498" i="1"/>
  <c r="BA503" i="1"/>
  <c r="AZ498" i="1"/>
  <c r="AZ503" i="1"/>
  <c r="AY498" i="1"/>
  <c r="AY503" i="1"/>
  <c r="AX498" i="1"/>
  <c r="AX503" i="1"/>
  <c r="AU495" i="1"/>
  <c r="AU496" i="1"/>
  <c r="AU497" i="1"/>
  <c r="AU498" i="1"/>
  <c r="AU499" i="1"/>
  <c r="AU500" i="1"/>
  <c r="AU501" i="1"/>
  <c r="AU502" i="1"/>
  <c r="AU503" i="1"/>
  <c r="AV503" i="1"/>
  <c r="AT498" i="1"/>
  <c r="AT503" i="1"/>
  <c r="AS498" i="1"/>
  <c r="AS503" i="1"/>
  <c r="AR498" i="1"/>
  <c r="AR503" i="1"/>
  <c r="AQ498" i="1"/>
  <c r="AQ503" i="1"/>
  <c r="AP498" i="1"/>
  <c r="AP503" i="1"/>
  <c r="AO498" i="1"/>
  <c r="AO503" i="1"/>
  <c r="AL495" i="1"/>
  <c r="AL496" i="1"/>
  <c r="AL497" i="1"/>
  <c r="AL498" i="1"/>
  <c r="AL499" i="1"/>
  <c r="AL500" i="1"/>
  <c r="AL501" i="1"/>
  <c r="AL502" i="1"/>
  <c r="AL503" i="1"/>
  <c r="AM503" i="1"/>
  <c r="AK498" i="1"/>
  <c r="AK503" i="1"/>
  <c r="AJ498" i="1"/>
  <c r="AJ503" i="1"/>
  <c r="AI498" i="1"/>
  <c r="AI503" i="1"/>
  <c r="AH498" i="1"/>
  <c r="AH503" i="1"/>
  <c r="AG498" i="1"/>
  <c r="AG503" i="1"/>
  <c r="AF498" i="1"/>
  <c r="AF503" i="1"/>
  <c r="AC495" i="1"/>
  <c r="AC496" i="1"/>
  <c r="AC497" i="1"/>
  <c r="AC498" i="1"/>
  <c r="AC499" i="1"/>
  <c r="AC500" i="1"/>
  <c r="AC501" i="1"/>
  <c r="AC502" i="1"/>
  <c r="AC503" i="1"/>
  <c r="AD503" i="1"/>
  <c r="AB498" i="1"/>
  <c r="AB503" i="1"/>
  <c r="AA498" i="1"/>
  <c r="AA503" i="1"/>
  <c r="Z498" i="1"/>
  <c r="Z503" i="1"/>
  <c r="Y498" i="1"/>
  <c r="Y503" i="1"/>
  <c r="X498" i="1"/>
  <c r="X503" i="1"/>
  <c r="W498" i="1"/>
  <c r="W503" i="1"/>
  <c r="T490" i="1"/>
  <c r="T491" i="1"/>
  <c r="T482" i="1"/>
  <c r="T483" i="1"/>
  <c r="T484" i="1"/>
  <c r="T485" i="1"/>
  <c r="T486" i="1"/>
  <c r="T487" i="1"/>
  <c r="T488" i="1"/>
  <c r="T489" i="1"/>
  <c r="T492" i="1"/>
  <c r="T495" i="1"/>
  <c r="T496" i="1"/>
  <c r="T497" i="1"/>
  <c r="T498" i="1"/>
  <c r="T499" i="1"/>
  <c r="T500" i="1"/>
  <c r="T501" i="1"/>
  <c r="T502" i="1"/>
  <c r="T503" i="1"/>
  <c r="U503" i="1"/>
  <c r="S498" i="1"/>
  <c r="S503" i="1"/>
  <c r="R498" i="1"/>
  <c r="R503" i="1"/>
  <c r="Q498" i="1"/>
  <c r="Q503" i="1"/>
  <c r="N503" i="1"/>
  <c r="B498" i="1"/>
  <c r="B503" i="1"/>
  <c r="C498" i="1"/>
  <c r="C503" i="1"/>
  <c r="D498" i="1"/>
  <c r="D503" i="1"/>
  <c r="E498" i="1"/>
  <c r="E503" i="1"/>
  <c r="F498" i="1"/>
  <c r="F503" i="1"/>
  <c r="G498" i="1"/>
  <c r="G503" i="1"/>
  <c r="H498" i="1"/>
  <c r="H503" i="1"/>
  <c r="I498" i="1"/>
  <c r="I503" i="1"/>
  <c r="J498" i="1"/>
  <c r="J503" i="1"/>
  <c r="K503" i="1"/>
  <c r="O503" i="1"/>
  <c r="K502" i="1"/>
  <c r="K501" i="1"/>
  <c r="K500" i="1"/>
  <c r="K499" i="1"/>
  <c r="K495" i="1"/>
  <c r="K496" i="1"/>
  <c r="K497" i="1"/>
  <c r="K498" i="1"/>
  <c r="M503" i="1"/>
  <c r="L503" i="1"/>
  <c r="BD502" i="1"/>
  <c r="AV502" i="1"/>
  <c r="AM502" i="1"/>
  <c r="AD502" i="1"/>
  <c r="U502" i="1"/>
  <c r="M502" i="1"/>
  <c r="L502" i="1"/>
  <c r="BD501" i="1"/>
  <c r="AV501" i="1"/>
  <c r="AM501" i="1"/>
  <c r="AD501" i="1"/>
  <c r="U501" i="1"/>
  <c r="M501" i="1"/>
  <c r="L501" i="1"/>
  <c r="BD500" i="1"/>
  <c r="AV500" i="1"/>
  <c r="AM500" i="1"/>
  <c r="AD500" i="1"/>
  <c r="U500" i="1"/>
  <c r="M500" i="1"/>
  <c r="L500" i="1"/>
  <c r="BD499" i="1"/>
  <c r="AV499" i="1"/>
  <c r="AM499" i="1"/>
  <c r="AD499" i="1"/>
  <c r="U499" i="1"/>
  <c r="M499" i="1"/>
  <c r="L499" i="1"/>
  <c r="BF498" i="1"/>
  <c r="BG495" i="1"/>
  <c r="BG498" i="1"/>
  <c r="BE498" i="1"/>
  <c r="BD495" i="1"/>
  <c r="BD496" i="1"/>
  <c r="BD497" i="1"/>
  <c r="BD498" i="1"/>
  <c r="AW498" i="1"/>
  <c r="AV495" i="1"/>
  <c r="AV496" i="1"/>
  <c r="AV497" i="1"/>
  <c r="AV498" i="1"/>
  <c r="AN498" i="1"/>
  <c r="AM495" i="1"/>
  <c r="AM496" i="1"/>
  <c r="AM497" i="1"/>
  <c r="AM498" i="1"/>
  <c r="AE498" i="1"/>
  <c r="AC488" i="1"/>
  <c r="AC482" i="1"/>
  <c r="AC483" i="1"/>
  <c r="AC484" i="1"/>
  <c r="AC485" i="1"/>
  <c r="AC486" i="1"/>
  <c r="AC487" i="1"/>
  <c r="AC489" i="1"/>
  <c r="AC490" i="1"/>
  <c r="AC491" i="1"/>
  <c r="AC492" i="1"/>
  <c r="AD488" i="1"/>
  <c r="AD489" i="1"/>
  <c r="AD490" i="1"/>
  <c r="AD491" i="1"/>
  <c r="AD492" i="1"/>
  <c r="AD495" i="1"/>
  <c r="AD496" i="1"/>
  <c r="AD497" i="1"/>
  <c r="AD498" i="1"/>
  <c r="V498" i="1"/>
  <c r="U488" i="1"/>
  <c r="U489" i="1"/>
  <c r="U490" i="1"/>
  <c r="U491" i="1"/>
  <c r="U492" i="1"/>
  <c r="U495" i="1"/>
  <c r="U496" i="1"/>
  <c r="U497" i="1"/>
  <c r="U498" i="1"/>
  <c r="P498" i="1"/>
  <c r="N498" i="1"/>
  <c r="O498" i="1"/>
  <c r="M495" i="1"/>
  <c r="M496" i="1"/>
  <c r="M497" i="1"/>
  <c r="M498" i="1"/>
  <c r="L495" i="1"/>
  <c r="L496" i="1"/>
  <c r="L497" i="1"/>
  <c r="L498" i="1"/>
  <c r="BG497" i="1"/>
  <c r="BG496" i="1"/>
  <c r="BC482" i="1"/>
  <c r="BC483" i="1"/>
  <c r="BC484" i="1"/>
  <c r="BC485" i="1"/>
  <c r="BC486" i="1"/>
  <c r="BC487" i="1"/>
  <c r="BC488" i="1"/>
  <c r="BC489" i="1"/>
  <c r="BC490" i="1"/>
  <c r="BC491" i="1"/>
  <c r="BC492" i="1"/>
  <c r="BD492" i="1"/>
  <c r="BB487" i="1"/>
  <c r="BB492" i="1"/>
  <c r="BA487" i="1"/>
  <c r="BA492" i="1"/>
  <c r="AY487" i="1"/>
  <c r="AY492" i="1"/>
  <c r="AX487" i="1"/>
  <c r="AX492" i="1"/>
  <c r="AU482" i="1"/>
  <c r="AU483" i="1"/>
  <c r="AU484" i="1"/>
  <c r="AU485" i="1"/>
  <c r="AU486" i="1"/>
  <c r="AU487" i="1"/>
  <c r="AU488" i="1"/>
  <c r="AU489" i="1"/>
  <c r="AU490" i="1"/>
  <c r="AU491" i="1"/>
  <c r="AU492" i="1"/>
  <c r="AV492" i="1"/>
  <c r="AT487" i="1"/>
  <c r="AT492" i="1"/>
  <c r="AR487" i="1"/>
  <c r="AR492" i="1"/>
  <c r="AQ487" i="1"/>
  <c r="AQ492" i="1"/>
  <c r="AP487" i="1"/>
  <c r="AP492" i="1"/>
  <c r="AO487" i="1"/>
  <c r="AO492" i="1"/>
  <c r="AL482" i="1"/>
  <c r="AL483" i="1"/>
  <c r="AL484" i="1"/>
  <c r="AL485" i="1"/>
  <c r="AL486" i="1"/>
  <c r="AL487" i="1"/>
  <c r="AL488" i="1"/>
  <c r="AL489" i="1"/>
  <c r="AL490" i="1"/>
  <c r="AL491" i="1"/>
  <c r="AL492" i="1"/>
  <c r="AM492" i="1"/>
  <c r="AK487" i="1"/>
  <c r="AK492" i="1"/>
  <c r="AJ487" i="1"/>
  <c r="AJ492" i="1"/>
  <c r="AI487" i="1"/>
  <c r="AI492" i="1"/>
  <c r="AH487" i="1"/>
  <c r="AH492" i="1"/>
  <c r="AG487" i="1"/>
  <c r="AG492" i="1"/>
  <c r="AF487" i="1"/>
  <c r="AF492" i="1"/>
  <c r="AB487" i="1"/>
  <c r="AB492" i="1"/>
  <c r="AA487" i="1"/>
  <c r="AA492" i="1"/>
  <c r="Z487" i="1"/>
  <c r="Z492" i="1"/>
  <c r="Y487" i="1"/>
  <c r="Y492" i="1"/>
  <c r="X487" i="1"/>
  <c r="X492" i="1"/>
  <c r="W487" i="1"/>
  <c r="W492" i="1"/>
  <c r="S487" i="1"/>
  <c r="S492" i="1"/>
  <c r="R487" i="1"/>
  <c r="R492" i="1"/>
  <c r="Q487" i="1"/>
  <c r="Q492" i="1"/>
  <c r="N492" i="1"/>
  <c r="C487" i="1"/>
  <c r="C492" i="1"/>
  <c r="D487" i="1"/>
  <c r="D492" i="1"/>
  <c r="E487" i="1"/>
  <c r="E492" i="1"/>
  <c r="F487" i="1"/>
  <c r="F492" i="1"/>
  <c r="I487" i="1"/>
  <c r="I492" i="1"/>
  <c r="J487" i="1"/>
  <c r="J492" i="1"/>
  <c r="K492" i="1"/>
  <c r="O492" i="1"/>
  <c r="K491" i="1"/>
  <c r="K490" i="1"/>
  <c r="K489" i="1"/>
  <c r="K488" i="1"/>
  <c r="K482" i="1"/>
  <c r="K483" i="1"/>
  <c r="K484" i="1"/>
  <c r="K485" i="1"/>
  <c r="K486" i="1"/>
  <c r="K487" i="1"/>
  <c r="M492" i="1"/>
  <c r="L492" i="1"/>
  <c r="BD491" i="1"/>
  <c r="AV491" i="1"/>
  <c r="AM491" i="1"/>
  <c r="M491" i="1"/>
  <c r="L491" i="1"/>
  <c r="BD490" i="1"/>
  <c r="AV490" i="1"/>
  <c r="AM490" i="1"/>
  <c r="M490" i="1"/>
  <c r="L490" i="1"/>
  <c r="BD489" i="1"/>
  <c r="AV489" i="1"/>
  <c r="AM489" i="1"/>
  <c r="M489" i="1"/>
  <c r="L489" i="1"/>
  <c r="BD488" i="1"/>
  <c r="AV488" i="1"/>
  <c r="AM488" i="1"/>
  <c r="M488" i="1"/>
  <c r="L488" i="1"/>
  <c r="BE487" i="1"/>
  <c r="BD482" i="1"/>
  <c r="BD483" i="1"/>
  <c r="BD484" i="1"/>
  <c r="BD485" i="1"/>
  <c r="BD486" i="1"/>
  <c r="BD487" i="1"/>
  <c r="AW487" i="1"/>
  <c r="AV482" i="1"/>
  <c r="AV483" i="1"/>
  <c r="AV484" i="1"/>
  <c r="AV485" i="1"/>
  <c r="AV486" i="1"/>
  <c r="AV487" i="1"/>
  <c r="AN487" i="1"/>
  <c r="AM482" i="1"/>
  <c r="AM483" i="1"/>
  <c r="AM484" i="1"/>
  <c r="AM485" i="1"/>
  <c r="AM486" i="1"/>
  <c r="AM487" i="1"/>
  <c r="AE487" i="1"/>
  <c r="AD482" i="1"/>
  <c r="AD483" i="1"/>
  <c r="AD484" i="1"/>
  <c r="AD485" i="1"/>
  <c r="AD486" i="1"/>
  <c r="AD487" i="1"/>
  <c r="V487" i="1"/>
  <c r="U482" i="1"/>
  <c r="U483" i="1"/>
  <c r="U484" i="1"/>
  <c r="U485" i="1"/>
  <c r="U486" i="1"/>
  <c r="U487" i="1"/>
  <c r="P487" i="1"/>
  <c r="N487" i="1"/>
  <c r="O487" i="1"/>
  <c r="M482" i="1"/>
  <c r="M483" i="1"/>
  <c r="M484" i="1"/>
  <c r="M485" i="1"/>
  <c r="M486" i="1"/>
  <c r="M487" i="1"/>
  <c r="L482" i="1"/>
  <c r="L483" i="1"/>
  <c r="L484" i="1"/>
  <c r="L485" i="1"/>
  <c r="L486" i="1"/>
  <c r="L487" i="1"/>
  <c r="AX476" i="1"/>
  <c r="AX479" i="1"/>
  <c r="AY476" i="1"/>
  <c r="AY479" i="1"/>
  <c r="AZ476" i="1"/>
  <c r="AZ479" i="1"/>
  <c r="BA476" i="1"/>
  <c r="BA479" i="1"/>
  <c r="BB476" i="1"/>
  <c r="BB479" i="1"/>
  <c r="BC479" i="1"/>
  <c r="BC471" i="1"/>
  <c r="BC472" i="1"/>
  <c r="BC473" i="1"/>
  <c r="BC474" i="1"/>
  <c r="BC475" i="1"/>
  <c r="BC476" i="1"/>
  <c r="BC477" i="1"/>
  <c r="BC478" i="1"/>
  <c r="BD479" i="1"/>
  <c r="AO476" i="1"/>
  <c r="AO479" i="1"/>
  <c r="AP476" i="1"/>
  <c r="AP479" i="1"/>
  <c r="AQ476" i="1"/>
  <c r="AQ479" i="1"/>
  <c r="AR476" i="1"/>
  <c r="AR479" i="1"/>
  <c r="AS476" i="1"/>
  <c r="AS479" i="1"/>
  <c r="AT476" i="1"/>
  <c r="AT479" i="1"/>
  <c r="AU479" i="1"/>
  <c r="AU471" i="1"/>
  <c r="AU472" i="1"/>
  <c r="AU473" i="1"/>
  <c r="AU474" i="1"/>
  <c r="AU475" i="1"/>
  <c r="AU476" i="1"/>
  <c r="AU477" i="1"/>
  <c r="AU478" i="1"/>
  <c r="AV479" i="1"/>
  <c r="AF476" i="1"/>
  <c r="AF479" i="1"/>
  <c r="AG476" i="1"/>
  <c r="AG479" i="1"/>
  <c r="AH476" i="1"/>
  <c r="AH479" i="1"/>
  <c r="AI476" i="1"/>
  <c r="AI479" i="1"/>
  <c r="AJ476" i="1"/>
  <c r="AJ479" i="1"/>
  <c r="AK476" i="1"/>
  <c r="AK479" i="1"/>
  <c r="AL479" i="1"/>
  <c r="AL471" i="1"/>
  <c r="AL472" i="1"/>
  <c r="AL473" i="1"/>
  <c r="AL474" i="1"/>
  <c r="AL475" i="1"/>
  <c r="AL476" i="1"/>
  <c r="AL477" i="1"/>
  <c r="AL478" i="1"/>
  <c r="AM479" i="1"/>
  <c r="W476" i="1"/>
  <c r="W479" i="1"/>
  <c r="X476" i="1"/>
  <c r="X479" i="1"/>
  <c r="Y476" i="1"/>
  <c r="Y479" i="1"/>
  <c r="Z476" i="1"/>
  <c r="Z479" i="1"/>
  <c r="AA479" i="1"/>
  <c r="AB476" i="1"/>
  <c r="AB479" i="1"/>
  <c r="AC479" i="1"/>
  <c r="AC471" i="1"/>
  <c r="AC472" i="1"/>
  <c r="AC473" i="1"/>
  <c r="AC474" i="1"/>
  <c r="AC475" i="1"/>
  <c r="AC476" i="1"/>
  <c r="AC477" i="1"/>
  <c r="AC478" i="1"/>
  <c r="AD479" i="1"/>
  <c r="Q476" i="1"/>
  <c r="Q479" i="1"/>
  <c r="R476" i="1"/>
  <c r="R479" i="1"/>
  <c r="S476" i="1"/>
  <c r="S479" i="1"/>
  <c r="T479" i="1"/>
  <c r="T471" i="1"/>
  <c r="T472" i="1"/>
  <c r="T473" i="1"/>
  <c r="T474" i="1"/>
  <c r="T475" i="1"/>
  <c r="T476" i="1"/>
  <c r="T477" i="1"/>
  <c r="T478" i="1"/>
  <c r="U479" i="1"/>
  <c r="N479" i="1"/>
  <c r="B476" i="1"/>
  <c r="B479" i="1"/>
  <c r="C476" i="1"/>
  <c r="C479" i="1"/>
  <c r="D476" i="1"/>
  <c r="D479" i="1"/>
  <c r="E476" i="1"/>
  <c r="E479" i="1"/>
  <c r="F476" i="1"/>
  <c r="F479" i="1"/>
  <c r="H476" i="1"/>
  <c r="H479" i="1"/>
  <c r="I476" i="1"/>
  <c r="I479" i="1"/>
  <c r="J476" i="1"/>
  <c r="J479" i="1"/>
  <c r="K479" i="1"/>
  <c r="O479" i="1"/>
  <c r="K471" i="1"/>
  <c r="K472" i="1"/>
  <c r="K473" i="1"/>
  <c r="K474" i="1"/>
  <c r="K475" i="1"/>
  <c r="K476" i="1"/>
  <c r="K477" i="1"/>
  <c r="K478" i="1"/>
  <c r="M479" i="1"/>
  <c r="L479" i="1"/>
  <c r="BD478" i="1"/>
  <c r="AV478" i="1"/>
  <c r="AM478" i="1"/>
  <c r="AD478" i="1"/>
  <c r="U478" i="1"/>
  <c r="M478" i="1"/>
  <c r="L478" i="1"/>
  <c r="BD477" i="1"/>
  <c r="AV477" i="1"/>
  <c r="AM477" i="1"/>
  <c r="AD477" i="1"/>
  <c r="U477" i="1"/>
  <c r="M477" i="1"/>
  <c r="L477" i="1"/>
  <c r="BF476" i="1"/>
  <c r="BG471" i="1"/>
  <c r="BG476" i="1"/>
  <c r="BD471" i="1"/>
  <c r="BD472" i="1"/>
  <c r="BD473" i="1"/>
  <c r="BD474" i="1"/>
  <c r="BD476" i="1"/>
  <c r="AV471" i="1"/>
  <c r="AV472" i="1"/>
  <c r="AV473" i="1"/>
  <c r="AV474" i="1"/>
  <c r="AV476" i="1"/>
  <c r="AM471" i="1"/>
  <c r="AM472" i="1"/>
  <c r="AM473" i="1"/>
  <c r="AM474" i="1"/>
  <c r="AM476" i="1"/>
  <c r="AD471" i="1"/>
  <c r="AD472" i="1"/>
  <c r="AD473" i="1"/>
  <c r="AD474" i="1"/>
  <c r="AD476" i="1"/>
  <c r="U471" i="1"/>
  <c r="U472" i="1"/>
  <c r="U473" i="1"/>
  <c r="U474" i="1"/>
  <c r="U476" i="1"/>
  <c r="N476" i="1"/>
  <c r="O476" i="1"/>
  <c r="M476" i="1"/>
  <c r="L471" i="1"/>
  <c r="L472" i="1"/>
  <c r="L473" i="1"/>
  <c r="L474" i="1"/>
  <c r="L476" i="1"/>
  <c r="M475" i="1"/>
  <c r="L475" i="1"/>
  <c r="BG474" i="1"/>
  <c r="M474" i="1"/>
  <c r="BG473" i="1"/>
  <c r="M473" i="1"/>
  <c r="BG472" i="1"/>
  <c r="M472" i="1"/>
  <c r="M471" i="1"/>
  <c r="BC468" i="1"/>
  <c r="AU468" i="1"/>
  <c r="AL468" i="1"/>
  <c r="AC468" i="1"/>
  <c r="T468" i="1"/>
  <c r="N468" i="1"/>
  <c r="B465" i="1"/>
  <c r="B468" i="1"/>
  <c r="K468" i="1"/>
  <c r="O468" i="1"/>
  <c r="K465" i="1"/>
  <c r="K466" i="1"/>
  <c r="K467" i="1"/>
  <c r="M468" i="1"/>
  <c r="L468" i="1"/>
  <c r="BC467" i="1"/>
  <c r="AU467" i="1"/>
  <c r="AL467" i="1"/>
  <c r="AC467" i="1"/>
  <c r="T467" i="1"/>
  <c r="M467" i="1"/>
  <c r="L467" i="1"/>
  <c r="BC466" i="1"/>
  <c r="AU466" i="1"/>
  <c r="AL466" i="1"/>
  <c r="AC466" i="1"/>
  <c r="T466" i="1"/>
  <c r="M466" i="1"/>
  <c r="L466" i="1"/>
  <c r="BC465" i="1"/>
  <c r="AU465" i="1"/>
  <c r="AL465" i="1"/>
  <c r="AC465" i="1"/>
  <c r="T465" i="1"/>
  <c r="N465" i="1"/>
  <c r="O465" i="1"/>
  <c r="M465" i="1"/>
  <c r="K460" i="1"/>
  <c r="L460" i="1"/>
  <c r="K461" i="1"/>
  <c r="L461" i="1"/>
  <c r="K462" i="1"/>
  <c r="L462" i="1"/>
  <c r="K463" i="1"/>
  <c r="L463" i="1"/>
  <c r="K464" i="1"/>
  <c r="L464" i="1"/>
  <c r="L465" i="1"/>
  <c r="BC464" i="1"/>
  <c r="AU464" i="1"/>
  <c r="AL464" i="1"/>
  <c r="AC464" i="1"/>
  <c r="T464" i="1"/>
  <c r="M464" i="1"/>
  <c r="BC463" i="1"/>
  <c r="AU463" i="1"/>
  <c r="AL463" i="1"/>
  <c r="AC463" i="1"/>
  <c r="T463" i="1"/>
  <c r="M463" i="1"/>
  <c r="BC462" i="1"/>
  <c r="AU462" i="1"/>
  <c r="AL462" i="1"/>
  <c r="AC462" i="1"/>
  <c r="T462" i="1"/>
  <c r="M462" i="1"/>
  <c r="BC461" i="1"/>
  <c r="AU461" i="1"/>
  <c r="AL461" i="1"/>
  <c r="AC461" i="1"/>
  <c r="T461" i="1"/>
  <c r="M461" i="1"/>
  <c r="BC460" i="1"/>
  <c r="AU460" i="1"/>
  <c r="AL460" i="1"/>
  <c r="AC460" i="1"/>
  <c r="T460" i="1"/>
  <c r="M460" i="1"/>
  <c r="BC459" i="1"/>
  <c r="AU459" i="1"/>
  <c r="AL459" i="1"/>
  <c r="AC459" i="1"/>
  <c r="T459" i="1"/>
  <c r="AX454" i="1"/>
  <c r="AX457" i="1"/>
  <c r="AY454" i="1"/>
  <c r="AY457" i="1"/>
  <c r="AZ454" i="1"/>
  <c r="AZ457" i="1"/>
  <c r="BA454" i="1"/>
  <c r="BA457" i="1"/>
  <c r="BB454" i="1"/>
  <c r="BB457" i="1"/>
  <c r="BC457" i="1"/>
  <c r="BC450" i="1"/>
  <c r="BC451" i="1"/>
  <c r="BC452" i="1"/>
  <c r="BC453" i="1"/>
  <c r="BC454" i="1"/>
  <c r="BC455" i="1"/>
  <c r="BC456" i="1"/>
  <c r="BD457" i="1"/>
  <c r="AO454" i="1"/>
  <c r="AO457" i="1"/>
  <c r="AP454" i="1"/>
  <c r="AP457" i="1"/>
  <c r="AQ454" i="1"/>
  <c r="AQ457" i="1"/>
  <c r="AR454" i="1"/>
  <c r="AR457" i="1"/>
  <c r="AS454" i="1"/>
  <c r="AS457" i="1"/>
  <c r="AT454" i="1"/>
  <c r="AT457" i="1"/>
  <c r="AU457" i="1"/>
  <c r="AU450" i="1"/>
  <c r="AU451" i="1"/>
  <c r="AU452" i="1"/>
  <c r="AU453" i="1"/>
  <c r="AU454" i="1"/>
  <c r="AU455" i="1"/>
  <c r="AU456" i="1"/>
  <c r="AV457" i="1"/>
  <c r="AF454" i="1"/>
  <c r="AF457" i="1"/>
  <c r="AG454" i="1"/>
  <c r="AG457" i="1"/>
  <c r="AH454" i="1"/>
  <c r="AH457" i="1"/>
  <c r="AI454" i="1"/>
  <c r="AI457" i="1"/>
  <c r="AJ454" i="1"/>
  <c r="AJ457" i="1"/>
  <c r="AK454" i="1"/>
  <c r="AK457" i="1"/>
  <c r="AL457" i="1"/>
  <c r="AL450" i="1"/>
  <c r="AL451" i="1"/>
  <c r="AL452" i="1"/>
  <c r="AL453" i="1"/>
  <c r="AL454" i="1"/>
  <c r="AL455" i="1"/>
  <c r="AL456" i="1"/>
  <c r="AM457" i="1"/>
  <c r="W454" i="1"/>
  <c r="W457" i="1"/>
  <c r="X454" i="1"/>
  <c r="X457" i="1"/>
  <c r="Y454" i="1"/>
  <c r="Y457" i="1"/>
  <c r="Z454" i="1"/>
  <c r="Z457" i="1"/>
  <c r="AA457" i="1"/>
  <c r="AB454" i="1"/>
  <c r="AB457" i="1"/>
  <c r="AC457" i="1"/>
  <c r="AC450" i="1"/>
  <c r="AC451" i="1"/>
  <c r="AC452" i="1"/>
  <c r="AC453" i="1"/>
  <c r="AC454" i="1"/>
  <c r="AC455" i="1"/>
  <c r="AC456" i="1"/>
  <c r="AD457" i="1"/>
  <c r="Q454" i="1"/>
  <c r="Q457" i="1"/>
  <c r="R454" i="1"/>
  <c r="R457" i="1"/>
  <c r="S454" i="1"/>
  <c r="S457" i="1"/>
  <c r="T457" i="1"/>
  <c r="T450" i="1"/>
  <c r="T451" i="1"/>
  <c r="T452" i="1"/>
  <c r="T453" i="1"/>
  <c r="T454" i="1"/>
  <c r="T455" i="1"/>
  <c r="T456" i="1"/>
  <c r="U457" i="1"/>
  <c r="N457" i="1"/>
  <c r="C454" i="1"/>
  <c r="C457" i="1"/>
  <c r="D454" i="1"/>
  <c r="D457" i="1"/>
  <c r="E454" i="1"/>
  <c r="E457" i="1"/>
  <c r="F454" i="1"/>
  <c r="F457" i="1"/>
  <c r="H454" i="1"/>
  <c r="H457" i="1"/>
  <c r="I454" i="1"/>
  <c r="I457" i="1"/>
  <c r="J454" i="1"/>
  <c r="J457" i="1"/>
  <c r="K457" i="1"/>
  <c r="O457" i="1"/>
  <c r="K454" i="1"/>
  <c r="K455" i="1"/>
  <c r="K456" i="1"/>
  <c r="M457" i="1"/>
  <c r="L457" i="1"/>
  <c r="BD456" i="1"/>
  <c r="AV456" i="1"/>
  <c r="AM456" i="1"/>
  <c r="AD456" i="1"/>
  <c r="U456" i="1"/>
  <c r="M456" i="1"/>
  <c r="L456" i="1"/>
  <c r="BD455" i="1"/>
  <c r="AV455" i="1"/>
  <c r="AM455" i="1"/>
  <c r="AD455" i="1"/>
  <c r="U455" i="1"/>
  <c r="M455" i="1"/>
  <c r="L455" i="1"/>
  <c r="BF454" i="1"/>
  <c r="BG450" i="1"/>
  <c r="BG454" i="1"/>
  <c r="BD450" i="1"/>
  <c r="BD451" i="1"/>
  <c r="BD452" i="1"/>
  <c r="BD453" i="1"/>
  <c r="BD454" i="1"/>
  <c r="AV450" i="1"/>
  <c r="AV451" i="1"/>
  <c r="AV452" i="1"/>
  <c r="AV453" i="1"/>
  <c r="AV454" i="1"/>
  <c r="AM450" i="1"/>
  <c r="AM451" i="1"/>
  <c r="AM452" i="1"/>
  <c r="AM453" i="1"/>
  <c r="AM454" i="1"/>
  <c r="AD450" i="1"/>
  <c r="AD451" i="1"/>
  <c r="AD452" i="1"/>
  <c r="AD453" i="1"/>
  <c r="AD454" i="1"/>
  <c r="U450" i="1"/>
  <c r="U451" i="1"/>
  <c r="U452" i="1"/>
  <c r="U453" i="1"/>
  <c r="U454" i="1"/>
  <c r="N454" i="1"/>
  <c r="O454" i="1"/>
  <c r="M454" i="1"/>
  <c r="K450" i="1"/>
  <c r="L450" i="1"/>
  <c r="K451" i="1"/>
  <c r="L451" i="1"/>
  <c r="K452" i="1"/>
  <c r="L452" i="1"/>
  <c r="K453" i="1"/>
  <c r="L453" i="1"/>
  <c r="L454" i="1"/>
  <c r="BG453" i="1"/>
  <c r="M453" i="1"/>
  <c r="BG452" i="1"/>
  <c r="M452" i="1"/>
  <c r="BG451" i="1"/>
  <c r="M451" i="1"/>
  <c r="M450" i="1"/>
  <c r="AX444" i="1"/>
  <c r="AX447" i="1"/>
  <c r="AY444" i="1"/>
  <c r="AY447" i="1"/>
  <c r="AZ444" i="1"/>
  <c r="AZ447" i="1"/>
  <c r="BA444" i="1"/>
  <c r="BA447" i="1"/>
  <c r="BB444" i="1"/>
  <c r="BB447" i="1"/>
  <c r="BC447" i="1"/>
  <c r="BC440" i="1"/>
  <c r="BC441" i="1"/>
  <c r="BC442" i="1"/>
  <c r="BC443" i="1"/>
  <c r="BC444" i="1"/>
  <c r="BC445" i="1"/>
  <c r="BC446" i="1"/>
  <c r="BD447" i="1"/>
  <c r="AO444" i="1"/>
  <c r="AO447" i="1"/>
  <c r="AP444" i="1"/>
  <c r="AP447" i="1"/>
  <c r="AQ444" i="1"/>
  <c r="AQ447" i="1"/>
  <c r="AR444" i="1"/>
  <c r="AR447" i="1"/>
  <c r="AS444" i="1"/>
  <c r="AS447" i="1"/>
  <c r="AT444" i="1"/>
  <c r="AT447" i="1"/>
  <c r="AU447" i="1"/>
  <c r="AU440" i="1"/>
  <c r="AU441" i="1"/>
  <c r="AU442" i="1"/>
  <c r="AU443" i="1"/>
  <c r="AU444" i="1"/>
  <c r="AU445" i="1"/>
  <c r="AU446" i="1"/>
  <c r="AV447" i="1"/>
  <c r="AF444" i="1"/>
  <c r="AF447" i="1"/>
  <c r="AG444" i="1"/>
  <c r="AG447" i="1"/>
  <c r="AH444" i="1"/>
  <c r="AH447" i="1"/>
  <c r="AI444" i="1"/>
  <c r="AI447" i="1"/>
  <c r="AJ444" i="1"/>
  <c r="AJ447" i="1"/>
  <c r="AK444" i="1"/>
  <c r="AK447" i="1"/>
  <c r="AL447" i="1"/>
  <c r="AL440" i="1"/>
  <c r="AL441" i="1"/>
  <c r="AL442" i="1"/>
  <c r="AL443" i="1"/>
  <c r="AL444" i="1"/>
  <c r="AL445" i="1"/>
  <c r="AL446" i="1"/>
  <c r="AM447" i="1"/>
  <c r="W444" i="1"/>
  <c r="W447" i="1"/>
  <c r="X444" i="1"/>
  <c r="X447" i="1"/>
  <c r="Y444" i="1"/>
  <c r="Y447" i="1"/>
  <c r="Z444" i="1"/>
  <c r="Z447" i="1"/>
  <c r="AA444" i="1"/>
  <c r="AA447" i="1"/>
  <c r="AB444" i="1"/>
  <c r="AB447" i="1"/>
  <c r="AC447" i="1"/>
  <c r="AC440" i="1"/>
  <c r="AC441" i="1"/>
  <c r="AC442" i="1"/>
  <c r="AC443" i="1"/>
  <c r="AC444" i="1"/>
  <c r="AC445" i="1"/>
  <c r="AC446" i="1"/>
  <c r="AD447" i="1"/>
  <c r="Q444" i="1"/>
  <c r="Q447" i="1"/>
  <c r="R444" i="1"/>
  <c r="R447" i="1"/>
  <c r="S444" i="1"/>
  <c r="S447" i="1"/>
  <c r="T447" i="1"/>
  <c r="T440" i="1"/>
  <c r="T441" i="1"/>
  <c r="T442" i="1"/>
  <c r="T443" i="1"/>
  <c r="T444" i="1"/>
  <c r="T445" i="1"/>
  <c r="T446" i="1"/>
  <c r="U447" i="1"/>
  <c r="N447" i="1"/>
  <c r="B444" i="1"/>
  <c r="B447" i="1"/>
  <c r="C444" i="1"/>
  <c r="C447" i="1"/>
  <c r="D444" i="1"/>
  <c r="D447" i="1"/>
  <c r="E444" i="1"/>
  <c r="E447" i="1"/>
  <c r="F444" i="1"/>
  <c r="F447" i="1"/>
  <c r="G444" i="1"/>
  <c r="G447" i="1"/>
  <c r="H444" i="1"/>
  <c r="H447" i="1"/>
  <c r="I444" i="1"/>
  <c r="I447" i="1"/>
  <c r="J444" i="1"/>
  <c r="J447" i="1"/>
  <c r="K447" i="1"/>
  <c r="O447" i="1"/>
  <c r="K440" i="1"/>
  <c r="K441" i="1"/>
  <c r="K442" i="1"/>
  <c r="K443" i="1"/>
  <c r="K444" i="1"/>
  <c r="K445" i="1"/>
  <c r="K446" i="1"/>
  <c r="M447" i="1"/>
  <c r="L447" i="1"/>
  <c r="BD446" i="1"/>
  <c r="AV446" i="1"/>
  <c r="AM446" i="1"/>
  <c r="AD446" i="1"/>
  <c r="U446" i="1"/>
  <c r="M446" i="1"/>
  <c r="L446" i="1"/>
  <c r="BD445" i="1"/>
  <c r="AV445" i="1"/>
  <c r="AM445" i="1"/>
  <c r="AD445" i="1"/>
  <c r="U445" i="1"/>
  <c r="M445" i="1"/>
  <c r="L445" i="1"/>
  <c r="BF444" i="1"/>
  <c r="BG440" i="1"/>
  <c r="BG444" i="1"/>
  <c r="BE444" i="1"/>
  <c r="BD440" i="1"/>
  <c r="BD441" i="1"/>
  <c r="BD442" i="1"/>
  <c r="BD443" i="1"/>
  <c r="BD444" i="1"/>
  <c r="AW444" i="1"/>
  <c r="AV440" i="1"/>
  <c r="AV441" i="1"/>
  <c r="AV442" i="1"/>
  <c r="AV443" i="1"/>
  <c r="AV444" i="1"/>
  <c r="AN444" i="1"/>
  <c r="AM440" i="1"/>
  <c r="AM441" i="1"/>
  <c r="AM442" i="1"/>
  <c r="AM443" i="1"/>
  <c r="AM444" i="1"/>
  <c r="AE444" i="1"/>
  <c r="AD440" i="1"/>
  <c r="AD441" i="1"/>
  <c r="AD442" i="1"/>
  <c r="AD443" i="1"/>
  <c r="AD444" i="1"/>
  <c r="V444" i="1"/>
  <c r="U440" i="1"/>
  <c r="U441" i="1"/>
  <c r="U442" i="1"/>
  <c r="U443" i="1"/>
  <c r="U444" i="1"/>
  <c r="P444" i="1"/>
  <c r="N444" i="1"/>
  <c r="O444" i="1"/>
  <c r="M444" i="1"/>
  <c r="L440" i="1"/>
  <c r="L441" i="1"/>
  <c r="L442" i="1"/>
  <c r="L443" i="1"/>
  <c r="L444" i="1"/>
  <c r="BG443" i="1"/>
  <c r="M443" i="1"/>
  <c r="BG442" i="1"/>
  <c r="M442" i="1"/>
  <c r="BG441" i="1"/>
  <c r="M441" i="1"/>
  <c r="M440" i="1"/>
  <c r="AX434" i="1"/>
  <c r="AX437" i="1"/>
  <c r="AY434" i="1"/>
  <c r="AY437" i="1"/>
  <c r="AZ434" i="1"/>
  <c r="AZ437" i="1"/>
  <c r="BA434" i="1"/>
  <c r="BA437" i="1"/>
  <c r="BB434" i="1"/>
  <c r="BB437" i="1"/>
  <c r="BC437" i="1"/>
  <c r="BC431" i="1"/>
  <c r="BC432" i="1"/>
  <c r="BC433" i="1"/>
  <c r="BC434" i="1"/>
  <c r="BC435" i="1"/>
  <c r="BC436" i="1"/>
  <c r="BD437" i="1"/>
  <c r="AO434" i="1"/>
  <c r="AO437" i="1"/>
  <c r="AP434" i="1"/>
  <c r="AP437" i="1"/>
  <c r="AQ434" i="1"/>
  <c r="AQ437" i="1"/>
  <c r="AR434" i="1"/>
  <c r="AR437" i="1"/>
  <c r="AS434" i="1"/>
  <c r="AS437" i="1"/>
  <c r="AT434" i="1"/>
  <c r="AT437" i="1"/>
  <c r="AU437" i="1"/>
  <c r="AU431" i="1"/>
  <c r="AU432" i="1"/>
  <c r="AU433" i="1"/>
  <c r="AU434" i="1"/>
  <c r="AU435" i="1"/>
  <c r="AU436" i="1"/>
  <c r="AV437" i="1"/>
  <c r="AF434" i="1"/>
  <c r="AF437" i="1"/>
  <c r="AG434" i="1"/>
  <c r="AG437" i="1"/>
  <c r="AH434" i="1"/>
  <c r="AH437" i="1"/>
  <c r="AI434" i="1"/>
  <c r="AI437" i="1"/>
  <c r="AJ434" i="1"/>
  <c r="AJ437" i="1"/>
  <c r="AK434" i="1"/>
  <c r="AK437" i="1"/>
  <c r="AL437" i="1"/>
  <c r="AL431" i="1"/>
  <c r="AL432" i="1"/>
  <c r="AL433" i="1"/>
  <c r="AL434" i="1"/>
  <c r="AL435" i="1"/>
  <c r="AL436" i="1"/>
  <c r="AM437" i="1"/>
  <c r="W434" i="1"/>
  <c r="W437" i="1"/>
  <c r="X434" i="1"/>
  <c r="X437" i="1"/>
  <c r="Y434" i="1"/>
  <c r="Y437" i="1"/>
  <c r="Z434" i="1"/>
  <c r="Z437" i="1"/>
  <c r="AA434" i="1"/>
  <c r="AA437" i="1"/>
  <c r="AB434" i="1"/>
  <c r="AB437" i="1"/>
  <c r="AC437" i="1"/>
  <c r="AC431" i="1"/>
  <c r="AC432" i="1"/>
  <c r="AC433" i="1"/>
  <c r="AC434" i="1"/>
  <c r="AC435" i="1"/>
  <c r="AC436" i="1"/>
  <c r="AD437" i="1"/>
  <c r="Q434" i="1"/>
  <c r="Q437" i="1"/>
  <c r="R434" i="1"/>
  <c r="R437" i="1"/>
  <c r="S434" i="1"/>
  <c r="S437" i="1"/>
  <c r="T437" i="1"/>
  <c r="T426" i="1"/>
  <c r="T427" i="1"/>
  <c r="Q425" i="1"/>
  <c r="Q428" i="1"/>
  <c r="R425" i="1"/>
  <c r="R428" i="1"/>
  <c r="S425" i="1"/>
  <c r="S428" i="1"/>
  <c r="T428" i="1"/>
  <c r="T431" i="1"/>
  <c r="T432" i="1"/>
  <c r="T433" i="1"/>
  <c r="T434" i="1"/>
  <c r="T435" i="1"/>
  <c r="T436" i="1"/>
  <c r="U437" i="1"/>
  <c r="N437" i="1"/>
  <c r="B434" i="1"/>
  <c r="B437" i="1"/>
  <c r="C434" i="1"/>
  <c r="C437" i="1"/>
  <c r="D434" i="1"/>
  <c r="D437" i="1"/>
  <c r="E434" i="1"/>
  <c r="E437" i="1"/>
  <c r="F434" i="1"/>
  <c r="F437" i="1"/>
  <c r="G434" i="1"/>
  <c r="G437" i="1"/>
  <c r="H434" i="1"/>
  <c r="H437" i="1"/>
  <c r="I434" i="1"/>
  <c r="I437" i="1"/>
  <c r="J434" i="1"/>
  <c r="J437" i="1"/>
  <c r="K437" i="1"/>
  <c r="O437" i="1"/>
  <c r="K434" i="1"/>
  <c r="K435" i="1"/>
  <c r="K436" i="1"/>
  <c r="M437" i="1"/>
  <c r="L437" i="1"/>
  <c r="BD436" i="1"/>
  <c r="AV436" i="1"/>
  <c r="AM436" i="1"/>
  <c r="AD436" i="1"/>
  <c r="U436" i="1"/>
  <c r="M436" i="1"/>
  <c r="L436" i="1"/>
  <c r="BD435" i="1"/>
  <c r="AV435" i="1"/>
  <c r="AM435" i="1"/>
  <c r="AD435" i="1"/>
  <c r="U435" i="1"/>
  <c r="M435" i="1"/>
  <c r="L435" i="1"/>
  <c r="N434" i="1"/>
  <c r="O434" i="1"/>
  <c r="M434" i="1"/>
  <c r="K431" i="1"/>
  <c r="L431" i="1"/>
  <c r="K432" i="1"/>
  <c r="L432" i="1"/>
  <c r="K433" i="1"/>
  <c r="L433" i="1"/>
  <c r="L434" i="1"/>
  <c r="M433" i="1"/>
  <c r="M432" i="1"/>
  <c r="M431" i="1"/>
  <c r="AX425" i="1"/>
  <c r="AX428" i="1"/>
  <c r="AY425" i="1"/>
  <c r="AY428" i="1"/>
  <c r="BA425" i="1"/>
  <c r="BA428" i="1"/>
  <c r="BB425" i="1"/>
  <c r="BB428" i="1"/>
  <c r="BC428" i="1"/>
  <c r="BC421" i="1"/>
  <c r="BC422" i="1"/>
  <c r="BC423" i="1"/>
  <c r="BC424" i="1"/>
  <c r="BC425" i="1"/>
  <c r="BC426" i="1"/>
  <c r="BC427" i="1"/>
  <c r="BD428" i="1"/>
  <c r="AO425" i="1"/>
  <c r="AO428" i="1"/>
  <c r="AP425" i="1"/>
  <c r="AP428" i="1"/>
  <c r="AQ425" i="1"/>
  <c r="AQ428" i="1"/>
  <c r="AR425" i="1"/>
  <c r="AR428" i="1"/>
  <c r="AT425" i="1"/>
  <c r="AT428" i="1"/>
  <c r="AU428" i="1"/>
  <c r="AU421" i="1"/>
  <c r="AU422" i="1"/>
  <c r="AU423" i="1"/>
  <c r="AU424" i="1"/>
  <c r="AU425" i="1"/>
  <c r="AU426" i="1"/>
  <c r="AU427" i="1"/>
  <c r="AV428" i="1"/>
  <c r="AF425" i="1"/>
  <c r="AF428" i="1"/>
  <c r="AG425" i="1"/>
  <c r="AG428" i="1"/>
  <c r="AI425" i="1"/>
  <c r="AI428" i="1"/>
  <c r="AJ425" i="1"/>
  <c r="AJ428" i="1"/>
  <c r="AK425" i="1"/>
  <c r="AK428" i="1"/>
  <c r="AL428" i="1"/>
  <c r="AL421" i="1"/>
  <c r="AL422" i="1"/>
  <c r="AL423" i="1"/>
  <c r="AL424" i="1"/>
  <c r="AL425" i="1"/>
  <c r="AL426" i="1"/>
  <c r="AL427" i="1"/>
  <c r="AM428" i="1"/>
  <c r="W425" i="1"/>
  <c r="W428" i="1"/>
  <c r="X425" i="1"/>
  <c r="X428" i="1"/>
  <c r="Y425" i="1"/>
  <c r="Y428" i="1"/>
  <c r="AA425" i="1"/>
  <c r="AA428" i="1"/>
  <c r="AB425" i="1"/>
  <c r="AB428" i="1"/>
  <c r="AC428" i="1"/>
  <c r="AC421" i="1"/>
  <c r="AC422" i="1"/>
  <c r="AC423" i="1"/>
  <c r="AC424" i="1"/>
  <c r="AC425" i="1"/>
  <c r="AC426" i="1"/>
  <c r="AC427" i="1"/>
  <c r="AD428" i="1"/>
  <c r="T421" i="1"/>
  <c r="T422" i="1"/>
  <c r="T423" i="1"/>
  <c r="T424" i="1"/>
  <c r="T425" i="1"/>
  <c r="U428" i="1"/>
  <c r="N428" i="1"/>
  <c r="C425" i="1"/>
  <c r="C428" i="1"/>
  <c r="D425" i="1"/>
  <c r="D428" i="1"/>
  <c r="E425" i="1"/>
  <c r="E428" i="1"/>
  <c r="F425" i="1"/>
  <c r="F428" i="1"/>
  <c r="H425" i="1"/>
  <c r="H428" i="1"/>
  <c r="I425" i="1"/>
  <c r="I428" i="1"/>
  <c r="J425" i="1"/>
  <c r="J428" i="1"/>
  <c r="K428" i="1"/>
  <c r="O428" i="1"/>
  <c r="K421" i="1"/>
  <c r="K422" i="1"/>
  <c r="K423" i="1"/>
  <c r="K424" i="1"/>
  <c r="K425" i="1"/>
  <c r="K426" i="1"/>
  <c r="K427" i="1"/>
  <c r="M428" i="1"/>
  <c r="L428" i="1"/>
  <c r="BD427" i="1"/>
  <c r="AV427" i="1"/>
  <c r="AM427" i="1"/>
  <c r="AD427" i="1"/>
  <c r="U427" i="1"/>
  <c r="M427" i="1"/>
  <c r="L427" i="1"/>
  <c r="BD426" i="1"/>
  <c r="AV426" i="1"/>
  <c r="AM426" i="1"/>
  <c r="AD426" i="1"/>
  <c r="U426" i="1"/>
  <c r="M426" i="1"/>
  <c r="L426" i="1"/>
  <c r="BF425" i="1"/>
  <c r="BG421" i="1"/>
  <c r="BG425" i="1"/>
  <c r="BE425" i="1"/>
  <c r="BD421" i="1"/>
  <c r="BD422" i="1"/>
  <c r="BD423" i="1"/>
  <c r="BD424" i="1"/>
  <c r="BD425" i="1"/>
  <c r="AW425" i="1"/>
  <c r="AV421" i="1"/>
  <c r="AV422" i="1"/>
  <c r="AV423" i="1"/>
  <c r="AV424" i="1"/>
  <c r="AV425" i="1"/>
  <c r="AN425" i="1"/>
  <c r="AM421" i="1"/>
  <c r="AM422" i="1"/>
  <c r="AM423" i="1"/>
  <c r="AM424" i="1"/>
  <c r="AM425" i="1"/>
  <c r="AE425" i="1"/>
  <c r="AD421" i="1"/>
  <c r="AD422" i="1"/>
  <c r="AD423" i="1"/>
  <c r="AD424" i="1"/>
  <c r="AD425" i="1"/>
  <c r="V425" i="1"/>
  <c r="U421" i="1"/>
  <c r="U422" i="1"/>
  <c r="U423" i="1"/>
  <c r="U424" i="1"/>
  <c r="U425" i="1"/>
  <c r="P425" i="1"/>
  <c r="N425" i="1"/>
  <c r="O425" i="1"/>
  <c r="M425" i="1"/>
  <c r="L421" i="1"/>
  <c r="L422" i="1"/>
  <c r="L423" i="1"/>
  <c r="L424" i="1"/>
  <c r="L425" i="1"/>
  <c r="BG424" i="1"/>
  <c r="M424" i="1"/>
  <c r="BG423" i="1"/>
  <c r="M423" i="1"/>
  <c r="BG422" i="1"/>
  <c r="M422" i="1"/>
  <c r="M421" i="1"/>
  <c r="AX415" i="1"/>
  <c r="AX418" i="1"/>
  <c r="AY415" i="1"/>
  <c r="AY418" i="1"/>
  <c r="AZ415" i="1"/>
  <c r="AZ418" i="1"/>
  <c r="BA415" i="1"/>
  <c r="BA418" i="1"/>
  <c r="BB415" i="1"/>
  <c r="BB418" i="1"/>
  <c r="BC418" i="1"/>
  <c r="BC409" i="1"/>
  <c r="BC410" i="1"/>
  <c r="BC411" i="1"/>
  <c r="BC412" i="1"/>
  <c r="BC413" i="1"/>
  <c r="BC414" i="1"/>
  <c r="BC415" i="1"/>
  <c r="BC416" i="1"/>
  <c r="BC417" i="1"/>
  <c r="BD418" i="1"/>
  <c r="AO415" i="1"/>
  <c r="AO418" i="1"/>
  <c r="AP415" i="1"/>
  <c r="AP418" i="1"/>
  <c r="AQ415" i="1"/>
  <c r="AQ418" i="1"/>
  <c r="AR415" i="1"/>
  <c r="AR418" i="1"/>
  <c r="AS415" i="1"/>
  <c r="AS418" i="1"/>
  <c r="AT415" i="1"/>
  <c r="AT418" i="1"/>
  <c r="AU418" i="1"/>
  <c r="AU409" i="1"/>
  <c r="AU410" i="1"/>
  <c r="AU411" i="1"/>
  <c r="AU412" i="1"/>
  <c r="AU413" i="1"/>
  <c r="AU414" i="1"/>
  <c r="AU415" i="1"/>
  <c r="AU416" i="1"/>
  <c r="AU417" i="1"/>
  <c r="AV418" i="1"/>
  <c r="AF415" i="1"/>
  <c r="AF418" i="1"/>
  <c r="AG415" i="1"/>
  <c r="AG418" i="1"/>
  <c r="AH415" i="1"/>
  <c r="AH418" i="1"/>
  <c r="AI415" i="1"/>
  <c r="AI418" i="1"/>
  <c r="AJ415" i="1"/>
  <c r="AJ418" i="1"/>
  <c r="AK415" i="1"/>
  <c r="AK418" i="1"/>
  <c r="AL418" i="1"/>
  <c r="AL409" i="1"/>
  <c r="AL410" i="1"/>
  <c r="AL411" i="1"/>
  <c r="AL412" i="1"/>
  <c r="AL413" i="1"/>
  <c r="AL414" i="1"/>
  <c r="AL415" i="1"/>
  <c r="AL416" i="1"/>
  <c r="AL417" i="1"/>
  <c r="AM418" i="1"/>
  <c r="W415" i="1"/>
  <c r="W418" i="1"/>
  <c r="X415" i="1"/>
  <c r="X418" i="1"/>
  <c r="Y415" i="1"/>
  <c r="Y418" i="1"/>
  <c r="Z415" i="1"/>
  <c r="Z418" i="1"/>
  <c r="AA415" i="1"/>
  <c r="AA418" i="1"/>
  <c r="AB415" i="1"/>
  <c r="AB418" i="1"/>
  <c r="AC418" i="1"/>
  <c r="AC409" i="1"/>
  <c r="AC410" i="1"/>
  <c r="AC411" i="1"/>
  <c r="AC412" i="1"/>
  <c r="AC413" i="1"/>
  <c r="AC414" i="1"/>
  <c r="AC415" i="1"/>
  <c r="AC416" i="1"/>
  <c r="AC417" i="1"/>
  <c r="AD418" i="1"/>
  <c r="Q415" i="1"/>
  <c r="Q418" i="1"/>
  <c r="R415" i="1"/>
  <c r="R418" i="1"/>
  <c r="S415" i="1"/>
  <c r="S418" i="1"/>
  <c r="T418" i="1"/>
  <c r="T409" i="1"/>
  <c r="T410" i="1"/>
  <c r="T411" i="1"/>
  <c r="T412" i="1"/>
  <c r="T413" i="1"/>
  <c r="T414" i="1"/>
  <c r="T415" i="1"/>
  <c r="T416" i="1"/>
  <c r="T417" i="1"/>
  <c r="U418" i="1"/>
  <c r="N418" i="1"/>
  <c r="C415" i="1"/>
  <c r="C418" i="1"/>
  <c r="D415" i="1"/>
  <c r="D418" i="1"/>
  <c r="E415" i="1"/>
  <c r="E418" i="1"/>
  <c r="F415" i="1"/>
  <c r="F418" i="1"/>
  <c r="G415" i="1"/>
  <c r="G418" i="1"/>
  <c r="H415" i="1"/>
  <c r="H418" i="1"/>
  <c r="I415" i="1"/>
  <c r="I418" i="1"/>
  <c r="J415" i="1"/>
  <c r="J418" i="1"/>
  <c r="K418" i="1"/>
  <c r="O418" i="1"/>
  <c r="K409" i="1"/>
  <c r="K410" i="1"/>
  <c r="K411" i="1"/>
  <c r="K412" i="1"/>
  <c r="K413" i="1"/>
  <c r="K414" i="1"/>
  <c r="K415" i="1"/>
  <c r="K416" i="1"/>
  <c r="K417" i="1"/>
  <c r="M418" i="1"/>
  <c r="L418" i="1"/>
  <c r="BD417" i="1"/>
  <c r="AV417" i="1"/>
  <c r="AM417" i="1"/>
  <c r="AD417" i="1"/>
  <c r="U417" i="1"/>
  <c r="M417" i="1"/>
  <c r="L417" i="1"/>
  <c r="BD416" i="1"/>
  <c r="AV416" i="1"/>
  <c r="AM416" i="1"/>
  <c r="AD416" i="1"/>
  <c r="U416" i="1"/>
  <c r="M416" i="1"/>
  <c r="L416" i="1"/>
  <c r="BF415" i="1"/>
  <c r="BG415" i="1"/>
  <c r="BE415" i="1"/>
  <c r="BD409" i="1"/>
  <c r="BD410" i="1"/>
  <c r="BD411" i="1"/>
  <c r="BD412" i="1"/>
  <c r="BD413" i="1"/>
  <c r="BD414" i="1"/>
  <c r="BD415" i="1"/>
  <c r="AW415" i="1"/>
  <c r="AV409" i="1"/>
  <c r="AV410" i="1"/>
  <c r="AV411" i="1"/>
  <c r="AV412" i="1"/>
  <c r="AV413" i="1"/>
  <c r="AV414" i="1"/>
  <c r="AV415" i="1"/>
  <c r="AN415" i="1"/>
  <c r="AM409" i="1"/>
  <c r="AM410" i="1"/>
  <c r="AM411" i="1"/>
  <c r="AM412" i="1"/>
  <c r="AM413" i="1"/>
  <c r="AM414" i="1"/>
  <c r="AM415" i="1"/>
  <c r="AE415" i="1"/>
  <c r="AD409" i="1"/>
  <c r="AD410" i="1"/>
  <c r="AD411" i="1"/>
  <c r="AD412" i="1"/>
  <c r="AD413" i="1"/>
  <c r="AD414" i="1"/>
  <c r="AD415" i="1"/>
  <c r="V415" i="1"/>
  <c r="U409" i="1"/>
  <c r="U410" i="1"/>
  <c r="U411" i="1"/>
  <c r="U412" i="1"/>
  <c r="U413" i="1"/>
  <c r="U414" i="1"/>
  <c r="U415" i="1"/>
  <c r="P415" i="1"/>
  <c r="N415" i="1"/>
  <c r="O415" i="1"/>
  <c r="M415" i="1"/>
  <c r="L409" i="1"/>
  <c r="L410" i="1"/>
  <c r="L411" i="1"/>
  <c r="L412" i="1"/>
  <c r="L413" i="1"/>
  <c r="L414" i="1"/>
  <c r="L415" i="1"/>
  <c r="BG414" i="1"/>
  <c r="M414" i="1"/>
  <c r="BG413" i="1"/>
  <c r="M413" i="1"/>
  <c r="BG412" i="1"/>
  <c r="M412" i="1"/>
  <c r="BG411" i="1"/>
  <c r="M411" i="1"/>
  <c r="BG410" i="1"/>
  <c r="M410" i="1"/>
  <c r="BG409" i="1"/>
  <c r="M409" i="1"/>
  <c r="AX403" i="1"/>
  <c r="AX406" i="1"/>
  <c r="AY403" i="1"/>
  <c r="AY406" i="1"/>
  <c r="BA403" i="1"/>
  <c r="BA406" i="1"/>
  <c r="BB403" i="1"/>
  <c r="BB406" i="1"/>
  <c r="BC406" i="1"/>
  <c r="BC397" i="1"/>
  <c r="BC398" i="1"/>
  <c r="BC399" i="1"/>
  <c r="BC400" i="1"/>
  <c r="BC401" i="1"/>
  <c r="BC402" i="1"/>
  <c r="BC403" i="1"/>
  <c r="BC404" i="1"/>
  <c r="BC405" i="1"/>
  <c r="BD406" i="1"/>
  <c r="AO403" i="1"/>
  <c r="AO406" i="1"/>
  <c r="AP403" i="1"/>
  <c r="AP406" i="1"/>
  <c r="AQ403" i="1"/>
  <c r="AQ406" i="1"/>
  <c r="AR403" i="1"/>
  <c r="AR406" i="1"/>
  <c r="AT403" i="1"/>
  <c r="AT406" i="1"/>
  <c r="AU406" i="1"/>
  <c r="AU397" i="1"/>
  <c r="AU398" i="1"/>
  <c r="AU399" i="1"/>
  <c r="AU400" i="1"/>
  <c r="AU401" i="1"/>
  <c r="AU402" i="1"/>
  <c r="AU403" i="1"/>
  <c r="AU404" i="1"/>
  <c r="AU405" i="1"/>
  <c r="AV406" i="1"/>
  <c r="AF403" i="1"/>
  <c r="AF406" i="1"/>
  <c r="AG403" i="1"/>
  <c r="AG406" i="1"/>
  <c r="AI403" i="1"/>
  <c r="AI406" i="1"/>
  <c r="AJ403" i="1"/>
  <c r="AJ406" i="1"/>
  <c r="AK403" i="1"/>
  <c r="AK406" i="1"/>
  <c r="AL406" i="1"/>
  <c r="AL397" i="1"/>
  <c r="AL398" i="1"/>
  <c r="AL399" i="1"/>
  <c r="AL400" i="1"/>
  <c r="AL401" i="1"/>
  <c r="AL402" i="1"/>
  <c r="AL403" i="1"/>
  <c r="AL404" i="1"/>
  <c r="AL405" i="1"/>
  <c r="AM406" i="1"/>
  <c r="W403" i="1"/>
  <c r="W406" i="1"/>
  <c r="X403" i="1"/>
  <c r="X406" i="1"/>
  <c r="Y403" i="1"/>
  <c r="Y406" i="1"/>
  <c r="AA403" i="1"/>
  <c r="AA406" i="1"/>
  <c r="AB403" i="1"/>
  <c r="AB406" i="1"/>
  <c r="AC406" i="1"/>
  <c r="AC397" i="1"/>
  <c r="AC398" i="1"/>
  <c r="AC399" i="1"/>
  <c r="AC400" i="1"/>
  <c r="AC401" i="1"/>
  <c r="AC402" i="1"/>
  <c r="AC403" i="1"/>
  <c r="AC404" i="1"/>
  <c r="AC405" i="1"/>
  <c r="AD406" i="1"/>
  <c r="Q403" i="1"/>
  <c r="Q406" i="1"/>
  <c r="R403" i="1"/>
  <c r="R406" i="1"/>
  <c r="S403" i="1"/>
  <c r="S406" i="1"/>
  <c r="T406" i="1"/>
  <c r="T397" i="1"/>
  <c r="T398" i="1"/>
  <c r="T399" i="1"/>
  <c r="T400" i="1"/>
  <c r="T401" i="1"/>
  <c r="T402" i="1"/>
  <c r="T403" i="1"/>
  <c r="T404" i="1"/>
  <c r="T405" i="1"/>
  <c r="U406" i="1"/>
  <c r="N406" i="1"/>
  <c r="C403" i="1"/>
  <c r="C406" i="1"/>
  <c r="D403" i="1"/>
  <c r="D406" i="1"/>
  <c r="E403" i="1"/>
  <c r="E406" i="1"/>
  <c r="F403" i="1"/>
  <c r="F406" i="1"/>
  <c r="H403" i="1"/>
  <c r="H406" i="1"/>
  <c r="I403" i="1"/>
  <c r="I406" i="1"/>
  <c r="J403" i="1"/>
  <c r="J406" i="1"/>
  <c r="K406" i="1"/>
  <c r="O406" i="1"/>
  <c r="K397" i="1"/>
  <c r="K398" i="1"/>
  <c r="K399" i="1"/>
  <c r="K400" i="1"/>
  <c r="K401" i="1"/>
  <c r="K402" i="1"/>
  <c r="K403" i="1"/>
  <c r="K404" i="1"/>
  <c r="K405" i="1"/>
  <c r="M406" i="1"/>
  <c r="L406" i="1"/>
  <c r="BD405" i="1"/>
  <c r="AV405" i="1"/>
  <c r="AM405" i="1"/>
  <c r="AD405" i="1"/>
  <c r="U405" i="1"/>
  <c r="M405" i="1"/>
  <c r="L405" i="1"/>
  <c r="BD404" i="1"/>
  <c r="AV404" i="1"/>
  <c r="AM404" i="1"/>
  <c r="AD404" i="1"/>
  <c r="U404" i="1"/>
  <c r="M404" i="1"/>
  <c r="L404" i="1"/>
  <c r="BF403" i="1"/>
  <c r="BG403" i="1"/>
  <c r="BE403" i="1"/>
  <c r="BD397" i="1"/>
  <c r="BD398" i="1"/>
  <c r="BD399" i="1"/>
  <c r="BD400" i="1"/>
  <c r="BD401" i="1"/>
  <c r="BD402" i="1"/>
  <c r="BD403" i="1"/>
  <c r="AW403" i="1"/>
  <c r="AV397" i="1"/>
  <c r="AV398" i="1"/>
  <c r="AV399" i="1"/>
  <c r="AV400" i="1"/>
  <c r="AV401" i="1"/>
  <c r="AV402" i="1"/>
  <c r="AV403" i="1"/>
  <c r="AN403" i="1"/>
  <c r="AM397" i="1"/>
  <c r="AM398" i="1"/>
  <c r="AM399" i="1"/>
  <c r="AM400" i="1"/>
  <c r="AM401" i="1"/>
  <c r="AM402" i="1"/>
  <c r="AM403" i="1"/>
  <c r="AE403" i="1"/>
  <c r="AD397" i="1"/>
  <c r="AD398" i="1"/>
  <c r="AD399" i="1"/>
  <c r="AD400" i="1"/>
  <c r="AD401" i="1"/>
  <c r="AD402" i="1"/>
  <c r="AD403" i="1"/>
  <c r="V403" i="1"/>
  <c r="U397" i="1"/>
  <c r="U398" i="1"/>
  <c r="U399" i="1"/>
  <c r="U400" i="1"/>
  <c r="U401" i="1"/>
  <c r="U402" i="1"/>
  <c r="U403" i="1"/>
  <c r="P403" i="1"/>
  <c r="N403" i="1"/>
  <c r="O403" i="1"/>
  <c r="M403" i="1"/>
  <c r="L397" i="1"/>
  <c r="L398" i="1"/>
  <c r="L399" i="1"/>
  <c r="L400" i="1"/>
  <c r="L401" i="1"/>
  <c r="L402" i="1"/>
  <c r="L403" i="1"/>
  <c r="BG402" i="1"/>
  <c r="M402" i="1"/>
  <c r="BG401" i="1"/>
  <c r="M401" i="1"/>
  <c r="BG400" i="1"/>
  <c r="M400" i="1"/>
  <c r="BG399" i="1"/>
  <c r="M399" i="1"/>
  <c r="BG398" i="1"/>
  <c r="M398" i="1"/>
  <c r="BG397" i="1"/>
  <c r="M397" i="1"/>
  <c r="AX391" i="1"/>
  <c r="AX394" i="1"/>
  <c r="AY391" i="1"/>
  <c r="AY394" i="1"/>
  <c r="AZ391" i="1"/>
  <c r="AZ394" i="1"/>
  <c r="BA391" i="1"/>
  <c r="BA394" i="1"/>
  <c r="BB391" i="1"/>
  <c r="BB394" i="1"/>
  <c r="BC394" i="1"/>
  <c r="BC388" i="1"/>
  <c r="BC389" i="1"/>
  <c r="BC390" i="1"/>
  <c r="BC391" i="1"/>
  <c r="BC392" i="1"/>
  <c r="BC393" i="1"/>
  <c r="BD394" i="1"/>
  <c r="AO391" i="1"/>
  <c r="AO394" i="1"/>
  <c r="AP391" i="1"/>
  <c r="AP394" i="1"/>
  <c r="AQ391" i="1"/>
  <c r="AQ394" i="1"/>
  <c r="AR391" i="1"/>
  <c r="AR394" i="1"/>
  <c r="AS391" i="1"/>
  <c r="AS394" i="1"/>
  <c r="AT391" i="1"/>
  <c r="AT394" i="1"/>
  <c r="AU394" i="1"/>
  <c r="AU388" i="1"/>
  <c r="AU389" i="1"/>
  <c r="AU390" i="1"/>
  <c r="AU391" i="1"/>
  <c r="AU392" i="1"/>
  <c r="AU393" i="1"/>
  <c r="AV394" i="1"/>
  <c r="AF391" i="1"/>
  <c r="AF394" i="1"/>
  <c r="AG391" i="1"/>
  <c r="AG394" i="1"/>
  <c r="AH391" i="1"/>
  <c r="AH394" i="1"/>
  <c r="AI391" i="1"/>
  <c r="AI394" i="1"/>
  <c r="AJ391" i="1"/>
  <c r="AJ394" i="1"/>
  <c r="AK391" i="1"/>
  <c r="AK394" i="1"/>
  <c r="AL394" i="1"/>
  <c r="AL388" i="1"/>
  <c r="AL389" i="1"/>
  <c r="AL390" i="1"/>
  <c r="AL391" i="1"/>
  <c r="AL392" i="1"/>
  <c r="AL393" i="1"/>
  <c r="AM394" i="1"/>
  <c r="W391" i="1"/>
  <c r="W394" i="1"/>
  <c r="X391" i="1"/>
  <c r="X394" i="1"/>
  <c r="Y391" i="1"/>
  <c r="Y394" i="1"/>
  <c r="Z391" i="1"/>
  <c r="Z394" i="1"/>
  <c r="AA391" i="1"/>
  <c r="AA394" i="1"/>
  <c r="AB391" i="1"/>
  <c r="AB394" i="1"/>
  <c r="AC394" i="1"/>
  <c r="AC388" i="1"/>
  <c r="AC389" i="1"/>
  <c r="AC390" i="1"/>
  <c r="AC391" i="1"/>
  <c r="AC392" i="1"/>
  <c r="AC393" i="1"/>
  <c r="AD394" i="1"/>
  <c r="Q391" i="1"/>
  <c r="Q394" i="1"/>
  <c r="R391" i="1"/>
  <c r="R394" i="1"/>
  <c r="S391" i="1"/>
  <c r="S394" i="1"/>
  <c r="T394" i="1"/>
  <c r="T388" i="1"/>
  <c r="T389" i="1"/>
  <c r="T390" i="1"/>
  <c r="T391" i="1"/>
  <c r="T392" i="1"/>
  <c r="T393" i="1"/>
  <c r="U394" i="1"/>
  <c r="N394" i="1"/>
  <c r="B391" i="1"/>
  <c r="B394" i="1"/>
  <c r="K394" i="1"/>
  <c r="O394" i="1"/>
  <c r="K391" i="1"/>
  <c r="K392" i="1"/>
  <c r="K393" i="1"/>
  <c r="M394" i="1"/>
  <c r="L394" i="1"/>
  <c r="BD393" i="1"/>
  <c r="AV393" i="1"/>
  <c r="AM393" i="1"/>
  <c r="AD393" i="1"/>
  <c r="U393" i="1"/>
  <c r="M393" i="1"/>
  <c r="L393" i="1"/>
  <c r="BD392" i="1"/>
  <c r="AV392" i="1"/>
  <c r="AM392" i="1"/>
  <c r="AD392" i="1"/>
  <c r="U392" i="1"/>
  <c r="M392" i="1"/>
  <c r="L392" i="1"/>
  <c r="BD388" i="1"/>
  <c r="BD389" i="1"/>
  <c r="BD390" i="1"/>
  <c r="BD391" i="1"/>
  <c r="AV388" i="1"/>
  <c r="AV389" i="1"/>
  <c r="AV390" i="1"/>
  <c r="AV391" i="1"/>
  <c r="AM388" i="1"/>
  <c r="AM389" i="1"/>
  <c r="AM390" i="1"/>
  <c r="AM391" i="1"/>
  <c r="N391" i="1"/>
  <c r="O391" i="1"/>
  <c r="M391" i="1"/>
  <c r="K388" i="1"/>
  <c r="L388" i="1"/>
  <c r="K389" i="1"/>
  <c r="L389" i="1"/>
  <c r="K390" i="1"/>
  <c r="L390" i="1"/>
  <c r="L391" i="1"/>
  <c r="M390" i="1"/>
  <c r="M389" i="1"/>
  <c r="M388" i="1"/>
  <c r="AX382" i="1"/>
  <c r="AX385" i="1"/>
  <c r="AY382" i="1"/>
  <c r="AY385" i="1"/>
  <c r="BA382" i="1"/>
  <c r="BA385" i="1"/>
  <c r="BB382" i="1"/>
  <c r="BB385" i="1"/>
  <c r="BC385" i="1"/>
  <c r="BC378" i="1"/>
  <c r="BC379" i="1"/>
  <c r="BC380" i="1"/>
  <c r="BC381" i="1"/>
  <c r="BC382" i="1"/>
  <c r="BC383" i="1"/>
  <c r="BC384" i="1"/>
  <c r="BD385" i="1"/>
  <c r="AO382" i="1"/>
  <c r="AO385" i="1"/>
  <c r="AP382" i="1"/>
  <c r="AP385" i="1"/>
  <c r="AQ382" i="1"/>
  <c r="AQ385" i="1"/>
  <c r="AR382" i="1"/>
  <c r="AR385" i="1"/>
  <c r="AT382" i="1"/>
  <c r="AT385" i="1"/>
  <c r="AU385" i="1"/>
  <c r="AU378" i="1"/>
  <c r="AU379" i="1"/>
  <c r="AU380" i="1"/>
  <c r="AU381" i="1"/>
  <c r="AU382" i="1"/>
  <c r="AU383" i="1"/>
  <c r="AU384" i="1"/>
  <c r="AV385" i="1"/>
  <c r="AF382" i="1"/>
  <c r="AF385" i="1"/>
  <c r="AG382" i="1"/>
  <c r="AG385" i="1"/>
  <c r="AI382" i="1"/>
  <c r="AI385" i="1"/>
  <c r="AJ382" i="1"/>
  <c r="AJ385" i="1"/>
  <c r="AK382" i="1"/>
  <c r="AK385" i="1"/>
  <c r="AL385" i="1"/>
  <c r="AL378" i="1"/>
  <c r="AL379" i="1"/>
  <c r="AL380" i="1"/>
  <c r="AL381" i="1"/>
  <c r="AL382" i="1"/>
  <c r="AL383" i="1"/>
  <c r="AL384" i="1"/>
  <c r="AM385" i="1"/>
  <c r="W382" i="1"/>
  <c r="W385" i="1"/>
  <c r="X382" i="1"/>
  <c r="X385" i="1"/>
  <c r="Y382" i="1"/>
  <c r="Y385" i="1"/>
  <c r="AA382" i="1"/>
  <c r="AA385" i="1"/>
  <c r="AB382" i="1"/>
  <c r="AB385" i="1"/>
  <c r="AC385" i="1"/>
  <c r="AC378" i="1"/>
  <c r="AC379" i="1"/>
  <c r="AC380" i="1"/>
  <c r="AC381" i="1"/>
  <c r="AC382" i="1"/>
  <c r="AC383" i="1"/>
  <c r="AC384" i="1"/>
  <c r="AD385" i="1"/>
  <c r="Q382" i="1"/>
  <c r="Q385" i="1"/>
  <c r="R382" i="1"/>
  <c r="R385" i="1"/>
  <c r="S382" i="1"/>
  <c r="S385" i="1"/>
  <c r="T385" i="1"/>
  <c r="T378" i="1"/>
  <c r="T379" i="1"/>
  <c r="T380" i="1"/>
  <c r="T381" i="1"/>
  <c r="T382" i="1"/>
  <c r="T383" i="1"/>
  <c r="T384" i="1"/>
  <c r="U385" i="1"/>
  <c r="N385" i="1"/>
  <c r="C382" i="1"/>
  <c r="C385" i="1"/>
  <c r="D382" i="1"/>
  <c r="D385" i="1"/>
  <c r="E382" i="1"/>
  <c r="E385" i="1"/>
  <c r="F382" i="1"/>
  <c r="F385" i="1"/>
  <c r="H382" i="1"/>
  <c r="H385" i="1"/>
  <c r="I382" i="1"/>
  <c r="I385" i="1"/>
  <c r="J382" i="1"/>
  <c r="J385" i="1"/>
  <c r="K385" i="1"/>
  <c r="O385" i="1"/>
  <c r="K378" i="1"/>
  <c r="K379" i="1"/>
  <c r="K380" i="1"/>
  <c r="K381" i="1"/>
  <c r="K382" i="1"/>
  <c r="K383" i="1"/>
  <c r="K384" i="1"/>
  <c r="M385" i="1"/>
  <c r="L385" i="1"/>
  <c r="BD384" i="1"/>
  <c r="AV384" i="1"/>
  <c r="AM384" i="1"/>
  <c r="AD384" i="1"/>
  <c r="U384" i="1"/>
  <c r="M384" i="1"/>
  <c r="L384" i="1"/>
  <c r="BD383" i="1"/>
  <c r="AV383" i="1"/>
  <c r="AM383" i="1"/>
  <c r="AD383" i="1"/>
  <c r="U383" i="1"/>
  <c r="M383" i="1"/>
  <c r="L383" i="1"/>
  <c r="BF382" i="1"/>
  <c r="BG382" i="1"/>
  <c r="BE382" i="1"/>
  <c r="BD378" i="1"/>
  <c r="BD379" i="1"/>
  <c r="BD380" i="1"/>
  <c r="BD381" i="1"/>
  <c r="BD382" i="1"/>
  <c r="AW382" i="1"/>
  <c r="AV378" i="1"/>
  <c r="AV379" i="1"/>
  <c r="AV380" i="1"/>
  <c r="AV381" i="1"/>
  <c r="AV382" i="1"/>
  <c r="AN382" i="1"/>
  <c r="AM378" i="1"/>
  <c r="AM379" i="1"/>
  <c r="AM380" i="1"/>
  <c r="AM381" i="1"/>
  <c r="AM382" i="1"/>
  <c r="AE382" i="1"/>
  <c r="AD378" i="1"/>
  <c r="AD379" i="1"/>
  <c r="AD380" i="1"/>
  <c r="AD381" i="1"/>
  <c r="AD382" i="1"/>
  <c r="V382" i="1"/>
  <c r="U378" i="1"/>
  <c r="U379" i="1"/>
  <c r="U380" i="1"/>
  <c r="U381" i="1"/>
  <c r="U382" i="1"/>
  <c r="P382" i="1"/>
  <c r="N382" i="1"/>
  <c r="O382" i="1"/>
  <c r="M382" i="1"/>
  <c r="L378" i="1"/>
  <c r="L379" i="1"/>
  <c r="L380" i="1"/>
  <c r="L381" i="1"/>
  <c r="L382" i="1"/>
  <c r="BG381" i="1"/>
  <c r="M381" i="1"/>
  <c r="BG380" i="1"/>
  <c r="M380" i="1"/>
  <c r="BG379" i="1"/>
  <c r="M379" i="1"/>
  <c r="BG378" i="1"/>
  <c r="M378" i="1"/>
  <c r="AX372" i="1"/>
  <c r="AX375" i="1"/>
  <c r="AY372" i="1"/>
  <c r="AY375" i="1"/>
  <c r="AZ372" i="1"/>
  <c r="AZ375" i="1"/>
  <c r="BA372" i="1"/>
  <c r="BA375" i="1"/>
  <c r="BB372" i="1"/>
  <c r="BB375" i="1"/>
  <c r="BC375" i="1"/>
  <c r="BC366" i="1"/>
  <c r="BC367" i="1"/>
  <c r="BC368" i="1"/>
  <c r="BC369" i="1"/>
  <c r="BC370" i="1"/>
  <c r="BC371" i="1"/>
  <c r="BC372" i="1"/>
  <c r="BC373" i="1"/>
  <c r="BC374" i="1"/>
  <c r="BD375" i="1"/>
  <c r="AO372" i="1"/>
  <c r="AO375" i="1"/>
  <c r="AP372" i="1"/>
  <c r="AP375" i="1"/>
  <c r="AQ372" i="1"/>
  <c r="AQ375" i="1"/>
  <c r="AR372" i="1"/>
  <c r="AR375" i="1"/>
  <c r="AS372" i="1"/>
  <c r="AS375" i="1"/>
  <c r="AT372" i="1"/>
  <c r="AT375" i="1"/>
  <c r="AU375" i="1"/>
  <c r="AU366" i="1"/>
  <c r="AU367" i="1"/>
  <c r="AU368" i="1"/>
  <c r="AU369" i="1"/>
  <c r="AU370" i="1"/>
  <c r="AU371" i="1"/>
  <c r="AU372" i="1"/>
  <c r="AU373" i="1"/>
  <c r="AU374" i="1"/>
  <c r="AV375" i="1"/>
  <c r="AF372" i="1"/>
  <c r="AF375" i="1"/>
  <c r="AG372" i="1"/>
  <c r="AG375" i="1"/>
  <c r="AH372" i="1"/>
  <c r="AH375" i="1"/>
  <c r="AI372" i="1"/>
  <c r="AI375" i="1"/>
  <c r="AJ372" i="1"/>
  <c r="AC373" i="1"/>
  <c r="W372" i="1"/>
  <c r="W375" i="1"/>
  <c r="X372" i="1"/>
  <c r="X375" i="1"/>
  <c r="Y372" i="1"/>
  <c r="Y375" i="1"/>
  <c r="Z372" i="1"/>
  <c r="Z375" i="1"/>
  <c r="AA372" i="1"/>
  <c r="AA375" i="1"/>
  <c r="AB372" i="1"/>
  <c r="AB375" i="1"/>
  <c r="AC375" i="1"/>
  <c r="AD373" i="1"/>
  <c r="AJ373" i="1"/>
  <c r="AJ375" i="1"/>
  <c r="AK372" i="1"/>
  <c r="AK375" i="1"/>
  <c r="AL375" i="1"/>
  <c r="AL366" i="1"/>
  <c r="AL367" i="1"/>
  <c r="AL368" i="1"/>
  <c r="AL369" i="1"/>
  <c r="AL370" i="1"/>
  <c r="AL371" i="1"/>
  <c r="AL372" i="1"/>
  <c r="AL373" i="1"/>
  <c r="AL374" i="1"/>
  <c r="AM375" i="1"/>
  <c r="AC366" i="1"/>
  <c r="AC367" i="1"/>
  <c r="AC368" i="1"/>
  <c r="AC369" i="1"/>
  <c r="AC370" i="1"/>
  <c r="AC371" i="1"/>
  <c r="AC372" i="1"/>
  <c r="AC374" i="1"/>
  <c r="AD375" i="1"/>
  <c r="Q372" i="1"/>
  <c r="Q375" i="1"/>
  <c r="R372" i="1"/>
  <c r="R375" i="1"/>
  <c r="S372" i="1"/>
  <c r="S375" i="1"/>
  <c r="T375" i="1"/>
  <c r="T366" i="1"/>
  <c r="T367" i="1"/>
  <c r="T368" i="1"/>
  <c r="T369" i="1"/>
  <c r="T370" i="1"/>
  <c r="T371" i="1"/>
  <c r="T372" i="1"/>
  <c r="T373" i="1"/>
  <c r="T374" i="1"/>
  <c r="U375" i="1"/>
  <c r="N375" i="1"/>
  <c r="B372" i="1"/>
  <c r="B375" i="1"/>
  <c r="C372" i="1"/>
  <c r="C375" i="1"/>
  <c r="D372" i="1"/>
  <c r="D375" i="1"/>
  <c r="E372" i="1"/>
  <c r="E375" i="1"/>
  <c r="F372" i="1"/>
  <c r="F375" i="1"/>
  <c r="G372" i="1"/>
  <c r="G375" i="1"/>
  <c r="H372" i="1"/>
  <c r="H375" i="1"/>
  <c r="I372" i="1"/>
  <c r="I375" i="1"/>
  <c r="J372" i="1"/>
  <c r="J375" i="1"/>
  <c r="K375" i="1"/>
  <c r="O375" i="1"/>
  <c r="K366" i="1"/>
  <c r="K367" i="1"/>
  <c r="K368" i="1"/>
  <c r="K369" i="1"/>
  <c r="K370" i="1"/>
  <c r="K371" i="1"/>
  <c r="K372" i="1"/>
  <c r="K373" i="1"/>
  <c r="K374" i="1"/>
  <c r="M375" i="1"/>
  <c r="L375" i="1"/>
  <c r="BD374" i="1"/>
  <c r="AV374" i="1"/>
  <c r="AM374" i="1"/>
  <c r="AD374" i="1"/>
  <c r="U374" i="1"/>
  <c r="M374" i="1"/>
  <c r="L374" i="1"/>
  <c r="BD373" i="1"/>
  <c r="AV373" i="1"/>
  <c r="AM373" i="1"/>
  <c r="U373" i="1"/>
  <c r="M373" i="1"/>
  <c r="L373" i="1"/>
  <c r="BF372" i="1"/>
  <c r="BG372" i="1"/>
  <c r="BE372" i="1"/>
  <c r="BD366" i="1"/>
  <c r="BD367" i="1"/>
  <c r="BD368" i="1"/>
  <c r="BD369" i="1"/>
  <c r="BD370" i="1"/>
  <c r="BD371" i="1"/>
  <c r="BD372" i="1"/>
  <c r="AW372" i="1"/>
  <c r="AV366" i="1"/>
  <c r="AV367" i="1"/>
  <c r="AV368" i="1"/>
  <c r="AV369" i="1"/>
  <c r="AV370" i="1"/>
  <c r="AV371" i="1"/>
  <c r="AV372" i="1"/>
  <c r="AN372" i="1"/>
  <c r="AM366" i="1"/>
  <c r="AM367" i="1"/>
  <c r="AM368" i="1"/>
  <c r="AM369" i="1"/>
  <c r="AM370" i="1"/>
  <c r="AM371" i="1"/>
  <c r="AM372" i="1"/>
  <c r="AE372" i="1"/>
  <c r="AD366" i="1"/>
  <c r="AD367" i="1"/>
  <c r="AD368" i="1"/>
  <c r="AD369" i="1"/>
  <c r="AD370" i="1"/>
  <c r="AD371" i="1"/>
  <c r="AD372" i="1"/>
  <c r="V372" i="1"/>
  <c r="U366" i="1"/>
  <c r="U367" i="1"/>
  <c r="U368" i="1"/>
  <c r="U369" i="1"/>
  <c r="U370" i="1"/>
  <c r="U371" i="1"/>
  <c r="U372" i="1"/>
  <c r="P372" i="1"/>
  <c r="N372" i="1"/>
  <c r="O372" i="1"/>
  <c r="M372" i="1"/>
  <c r="L366" i="1"/>
  <c r="L367" i="1"/>
  <c r="L368" i="1"/>
  <c r="L369" i="1"/>
  <c r="L370" i="1"/>
  <c r="L371" i="1"/>
  <c r="L372" i="1"/>
  <c r="BG371" i="1"/>
  <c r="M371" i="1"/>
  <c r="BG370" i="1"/>
  <c r="M370" i="1"/>
  <c r="BG369" i="1"/>
  <c r="M369" i="1"/>
  <c r="BG368" i="1"/>
  <c r="M368" i="1"/>
  <c r="BG367" i="1"/>
  <c r="M367" i="1"/>
  <c r="BG366" i="1"/>
  <c r="M366" i="1"/>
  <c r="AX360" i="1"/>
  <c r="AX363" i="1"/>
  <c r="AY360" i="1"/>
  <c r="AY363" i="1"/>
  <c r="BA360" i="1"/>
  <c r="BA363" i="1"/>
  <c r="BB360" i="1"/>
  <c r="BB363" i="1"/>
  <c r="BC363" i="1"/>
  <c r="BC354" i="1"/>
  <c r="BC355" i="1"/>
  <c r="BC356" i="1"/>
  <c r="BC357" i="1"/>
  <c r="BC358" i="1"/>
  <c r="BC359" i="1"/>
  <c r="BC360" i="1"/>
  <c r="BC361" i="1"/>
  <c r="BC362" i="1"/>
  <c r="BD363" i="1"/>
  <c r="AO360" i="1"/>
  <c r="AO363" i="1"/>
  <c r="AP360" i="1"/>
  <c r="AP363" i="1"/>
  <c r="AQ360" i="1"/>
  <c r="AQ363" i="1"/>
  <c r="AR360" i="1"/>
  <c r="AR363" i="1"/>
  <c r="AT360" i="1"/>
  <c r="AT363" i="1"/>
  <c r="AU363" i="1"/>
  <c r="AU354" i="1"/>
  <c r="AU355" i="1"/>
  <c r="AU356" i="1"/>
  <c r="AU357" i="1"/>
  <c r="AU358" i="1"/>
  <c r="AU359" i="1"/>
  <c r="AU360" i="1"/>
  <c r="AU361" i="1"/>
  <c r="AU362" i="1"/>
  <c r="AV363" i="1"/>
  <c r="AF360" i="1"/>
  <c r="AF363" i="1"/>
  <c r="AG360" i="1"/>
  <c r="AG363" i="1"/>
  <c r="AI360" i="1"/>
  <c r="AI363" i="1"/>
  <c r="AJ360" i="1"/>
  <c r="AJ363" i="1"/>
  <c r="AK360" i="1"/>
  <c r="AK363" i="1"/>
  <c r="AL363" i="1"/>
  <c r="AL354" i="1"/>
  <c r="AL355" i="1"/>
  <c r="AL356" i="1"/>
  <c r="AL357" i="1"/>
  <c r="AL358" i="1"/>
  <c r="AL359" i="1"/>
  <c r="AL360" i="1"/>
  <c r="AL361" i="1"/>
  <c r="AL362" i="1"/>
  <c r="AM363" i="1"/>
  <c r="W360" i="1"/>
  <c r="W363" i="1"/>
  <c r="X360" i="1"/>
  <c r="X363" i="1"/>
  <c r="Y360" i="1"/>
  <c r="Y363" i="1"/>
  <c r="AA360" i="1"/>
  <c r="AA363" i="1"/>
  <c r="AB360" i="1"/>
  <c r="AB363" i="1"/>
  <c r="AC363" i="1"/>
  <c r="AC354" i="1"/>
  <c r="AC355" i="1"/>
  <c r="AC356" i="1"/>
  <c r="AC357" i="1"/>
  <c r="AC358" i="1"/>
  <c r="AC359" i="1"/>
  <c r="AC360" i="1"/>
  <c r="AC361" i="1"/>
  <c r="AC362" i="1"/>
  <c r="AD363" i="1"/>
  <c r="Q360" i="1"/>
  <c r="Q363" i="1"/>
  <c r="R360" i="1"/>
  <c r="R363" i="1"/>
  <c r="S360" i="1"/>
  <c r="S363" i="1"/>
  <c r="T363" i="1"/>
  <c r="T354" i="1"/>
  <c r="T355" i="1"/>
  <c r="T356" i="1"/>
  <c r="T357" i="1"/>
  <c r="T358" i="1"/>
  <c r="T359" i="1"/>
  <c r="T360" i="1"/>
  <c r="T361" i="1"/>
  <c r="T362" i="1"/>
  <c r="U363" i="1"/>
  <c r="N363" i="1"/>
  <c r="C360" i="1"/>
  <c r="C363" i="1"/>
  <c r="D360" i="1"/>
  <c r="D363" i="1"/>
  <c r="E360" i="1"/>
  <c r="E363" i="1"/>
  <c r="F360" i="1"/>
  <c r="F363" i="1"/>
  <c r="H360" i="1"/>
  <c r="H363" i="1"/>
  <c r="I360" i="1"/>
  <c r="I363" i="1"/>
  <c r="J360" i="1"/>
  <c r="J363" i="1"/>
  <c r="K363" i="1"/>
  <c r="O363" i="1"/>
  <c r="K354" i="1"/>
  <c r="K355" i="1"/>
  <c r="K356" i="1"/>
  <c r="K357" i="1"/>
  <c r="K358" i="1"/>
  <c r="K359" i="1"/>
  <c r="K360" i="1"/>
  <c r="K361" i="1"/>
  <c r="K362" i="1"/>
  <c r="M363" i="1"/>
  <c r="L363" i="1"/>
  <c r="BD362" i="1"/>
  <c r="AV362" i="1"/>
  <c r="AM362" i="1"/>
  <c r="AD362" i="1"/>
  <c r="U362" i="1"/>
  <c r="M362" i="1"/>
  <c r="L362" i="1"/>
  <c r="BD361" i="1"/>
  <c r="AV361" i="1"/>
  <c r="AM361" i="1"/>
  <c r="AD361" i="1"/>
  <c r="U361" i="1"/>
  <c r="M361" i="1"/>
  <c r="L361" i="1"/>
  <c r="BF360" i="1"/>
  <c r="BG360" i="1"/>
  <c r="BE360" i="1"/>
  <c r="BD354" i="1"/>
  <c r="BD355" i="1"/>
  <c r="BD356" i="1"/>
  <c r="BD357" i="1"/>
  <c r="BD358" i="1"/>
  <c r="BD359" i="1"/>
  <c r="BD360" i="1"/>
  <c r="AW360" i="1"/>
  <c r="AV354" i="1"/>
  <c r="AV355" i="1"/>
  <c r="AV356" i="1"/>
  <c r="AV357" i="1"/>
  <c r="AV358" i="1"/>
  <c r="AV359" i="1"/>
  <c r="AV360" i="1"/>
  <c r="AN360" i="1"/>
  <c r="AM354" i="1"/>
  <c r="AM355" i="1"/>
  <c r="AM356" i="1"/>
  <c r="AM357" i="1"/>
  <c r="AM358" i="1"/>
  <c r="AM359" i="1"/>
  <c r="AM360" i="1"/>
  <c r="AE360" i="1"/>
  <c r="AD354" i="1"/>
  <c r="AD355" i="1"/>
  <c r="AD356" i="1"/>
  <c r="AD357" i="1"/>
  <c r="AD358" i="1"/>
  <c r="AD359" i="1"/>
  <c r="AD360" i="1"/>
  <c r="V360" i="1"/>
  <c r="U354" i="1"/>
  <c r="U355" i="1"/>
  <c r="U356" i="1"/>
  <c r="U357" i="1"/>
  <c r="U358" i="1"/>
  <c r="U359" i="1"/>
  <c r="U360" i="1"/>
  <c r="P360" i="1"/>
  <c r="N360" i="1"/>
  <c r="O360" i="1"/>
  <c r="M360" i="1"/>
  <c r="L354" i="1"/>
  <c r="L355" i="1"/>
  <c r="L356" i="1"/>
  <c r="L357" i="1"/>
  <c r="L358" i="1"/>
  <c r="L359" i="1"/>
  <c r="L360" i="1"/>
  <c r="BG359" i="1"/>
  <c r="M359" i="1"/>
  <c r="BG358" i="1"/>
  <c r="M358" i="1"/>
  <c r="BG357" i="1"/>
  <c r="M357" i="1"/>
  <c r="BG356" i="1"/>
  <c r="M356" i="1"/>
  <c r="BG355" i="1"/>
  <c r="M355" i="1"/>
  <c r="BG354" i="1"/>
  <c r="M354" i="1"/>
  <c r="AX348" i="1"/>
  <c r="AX351" i="1"/>
  <c r="AY348" i="1"/>
  <c r="AY351" i="1"/>
  <c r="BA348" i="1"/>
  <c r="BA351" i="1"/>
  <c r="BB348" i="1"/>
  <c r="BB351" i="1"/>
  <c r="BC351" i="1"/>
  <c r="BC343" i="1"/>
  <c r="BC344" i="1"/>
  <c r="BC345" i="1"/>
  <c r="BC346" i="1"/>
  <c r="BC347" i="1"/>
  <c r="BC348" i="1"/>
  <c r="BC349" i="1"/>
  <c r="BC350" i="1"/>
  <c r="BD351" i="1"/>
  <c r="AO348" i="1"/>
  <c r="AO351" i="1"/>
  <c r="AP348" i="1"/>
  <c r="AP351" i="1"/>
  <c r="AQ348" i="1"/>
  <c r="AQ351" i="1"/>
  <c r="AR348" i="1"/>
  <c r="AR351" i="1"/>
  <c r="AT348" i="1"/>
  <c r="AT351" i="1"/>
  <c r="AU351" i="1"/>
  <c r="AU343" i="1"/>
  <c r="AU344" i="1"/>
  <c r="AU345" i="1"/>
  <c r="AU346" i="1"/>
  <c r="AU347" i="1"/>
  <c r="AU348" i="1"/>
  <c r="AU349" i="1"/>
  <c r="AU350" i="1"/>
  <c r="AV351" i="1"/>
  <c r="AF348" i="1"/>
  <c r="AF351" i="1"/>
  <c r="AG348" i="1"/>
  <c r="AG351" i="1"/>
  <c r="AI348" i="1"/>
  <c r="AI351" i="1"/>
  <c r="AJ348" i="1"/>
  <c r="AJ351" i="1"/>
  <c r="AK348" i="1"/>
  <c r="AK351" i="1"/>
  <c r="AL351" i="1"/>
  <c r="AL343" i="1"/>
  <c r="AL344" i="1"/>
  <c r="AL345" i="1"/>
  <c r="AL346" i="1"/>
  <c r="AL347" i="1"/>
  <c r="AL348" i="1"/>
  <c r="AL349" i="1"/>
  <c r="AL350" i="1"/>
  <c r="AM351" i="1"/>
  <c r="W348" i="1"/>
  <c r="W351" i="1"/>
  <c r="X348" i="1"/>
  <c r="X351" i="1"/>
  <c r="Y348" i="1"/>
  <c r="Y351" i="1"/>
  <c r="AA348" i="1"/>
  <c r="AA351" i="1"/>
  <c r="AB348" i="1"/>
  <c r="AB351" i="1"/>
  <c r="AC351" i="1"/>
  <c r="AC343" i="1"/>
  <c r="AC344" i="1"/>
  <c r="AC345" i="1"/>
  <c r="AC346" i="1"/>
  <c r="AC347" i="1"/>
  <c r="AC348" i="1"/>
  <c r="AC349" i="1"/>
  <c r="AC350" i="1"/>
  <c r="AD351" i="1"/>
  <c r="Q348" i="1"/>
  <c r="Q351" i="1"/>
  <c r="R348" i="1"/>
  <c r="R351" i="1"/>
  <c r="T351" i="1"/>
  <c r="T343" i="1"/>
  <c r="T344" i="1"/>
  <c r="T345" i="1"/>
  <c r="T346" i="1"/>
  <c r="S347" i="1"/>
  <c r="T347" i="1"/>
  <c r="T348" i="1"/>
  <c r="T349" i="1"/>
  <c r="S350" i="1"/>
  <c r="T350" i="1"/>
  <c r="U351" i="1"/>
  <c r="N351" i="1"/>
  <c r="B348" i="1"/>
  <c r="B351" i="1"/>
  <c r="C348" i="1"/>
  <c r="C351" i="1"/>
  <c r="D348" i="1"/>
  <c r="D351" i="1"/>
  <c r="E348" i="1"/>
  <c r="E351" i="1"/>
  <c r="F348" i="1"/>
  <c r="F351" i="1"/>
  <c r="H348" i="1"/>
  <c r="H351" i="1"/>
  <c r="I348" i="1"/>
  <c r="I351" i="1"/>
  <c r="J348" i="1"/>
  <c r="J351" i="1"/>
  <c r="K351" i="1"/>
  <c r="O351" i="1"/>
  <c r="K343" i="1"/>
  <c r="K344" i="1"/>
  <c r="K345" i="1"/>
  <c r="K346" i="1"/>
  <c r="K347" i="1"/>
  <c r="K348" i="1"/>
  <c r="K349" i="1"/>
  <c r="K350" i="1"/>
  <c r="M351" i="1"/>
  <c r="L351" i="1"/>
  <c r="BD350" i="1"/>
  <c r="AV350" i="1"/>
  <c r="AM350" i="1"/>
  <c r="AD350" i="1"/>
  <c r="U350" i="1"/>
  <c r="M350" i="1"/>
  <c r="L350" i="1"/>
  <c r="BD349" i="1"/>
  <c r="AV349" i="1"/>
  <c r="AM349" i="1"/>
  <c r="AD349" i="1"/>
  <c r="U349" i="1"/>
  <c r="M349" i="1"/>
  <c r="L349" i="1"/>
  <c r="BF348" i="1"/>
  <c r="BG343" i="1"/>
  <c r="BG344" i="1"/>
  <c r="BG345" i="1"/>
  <c r="BG346" i="1"/>
  <c r="BG348" i="1"/>
  <c r="BD343" i="1"/>
  <c r="BD344" i="1"/>
  <c r="BD345" i="1"/>
  <c r="BD346" i="1"/>
  <c r="BD348" i="1"/>
  <c r="AV343" i="1"/>
  <c r="AV344" i="1"/>
  <c r="AV345" i="1"/>
  <c r="AV346" i="1"/>
  <c r="AV348" i="1"/>
  <c r="AM343" i="1"/>
  <c r="AM344" i="1"/>
  <c r="AM345" i="1"/>
  <c r="AM346" i="1"/>
  <c r="AM348" i="1"/>
  <c r="AD343" i="1"/>
  <c r="AD344" i="1"/>
  <c r="AD345" i="1"/>
  <c r="AD346" i="1"/>
  <c r="AD348" i="1"/>
  <c r="U343" i="1"/>
  <c r="U344" i="1"/>
  <c r="U345" i="1"/>
  <c r="U346" i="1"/>
  <c r="U348" i="1"/>
  <c r="N348" i="1"/>
  <c r="O348" i="1"/>
  <c r="M348" i="1"/>
  <c r="L343" i="1"/>
  <c r="L344" i="1"/>
  <c r="L345" i="1"/>
  <c r="L346" i="1"/>
  <c r="L347" i="1"/>
  <c r="L348" i="1"/>
  <c r="M347" i="1"/>
  <c r="M346" i="1"/>
  <c r="M345" i="1"/>
  <c r="M344" i="1"/>
  <c r="M343" i="1"/>
  <c r="BC340" i="1"/>
  <c r="AU340" i="1"/>
  <c r="AL340" i="1"/>
  <c r="AC340" i="1"/>
  <c r="T340" i="1"/>
  <c r="N340" i="1"/>
  <c r="B337" i="1"/>
  <c r="B340" i="1"/>
  <c r="K340" i="1"/>
  <c r="O340" i="1"/>
  <c r="K337" i="1"/>
  <c r="K338" i="1"/>
  <c r="K339" i="1"/>
  <c r="M340" i="1"/>
  <c r="L340" i="1"/>
  <c r="BC339" i="1"/>
  <c r="AU339" i="1"/>
  <c r="AL339" i="1"/>
  <c r="AC339" i="1"/>
  <c r="T339" i="1"/>
  <c r="M339" i="1"/>
  <c r="L339" i="1"/>
  <c r="BC338" i="1"/>
  <c r="AU338" i="1"/>
  <c r="AL338" i="1"/>
  <c r="AC338" i="1"/>
  <c r="T338" i="1"/>
  <c r="M338" i="1"/>
  <c r="L338" i="1"/>
  <c r="BC337" i="1"/>
  <c r="AU337" i="1"/>
  <c r="AL337" i="1"/>
  <c r="AC337" i="1"/>
  <c r="T337" i="1"/>
  <c r="N337" i="1"/>
  <c r="O337" i="1"/>
  <c r="M337" i="1"/>
  <c r="K332" i="1"/>
  <c r="L332" i="1"/>
  <c r="K333" i="1"/>
  <c r="L333" i="1"/>
  <c r="K334" i="1"/>
  <c r="L334" i="1"/>
  <c r="K335" i="1"/>
  <c r="L335" i="1"/>
  <c r="K336" i="1"/>
  <c r="L336" i="1"/>
  <c r="L337" i="1"/>
  <c r="BC336" i="1"/>
  <c r="AU336" i="1"/>
  <c r="AL336" i="1"/>
  <c r="AC336" i="1"/>
  <c r="T336" i="1"/>
  <c r="M336" i="1"/>
  <c r="BC335" i="1"/>
  <c r="AU335" i="1"/>
  <c r="AL335" i="1"/>
  <c r="AC335" i="1"/>
  <c r="T335" i="1"/>
  <c r="M335" i="1"/>
  <c r="BC334" i="1"/>
  <c r="AU334" i="1"/>
  <c r="AL334" i="1"/>
  <c r="AC334" i="1"/>
  <c r="T334" i="1"/>
  <c r="M334" i="1"/>
  <c r="BC333" i="1"/>
  <c r="AU333" i="1"/>
  <c r="AL333" i="1"/>
  <c r="AC333" i="1"/>
  <c r="T333" i="1"/>
  <c r="M333" i="1"/>
  <c r="BC332" i="1"/>
  <c r="AU332" i="1"/>
  <c r="AL332" i="1"/>
  <c r="AC332" i="1"/>
  <c r="T332" i="1"/>
  <c r="M332" i="1"/>
  <c r="BC331" i="1"/>
  <c r="AU331" i="1"/>
  <c r="AL331" i="1"/>
  <c r="AC331" i="1"/>
  <c r="T331" i="1"/>
  <c r="AX326" i="1"/>
  <c r="AX329" i="1"/>
  <c r="AY326" i="1"/>
  <c r="AY329" i="1"/>
  <c r="BA326" i="1"/>
  <c r="BA329" i="1"/>
  <c r="BB326" i="1"/>
  <c r="BB329" i="1"/>
  <c r="BC329" i="1"/>
  <c r="BC322" i="1"/>
  <c r="BC323" i="1"/>
  <c r="BC324" i="1"/>
  <c r="BC325" i="1"/>
  <c r="BC326" i="1"/>
  <c r="BC327" i="1"/>
  <c r="BC328" i="1"/>
  <c r="BD329" i="1"/>
  <c r="AO326" i="1"/>
  <c r="AO329" i="1"/>
  <c r="AP326" i="1"/>
  <c r="AP329" i="1"/>
  <c r="AQ326" i="1"/>
  <c r="AQ329" i="1"/>
  <c r="AR329" i="1"/>
  <c r="AT326" i="1"/>
  <c r="AT329" i="1"/>
  <c r="AU329" i="1"/>
  <c r="AU322" i="1"/>
  <c r="AU323" i="1"/>
  <c r="AU324" i="1"/>
  <c r="AU325" i="1"/>
  <c r="AU326" i="1"/>
  <c r="AU327" i="1"/>
  <c r="AU328" i="1"/>
  <c r="AV329" i="1"/>
  <c r="AF326" i="1"/>
  <c r="AF329" i="1"/>
  <c r="AG326" i="1"/>
  <c r="AG329" i="1"/>
  <c r="AI326" i="1"/>
  <c r="AI329" i="1"/>
  <c r="AJ326" i="1"/>
  <c r="AJ329" i="1"/>
  <c r="AK326" i="1"/>
  <c r="AK329" i="1"/>
  <c r="AL329" i="1"/>
  <c r="AL322" i="1"/>
  <c r="AL323" i="1"/>
  <c r="AL324" i="1"/>
  <c r="AL325" i="1"/>
  <c r="AL326" i="1"/>
  <c r="AL327" i="1"/>
  <c r="AL328" i="1"/>
  <c r="AM329" i="1"/>
  <c r="W326" i="1"/>
  <c r="W329" i="1"/>
  <c r="X326" i="1"/>
  <c r="X329" i="1"/>
  <c r="Y326" i="1"/>
  <c r="Y329" i="1"/>
  <c r="AA326" i="1"/>
  <c r="AA329" i="1"/>
  <c r="AB326" i="1"/>
  <c r="AB329" i="1"/>
  <c r="AC329" i="1"/>
  <c r="AC322" i="1"/>
  <c r="AC323" i="1"/>
  <c r="AC324" i="1"/>
  <c r="AC325" i="1"/>
  <c r="AC326" i="1"/>
  <c r="AC327" i="1"/>
  <c r="AC328" i="1"/>
  <c r="AD329" i="1"/>
  <c r="Q326" i="1"/>
  <c r="Q329" i="1"/>
  <c r="R326" i="1"/>
  <c r="R329" i="1"/>
  <c r="S326" i="1"/>
  <c r="S329" i="1"/>
  <c r="T329" i="1"/>
  <c r="T322" i="1"/>
  <c r="T323" i="1"/>
  <c r="T324" i="1"/>
  <c r="T325" i="1"/>
  <c r="T326" i="1"/>
  <c r="T327" i="1"/>
  <c r="T328" i="1"/>
  <c r="U329" i="1"/>
  <c r="N329" i="1"/>
  <c r="C326" i="1"/>
  <c r="C329" i="1"/>
  <c r="D326" i="1"/>
  <c r="D329" i="1"/>
  <c r="E326" i="1"/>
  <c r="E329" i="1"/>
  <c r="F326" i="1"/>
  <c r="F329" i="1"/>
  <c r="H326" i="1"/>
  <c r="H329" i="1"/>
  <c r="I326" i="1"/>
  <c r="I329" i="1"/>
  <c r="J326" i="1"/>
  <c r="J329" i="1"/>
  <c r="K329" i="1"/>
  <c r="O329" i="1"/>
  <c r="K326" i="1"/>
  <c r="K327" i="1"/>
  <c r="K328" i="1"/>
  <c r="M329" i="1"/>
  <c r="L329" i="1"/>
  <c r="BD328" i="1"/>
  <c r="AV328" i="1"/>
  <c r="AM328" i="1"/>
  <c r="AD328" i="1"/>
  <c r="U328" i="1"/>
  <c r="M328" i="1"/>
  <c r="L328" i="1"/>
  <c r="BD327" i="1"/>
  <c r="AV327" i="1"/>
  <c r="AM327" i="1"/>
  <c r="AD327" i="1"/>
  <c r="U327" i="1"/>
  <c r="M327" i="1"/>
  <c r="L327" i="1"/>
  <c r="BF326" i="1"/>
  <c r="BG322" i="1"/>
  <c r="BG323" i="1"/>
  <c r="BG324" i="1"/>
  <c r="BG325" i="1"/>
  <c r="BG326" i="1"/>
  <c r="BD322" i="1"/>
  <c r="BD323" i="1"/>
  <c r="BD324" i="1"/>
  <c r="BD325" i="1"/>
  <c r="BD326" i="1"/>
  <c r="AV322" i="1"/>
  <c r="AV323" i="1"/>
  <c r="AV324" i="1"/>
  <c r="AV325" i="1"/>
  <c r="AV326" i="1"/>
  <c r="AM322" i="1"/>
  <c r="AM323" i="1"/>
  <c r="AM324" i="1"/>
  <c r="AM325" i="1"/>
  <c r="AM326" i="1"/>
  <c r="AD322" i="1"/>
  <c r="AD323" i="1"/>
  <c r="AD324" i="1"/>
  <c r="AD325" i="1"/>
  <c r="AD326" i="1"/>
  <c r="U322" i="1"/>
  <c r="U323" i="1"/>
  <c r="U324" i="1"/>
  <c r="U325" i="1"/>
  <c r="U326" i="1"/>
  <c r="N326" i="1"/>
  <c r="O326" i="1"/>
  <c r="M326" i="1"/>
  <c r="K322" i="1"/>
  <c r="L322" i="1"/>
  <c r="K323" i="1"/>
  <c r="L323" i="1"/>
  <c r="K324" i="1"/>
  <c r="L324" i="1"/>
  <c r="K325" i="1"/>
  <c r="L325" i="1"/>
  <c r="L326" i="1"/>
  <c r="M325" i="1"/>
  <c r="M324" i="1"/>
  <c r="M323" i="1"/>
  <c r="M322" i="1"/>
  <c r="AX316" i="1"/>
  <c r="AX319" i="1"/>
  <c r="AY316" i="1"/>
  <c r="AY319" i="1"/>
  <c r="AZ316" i="1"/>
  <c r="AZ319" i="1"/>
  <c r="BA316" i="1"/>
  <c r="BA319" i="1"/>
  <c r="BB316" i="1"/>
  <c r="BB319" i="1"/>
  <c r="BC319" i="1"/>
  <c r="BC312" i="1"/>
  <c r="BC313" i="1"/>
  <c r="BC314" i="1"/>
  <c r="BC315" i="1"/>
  <c r="BC316" i="1"/>
  <c r="BC317" i="1"/>
  <c r="BC318" i="1"/>
  <c r="BD319" i="1"/>
  <c r="AO316" i="1"/>
  <c r="AO319" i="1"/>
  <c r="AP316" i="1"/>
  <c r="AP319" i="1"/>
  <c r="AQ316" i="1"/>
  <c r="AQ319" i="1"/>
  <c r="AR316" i="1"/>
  <c r="AR319" i="1"/>
  <c r="AS316" i="1"/>
  <c r="AS319" i="1"/>
  <c r="AT316" i="1"/>
  <c r="AT319" i="1"/>
  <c r="AU319" i="1"/>
  <c r="AU312" i="1"/>
  <c r="AU313" i="1"/>
  <c r="AU314" i="1"/>
  <c r="AU315" i="1"/>
  <c r="AU316" i="1"/>
  <c r="AU317" i="1"/>
  <c r="AU318" i="1"/>
  <c r="AV319" i="1"/>
  <c r="AF316" i="1"/>
  <c r="AF319" i="1"/>
  <c r="AG316" i="1"/>
  <c r="AG319" i="1"/>
  <c r="AH316" i="1"/>
  <c r="AH319" i="1"/>
  <c r="AI316" i="1"/>
  <c r="AI319" i="1"/>
  <c r="AJ316" i="1"/>
  <c r="AJ319" i="1"/>
  <c r="AK316" i="1"/>
  <c r="AK319" i="1"/>
  <c r="AL319" i="1"/>
  <c r="AL312" i="1"/>
  <c r="AL313" i="1"/>
  <c r="AL314" i="1"/>
  <c r="AL315" i="1"/>
  <c r="AL316" i="1"/>
  <c r="AL317" i="1"/>
  <c r="AL318" i="1"/>
  <c r="AM319" i="1"/>
  <c r="W316" i="1"/>
  <c r="W319" i="1"/>
  <c r="X316" i="1"/>
  <c r="X319" i="1"/>
  <c r="Y316" i="1"/>
  <c r="Y319" i="1"/>
  <c r="Z316" i="1"/>
  <c r="Z319" i="1"/>
  <c r="AA316" i="1"/>
  <c r="AA319" i="1"/>
  <c r="AB316" i="1"/>
  <c r="AB319" i="1"/>
  <c r="AC319" i="1"/>
  <c r="AC312" i="1"/>
  <c r="AC313" i="1"/>
  <c r="AC314" i="1"/>
  <c r="AC315" i="1"/>
  <c r="AC316" i="1"/>
  <c r="AC317" i="1"/>
  <c r="AC318" i="1"/>
  <c r="AD319" i="1"/>
  <c r="Q316" i="1"/>
  <c r="Q319" i="1"/>
  <c r="R316" i="1"/>
  <c r="R319" i="1"/>
  <c r="S316" i="1"/>
  <c r="S319" i="1"/>
  <c r="T319" i="1"/>
  <c r="T312" i="1"/>
  <c r="T313" i="1"/>
  <c r="T314" i="1"/>
  <c r="T315" i="1"/>
  <c r="T316" i="1"/>
  <c r="T317" i="1"/>
  <c r="T318" i="1"/>
  <c r="U319" i="1"/>
  <c r="N319" i="1"/>
  <c r="B316" i="1"/>
  <c r="B319" i="1"/>
  <c r="C316" i="1"/>
  <c r="C319" i="1"/>
  <c r="D316" i="1"/>
  <c r="D319" i="1"/>
  <c r="E316" i="1"/>
  <c r="E319" i="1"/>
  <c r="F316" i="1"/>
  <c r="F319" i="1"/>
  <c r="G316" i="1"/>
  <c r="G319" i="1"/>
  <c r="H316" i="1"/>
  <c r="H319" i="1"/>
  <c r="I316" i="1"/>
  <c r="I319" i="1"/>
  <c r="J316" i="1"/>
  <c r="J319" i="1"/>
  <c r="K319" i="1"/>
  <c r="O319" i="1"/>
  <c r="K312" i="1"/>
  <c r="K313" i="1"/>
  <c r="K314" i="1"/>
  <c r="K315" i="1"/>
  <c r="K316" i="1"/>
  <c r="K317" i="1"/>
  <c r="K318" i="1"/>
  <c r="M319" i="1"/>
  <c r="L319" i="1"/>
  <c r="BD318" i="1"/>
  <c r="AV318" i="1"/>
  <c r="AM318" i="1"/>
  <c r="AD318" i="1"/>
  <c r="U318" i="1"/>
  <c r="M318" i="1"/>
  <c r="L318" i="1"/>
  <c r="BD317" i="1"/>
  <c r="AV317" i="1"/>
  <c r="AM317" i="1"/>
  <c r="AD317" i="1"/>
  <c r="U317" i="1"/>
  <c r="M317" i="1"/>
  <c r="L317" i="1"/>
  <c r="BF316" i="1"/>
  <c r="BG312" i="1"/>
  <c r="BG313" i="1"/>
  <c r="BG314" i="1"/>
  <c r="BG315" i="1"/>
  <c r="BG316" i="1"/>
  <c r="BE316" i="1"/>
  <c r="BD312" i="1"/>
  <c r="BD313" i="1"/>
  <c r="BD314" i="1"/>
  <c r="BD315" i="1"/>
  <c r="BD316" i="1"/>
  <c r="AW316" i="1"/>
  <c r="AV312" i="1"/>
  <c r="AV313" i="1"/>
  <c r="AV314" i="1"/>
  <c r="AV315" i="1"/>
  <c r="AV316" i="1"/>
  <c r="AN316" i="1"/>
  <c r="AM312" i="1"/>
  <c r="AM313" i="1"/>
  <c r="AM314" i="1"/>
  <c r="AM315" i="1"/>
  <c r="AM316" i="1"/>
  <c r="AE316" i="1"/>
  <c r="AD312" i="1"/>
  <c r="AD313" i="1"/>
  <c r="AD314" i="1"/>
  <c r="AD315" i="1"/>
  <c r="AD316" i="1"/>
  <c r="V316" i="1"/>
  <c r="U312" i="1"/>
  <c r="U313" i="1"/>
  <c r="U314" i="1"/>
  <c r="U315" i="1"/>
  <c r="U316" i="1"/>
  <c r="P316" i="1"/>
  <c r="N316" i="1"/>
  <c r="O316" i="1"/>
  <c r="M316" i="1"/>
  <c r="L312" i="1"/>
  <c r="L313" i="1"/>
  <c r="L314" i="1"/>
  <c r="L315" i="1"/>
  <c r="L316" i="1"/>
  <c r="M315" i="1"/>
  <c r="M314" i="1"/>
  <c r="M313" i="1"/>
  <c r="M312" i="1"/>
  <c r="AX306" i="1"/>
  <c r="AX309" i="1"/>
  <c r="AY306" i="1"/>
  <c r="AY309" i="1"/>
  <c r="BA306" i="1"/>
  <c r="BA309" i="1"/>
  <c r="BC309" i="1"/>
  <c r="BC303" i="1"/>
  <c r="BC304" i="1"/>
  <c r="BC305" i="1"/>
  <c r="BC306" i="1"/>
  <c r="BC307" i="1"/>
  <c r="BC308" i="1"/>
  <c r="BD309" i="1"/>
  <c r="AO306" i="1"/>
  <c r="AO309" i="1"/>
  <c r="AP306" i="1"/>
  <c r="AP309" i="1"/>
  <c r="AQ306" i="1"/>
  <c r="AQ309" i="1"/>
  <c r="AR306" i="1"/>
  <c r="AR309" i="1"/>
  <c r="AS306" i="1"/>
  <c r="AS309" i="1"/>
  <c r="AT306" i="1"/>
  <c r="AT309" i="1"/>
  <c r="AU309" i="1"/>
  <c r="AU303" i="1"/>
  <c r="AU304" i="1"/>
  <c r="AU305" i="1"/>
  <c r="AU306" i="1"/>
  <c r="AU307" i="1"/>
  <c r="AU308" i="1"/>
  <c r="AV309" i="1"/>
  <c r="AF306" i="1"/>
  <c r="AF309" i="1"/>
  <c r="AG306" i="1"/>
  <c r="AG309" i="1"/>
  <c r="AH306" i="1"/>
  <c r="AH309" i="1"/>
  <c r="AI306" i="1"/>
  <c r="AI309" i="1"/>
  <c r="AJ306" i="1"/>
  <c r="AJ309" i="1"/>
  <c r="AK306" i="1"/>
  <c r="AK309" i="1"/>
  <c r="AL309" i="1"/>
  <c r="AL303" i="1"/>
  <c r="AL304" i="1"/>
  <c r="AL305" i="1"/>
  <c r="AL306" i="1"/>
  <c r="AL307" i="1"/>
  <c r="AL308" i="1"/>
  <c r="AM309" i="1"/>
  <c r="W306" i="1"/>
  <c r="W309" i="1"/>
  <c r="X306" i="1"/>
  <c r="X309" i="1"/>
  <c r="Y306" i="1"/>
  <c r="Y309" i="1"/>
  <c r="Z306" i="1"/>
  <c r="Z309" i="1"/>
  <c r="AA306" i="1"/>
  <c r="AA309" i="1"/>
  <c r="AB306" i="1"/>
  <c r="AB309" i="1"/>
  <c r="AC309" i="1"/>
  <c r="AC303" i="1"/>
  <c r="AC304" i="1"/>
  <c r="AC305" i="1"/>
  <c r="AC306" i="1"/>
  <c r="AC307" i="1"/>
  <c r="AC308" i="1"/>
  <c r="AD309" i="1"/>
  <c r="Q306" i="1"/>
  <c r="Q309" i="1"/>
  <c r="R306" i="1"/>
  <c r="R309" i="1"/>
  <c r="S306" i="1"/>
  <c r="S309" i="1"/>
  <c r="T309" i="1"/>
  <c r="T303" i="1"/>
  <c r="T304" i="1"/>
  <c r="T305" i="1"/>
  <c r="T306" i="1"/>
  <c r="T307" i="1"/>
  <c r="T308" i="1"/>
  <c r="U309" i="1"/>
  <c r="N309" i="1"/>
  <c r="B306" i="1"/>
  <c r="B309" i="1"/>
  <c r="C306" i="1"/>
  <c r="C309" i="1"/>
  <c r="D306" i="1"/>
  <c r="D309" i="1"/>
  <c r="E306" i="1"/>
  <c r="E309" i="1"/>
  <c r="F306" i="1"/>
  <c r="F309" i="1"/>
  <c r="G306" i="1"/>
  <c r="G309" i="1"/>
  <c r="H306" i="1"/>
  <c r="H309" i="1"/>
  <c r="I306" i="1"/>
  <c r="I309" i="1"/>
  <c r="J306" i="1"/>
  <c r="J309" i="1"/>
  <c r="K309" i="1"/>
  <c r="O309" i="1"/>
  <c r="K306" i="1"/>
  <c r="K307" i="1"/>
  <c r="K308" i="1"/>
  <c r="M309" i="1"/>
  <c r="L309" i="1"/>
  <c r="BD308" i="1"/>
  <c r="AV308" i="1"/>
  <c r="AM308" i="1"/>
  <c r="AD308" i="1"/>
  <c r="U308" i="1"/>
  <c r="M308" i="1"/>
  <c r="L308" i="1"/>
  <c r="BD307" i="1"/>
  <c r="AV307" i="1"/>
  <c r="AM307" i="1"/>
  <c r="AD307" i="1"/>
  <c r="U307" i="1"/>
  <c r="M307" i="1"/>
  <c r="L307" i="1"/>
  <c r="BB306" i="1"/>
  <c r="N306" i="1"/>
  <c r="O306" i="1"/>
  <c r="M306" i="1"/>
  <c r="K303" i="1"/>
  <c r="L303" i="1"/>
  <c r="K304" i="1"/>
  <c r="L304" i="1"/>
  <c r="K305" i="1"/>
  <c r="L305" i="1"/>
  <c r="L306" i="1"/>
  <c r="M305" i="1"/>
  <c r="M304" i="1"/>
  <c r="M303" i="1"/>
  <c r="AX297" i="1"/>
  <c r="AX300" i="1"/>
  <c r="AY297" i="1"/>
  <c r="AY300" i="1"/>
  <c r="BA297" i="1"/>
  <c r="BA300" i="1"/>
  <c r="BB297" i="1"/>
  <c r="BB300" i="1"/>
  <c r="BC300" i="1"/>
  <c r="BC293" i="1"/>
  <c r="BC294" i="1"/>
  <c r="BC295" i="1"/>
  <c r="BC296" i="1"/>
  <c r="BC297" i="1"/>
  <c r="BC298" i="1"/>
  <c r="BC299" i="1"/>
  <c r="BD300" i="1"/>
  <c r="AO297" i="1"/>
  <c r="AO300" i="1"/>
  <c r="AP297" i="1"/>
  <c r="AP300" i="1"/>
  <c r="AQ297" i="1"/>
  <c r="AQ300" i="1"/>
  <c r="AR297" i="1"/>
  <c r="AR300" i="1"/>
  <c r="AT297" i="1"/>
  <c r="AT300" i="1"/>
  <c r="AU300" i="1"/>
  <c r="AU293" i="1"/>
  <c r="AU294" i="1"/>
  <c r="AU295" i="1"/>
  <c r="AU296" i="1"/>
  <c r="AU297" i="1"/>
  <c r="AU298" i="1"/>
  <c r="AU299" i="1"/>
  <c r="AV300" i="1"/>
  <c r="AF297" i="1"/>
  <c r="AF300" i="1"/>
  <c r="AG297" i="1"/>
  <c r="AG300" i="1"/>
  <c r="AI297" i="1"/>
  <c r="AI300" i="1"/>
  <c r="AJ297" i="1"/>
  <c r="AJ300" i="1"/>
  <c r="AK297" i="1"/>
  <c r="AK300" i="1"/>
  <c r="AL300" i="1"/>
  <c r="AL293" i="1"/>
  <c r="AL294" i="1"/>
  <c r="AL295" i="1"/>
  <c r="AL296" i="1"/>
  <c r="AL297" i="1"/>
  <c r="AL298" i="1"/>
  <c r="AL299" i="1"/>
  <c r="AM300" i="1"/>
  <c r="W297" i="1"/>
  <c r="W300" i="1"/>
  <c r="X297" i="1"/>
  <c r="X300" i="1"/>
  <c r="Y297" i="1"/>
  <c r="Y300" i="1"/>
  <c r="AA297" i="1"/>
  <c r="AA300" i="1"/>
  <c r="AB297" i="1"/>
  <c r="AB300" i="1"/>
  <c r="AC300" i="1"/>
  <c r="AC293" i="1"/>
  <c r="AC294" i="1"/>
  <c r="AC295" i="1"/>
  <c r="AC296" i="1"/>
  <c r="AC297" i="1"/>
  <c r="AC298" i="1"/>
  <c r="AC299" i="1"/>
  <c r="AD300" i="1"/>
  <c r="Q297" i="1"/>
  <c r="Q300" i="1"/>
  <c r="R297" i="1"/>
  <c r="R300" i="1"/>
  <c r="S297" i="1"/>
  <c r="S300" i="1"/>
  <c r="T300" i="1"/>
  <c r="T293" i="1"/>
  <c r="T294" i="1"/>
  <c r="T295" i="1"/>
  <c r="T296" i="1"/>
  <c r="T297" i="1"/>
  <c r="T298" i="1"/>
  <c r="T299" i="1"/>
  <c r="U300" i="1"/>
  <c r="N300" i="1"/>
  <c r="C297" i="1"/>
  <c r="C300" i="1"/>
  <c r="D297" i="1"/>
  <c r="D300" i="1"/>
  <c r="E297" i="1"/>
  <c r="E300" i="1"/>
  <c r="F297" i="1"/>
  <c r="F300" i="1"/>
  <c r="H297" i="1"/>
  <c r="H300" i="1"/>
  <c r="I297" i="1"/>
  <c r="I300" i="1"/>
  <c r="J297" i="1"/>
  <c r="J300" i="1"/>
  <c r="K300" i="1"/>
  <c r="O300" i="1"/>
  <c r="K293" i="1"/>
  <c r="K294" i="1"/>
  <c r="K295" i="1"/>
  <c r="K296" i="1"/>
  <c r="K297" i="1"/>
  <c r="K298" i="1"/>
  <c r="K299" i="1"/>
  <c r="M300" i="1"/>
  <c r="L300" i="1"/>
  <c r="BD299" i="1"/>
  <c r="AV299" i="1"/>
  <c r="AM299" i="1"/>
  <c r="AD299" i="1"/>
  <c r="U299" i="1"/>
  <c r="M299" i="1"/>
  <c r="L299" i="1"/>
  <c r="BD298" i="1"/>
  <c r="AV298" i="1"/>
  <c r="AM298" i="1"/>
  <c r="AD298" i="1"/>
  <c r="U298" i="1"/>
  <c r="M298" i="1"/>
  <c r="L298" i="1"/>
  <c r="BF297" i="1"/>
  <c r="BG293" i="1"/>
  <c r="BG294" i="1"/>
  <c r="BG295" i="1"/>
  <c r="BG296" i="1"/>
  <c r="BG297" i="1"/>
  <c r="BE297" i="1"/>
  <c r="BD293" i="1"/>
  <c r="BD294" i="1"/>
  <c r="BD295" i="1"/>
  <c r="BD296" i="1"/>
  <c r="BD297" i="1"/>
  <c r="AW297" i="1"/>
  <c r="AV293" i="1"/>
  <c r="AV294" i="1"/>
  <c r="AV295" i="1"/>
  <c r="AV296" i="1"/>
  <c r="AV297" i="1"/>
  <c r="AN297" i="1"/>
  <c r="AM293" i="1"/>
  <c r="AM294" i="1"/>
  <c r="AM295" i="1"/>
  <c r="AM296" i="1"/>
  <c r="AM297" i="1"/>
  <c r="AE297" i="1"/>
  <c r="AD293" i="1"/>
  <c r="AD294" i="1"/>
  <c r="AD295" i="1"/>
  <c r="AD296" i="1"/>
  <c r="AD297" i="1"/>
  <c r="V297" i="1"/>
  <c r="U293" i="1"/>
  <c r="U294" i="1"/>
  <c r="U295" i="1"/>
  <c r="U296" i="1"/>
  <c r="U297" i="1"/>
  <c r="P297" i="1"/>
  <c r="N297" i="1"/>
  <c r="O297" i="1"/>
  <c r="M297" i="1"/>
  <c r="L293" i="1"/>
  <c r="L294" i="1"/>
  <c r="L295" i="1"/>
  <c r="L296" i="1"/>
  <c r="L297" i="1"/>
  <c r="M296" i="1"/>
  <c r="M295" i="1"/>
  <c r="M294" i="1"/>
  <c r="M293" i="1"/>
  <c r="AX287" i="1"/>
  <c r="AX290" i="1"/>
  <c r="AY287" i="1"/>
  <c r="AY290" i="1"/>
  <c r="AZ287" i="1"/>
  <c r="AZ290" i="1"/>
  <c r="BA287" i="1"/>
  <c r="BA290" i="1"/>
  <c r="BB287" i="1"/>
  <c r="BB290" i="1"/>
  <c r="BC290" i="1"/>
  <c r="BC281" i="1"/>
  <c r="BC282" i="1"/>
  <c r="BC283" i="1"/>
  <c r="BC284" i="1"/>
  <c r="BC285" i="1"/>
  <c r="BC286" i="1"/>
  <c r="BC287" i="1"/>
  <c r="BC288" i="1"/>
  <c r="BC289" i="1"/>
  <c r="BD290" i="1"/>
  <c r="AO287" i="1"/>
  <c r="AO290" i="1"/>
  <c r="AP287" i="1"/>
  <c r="AP290" i="1"/>
  <c r="AQ287" i="1"/>
  <c r="AQ290" i="1"/>
  <c r="AR290" i="1"/>
  <c r="AS287" i="1"/>
  <c r="AS290" i="1"/>
  <c r="AT287" i="1"/>
  <c r="AT290" i="1"/>
  <c r="AU290" i="1"/>
  <c r="AU281" i="1"/>
  <c r="AU282" i="1"/>
  <c r="AU283" i="1"/>
  <c r="AU284" i="1"/>
  <c r="AU285" i="1"/>
  <c r="AU286" i="1"/>
  <c r="AU287" i="1"/>
  <c r="AU288" i="1"/>
  <c r="AU289" i="1"/>
  <c r="AV290" i="1"/>
  <c r="AF287" i="1"/>
  <c r="AF290" i="1"/>
  <c r="AG287" i="1"/>
  <c r="AG290" i="1"/>
  <c r="AH287" i="1"/>
  <c r="AH290" i="1"/>
  <c r="AI287" i="1"/>
  <c r="AI290" i="1"/>
  <c r="AJ287" i="1"/>
  <c r="AJ290" i="1"/>
  <c r="AK287" i="1"/>
  <c r="AK290" i="1"/>
  <c r="AL290" i="1"/>
  <c r="AL281" i="1"/>
  <c r="AL282" i="1"/>
  <c r="AL283" i="1"/>
  <c r="AL284" i="1"/>
  <c r="AL285" i="1"/>
  <c r="AL286" i="1"/>
  <c r="AL287" i="1"/>
  <c r="AL288" i="1"/>
  <c r="AL289" i="1"/>
  <c r="AM290" i="1"/>
  <c r="W287" i="1"/>
  <c r="W290" i="1"/>
  <c r="X287" i="1"/>
  <c r="X290" i="1"/>
  <c r="Y287" i="1"/>
  <c r="Y290" i="1"/>
  <c r="Z287" i="1"/>
  <c r="Z290" i="1"/>
  <c r="AA287" i="1"/>
  <c r="AA290" i="1"/>
  <c r="AB287" i="1"/>
  <c r="AB290" i="1"/>
  <c r="AC290" i="1"/>
  <c r="AC281" i="1"/>
  <c r="AC282" i="1"/>
  <c r="AC283" i="1"/>
  <c r="AC284" i="1"/>
  <c r="AC285" i="1"/>
  <c r="AC286" i="1"/>
  <c r="AC287" i="1"/>
  <c r="AC288" i="1"/>
  <c r="AC289" i="1"/>
  <c r="AD290" i="1"/>
  <c r="Q287" i="1"/>
  <c r="Q290" i="1"/>
  <c r="R287" i="1"/>
  <c r="R290" i="1"/>
  <c r="S287" i="1"/>
  <c r="S290" i="1"/>
  <c r="T290" i="1"/>
  <c r="T281" i="1"/>
  <c r="T282" i="1"/>
  <c r="T283" i="1"/>
  <c r="T284" i="1"/>
  <c r="T285" i="1"/>
  <c r="T286" i="1"/>
  <c r="T287" i="1"/>
  <c r="T288" i="1"/>
  <c r="T289" i="1"/>
  <c r="U290" i="1"/>
  <c r="N290" i="1"/>
  <c r="C287" i="1"/>
  <c r="C290" i="1"/>
  <c r="D287" i="1"/>
  <c r="D290" i="1"/>
  <c r="E287" i="1"/>
  <c r="E290" i="1"/>
  <c r="F287" i="1"/>
  <c r="F290" i="1"/>
  <c r="G287" i="1"/>
  <c r="G290" i="1"/>
  <c r="H287" i="1"/>
  <c r="H290" i="1"/>
  <c r="I287" i="1"/>
  <c r="I290" i="1"/>
  <c r="J287" i="1"/>
  <c r="J290" i="1"/>
  <c r="K290" i="1"/>
  <c r="O290" i="1"/>
  <c r="K281" i="1"/>
  <c r="K282" i="1"/>
  <c r="K283" i="1"/>
  <c r="K284" i="1"/>
  <c r="K285" i="1"/>
  <c r="K286" i="1"/>
  <c r="K287" i="1"/>
  <c r="K288" i="1"/>
  <c r="K289" i="1"/>
  <c r="M290" i="1"/>
  <c r="L290" i="1"/>
  <c r="BD289" i="1"/>
  <c r="AV289" i="1"/>
  <c r="AM289" i="1"/>
  <c r="AD289" i="1"/>
  <c r="U289" i="1"/>
  <c r="M289" i="1"/>
  <c r="L289" i="1"/>
  <c r="BD288" i="1"/>
  <c r="AV288" i="1"/>
  <c r="AM288" i="1"/>
  <c r="AD288" i="1"/>
  <c r="U288" i="1"/>
  <c r="M288" i="1"/>
  <c r="L288" i="1"/>
  <c r="BF287" i="1"/>
  <c r="BG281" i="1"/>
  <c r="BG282" i="1"/>
  <c r="BG283" i="1"/>
  <c r="BG284" i="1"/>
  <c r="BG285" i="1"/>
  <c r="BG286" i="1"/>
  <c r="BG287" i="1"/>
  <c r="BE287" i="1"/>
  <c r="BD281" i="1"/>
  <c r="BD282" i="1"/>
  <c r="BD283" i="1"/>
  <c r="BD284" i="1"/>
  <c r="BD285" i="1"/>
  <c r="BD286" i="1"/>
  <c r="BD287" i="1"/>
  <c r="AW287" i="1"/>
  <c r="AV281" i="1"/>
  <c r="AV282" i="1"/>
  <c r="AV283" i="1"/>
  <c r="AV284" i="1"/>
  <c r="AV285" i="1"/>
  <c r="AV286" i="1"/>
  <c r="AV287" i="1"/>
  <c r="AN287" i="1"/>
  <c r="AM281" i="1"/>
  <c r="AM282" i="1"/>
  <c r="AM283" i="1"/>
  <c r="AM284" i="1"/>
  <c r="AM285" i="1"/>
  <c r="AM286" i="1"/>
  <c r="AM287" i="1"/>
  <c r="AE287" i="1"/>
  <c r="AD281" i="1"/>
  <c r="AD282" i="1"/>
  <c r="AD283" i="1"/>
  <c r="AD284" i="1"/>
  <c r="AD285" i="1"/>
  <c r="AD286" i="1"/>
  <c r="AD287" i="1"/>
  <c r="V287" i="1"/>
  <c r="U281" i="1"/>
  <c r="U282" i="1"/>
  <c r="U283" i="1"/>
  <c r="U284" i="1"/>
  <c r="U285" i="1"/>
  <c r="U286" i="1"/>
  <c r="U287" i="1"/>
  <c r="P287" i="1"/>
  <c r="N287" i="1"/>
  <c r="O287" i="1"/>
  <c r="M287" i="1"/>
  <c r="L281" i="1"/>
  <c r="L282" i="1"/>
  <c r="L283" i="1"/>
  <c r="L284" i="1"/>
  <c r="L285" i="1"/>
  <c r="L286" i="1"/>
  <c r="L287" i="1"/>
  <c r="M286" i="1"/>
  <c r="M285" i="1"/>
  <c r="M284" i="1"/>
  <c r="M283" i="1"/>
  <c r="M282" i="1"/>
  <c r="M281" i="1"/>
  <c r="AX275" i="1"/>
  <c r="AX278" i="1"/>
  <c r="AY275" i="1"/>
  <c r="AY278" i="1"/>
  <c r="BA275" i="1"/>
  <c r="BA278" i="1"/>
  <c r="BB275" i="1"/>
  <c r="BB278" i="1"/>
  <c r="BC278" i="1"/>
  <c r="BC269" i="1"/>
  <c r="BC270" i="1"/>
  <c r="BC271" i="1"/>
  <c r="BC272" i="1"/>
  <c r="BC273" i="1"/>
  <c r="BC274" i="1"/>
  <c r="BC275" i="1"/>
  <c r="BC276" i="1"/>
  <c r="BC277" i="1"/>
  <c r="BD278" i="1"/>
  <c r="AO275" i="1"/>
  <c r="AO278" i="1"/>
  <c r="AP275" i="1"/>
  <c r="AP278" i="1"/>
  <c r="AQ275" i="1"/>
  <c r="AQ278" i="1"/>
  <c r="AR275" i="1"/>
  <c r="AR278" i="1"/>
  <c r="AT275" i="1"/>
  <c r="AT278" i="1"/>
  <c r="AU278" i="1"/>
  <c r="AU269" i="1"/>
  <c r="AU270" i="1"/>
  <c r="AU271" i="1"/>
  <c r="AU272" i="1"/>
  <c r="AU273" i="1"/>
  <c r="AU274" i="1"/>
  <c r="AU275" i="1"/>
  <c r="AU276" i="1"/>
  <c r="AU277" i="1"/>
  <c r="AV278" i="1"/>
  <c r="AF275" i="1"/>
  <c r="AF278" i="1"/>
  <c r="AG275" i="1"/>
  <c r="AG278" i="1"/>
  <c r="AI275" i="1"/>
  <c r="AI278" i="1"/>
  <c r="AJ275" i="1"/>
  <c r="AJ278" i="1"/>
  <c r="AK275" i="1"/>
  <c r="AK278" i="1"/>
  <c r="AL278" i="1"/>
  <c r="AL269" i="1"/>
  <c r="AL270" i="1"/>
  <c r="AL271" i="1"/>
  <c r="AL272" i="1"/>
  <c r="AL273" i="1"/>
  <c r="AL274" i="1"/>
  <c r="AL275" i="1"/>
  <c r="AL276" i="1"/>
  <c r="AL277" i="1"/>
  <c r="AM278" i="1"/>
  <c r="W275" i="1"/>
  <c r="W278" i="1"/>
  <c r="X275" i="1"/>
  <c r="X278" i="1"/>
  <c r="Y275" i="1"/>
  <c r="Y278" i="1"/>
  <c r="AA275" i="1"/>
  <c r="AA278" i="1"/>
  <c r="AB275" i="1"/>
  <c r="AB278" i="1"/>
  <c r="AC278" i="1"/>
  <c r="AC269" i="1"/>
  <c r="AC270" i="1"/>
  <c r="AC271" i="1"/>
  <c r="AC272" i="1"/>
  <c r="AC273" i="1"/>
  <c r="AC274" i="1"/>
  <c r="AC275" i="1"/>
  <c r="AC276" i="1"/>
  <c r="AC277" i="1"/>
  <c r="AD278" i="1"/>
  <c r="Q275" i="1"/>
  <c r="Q278" i="1"/>
  <c r="R275" i="1"/>
  <c r="R278" i="1"/>
  <c r="S275" i="1"/>
  <c r="S278" i="1"/>
  <c r="T278" i="1"/>
  <c r="T269" i="1"/>
  <c r="T270" i="1"/>
  <c r="T271" i="1"/>
  <c r="T272" i="1"/>
  <c r="T273" i="1"/>
  <c r="T274" i="1"/>
  <c r="T275" i="1"/>
  <c r="T276" i="1"/>
  <c r="T277" i="1"/>
  <c r="U278" i="1"/>
  <c r="N278" i="1"/>
  <c r="C275" i="1"/>
  <c r="C278" i="1"/>
  <c r="D275" i="1"/>
  <c r="D278" i="1"/>
  <c r="E275" i="1"/>
  <c r="E278" i="1"/>
  <c r="F275" i="1"/>
  <c r="F278" i="1"/>
  <c r="H275" i="1"/>
  <c r="H278" i="1"/>
  <c r="I275" i="1"/>
  <c r="I278" i="1"/>
  <c r="J275" i="1"/>
  <c r="J278" i="1"/>
  <c r="K278" i="1"/>
  <c r="O278" i="1"/>
  <c r="K269" i="1"/>
  <c r="K270" i="1"/>
  <c r="K271" i="1"/>
  <c r="K272" i="1"/>
  <c r="K273" i="1"/>
  <c r="K274" i="1"/>
  <c r="K275" i="1"/>
  <c r="K276" i="1"/>
  <c r="K277" i="1"/>
  <c r="M278" i="1"/>
  <c r="L278" i="1"/>
  <c r="BD277" i="1"/>
  <c r="AV277" i="1"/>
  <c r="AM277" i="1"/>
  <c r="AD277" i="1"/>
  <c r="U277" i="1"/>
  <c r="M277" i="1"/>
  <c r="L277" i="1"/>
  <c r="BD276" i="1"/>
  <c r="AV276" i="1"/>
  <c r="AM276" i="1"/>
  <c r="AD276" i="1"/>
  <c r="U276" i="1"/>
  <c r="M276" i="1"/>
  <c r="L276" i="1"/>
  <c r="BF275" i="1"/>
  <c r="BG269" i="1"/>
  <c r="BG270" i="1"/>
  <c r="BG271" i="1"/>
  <c r="BG272" i="1"/>
  <c r="BG273" i="1"/>
  <c r="BG274" i="1"/>
  <c r="BG275" i="1"/>
  <c r="BE275" i="1"/>
  <c r="BD269" i="1"/>
  <c r="BD270" i="1"/>
  <c r="BD271" i="1"/>
  <c r="BD272" i="1"/>
  <c r="BD273" i="1"/>
  <c r="BD274" i="1"/>
  <c r="BD275" i="1"/>
  <c r="AW275" i="1"/>
  <c r="AV269" i="1"/>
  <c r="AV270" i="1"/>
  <c r="AV271" i="1"/>
  <c r="AV272" i="1"/>
  <c r="AV273" i="1"/>
  <c r="AV274" i="1"/>
  <c r="AV275" i="1"/>
  <c r="AN275" i="1"/>
  <c r="AM269" i="1"/>
  <c r="AM270" i="1"/>
  <c r="AM271" i="1"/>
  <c r="AM272" i="1"/>
  <c r="AM273" i="1"/>
  <c r="AM274" i="1"/>
  <c r="AM275" i="1"/>
  <c r="AE275" i="1"/>
  <c r="AD269" i="1"/>
  <c r="AD270" i="1"/>
  <c r="AD271" i="1"/>
  <c r="AD272" i="1"/>
  <c r="AD273" i="1"/>
  <c r="AD274" i="1"/>
  <c r="AD275" i="1"/>
  <c r="V275" i="1"/>
  <c r="U269" i="1"/>
  <c r="U270" i="1"/>
  <c r="U271" i="1"/>
  <c r="U272" i="1"/>
  <c r="U273" i="1"/>
  <c r="U274" i="1"/>
  <c r="U275" i="1"/>
  <c r="P275" i="1"/>
  <c r="N275" i="1"/>
  <c r="O275" i="1"/>
  <c r="M275" i="1"/>
  <c r="L269" i="1"/>
  <c r="L270" i="1"/>
  <c r="L271" i="1"/>
  <c r="L272" i="1"/>
  <c r="L273" i="1"/>
  <c r="L274" i="1"/>
  <c r="L275" i="1"/>
  <c r="M274" i="1"/>
  <c r="M273" i="1"/>
  <c r="M272" i="1"/>
  <c r="M271" i="1"/>
  <c r="M270" i="1"/>
  <c r="M269" i="1"/>
  <c r="AX263" i="1"/>
  <c r="AX266" i="1"/>
  <c r="AY263" i="1"/>
  <c r="AY266" i="1"/>
  <c r="AZ263" i="1"/>
  <c r="AZ266" i="1"/>
  <c r="BA263" i="1"/>
  <c r="BA266" i="1"/>
  <c r="BB263" i="1"/>
  <c r="BB266" i="1"/>
  <c r="BC266" i="1"/>
  <c r="BC260" i="1"/>
  <c r="BC261" i="1"/>
  <c r="BC262" i="1"/>
  <c r="BC263" i="1"/>
  <c r="BC264" i="1"/>
  <c r="BC265" i="1"/>
  <c r="BD266" i="1"/>
  <c r="AO263" i="1"/>
  <c r="AO266" i="1"/>
  <c r="AP263" i="1"/>
  <c r="AP266" i="1"/>
  <c r="AQ263" i="1"/>
  <c r="AQ266" i="1"/>
  <c r="AR263" i="1"/>
  <c r="AR266" i="1"/>
  <c r="AS263" i="1"/>
  <c r="AS266" i="1"/>
  <c r="AT263" i="1"/>
  <c r="AT266" i="1"/>
  <c r="AU266" i="1"/>
  <c r="AU260" i="1"/>
  <c r="AU261" i="1"/>
  <c r="AU262" i="1"/>
  <c r="AU263" i="1"/>
  <c r="AU264" i="1"/>
  <c r="AU265" i="1"/>
  <c r="AV266" i="1"/>
  <c r="AF263" i="1"/>
  <c r="AF266" i="1"/>
  <c r="AG263" i="1"/>
  <c r="AG266" i="1"/>
  <c r="AH263" i="1"/>
  <c r="AH266" i="1"/>
  <c r="AI263" i="1"/>
  <c r="AI266" i="1"/>
  <c r="AJ263" i="1"/>
  <c r="AJ266" i="1"/>
  <c r="AK263" i="1"/>
  <c r="AK266" i="1"/>
  <c r="AL266" i="1"/>
  <c r="AL260" i="1"/>
  <c r="AL261" i="1"/>
  <c r="AL262" i="1"/>
  <c r="AL263" i="1"/>
  <c r="AL264" i="1"/>
  <c r="AL265" i="1"/>
  <c r="AM266" i="1"/>
  <c r="W263" i="1"/>
  <c r="W266" i="1"/>
  <c r="X263" i="1"/>
  <c r="X266" i="1"/>
  <c r="Y263" i="1"/>
  <c r="Y266" i="1"/>
  <c r="Z263" i="1"/>
  <c r="Z266" i="1"/>
  <c r="AA263" i="1"/>
  <c r="AA266" i="1"/>
  <c r="AB263" i="1"/>
  <c r="AB266" i="1"/>
  <c r="AC266" i="1"/>
  <c r="AC260" i="1"/>
  <c r="AC261" i="1"/>
  <c r="AC262" i="1"/>
  <c r="AC263" i="1"/>
  <c r="AC264" i="1"/>
  <c r="AC265" i="1"/>
  <c r="AD266" i="1"/>
  <c r="Q263" i="1"/>
  <c r="Q266" i="1"/>
  <c r="R263" i="1"/>
  <c r="R266" i="1"/>
  <c r="S263" i="1"/>
  <c r="S266" i="1"/>
  <c r="T266" i="1"/>
  <c r="T260" i="1"/>
  <c r="T261" i="1"/>
  <c r="T262" i="1"/>
  <c r="T263" i="1"/>
  <c r="T264" i="1"/>
  <c r="T265" i="1"/>
  <c r="U266" i="1"/>
  <c r="N266" i="1"/>
  <c r="B263" i="1"/>
  <c r="B266" i="1"/>
  <c r="G263" i="1"/>
  <c r="G266" i="1"/>
  <c r="K266" i="1"/>
  <c r="O266" i="1"/>
  <c r="K263" i="1"/>
  <c r="K264" i="1"/>
  <c r="K265" i="1"/>
  <c r="M266" i="1"/>
  <c r="L266" i="1"/>
  <c r="BD265" i="1"/>
  <c r="AV265" i="1"/>
  <c r="AM265" i="1"/>
  <c r="AD265" i="1"/>
  <c r="U265" i="1"/>
  <c r="M265" i="1"/>
  <c r="L265" i="1"/>
  <c r="BD264" i="1"/>
  <c r="AV264" i="1"/>
  <c r="AM264" i="1"/>
  <c r="AD264" i="1"/>
  <c r="U264" i="1"/>
  <c r="M264" i="1"/>
  <c r="L264" i="1"/>
  <c r="BD260" i="1"/>
  <c r="BD263" i="1"/>
  <c r="AV260" i="1"/>
  <c r="AV261" i="1"/>
  <c r="AV262" i="1"/>
  <c r="AV263" i="1"/>
  <c r="AM260" i="1"/>
  <c r="AM261" i="1"/>
  <c r="AM262" i="1"/>
  <c r="AM263" i="1"/>
  <c r="N263" i="1"/>
  <c r="O263" i="1"/>
  <c r="M263" i="1"/>
  <c r="K260" i="1"/>
  <c r="L260" i="1"/>
  <c r="K261" i="1"/>
  <c r="L261" i="1"/>
  <c r="K262" i="1"/>
  <c r="L262" i="1"/>
  <c r="L263" i="1"/>
  <c r="BD262" i="1"/>
  <c r="M262" i="1"/>
  <c r="BD261" i="1"/>
  <c r="M261" i="1"/>
  <c r="M260" i="1"/>
  <c r="AX254" i="1"/>
  <c r="AX257" i="1"/>
  <c r="AY254" i="1"/>
  <c r="AY257" i="1"/>
  <c r="AZ254" i="1"/>
  <c r="AZ257" i="1"/>
  <c r="BA254" i="1"/>
  <c r="BA257" i="1"/>
  <c r="BB254" i="1"/>
  <c r="BB257" i="1"/>
  <c r="BC257" i="1"/>
  <c r="BC250" i="1"/>
  <c r="BC251" i="1"/>
  <c r="BC252" i="1"/>
  <c r="BC253" i="1"/>
  <c r="BC254" i="1"/>
  <c r="BC255" i="1"/>
  <c r="BC256" i="1"/>
  <c r="BD257" i="1"/>
  <c r="AO254" i="1"/>
  <c r="AO257" i="1"/>
  <c r="AP254" i="1"/>
  <c r="AP257" i="1"/>
  <c r="AQ254" i="1"/>
  <c r="AQ257" i="1"/>
  <c r="AR254" i="1"/>
  <c r="AR257" i="1"/>
  <c r="AT254" i="1"/>
  <c r="AT257" i="1"/>
  <c r="AU257" i="1"/>
  <c r="AU250" i="1"/>
  <c r="AU251" i="1"/>
  <c r="AU252" i="1"/>
  <c r="AU253" i="1"/>
  <c r="AU254" i="1"/>
  <c r="AU255" i="1"/>
  <c r="AU256" i="1"/>
  <c r="AV257" i="1"/>
  <c r="AF254" i="1"/>
  <c r="AF257" i="1"/>
  <c r="AG254" i="1"/>
  <c r="AG257" i="1"/>
  <c r="AI254" i="1"/>
  <c r="AI257" i="1"/>
  <c r="AJ254" i="1"/>
  <c r="AJ257" i="1"/>
  <c r="AK254" i="1"/>
  <c r="AK257" i="1"/>
  <c r="AL257" i="1"/>
  <c r="AL250" i="1"/>
  <c r="AL251" i="1"/>
  <c r="AL252" i="1"/>
  <c r="AL253" i="1"/>
  <c r="AL254" i="1"/>
  <c r="AL255" i="1"/>
  <c r="AL256" i="1"/>
  <c r="AM257" i="1"/>
  <c r="W254" i="1"/>
  <c r="W257" i="1"/>
  <c r="X254" i="1"/>
  <c r="X257" i="1"/>
  <c r="Y254" i="1"/>
  <c r="Y257" i="1"/>
  <c r="AA254" i="1"/>
  <c r="AA257" i="1"/>
  <c r="AB254" i="1"/>
  <c r="AB257" i="1"/>
  <c r="AC257" i="1"/>
  <c r="AC250" i="1"/>
  <c r="AC251" i="1"/>
  <c r="AC252" i="1"/>
  <c r="AC253" i="1"/>
  <c r="AC254" i="1"/>
  <c r="AC255" i="1"/>
  <c r="AC256" i="1"/>
  <c r="AD257" i="1"/>
  <c r="Q254" i="1"/>
  <c r="Q257" i="1"/>
  <c r="R254" i="1"/>
  <c r="R257" i="1"/>
  <c r="S254" i="1"/>
  <c r="S257" i="1"/>
  <c r="T257" i="1"/>
  <c r="T250" i="1"/>
  <c r="T251" i="1"/>
  <c r="T252" i="1"/>
  <c r="T253" i="1"/>
  <c r="T254" i="1"/>
  <c r="T255" i="1"/>
  <c r="T256" i="1"/>
  <c r="U257" i="1"/>
  <c r="N257" i="1"/>
  <c r="C254" i="1"/>
  <c r="C257" i="1"/>
  <c r="D254" i="1"/>
  <c r="D257" i="1"/>
  <c r="E254" i="1"/>
  <c r="E257" i="1"/>
  <c r="F254" i="1"/>
  <c r="F257" i="1"/>
  <c r="H254" i="1"/>
  <c r="H257" i="1"/>
  <c r="I254" i="1"/>
  <c r="I257" i="1"/>
  <c r="J254" i="1"/>
  <c r="J257" i="1"/>
  <c r="K257" i="1"/>
  <c r="O257" i="1"/>
  <c r="K250" i="1"/>
  <c r="K251" i="1"/>
  <c r="K252" i="1"/>
  <c r="K253" i="1"/>
  <c r="K254" i="1"/>
  <c r="K255" i="1"/>
  <c r="K256" i="1"/>
  <c r="M257" i="1"/>
  <c r="L257" i="1"/>
  <c r="BD256" i="1"/>
  <c r="AV256" i="1"/>
  <c r="AM256" i="1"/>
  <c r="AD256" i="1"/>
  <c r="U256" i="1"/>
  <c r="M256" i="1"/>
  <c r="L256" i="1"/>
  <c r="BD255" i="1"/>
  <c r="AV255" i="1"/>
  <c r="AM255" i="1"/>
  <c r="AD255" i="1"/>
  <c r="U255" i="1"/>
  <c r="M255" i="1"/>
  <c r="L255" i="1"/>
  <c r="BF254" i="1"/>
  <c r="BG250" i="1"/>
  <c r="BG251" i="1"/>
  <c r="BG252" i="1"/>
  <c r="BG253" i="1"/>
  <c r="BG254" i="1"/>
  <c r="BE254" i="1"/>
  <c r="BD250" i="1"/>
  <c r="BD251" i="1"/>
  <c r="BD252" i="1"/>
  <c r="BD253" i="1"/>
  <c r="BD254" i="1"/>
  <c r="AW254" i="1"/>
  <c r="AV250" i="1"/>
  <c r="AV251" i="1"/>
  <c r="AV252" i="1"/>
  <c r="AV253" i="1"/>
  <c r="AV254" i="1"/>
  <c r="AN254" i="1"/>
  <c r="AM250" i="1"/>
  <c r="AM251" i="1"/>
  <c r="AM252" i="1"/>
  <c r="AM253" i="1"/>
  <c r="AM254" i="1"/>
  <c r="AE254" i="1"/>
  <c r="AD250" i="1"/>
  <c r="AD251" i="1"/>
  <c r="AD252" i="1"/>
  <c r="AD253" i="1"/>
  <c r="AD254" i="1"/>
  <c r="V254" i="1"/>
  <c r="U250" i="1"/>
  <c r="U251" i="1"/>
  <c r="U252" i="1"/>
  <c r="U253" i="1"/>
  <c r="U254" i="1"/>
  <c r="P254" i="1"/>
  <c r="N254" i="1"/>
  <c r="O254" i="1"/>
  <c r="M254" i="1"/>
  <c r="L250" i="1"/>
  <c r="L251" i="1"/>
  <c r="L252" i="1"/>
  <c r="L253" i="1"/>
  <c r="L254" i="1"/>
  <c r="M253" i="1"/>
  <c r="M252" i="1"/>
  <c r="M251" i="1"/>
  <c r="M250" i="1"/>
  <c r="AX244" i="1"/>
  <c r="AX247" i="1"/>
  <c r="AY244" i="1"/>
  <c r="AY247" i="1"/>
  <c r="AZ244" i="1"/>
  <c r="AZ247" i="1"/>
  <c r="BA244" i="1"/>
  <c r="BA247" i="1"/>
  <c r="BB244" i="1"/>
  <c r="BB247" i="1"/>
  <c r="BC247" i="1"/>
  <c r="BC238" i="1"/>
  <c r="BC239" i="1"/>
  <c r="BC240" i="1"/>
  <c r="BC241" i="1"/>
  <c r="BC242" i="1"/>
  <c r="BC243" i="1"/>
  <c r="BC244" i="1"/>
  <c r="BC245" i="1"/>
  <c r="BC246" i="1"/>
  <c r="BD247" i="1"/>
  <c r="AO244" i="1"/>
  <c r="AO247" i="1"/>
  <c r="AP244" i="1"/>
  <c r="AP247" i="1"/>
  <c r="AQ244" i="1"/>
  <c r="AQ247" i="1"/>
  <c r="AR244" i="1"/>
  <c r="AR247" i="1"/>
  <c r="AS244" i="1"/>
  <c r="AS247" i="1"/>
  <c r="AT244" i="1"/>
  <c r="AT247" i="1"/>
  <c r="AU247" i="1"/>
  <c r="AU238" i="1"/>
  <c r="AU239" i="1"/>
  <c r="AU240" i="1"/>
  <c r="AU241" i="1"/>
  <c r="AU242" i="1"/>
  <c r="AU243" i="1"/>
  <c r="AU244" i="1"/>
  <c r="AU245" i="1"/>
  <c r="AU246" i="1"/>
  <c r="AV247" i="1"/>
  <c r="AF244" i="1"/>
  <c r="AF247" i="1"/>
  <c r="AG244" i="1"/>
  <c r="AG247" i="1"/>
  <c r="AH244" i="1"/>
  <c r="AH247" i="1"/>
  <c r="AI244" i="1"/>
  <c r="AI247" i="1"/>
  <c r="AJ244" i="1"/>
  <c r="AJ247" i="1"/>
  <c r="AK244" i="1"/>
  <c r="AK247" i="1"/>
  <c r="AL247" i="1"/>
  <c r="AL238" i="1"/>
  <c r="AL239" i="1"/>
  <c r="AL240" i="1"/>
  <c r="AL241" i="1"/>
  <c r="AL242" i="1"/>
  <c r="AL243" i="1"/>
  <c r="AL244" i="1"/>
  <c r="AL245" i="1"/>
  <c r="AL246" i="1"/>
  <c r="AM247" i="1"/>
  <c r="W244" i="1"/>
  <c r="W247" i="1"/>
  <c r="X244" i="1"/>
  <c r="X247" i="1"/>
  <c r="Y244" i="1"/>
  <c r="Y247" i="1"/>
  <c r="Z244" i="1"/>
  <c r="Z247" i="1"/>
  <c r="AA244" i="1"/>
  <c r="AA247" i="1"/>
  <c r="AB244" i="1"/>
  <c r="AB247" i="1"/>
  <c r="AC247" i="1"/>
  <c r="AC238" i="1"/>
  <c r="AC239" i="1"/>
  <c r="AC240" i="1"/>
  <c r="AC241" i="1"/>
  <c r="AC242" i="1"/>
  <c r="AC243" i="1"/>
  <c r="AC244" i="1"/>
  <c r="AC245" i="1"/>
  <c r="AC246" i="1"/>
  <c r="AD247" i="1"/>
  <c r="Q244" i="1"/>
  <c r="Q247" i="1"/>
  <c r="R244" i="1"/>
  <c r="R247" i="1"/>
  <c r="S244" i="1"/>
  <c r="S247" i="1"/>
  <c r="T247" i="1"/>
  <c r="T238" i="1"/>
  <c r="T239" i="1"/>
  <c r="T240" i="1"/>
  <c r="T241" i="1"/>
  <c r="T242" i="1"/>
  <c r="T243" i="1"/>
  <c r="T244" i="1"/>
  <c r="T245" i="1"/>
  <c r="T246" i="1"/>
  <c r="U247" i="1"/>
  <c r="N247" i="1"/>
  <c r="B244" i="1"/>
  <c r="B247" i="1"/>
  <c r="C244" i="1"/>
  <c r="C247" i="1"/>
  <c r="D244" i="1"/>
  <c r="D247" i="1"/>
  <c r="E244" i="1"/>
  <c r="E247" i="1"/>
  <c r="F244" i="1"/>
  <c r="F247" i="1"/>
  <c r="G244" i="1"/>
  <c r="G247" i="1"/>
  <c r="H244" i="1"/>
  <c r="H247" i="1"/>
  <c r="I244" i="1"/>
  <c r="I247" i="1"/>
  <c r="J244" i="1"/>
  <c r="J247" i="1"/>
  <c r="K247" i="1"/>
  <c r="O247" i="1"/>
  <c r="K238" i="1"/>
  <c r="K239" i="1"/>
  <c r="K240" i="1"/>
  <c r="K241" i="1"/>
  <c r="K242" i="1"/>
  <c r="K243" i="1"/>
  <c r="K244" i="1"/>
  <c r="K245" i="1"/>
  <c r="K246" i="1"/>
  <c r="M247" i="1"/>
  <c r="L247" i="1"/>
  <c r="BD246" i="1"/>
  <c r="AV246" i="1"/>
  <c r="AM246" i="1"/>
  <c r="AD246" i="1"/>
  <c r="U246" i="1"/>
  <c r="M246" i="1"/>
  <c r="L246" i="1"/>
  <c r="BD245" i="1"/>
  <c r="AV245" i="1"/>
  <c r="AM245" i="1"/>
  <c r="AD245" i="1"/>
  <c r="U245" i="1"/>
  <c r="M245" i="1"/>
  <c r="L245" i="1"/>
  <c r="BF244" i="1"/>
  <c r="BG238" i="1"/>
  <c r="BG239" i="1"/>
  <c r="BG240" i="1"/>
  <c r="BG241" i="1"/>
  <c r="BG242" i="1"/>
  <c r="BG243" i="1"/>
  <c r="BG244" i="1"/>
  <c r="BE244" i="1"/>
  <c r="BD238" i="1"/>
  <c r="BD239" i="1"/>
  <c r="BD240" i="1"/>
  <c r="BD241" i="1"/>
  <c r="BD242" i="1"/>
  <c r="BD243" i="1"/>
  <c r="BD244" i="1"/>
  <c r="AW244" i="1"/>
  <c r="AV238" i="1"/>
  <c r="AV239" i="1"/>
  <c r="AV240" i="1"/>
  <c r="AV241" i="1"/>
  <c r="AV242" i="1"/>
  <c r="AV243" i="1"/>
  <c r="AV244" i="1"/>
  <c r="AN244" i="1"/>
  <c r="AM238" i="1"/>
  <c r="AM239" i="1"/>
  <c r="AM240" i="1"/>
  <c r="AM241" i="1"/>
  <c r="AM242" i="1"/>
  <c r="AM243" i="1"/>
  <c r="AM244" i="1"/>
  <c r="AE244" i="1"/>
  <c r="AD238" i="1"/>
  <c r="AD239" i="1"/>
  <c r="AD240" i="1"/>
  <c r="AD241" i="1"/>
  <c r="AD242" i="1"/>
  <c r="AD243" i="1"/>
  <c r="AD244" i="1"/>
  <c r="V244" i="1"/>
  <c r="U238" i="1"/>
  <c r="U239" i="1"/>
  <c r="U240" i="1"/>
  <c r="U241" i="1"/>
  <c r="U242" i="1"/>
  <c r="U243" i="1"/>
  <c r="U244" i="1"/>
  <c r="P244" i="1"/>
  <c r="N244" i="1"/>
  <c r="O244" i="1"/>
  <c r="M244" i="1"/>
  <c r="L238" i="1"/>
  <c r="L239" i="1"/>
  <c r="L240" i="1"/>
  <c r="L241" i="1"/>
  <c r="L242" i="1"/>
  <c r="L243" i="1"/>
  <c r="L244" i="1"/>
  <c r="M243" i="1"/>
  <c r="M242" i="1"/>
  <c r="M241" i="1"/>
  <c r="M240" i="1"/>
  <c r="M239" i="1"/>
  <c r="M238" i="1"/>
  <c r="AX232" i="1"/>
  <c r="AX235" i="1"/>
  <c r="AY232" i="1"/>
  <c r="AY235" i="1"/>
  <c r="BA232" i="1"/>
  <c r="BA235" i="1"/>
  <c r="BB232" i="1"/>
  <c r="BB235" i="1"/>
  <c r="BC235" i="1"/>
  <c r="BC226" i="1"/>
  <c r="BC227" i="1"/>
  <c r="BC228" i="1"/>
  <c r="BC229" i="1"/>
  <c r="BC230" i="1"/>
  <c r="BC231" i="1"/>
  <c r="BC232" i="1"/>
  <c r="BC233" i="1"/>
  <c r="BC234" i="1"/>
  <c r="BD235" i="1"/>
  <c r="AO232" i="1"/>
  <c r="AO235" i="1"/>
  <c r="AP232" i="1"/>
  <c r="AP235" i="1"/>
  <c r="AQ232" i="1"/>
  <c r="AQ235" i="1"/>
  <c r="AR232" i="1"/>
  <c r="AR235" i="1"/>
  <c r="AT232" i="1"/>
  <c r="AT235" i="1"/>
  <c r="AU235" i="1"/>
  <c r="AU226" i="1"/>
  <c r="AU227" i="1"/>
  <c r="AU228" i="1"/>
  <c r="AU229" i="1"/>
  <c r="AU230" i="1"/>
  <c r="AU231" i="1"/>
  <c r="AU232" i="1"/>
  <c r="AU233" i="1"/>
  <c r="AU234" i="1"/>
  <c r="AV235" i="1"/>
  <c r="AF232" i="1"/>
  <c r="AF235" i="1"/>
  <c r="AG232" i="1"/>
  <c r="AG235" i="1"/>
  <c r="AI232" i="1"/>
  <c r="AI235" i="1"/>
  <c r="AJ232" i="1"/>
  <c r="AJ235" i="1"/>
  <c r="AK232" i="1"/>
  <c r="AK235" i="1"/>
  <c r="AL235" i="1"/>
  <c r="AL226" i="1"/>
  <c r="AL227" i="1"/>
  <c r="AL228" i="1"/>
  <c r="AL229" i="1"/>
  <c r="AL230" i="1"/>
  <c r="AL231" i="1"/>
  <c r="AL232" i="1"/>
  <c r="AL233" i="1"/>
  <c r="AL234" i="1"/>
  <c r="AM235" i="1"/>
  <c r="W232" i="1"/>
  <c r="W235" i="1"/>
  <c r="X232" i="1"/>
  <c r="X235" i="1"/>
  <c r="Y232" i="1"/>
  <c r="Y235" i="1"/>
  <c r="AA232" i="1"/>
  <c r="AA235" i="1"/>
  <c r="AB232" i="1"/>
  <c r="AB235" i="1"/>
  <c r="AC235" i="1"/>
  <c r="AC226" i="1"/>
  <c r="AC227" i="1"/>
  <c r="AC228" i="1"/>
  <c r="AC229" i="1"/>
  <c r="AC230" i="1"/>
  <c r="AC231" i="1"/>
  <c r="AC232" i="1"/>
  <c r="AC233" i="1"/>
  <c r="AC234" i="1"/>
  <c r="AD235" i="1"/>
  <c r="Q232" i="1"/>
  <c r="Q235" i="1"/>
  <c r="R232" i="1"/>
  <c r="R235" i="1"/>
  <c r="S232" i="1"/>
  <c r="S235" i="1"/>
  <c r="T235" i="1"/>
  <c r="T226" i="1"/>
  <c r="T227" i="1"/>
  <c r="T228" i="1"/>
  <c r="T229" i="1"/>
  <c r="T230" i="1"/>
  <c r="T231" i="1"/>
  <c r="T232" i="1"/>
  <c r="T233" i="1"/>
  <c r="T234" i="1"/>
  <c r="U235" i="1"/>
  <c r="N235" i="1"/>
  <c r="C232" i="1"/>
  <c r="C235" i="1"/>
  <c r="D232" i="1"/>
  <c r="D235" i="1"/>
  <c r="E232" i="1"/>
  <c r="E235" i="1"/>
  <c r="F232" i="1"/>
  <c r="F235" i="1"/>
  <c r="H232" i="1"/>
  <c r="H235" i="1"/>
  <c r="I232" i="1"/>
  <c r="I235" i="1"/>
  <c r="J232" i="1"/>
  <c r="J235" i="1"/>
  <c r="K235" i="1"/>
  <c r="K226" i="1"/>
  <c r="K227" i="1"/>
  <c r="K228" i="1"/>
  <c r="K229" i="1"/>
  <c r="K230" i="1"/>
  <c r="K231" i="1"/>
  <c r="K232" i="1"/>
  <c r="K233" i="1"/>
  <c r="K234" i="1"/>
  <c r="M235" i="1"/>
  <c r="L235" i="1"/>
  <c r="BD234" i="1"/>
  <c r="AV234" i="1"/>
  <c r="AM234" i="1"/>
  <c r="AD234" i="1"/>
  <c r="U234" i="1"/>
  <c r="M234" i="1"/>
  <c r="L234" i="1"/>
  <c r="BD233" i="1"/>
  <c r="AV233" i="1"/>
  <c r="AM233" i="1"/>
  <c r="AD233" i="1"/>
  <c r="U233" i="1"/>
  <c r="M233" i="1"/>
  <c r="L233" i="1"/>
  <c r="BF232" i="1"/>
  <c r="BG226" i="1"/>
  <c r="BG227" i="1"/>
  <c r="BG228" i="1"/>
  <c r="BG229" i="1"/>
  <c r="BG230" i="1"/>
  <c r="BG231" i="1"/>
  <c r="BG232" i="1"/>
  <c r="BE232" i="1"/>
  <c r="BD226" i="1"/>
  <c r="BD227" i="1"/>
  <c r="BD228" i="1"/>
  <c r="BD229" i="1"/>
  <c r="BD230" i="1"/>
  <c r="BD231" i="1"/>
  <c r="BD232" i="1"/>
  <c r="AW232" i="1"/>
  <c r="AV226" i="1"/>
  <c r="AV227" i="1"/>
  <c r="AV228" i="1"/>
  <c r="AV229" i="1"/>
  <c r="AV230" i="1"/>
  <c r="AV231" i="1"/>
  <c r="AV232" i="1"/>
  <c r="AN232" i="1"/>
  <c r="AM226" i="1"/>
  <c r="AM227" i="1"/>
  <c r="AM228" i="1"/>
  <c r="AM229" i="1"/>
  <c r="AM230" i="1"/>
  <c r="AM231" i="1"/>
  <c r="AM232" i="1"/>
  <c r="AE232" i="1"/>
  <c r="AD226" i="1"/>
  <c r="AD227" i="1"/>
  <c r="AD228" i="1"/>
  <c r="AD229" i="1"/>
  <c r="AD230" i="1"/>
  <c r="AD231" i="1"/>
  <c r="AD232" i="1"/>
  <c r="V232" i="1"/>
  <c r="U226" i="1"/>
  <c r="U227" i="1"/>
  <c r="U228" i="1"/>
  <c r="U229" i="1"/>
  <c r="U230" i="1"/>
  <c r="U231" i="1"/>
  <c r="U232" i="1"/>
  <c r="P232" i="1"/>
  <c r="N232" i="1"/>
  <c r="O232" i="1"/>
  <c r="M232" i="1"/>
  <c r="L226" i="1"/>
  <c r="L227" i="1"/>
  <c r="L228" i="1"/>
  <c r="L229" i="1"/>
  <c r="L230" i="1"/>
  <c r="L231" i="1"/>
  <c r="L232" i="1"/>
  <c r="M231" i="1"/>
  <c r="M230" i="1"/>
  <c r="M229" i="1"/>
  <c r="M228" i="1"/>
  <c r="M227" i="1"/>
  <c r="M226" i="1"/>
  <c r="BC223" i="1"/>
  <c r="AU223" i="1"/>
  <c r="AL223" i="1"/>
  <c r="AC223" i="1"/>
  <c r="BC222" i="1"/>
  <c r="AU222" i="1"/>
  <c r="AL222" i="1"/>
  <c r="AC222" i="1"/>
  <c r="B219" i="1"/>
  <c r="B222" i="1"/>
  <c r="C219" i="1"/>
  <c r="C222" i="1"/>
  <c r="D219" i="1"/>
  <c r="D222" i="1"/>
  <c r="E219" i="1"/>
  <c r="E222" i="1"/>
  <c r="F219" i="1"/>
  <c r="F222" i="1"/>
  <c r="G219" i="1"/>
  <c r="G222" i="1"/>
  <c r="I219" i="1"/>
  <c r="I222" i="1"/>
  <c r="J219" i="1"/>
  <c r="J222" i="1"/>
  <c r="K222" i="1"/>
  <c r="K219" i="1"/>
  <c r="K220" i="1"/>
  <c r="K221" i="1"/>
  <c r="M222" i="1"/>
  <c r="L222" i="1"/>
  <c r="BC221" i="1"/>
  <c r="AU221" i="1"/>
  <c r="AL221" i="1"/>
  <c r="AC221" i="1"/>
  <c r="M221" i="1"/>
  <c r="L221" i="1"/>
  <c r="BC220" i="1"/>
  <c r="AU220" i="1"/>
  <c r="AL220" i="1"/>
  <c r="AC220" i="1"/>
  <c r="M220" i="1"/>
  <c r="L220" i="1"/>
  <c r="BC219" i="1"/>
  <c r="AU219" i="1"/>
  <c r="AL219" i="1"/>
  <c r="AC219" i="1"/>
  <c r="M219" i="1"/>
  <c r="K217" i="1"/>
  <c r="L217" i="1"/>
  <c r="K218" i="1"/>
  <c r="L218" i="1"/>
  <c r="L219" i="1"/>
  <c r="BC218" i="1"/>
  <c r="AU218" i="1"/>
  <c r="AL218" i="1"/>
  <c r="AC218" i="1"/>
  <c r="M218" i="1"/>
  <c r="BC217" i="1"/>
  <c r="AU217" i="1"/>
  <c r="AL217" i="1"/>
  <c r="AC217" i="1"/>
  <c r="M217" i="1"/>
  <c r="BC216" i="1"/>
  <c r="AU216" i="1"/>
  <c r="AL216" i="1"/>
  <c r="AC216" i="1"/>
  <c r="BC214" i="1"/>
  <c r="AU214" i="1"/>
  <c r="AL214" i="1"/>
  <c r="AC214" i="1"/>
  <c r="BC213" i="1"/>
  <c r="AU213" i="1"/>
  <c r="AL213" i="1"/>
  <c r="AC213" i="1"/>
  <c r="B210" i="1"/>
  <c r="B213" i="1"/>
  <c r="C210" i="1"/>
  <c r="C213" i="1"/>
  <c r="D210" i="1"/>
  <c r="D213" i="1"/>
  <c r="E210" i="1"/>
  <c r="E213" i="1"/>
  <c r="F210" i="1"/>
  <c r="F213" i="1"/>
  <c r="G210" i="1"/>
  <c r="G213" i="1"/>
  <c r="I210" i="1"/>
  <c r="I213" i="1"/>
  <c r="J210" i="1"/>
  <c r="J213" i="1"/>
  <c r="K213" i="1"/>
  <c r="K210" i="1"/>
  <c r="K211" i="1"/>
  <c r="K212" i="1"/>
  <c r="M213" i="1"/>
  <c r="L213" i="1"/>
  <c r="BC212" i="1"/>
  <c r="AU212" i="1"/>
  <c r="AL212" i="1"/>
  <c r="AC212" i="1"/>
  <c r="M212" i="1"/>
  <c r="L212" i="1"/>
  <c r="BC211" i="1"/>
  <c r="AU211" i="1"/>
  <c r="AL211" i="1"/>
  <c r="AC211" i="1"/>
  <c r="M211" i="1"/>
  <c r="L211" i="1"/>
  <c r="BC210" i="1"/>
  <c r="AU210" i="1"/>
  <c r="AL210" i="1"/>
  <c r="AC210" i="1"/>
  <c r="M210" i="1"/>
  <c r="K208" i="1"/>
  <c r="L208" i="1"/>
  <c r="K209" i="1"/>
  <c r="L209" i="1"/>
  <c r="L210" i="1"/>
  <c r="BC209" i="1"/>
  <c r="AU209" i="1"/>
  <c r="AL209" i="1"/>
  <c r="AC209" i="1"/>
  <c r="M209" i="1"/>
  <c r="BC208" i="1"/>
  <c r="AU208" i="1"/>
  <c r="AL208" i="1"/>
  <c r="AC208" i="1"/>
  <c r="M208" i="1"/>
  <c r="BC207" i="1"/>
  <c r="AU207" i="1"/>
  <c r="AL207" i="1"/>
  <c r="AC207" i="1"/>
  <c r="BC205" i="1"/>
  <c r="AU205" i="1"/>
  <c r="AL205" i="1"/>
  <c r="AC205" i="1"/>
  <c r="BC204" i="1"/>
  <c r="AU204" i="1"/>
  <c r="AL204" i="1"/>
  <c r="AC204" i="1"/>
  <c r="B201" i="1"/>
  <c r="B204" i="1"/>
  <c r="C201" i="1"/>
  <c r="C204" i="1"/>
  <c r="D201" i="1"/>
  <c r="D204" i="1"/>
  <c r="E201" i="1"/>
  <c r="E204" i="1"/>
  <c r="F201" i="1"/>
  <c r="F204" i="1"/>
  <c r="G201" i="1"/>
  <c r="G204" i="1"/>
  <c r="I201" i="1"/>
  <c r="I204" i="1"/>
  <c r="J201" i="1"/>
  <c r="J204" i="1"/>
  <c r="K204" i="1"/>
  <c r="K201" i="1"/>
  <c r="K202" i="1"/>
  <c r="K203" i="1"/>
  <c r="M204" i="1"/>
  <c r="L204" i="1"/>
  <c r="BC203" i="1"/>
  <c r="AU203" i="1"/>
  <c r="AL203" i="1"/>
  <c r="AC203" i="1"/>
  <c r="M203" i="1"/>
  <c r="L203" i="1"/>
  <c r="BC202" i="1"/>
  <c r="AU202" i="1"/>
  <c r="AL202" i="1"/>
  <c r="AC202" i="1"/>
  <c r="M202" i="1"/>
  <c r="L202" i="1"/>
  <c r="BC201" i="1"/>
  <c r="AU201" i="1"/>
  <c r="AL201" i="1"/>
  <c r="AC201" i="1"/>
  <c r="M201" i="1"/>
  <c r="K199" i="1"/>
  <c r="L199" i="1"/>
  <c r="K200" i="1"/>
  <c r="L200" i="1"/>
  <c r="L201" i="1"/>
  <c r="BC200" i="1"/>
  <c r="AU200" i="1"/>
  <c r="AL200" i="1"/>
  <c r="AC200" i="1"/>
  <c r="M200" i="1"/>
  <c r="BC199" i="1"/>
  <c r="AU199" i="1"/>
  <c r="AL199" i="1"/>
  <c r="AC199" i="1"/>
  <c r="M199" i="1"/>
  <c r="BC198" i="1"/>
  <c r="AU198" i="1"/>
  <c r="AL198" i="1"/>
  <c r="AC198" i="1"/>
  <c r="BC196" i="1"/>
  <c r="AU196" i="1"/>
  <c r="AL196" i="1"/>
  <c r="AC196" i="1"/>
  <c r="K196" i="1"/>
  <c r="AX192" i="1"/>
  <c r="AX195" i="1"/>
  <c r="AY192" i="1"/>
  <c r="AY195" i="1"/>
  <c r="AZ192" i="1"/>
  <c r="AZ195" i="1"/>
  <c r="BA192" i="1"/>
  <c r="BA195" i="1"/>
  <c r="BB192" i="1"/>
  <c r="BB195" i="1"/>
  <c r="BC195" i="1"/>
  <c r="BC190" i="1"/>
  <c r="BC191" i="1"/>
  <c r="BC192" i="1"/>
  <c r="BC193" i="1"/>
  <c r="BC194" i="1"/>
  <c r="BD195" i="1"/>
  <c r="AO192" i="1"/>
  <c r="AO195" i="1"/>
  <c r="AP192" i="1"/>
  <c r="AP195" i="1"/>
  <c r="AQ192" i="1"/>
  <c r="AQ195" i="1"/>
  <c r="AR192" i="1"/>
  <c r="AR195" i="1"/>
  <c r="AS192" i="1"/>
  <c r="AS195" i="1"/>
  <c r="AT192" i="1"/>
  <c r="AT195" i="1"/>
  <c r="AU195" i="1"/>
  <c r="AU190" i="1"/>
  <c r="AU191" i="1"/>
  <c r="AU192" i="1"/>
  <c r="AU193" i="1"/>
  <c r="AU194" i="1"/>
  <c r="AV195" i="1"/>
  <c r="AF192" i="1"/>
  <c r="AF195" i="1"/>
  <c r="AG192" i="1"/>
  <c r="AG195" i="1"/>
  <c r="AH192" i="1"/>
  <c r="AH195" i="1"/>
  <c r="AI192" i="1"/>
  <c r="AI195" i="1"/>
  <c r="AJ192" i="1"/>
  <c r="AJ195" i="1"/>
  <c r="AK192" i="1"/>
  <c r="AK195" i="1"/>
  <c r="AL195" i="1"/>
  <c r="AL190" i="1"/>
  <c r="AL191" i="1"/>
  <c r="AL192" i="1"/>
  <c r="AL193" i="1"/>
  <c r="AL194" i="1"/>
  <c r="AM195" i="1"/>
  <c r="W192" i="1"/>
  <c r="W195" i="1"/>
  <c r="X192" i="1"/>
  <c r="X195" i="1"/>
  <c r="Y192" i="1"/>
  <c r="Y195" i="1"/>
  <c r="Z192" i="1"/>
  <c r="Z195" i="1"/>
  <c r="AA192" i="1"/>
  <c r="AA195" i="1"/>
  <c r="AB192" i="1"/>
  <c r="AB195" i="1"/>
  <c r="AC195" i="1"/>
  <c r="AC190" i="1"/>
  <c r="AC191" i="1"/>
  <c r="AC192" i="1"/>
  <c r="AC193" i="1"/>
  <c r="AC194" i="1"/>
  <c r="AD195" i="1"/>
  <c r="S195" i="1"/>
  <c r="R193" i="1"/>
  <c r="R195" i="1"/>
  <c r="Q195" i="1"/>
  <c r="N195" i="1"/>
  <c r="B192" i="1"/>
  <c r="B195" i="1"/>
  <c r="C192" i="1"/>
  <c r="C195" i="1"/>
  <c r="D192" i="1"/>
  <c r="D195" i="1"/>
  <c r="E192" i="1"/>
  <c r="E195" i="1"/>
  <c r="F192" i="1"/>
  <c r="F195" i="1"/>
  <c r="G192" i="1"/>
  <c r="G195" i="1"/>
  <c r="I192" i="1"/>
  <c r="I195" i="1"/>
  <c r="J192" i="1"/>
  <c r="J195" i="1"/>
  <c r="K195" i="1"/>
  <c r="O195" i="1"/>
  <c r="K190" i="1"/>
  <c r="K191" i="1"/>
  <c r="K192" i="1"/>
  <c r="K193" i="1"/>
  <c r="K194" i="1"/>
  <c r="M195" i="1"/>
  <c r="L195" i="1"/>
  <c r="BD194" i="1"/>
  <c r="AV194" i="1"/>
  <c r="AM194" i="1"/>
  <c r="AD194" i="1"/>
  <c r="M194" i="1"/>
  <c r="L194" i="1"/>
  <c r="BD193" i="1"/>
  <c r="AV193" i="1"/>
  <c r="AM193" i="1"/>
  <c r="AD193" i="1"/>
  <c r="M193" i="1"/>
  <c r="L193" i="1"/>
  <c r="BD190" i="1"/>
  <c r="BD191" i="1"/>
  <c r="BD192" i="1"/>
  <c r="AV190" i="1"/>
  <c r="AV191" i="1"/>
  <c r="AV192" i="1"/>
  <c r="AM190" i="1"/>
  <c r="AM191" i="1"/>
  <c r="AM192" i="1"/>
  <c r="AD190" i="1"/>
  <c r="AD191" i="1"/>
  <c r="AD192" i="1"/>
  <c r="N192" i="1"/>
  <c r="O192" i="1"/>
  <c r="M192" i="1"/>
  <c r="L190" i="1"/>
  <c r="L191" i="1"/>
  <c r="L192" i="1"/>
  <c r="M191" i="1"/>
  <c r="M190" i="1"/>
  <c r="AX184" i="1"/>
  <c r="AX187" i="1"/>
  <c r="AY184" i="1"/>
  <c r="AY187" i="1"/>
  <c r="AZ184" i="1"/>
  <c r="AZ187" i="1"/>
  <c r="BA184" i="1"/>
  <c r="BA187" i="1"/>
  <c r="BB184" i="1"/>
  <c r="BB187" i="1"/>
  <c r="BC187" i="1"/>
  <c r="BC178" i="1"/>
  <c r="BC179" i="1"/>
  <c r="BC180" i="1"/>
  <c r="BC181" i="1"/>
  <c r="BC182" i="1"/>
  <c r="BC183" i="1"/>
  <c r="BC184" i="1"/>
  <c r="BC185" i="1"/>
  <c r="BC186" i="1"/>
  <c r="BD187" i="1"/>
  <c r="AO184" i="1"/>
  <c r="AO187" i="1"/>
  <c r="AP184" i="1"/>
  <c r="AP187" i="1"/>
  <c r="AQ184" i="1"/>
  <c r="AQ187" i="1"/>
  <c r="AR184" i="1"/>
  <c r="AR187" i="1"/>
  <c r="AS184" i="1"/>
  <c r="AS187" i="1"/>
  <c r="AT184" i="1"/>
  <c r="AT187" i="1"/>
  <c r="AU187" i="1"/>
  <c r="AU178" i="1"/>
  <c r="AU179" i="1"/>
  <c r="AU180" i="1"/>
  <c r="AU181" i="1"/>
  <c r="AU182" i="1"/>
  <c r="AU183" i="1"/>
  <c r="AU184" i="1"/>
  <c r="AU185" i="1"/>
  <c r="AU186" i="1"/>
  <c r="AV187" i="1"/>
  <c r="AF184" i="1"/>
  <c r="AF187" i="1"/>
  <c r="AG184" i="1"/>
  <c r="AG187" i="1"/>
  <c r="AH184" i="1"/>
  <c r="AH187" i="1"/>
  <c r="AI184" i="1"/>
  <c r="AI187" i="1"/>
  <c r="AJ184" i="1"/>
  <c r="AJ187" i="1"/>
  <c r="AK184" i="1"/>
  <c r="AK187" i="1"/>
  <c r="AL187" i="1"/>
  <c r="AL178" i="1"/>
  <c r="AL179" i="1"/>
  <c r="AL180" i="1"/>
  <c r="AL181" i="1"/>
  <c r="AL182" i="1"/>
  <c r="AL183" i="1"/>
  <c r="AL184" i="1"/>
  <c r="AL185" i="1"/>
  <c r="AL186" i="1"/>
  <c r="AM187" i="1"/>
  <c r="W184" i="1"/>
  <c r="W187" i="1"/>
  <c r="X184" i="1"/>
  <c r="X187" i="1"/>
  <c r="Y184" i="1"/>
  <c r="Y187" i="1"/>
  <c r="Z184" i="1"/>
  <c r="Z187" i="1"/>
  <c r="AA184" i="1"/>
  <c r="AA187" i="1"/>
  <c r="AB184" i="1"/>
  <c r="AB187" i="1"/>
  <c r="AC187" i="1"/>
  <c r="AC178" i="1"/>
  <c r="AC179" i="1"/>
  <c r="AC180" i="1"/>
  <c r="AC181" i="1"/>
  <c r="AC182" i="1"/>
  <c r="AC183" i="1"/>
  <c r="AC184" i="1"/>
  <c r="AC185" i="1"/>
  <c r="AC186" i="1"/>
  <c r="AD187" i="1"/>
  <c r="Q184" i="1"/>
  <c r="Q187" i="1"/>
  <c r="R184" i="1"/>
  <c r="R187" i="1"/>
  <c r="S184" i="1"/>
  <c r="S187" i="1"/>
  <c r="T187" i="1"/>
  <c r="T178" i="1"/>
  <c r="T179" i="1"/>
  <c r="T180" i="1"/>
  <c r="T181" i="1"/>
  <c r="T182" i="1"/>
  <c r="T183" i="1"/>
  <c r="T184" i="1"/>
  <c r="T185" i="1"/>
  <c r="T186" i="1"/>
  <c r="U187" i="1"/>
  <c r="N187" i="1"/>
  <c r="B184" i="1"/>
  <c r="B187" i="1"/>
  <c r="C184" i="1"/>
  <c r="C187" i="1"/>
  <c r="D184" i="1"/>
  <c r="D187" i="1"/>
  <c r="E184" i="1"/>
  <c r="E187" i="1"/>
  <c r="F184" i="1"/>
  <c r="F187" i="1"/>
  <c r="G184" i="1"/>
  <c r="G187" i="1"/>
  <c r="I184" i="1"/>
  <c r="I187" i="1"/>
  <c r="J184" i="1"/>
  <c r="J187" i="1"/>
  <c r="K187" i="1"/>
  <c r="O187" i="1"/>
  <c r="K178" i="1"/>
  <c r="K179" i="1"/>
  <c r="K180" i="1"/>
  <c r="K181" i="1"/>
  <c r="K182" i="1"/>
  <c r="K183" i="1"/>
  <c r="K184" i="1"/>
  <c r="K185" i="1"/>
  <c r="K186" i="1"/>
  <c r="M187" i="1"/>
  <c r="L187" i="1"/>
  <c r="BD186" i="1"/>
  <c r="AV186" i="1"/>
  <c r="AM186" i="1"/>
  <c r="AD186" i="1"/>
  <c r="U186" i="1"/>
  <c r="M186" i="1"/>
  <c r="L186" i="1"/>
  <c r="BD185" i="1"/>
  <c r="AV185" i="1"/>
  <c r="AM185" i="1"/>
  <c r="AD185" i="1"/>
  <c r="U185" i="1"/>
  <c r="M185" i="1"/>
  <c r="L185" i="1"/>
  <c r="BE184" i="1"/>
  <c r="BD178" i="1"/>
  <c r="BD179" i="1"/>
  <c r="BD180" i="1"/>
  <c r="BD181" i="1"/>
  <c r="BD182" i="1"/>
  <c r="BD183" i="1"/>
  <c r="BD184" i="1"/>
  <c r="AW184" i="1"/>
  <c r="AV178" i="1"/>
  <c r="AV179" i="1"/>
  <c r="AV180" i="1"/>
  <c r="AV181" i="1"/>
  <c r="AV182" i="1"/>
  <c r="AV183" i="1"/>
  <c r="AV184" i="1"/>
  <c r="AN184" i="1"/>
  <c r="AM178" i="1"/>
  <c r="AM179" i="1"/>
  <c r="AM180" i="1"/>
  <c r="AM181" i="1"/>
  <c r="AM182" i="1"/>
  <c r="AM183" i="1"/>
  <c r="AM184" i="1"/>
  <c r="AE184" i="1"/>
  <c r="AD178" i="1"/>
  <c r="AD179" i="1"/>
  <c r="AD180" i="1"/>
  <c r="AD181" i="1"/>
  <c r="AD182" i="1"/>
  <c r="AD183" i="1"/>
  <c r="AD184" i="1"/>
  <c r="V184" i="1"/>
  <c r="U178" i="1"/>
  <c r="U179" i="1"/>
  <c r="U180" i="1"/>
  <c r="U181" i="1"/>
  <c r="U182" i="1"/>
  <c r="U183" i="1"/>
  <c r="U184" i="1"/>
  <c r="P184" i="1"/>
  <c r="N184" i="1"/>
  <c r="O184" i="1"/>
  <c r="M184" i="1"/>
  <c r="L178" i="1"/>
  <c r="L179" i="1"/>
  <c r="L180" i="1"/>
  <c r="L181" i="1"/>
  <c r="L182" i="1"/>
  <c r="L183" i="1"/>
  <c r="L184" i="1"/>
  <c r="M183" i="1"/>
  <c r="M182" i="1"/>
  <c r="M181" i="1"/>
  <c r="M180" i="1"/>
  <c r="M179" i="1"/>
  <c r="M178" i="1"/>
  <c r="AX172" i="1"/>
  <c r="AX175" i="1"/>
  <c r="AY172" i="1"/>
  <c r="AY175" i="1"/>
  <c r="AZ172" i="1"/>
  <c r="AZ175" i="1"/>
  <c r="BA172" i="1"/>
  <c r="BA175" i="1"/>
  <c r="BB172" i="1"/>
  <c r="BB175" i="1"/>
  <c r="BC175" i="1"/>
  <c r="BC166" i="1"/>
  <c r="BC167" i="1"/>
  <c r="BC168" i="1"/>
  <c r="BC169" i="1"/>
  <c r="BC170" i="1"/>
  <c r="BC171" i="1"/>
  <c r="BC172" i="1"/>
  <c r="BC173" i="1"/>
  <c r="BC174" i="1"/>
  <c r="BD175" i="1"/>
  <c r="AO172" i="1"/>
  <c r="AO175" i="1"/>
  <c r="AP172" i="1"/>
  <c r="AP175" i="1"/>
  <c r="AQ172" i="1"/>
  <c r="AQ175" i="1"/>
  <c r="AR172" i="1"/>
  <c r="AR175" i="1"/>
  <c r="AS172" i="1"/>
  <c r="AS175" i="1"/>
  <c r="AT172" i="1"/>
  <c r="AT175" i="1"/>
  <c r="AU175" i="1"/>
  <c r="AU166" i="1"/>
  <c r="AU167" i="1"/>
  <c r="AU168" i="1"/>
  <c r="AU169" i="1"/>
  <c r="AU170" i="1"/>
  <c r="AU171" i="1"/>
  <c r="AU172" i="1"/>
  <c r="AU173" i="1"/>
  <c r="AU174" i="1"/>
  <c r="AV175" i="1"/>
  <c r="AF172" i="1"/>
  <c r="AF175" i="1"/>
  <c r="AG172" i="1"/>
  <c r="AG175" i="1"/>
  <c r="AH172" i="1"/>
  <c r="AH175" i="1"/>
  <c r="AI172" i="1"/>
  <c r="AI175" i="1"/>
  <c r="AJ172" i="1"/>
  <c r="AJ175" i="1"/>
  <c r="AK172" i="1"/>
  <c r="AK175" i="1"/>
  <c r="AL175" i="1"/>
  <c r="AL166" i="1"/>
  <c r="AL167" i="1"/>
  <c r="AL168" i="1"/>
  <c r="AL169" i="1"/>
  <c r="AL170" i="1"/>
  <c r="AL171" i="1"/>
  <c r="AL172" i="1"/>
  <c r="AL173" i="1"/>
  <c r="AL174" i="1"/>
  <c r="AM175" i="1"/>
  <c r="W172" i="1"/>
  <c r="W175" i="1"/>
  <c r="X172" i="1"/>
  <c r="X175" i="1"/>
  <c r="Y172" i="1"/>
  <c r="Y175" i="1"/>
  <c r="Z172" i="1"/>
  <c r="Z175" i="1"/>
  <c r="AA172" i="1"/>
  <c r="AA175" i="1"/>
  <c r="AB172" i="1"/>
  <c r="AB175" i="1"/>
  <c r="AC175" i="1"/>
  <c r="AC166" i="1"/>
  <c r="AC167" i="1"/>
  <c r="AC168" i="1"/>
  <c r="AC169" i="1"/>
  <c r="AC170" i="1"/>
  <c r="AC171" i="1"/>
  <c r="AC172" i="1"/>
  <c r="AC173" i="1"/>
  <c r="AC174" i="1"/>
  <c r="AD175" i="1"/>
  <c r="Q172" i="1"/>
  <c r="Q175" i="1"/>
  <c r="R172" i="1"/>
  <c r="R175" i="1"/>
  <c r="S172" i="1"/>
  <c r="S175" i="1"/>
  <c r="T175" i="1"/>
  <c r="T166" i="1"/>
  <c r="T167" i="1"/>
  <c r="T168" i="1"/>
  <c r="T169" i="1"/>
  <c r="T170" i="1"/>
  <c r="T171" i="1"/>
  <c r="T172" i="1"/>
  <c r="T173" i="1"/>
  <c r="T174" i="1"/>
  <c r="U175" i="1"/>
  <c r="N175" i="1"/>
  <c r="C172" i="1"/>
  <c r="C175" i="1"/>
  <c r="D172" i="1"/>
  <c r="D175" i="1"/>
  <c r="E172" i="1"/>
  <c r="E175" i="1"/>
  <c r="F172" i="1"/>
  <c r="F175" i="1"/>
  <c r="G172" i="1"/>
  <c r="G175" i="1"/>
  <c r="H172" i="1"/>
  <c r="H175" i="1"/>
  <c r="I172" i="1"/>
  <c r="I175" i="1"/>
  <c r="J172" i="1"/>
  <c r="J175" i="1"/>
  <c r="K175" i="1"/>
  <c r="O175" i="1"/>
  <c r="K166" i="1"/>
  <c r="K167" i="1"/>
  <c r="K168" i="1"/>
  <c r="K169" i="1"/>
  <c r="K170" i="1"/>
  <c r="K171" i="1"/>
  <c r="K172" i="1"/>
  <c r="K173" i="1"/>
  <c r="K174" i="1"/>
  <c r="M175" i="1"/>
  <c r="L175" i="1"/>
  <c r="BD174" i="1"/>
  <c r="AV174" i="1"/>
  <c r="AM174" i="1"/>
  <c r="AD174" i="1"/>
  <c r="U174" i="1"/>
  <c r="M174" i="1"/>
  <c r="L174" i="1"/>
  <c r="BD173" i="1"/>
  <c r="AV173" i="1"/>
  <c r="AM173" i="1"/>
  <c r="AD173" i="1"/>
  <c r="U173" i="1"/>
  <c r="M173" i="1"/>
  <c r="L173" i="1"/>
  <c r="BE172" i="1"/>
  <c r="BD166" i="1"/>
  <c r="BD167" i="1"/>
  <c r="BD168" i="1"/>
  <c r="BD169" i="1"/>
  <c r="BD170" i="1"/>
  <c r="BD171" i="1"/>
  <c r="BD172" i="1"/>
  <c r="AW172" i="1"/>
  <c r="AV166" i="1"/>
  <c r="AV167" i="1"/>
  <c r="AV168" i="1"/>
  <c r="AV169" i="1"/>
  <c r="AV170" i="1"/>
  <c r="AV171" i="1"/>
  <c r="AV172" i="1"/>
  <c r="AN172" i="1"/>
  <c r="AM166" i="1"/>
  <c r="AM167" i="1"/>
  <c r="AM168" i="1"/>
  <c r="AM169" i="1"/>
  <c r="AM170" i="1"/>
  <c r="AM171" i="1"/>
  <c r="AM172" i="1"/>
  <c r="AE172" i="1"/>
  <c r="AD166" i="1"/>
  <c r="AD167" i="1"/>
  <c r="AD168" i="1"/>
  <c r="AD169" i="1"/>
  <c r="AD170" i="1"/>
  <c r="AD171" i="1"/>
  <c r="AD172" i="1"/>
  <c r="V172" i="1"/>
  <c r="U166" i="1"/>
  <c r="U167" i="1"/>
  <c r="U168" i="1"/>
  <c r="U169" i="1"/>
  <c r="U170" i="1"/>
  <c r="U171" i="1"/>
  <c r="U172" i="1"/>
  <c r="P172" i="1"/>
  <c r="N172" i="1"/>
  <c r="O172" i="1"/>
  <c r="M172" i="1"/>
  <c r="L166" i="1"/>
  <c r="L167" i="1"/>
  <c r="L168" i="1"/>
  <c r="L169" i="1"/>
  <c r="L170" i="1"/>
  <c r="L171" i="1"/>
  <c r="L172" i="1"/>
  <c r="M171" i="1"/>
  <c r="M170" i="1"/>
  <c r="M169" i="1"/>
  <c r="M168" i="1"/>
  <c r="M167" i="1"/>
  <c r="M166" i="1"/>
  <c r="AX160" i="1"/>
  <c r="AX163" i="1"/>
  <c r="AY160" i="1"/>
  <c r="AY163" i="1"/>
  <c r="AZ160" i="1"/>
  <c r="AZ163" i="1"/>
  <c r="BA160" i="1"/>
  <c r="BA163" i="1"/>
  <c r="BB160" i="1"/>
  <c r="BB163" i="1"/>
  <c r="BC163" i="1"/>
  <c r="BC156" i="1"/>
  <c r="BC157" i="1"/>
  <c r="BC158" i="1"/>
  <c r="BC159" i="1"/>
  <c r="BC160" i="1"/>
  <c r="BC161" i="1"/>
  <c r="BC162" i="1"/>
  <c r="BD163" i="1"/>
  <c r="AO160" i="1"/>
  <c r="AO163" i="1"/>
  <c r="AP160" i="1"/>
  <c r="AP163" i="1"/>
  <c r="AQ160" i="1"/>
  <c r="AQ163" i="1"/>
  <c r="AR160" i="1"/>
  <c r="AR163" i="1"/>
  <c r="AS160" i="1"/>
  <c r="AS163" i="1"/>
  <c r="AT160" i="1"/>
  <c r="AT163" i="1"/>
  <c r="AU163" i="1"/>
  <c r="AU156" i="1"/>
  <c r="AU157" i="1"/>
  <c r="AU158" i="1"/>
  <c r="AU159" i="1"/>
  <c r="AU160" i="1"/>
  <c r="AU161" i="1"/>
  <c r="AU162" i="1"/>
  <c r="AV163" i="1"/>
  <c r="AF160" i="1"/>
  <c r="AF163" i="1"/>
  <c r="AG160" i="1"/>
  <c r="AG163" i="1"/>
  <c r="AH160" i="1"/>
  <c r="AH163" i="1"/>
  <c r="AI160" i="1"/>
  <c r="AI163" i="1"/>
  <c r="AJ160" i="1"/>
  <c r="AJ163" i="1"/>
  <c r="AK160" i="1"/>
  <c r="AK163" i="1"/>
  <c r="AL163" i="1"/>
  <c r="AL156" i="1"/>
  <c r="AL157" i="1"/>
  <c r="AL158" i="1"/>
  <c r="AL159" i="1"/>
  <c r="AL160" i="1"/>
  <c r="AL161" i="1"/>
  <c r="AL162" i="1"/>
  <c r="AM163" i="1"/>
  <c r="W160" i="1"/>
  <c r="W163" i="1"/>
  <c r="X160" i="1"/>
  <c r="X163" i="1"/>
  <c r="Y160" i="1"/>
  <c r="Y163" i="1"/>
  <c r="Z160" i="1"/>
  <c r="Z163" i="1"/>
  <c r="AA160" i="1"/>
  <c r="AA163" i="1"/>
  <c r="AB160" i="1"/>
  <c r="AB163" i="1"/>
  <c r="AC163" i="1"/>
  <c r="AC156" i="1"/>
  <c r="AC157" i="1"/>
  <c r="AC158" i="1"/>
  <c r="AC159" i="1"/>
  <c r="AC160" i="1"/>
  <c r="AC161" i="1"/>
  <c r="AC162" i="1"/>
  <c r="AD163" i="1"/>
  <c r="Q160" i="1"/>
  <c r="Q163" i="1"/>
  <c r="R160" i="1"/>
  <c r="R163" i="1"/>
  <c r="S160" i="1"/>
  <c r="S163" i="1"/>
  <c r="T163" i="1"/>
  <c r="T156" i="1"/>
  <c r="T157" i="1"/>
  <c r="T158" i="1"/>
  <c r="T159" i="1"/>
  <c r="T160" i="1"/>
  <c r="T161" i="1"/>
  <c r="T162" i="1"/>
  <c r="U163" i="1"/>
  <c r="N163" i="1"/>
  <c r="B160" i="1"/>
  <c r="B163" i="1"/>
  <c r="C160" i="1"/>
  <c r="C163" i="1"/>
  <c r="D160" i="1"/>
  <c r="D163" i="1"/>
  <c r="E160" i="1"/>
  <c r="E163" i="1"/>
  <c r="F160" i="1"/>
  <c r="F163" i="1"/>
  <c r="G160" i="1"/>
  <c r="G163" i="1"/>
  <c r="I160" i="1"/>
  <c r="I163" i="1"/>
  <c r="J160" i="1"/>
  <c r="J163" i="1"/>
  <c r="K163" i="1"/>
  <c r="O163" i="1"/>
  <c r="K156" i="1"/>
  <c r="K157" i="1"/>
  <c r="K158" i="1"/>
  <c r="K159" i="1"/>
  <c r="K160" i="1"/>
  <c r="K161" i="1"/>
  <c r="K162" i="1"/>
  <c r="M163" i="1"/>
  <c r="L163" i="1"/>
  <c r="BD162" i="1"/>
  <c r="AV162" i="1"/>
  <c r="AM162" i="1"/>
  <c r="AD162" i="1"/>
  <c r="U162" i="1"/>
  <c r="M162" i="1"/>
  <c r="L162" i="1"/>
  <c r="BD161" i="1"/>
  <c r="AV161" i="1"/>
  <c r="AM161" i="1"/>
  <c r="AD161" i="1"/>
  <c r="U161" i="1"/>
  <c r="M161" i="1"/>
  <c r="L161" i="1"/>
  <c r="BE160" i="1"/>
  <c r="BD156" i="1"/>
  <c r="BD157" i="1"/>
  <c r="BD158" i="1"/>
  <c r="BD159" i="1"/>
  <c r="BD160" i="1"/>
  <c r="AW160" i="1"/>
  <c r="AV156" i="1"/>
  <c r="AV157" i="1"/>
  <c r="AV158" i="1"/>
  <c r="AV159" i="1"/>
  <c r="AV160" i="1"/>
  <c r="AN160" i="1"/>
  <c r="AM156" i="1"/>
  <c r="AM157" i="1"/>
  <c r="AM158" i="1"/>
  <c r="AM159" i="1"/>
  <c r="AM160" i="1"/>
  <c r="AE160" i="1"/>
  <c r="AD156" i="1"/>
  <c r="AD157" i="1"/>
  <c r="AD158" i="1"/>
  <c r="AD159" i="1"/>
  <c r="AD160" i="1"/>
  <c r="V160" i="1"/>
  <c r="U156" i="1"/>
  <c r="U157" i="1"/>
  <c r="U158" i="1"/>
  <c r="U159" i="1"/>
  <c r="U160" i="1"/>
  <c r="P160" i="1"/>
  <c r="N160" i="1"/>
  <c r="O160" i="1"/>
  <c r="M160" i="1"/>
  <c r="L156" i="1"/>
  <c r="L157" i="1"/>
  <c r="L158" i="1"/>
  <c r="L159" i="1"/>
  <c r="L160" i="1"/>
  <c r="M159" i="1"/>
  <c r="M158" i="1"/>
  <c r="M157" i="1"/>
  <c r="M156" i="1"/>
  <c r="AX150" i="1"/>
  <c r="AX153" i="1"/>
  <c r="AY150" i="1"/>
  <c r="AY153" i="1"/>
  <c r="AZ150" i="1"/>
  <c r="AZ153" i="1"/>
  <c r="BA150" i="1"/>
  <c r="BA153" i="1"/>
  <c r="BB150" i="1"/>
  <c r="BB153" i="1"/>
  <c r="BC153" i="1"/>
  <c r="BC146" i="1"/>
  <c r="BC147" i="1"/>
  <c r="BC148" i="1"/>
  <c r="BC149" i="1"/>
  <c r="BC150" i="1"/>
  <c r="BC151" i="1"/>
  <c r="BC152" i="1"/>
  <c r="BD153" i="1"/>
  <c r="AO150" i="1"/>
  <c r="AO153" i="1"/>
  <c r="AP150" i="1"/>
  <c r="AP153" i="1"/>
  <c r="AQ150" i="1"/>
  <c r="AQ153" i="1"/>
  <c r="AR150" i="1"/>
  <c r="AR153" i="1"/>
  <c r="AS150" i="1"/>
  <c r="AS153" i="1"/>
  <c r="AT150" i="1"/>
  <c r="AT153" i="1"/>
  <c r="AU153" i="1"/>
  <c r="AU146" i="1"/>
  <c r="AU147" i="1"/>
  <c r="AU148" i="1"/>
  <c r="AU149" i="1"/>
  <c r="AU150" i="1"/>
  <c r="AU151" i="1"/>
  <c r="AU152" i="1"/>
  <c r="AV153" i="1"/>
  <c r="AF150" i="1"/>
  <c r="AF153" i="1"/>
  <c r="AG150" i="1"/>
  <c r="AG153" i="1"/>
  <c r="AH150" i="1"/>
  <c r="AH153" i="1"/>
  <c r="AI150" i="1"/>
  <c r="AI153" i="1"/>
  <c r="AJ150" i="1"/>
  <c r="AJ153" i="1"/>
  <c r="AK150" i="1"/>
  <c r="AK153" i="1"/>
  <c r="AL153" i="1"/>
  <c r="AL146" i="1"/>
  <c r="AL147" i="1"/>
  <c r="AL148" i="1"/>
  <c r="AL149" i="1"/>
  <c r="AL150" i="1"/>
  <c r="AL151" i="1"/>
  <c r="AL152" i="1"/>
  <c r="AM153" i="1"/>
  <c r="W150" i="1"/>
  <c r="W153" i="1"/>
  <c r="X150" i="1"/>
  <c r="X153" i="1"/>
  <c r="Y150" i="1"/>
  <c r="Y153" i="1"/>
  <c r="Z150" i="1"/>
  <c r="Z153" i="1"/>
  <c r="AA150" i="1"/>
  <c r="AA153" i="1"/>
  <c r="AB150" i="1"/>
  <c r="AB153" i="1"/>
  <c r="AC153" i="1"/>
  <c r="AC146" i="1"/>
  <c r="AC147" i="1"/>
  <c r="AC148" i="1"/>
  <c r="AC149" i="1"/>
  <c r="AC150" i="1"/>
  <c r="AC151" i="1"/>
  <c r="AC152" i="1"/>
  <c r="AD153" i="1"/>
  <c r="Q140" i="1"/>
  <c r="Q143" i="1"/>
  <c r="Q150" i="1"/>
  <c r="Q153" i="1"/>
  <c r="R140" i="1"/>
  <c r="R143" i="1"/>
  <c r="R150" i="1"/>
  <c r="R153" i="1"/>
  <c r="S140" i="1"/>
  <c r="S143" i="1"/>
  <c r="S150" i="1"/>
  <c r="S153" i="1"/>
  <c r="T153" i="1"/>
  <c r="T146" i="1"/>
  <c r="T147" i="1"/>
  <c r="T148" i="1"/>
  <c r="T149" i="1"/>
  <c r="T150" i="1"/>
  <c r="T151" i="1"/>
  <c r="T152" i="1"/>
  <c r="U153" i="1"/>
  <c r="N153" i="1"/>
  <c r="B150" i="1"/>
  <c r="B153" i="1"/>
  <c r="C150" i="1"/>
  <c r="C153" i="1"/>
  <c r="D150" i="1"/>
  <c r="D153" i="1"/>
  <c r="E150" i="1"/>
  <c r="E153" i="1"/>
  <c r="F150" i="1"/>
  <c r="F153" i="1"/>
  <c r="G150" i="1"/>
  <c r="G153" i="1"/>
  <c r="I150" i="1"/>
  <c r="I153" i="1"/>
  <c r="J150" i="1"/>
  <c r="J153" i="1"/>
  <c r="K153" i="1"/>
  <c r="O153" i="1"/>
  <c r="K146" i="1"/>
  <c r="K147" i="1"/>
  <c r="K148" i="1"/>
  <c r="K149" i="1"/>
  <c r="K150" i="1"/>
  <c r="K151" i="1"/>
  <c r="K152" i="1"/>
  <c r="M153" i="1"/>
  <c r="L153" i="1"/>
  <c r="BD152" i="1"/>
  <c r="AV152" i="1"/>
  <c r="AM152" i="1"/>
  <c r="AD152" i="1"/>
  <c r="U152" i="1"/>
  <c r="M152" i="1"/>
  <c r="L152" i="1"/>
  <c r="BD151" i="1"/>
  <c r="AV151" i="1"/>
  <c r="AM151" i="1"/>
  <c r="AD151" i="1"/>
  <c r="U151" i="1"/>
  <c r="M151" i="1"/>
  <c r="L151" i="1"/>
  <c r="BE140" i="1"/>
  <c r="BE150" i="1"/>
  <c r="BC136" i="1"/>
  <c r="BC137" i="1"/>
  <c r="BC138" i="1"/>
  <c r="BC139" i="1"/>
  <c r="BC140" i="1"/>
  <c r="BD136" i="1"/>
  <c r="BD137" i="1"/>
  <c r="BD138" i="1"/>
  <c r="BD139" i="1"/>
  <c r="BD140" i="1"/>
  <c r="BC141" i="1"/>
  <c r="AX140" i="1"/>
  <c r="AX143" i="1"/>
  <c r="AY140" i="1"/>
  <c r="AY143" i="1"/>
  <c r="AZ140" i="1"/>
  <c r="AZ143" i="1"/>
  <c r="BA140" i="1"/>
  <c r="BA143" i="1"/>
  <c r="BB140" i="1"/>
  <c r="BB143" i="1"/>
  <c r="BC143" i="1"/>
  <c r="BD141" i="1"/>
  <c r="BC142" i="1"/>
  <c r="BD142" i="1"/>
  <c r="BD143" i="1"/>
  <c r="BD146" i="1"/>
  <c r="BD147" i="1"/>
  <c r="BD148" i="1"/>
  <c r="BD149" i="1"/>
  <c r="BD150" i="1"/>
  <c r="AW140" i="1"/>
  <c r="AW150" i="1"/>
  <c r="AU136" i="1"/>
  <c r="AU137" i="1"/>
  <c r="AU138" i="1"/>
  <c r="AU139" i="1"/>
  <c r="AU140" i="1"/>
  <c r="AV136" i="1"/>
  <c r="AV137" i="1"/>
  <c r="AV138" i="1"/>
  <c r="AV139" i="1"/>
  <c r="AV140" i="1"/>
  <c r="AU141" i="1"/>
  <c r="AO140" i="1"/>
  <c r="AO143" i="1"/>
  <c r="AP140" i="1"/>
  <c r="AP143" i="1"/>
  <c r="AQ140" i="1"/>
  <c r="AQ143" i="1"/>
  <c r="AR140" i="1"/>
  <c r="AR143" i="1"/>
  <c r="AS140" i="1"/>
  <c r="AS143" i="1"/>
  <c r="AT140" i="1"/>
  <c r="AT143" i="1"/>
  <c r="AU143" i="1"/>
  <c r="AV141" i="1"/>
  <c r="AU142" i="1"/>
  <c r="AV142" i="1"/>
  <c r="AV143" i="1"/>
  <c r="AV146" i="1"/>
  <c r="AV147" i="1"/>
  <c r="AV148" i="1"/>
  <c r="AV149" i="1"/>
  <c r="AV150" i="1"/>
  <c r="AN140" i="1"/>
  <c r="AN150" i="1"/>
  <c r="AL136" i="1"/>
  <c r="AL137" i="1"/>
  <c r="AL138" i="1"/>
  <c r="AL139" i="1"/>
  <c r="AL140" i="1"/>
  <c r="AM136" i="1"/>
  <c r="AM137" i="1"/>
  <c r="AM138" i="1"/>
  <c r="AM139" i="1"/>
  <c r="AM140" i="1"/>
  <c r="AL141" i="1"/>
  <c r="AF140" i="1"/>
  <c r="AF143" i="1"/>
  <c r="AG140" i="1"/>
  <c r="AG143" i="1"/>
  <c r="AH140" i="1"/>
  <c r="AH143" i="1"/>
  <c r="AI140" i="1"/>
  <c r="AI143" i="1"/>
  <c r="AJ140" i="1"/>
  <c r="AJ143" i="1"/>
  <c r="AK140" i="1"/>
  <c r="AK143" i="1"/>
  <c r="AL143" i="1"/>
  <c r="AM141" i="1"/>
  <c r="AL142" i="1"/>
  <c r="AM142" i="1"/>
  <c r="AM143" i="1"/>
  <c r="AM146" i="1"/>
  <c r="AM147" i="1"/>
  <c r="AM148" i="1"/>
  <c r="AM149" i="1"/>
  <c r="AM150" i="1"/>
  <c r="AE140" i="1"/>
  <c r="AE150" i="1"/>
  <c r="AC136" i="1"/>
  <c r="AC137" i="1"/>
  <c r="AC138" i="1"/>
  <c r="AC139" i="1"/>
  <c r="AC140" i="1"/>
  <c r="AD136" i="1"/>
  <c r="AD137" i="1"/>
  <c r="AD138" i="1"/>
  <c r="AD139" i="1"/>
  <c r="AD140" i="1"/>
  <c r="AC141" i="1"/>
  <c r="W140" i="1"/>
  <c r="W143" i="1"/>
  <c r="X140" i="1"/>
  <c r="X143" i="1"/>
  <c r="Y140" i="1"/>
  <c r="Y143" i="1"/>
  <c r="Z140" i="1"/>
  <c r="Z143" i="1"/>
  <c r="AA140" i="1"/>
  <c r="AA143" i="1"/>
  <c r="AB140" i="1"/>
  <c r="AB143" i="1"/>
  <c r="AC143" i="1"/>
  <c r="AD141" i="1"/>
  <c r="AC142" i="1"/>
  <c r="AD142" i="1"/>
  <c r="AD143" i="1"/>
  <c r="AD146" i="1"/>
  <c r="AD147" i="1"/>
  <c r="AD148" i="1"/>
  <c r="AD149" i="1"/>
  <c r="AD150" i="1"/>
  <c r="V140" i="1"/>
  <c r="V150" i="1"/>
  <c r="U140" i="1"/>
  <c r="T141" i="1"/>
  <c r="T143" i="1"/>
  <c r="U141" i="1"/>
  <c r="U150" i="1"/>
  <c r="P140" i="1"/>
  <c r="P150" i="1"/>
  <c r="N150" i="1"/>
  <c r="O150" i="1"/>
  <c r="M150" i="1"/>
  <c r="L146" i="1"/>
  <c r="L147" i="1"/>
  <c r="L148" i="1"/>
  <c r="L149" i="1"/>
  <c r="L150" i="1"/>
  <c r="U149" i="1"/>
  <c r="M149" i="1"/>
  <c r="U148" i="1"/>
  <c r="M148" i="1"/>
  <c r="U147" i="1"/>
  <c r="M147" i="1"/>
  <c r="U146" i="1"/>
  <c r="M146" i="1"/>
  <c r="T136" i="1"/>
  <c r="T137" i="1"/>
  <c r="T138" i="1"/>
  <c r="T139" i="1"/>
  <c r="T140" i="1"/>
  <c r="T142" i="1"/>
  <c r="U143" i="1"/>
  <c r="N143" i="1"/>
  <c r="B140" i="1"/>
  <c r="B143" i="1"/>
  <c r="G140" i="1"/>
  <c r="G143" i="1"/>
  <c r="K143" i="1"/>
  <c r="O143" i="1"/>
  <c r="K136" i="1"/>
  <c r="K137" i="1"/>
  <c r="K138" i="1"/>
  <c r="K139" i="1"/>
  <c r="K140" i="1"/>
  <c r="K141" i="1"/>
  <c r="K142" i="1"/>
  <c r="M143" i="1"/>
  <c r="L143" i="1"/>
  <c r="U142" i="1"/>
  <c r="M142" i="1"/>
  <c r="L142" i="1"/>
  <c r="M141" i="1"/>
  <c r="L141" i="1"/>
  <c r="N140" i="1"/>
  <c r="O140" i="1"/>
  <c r="M140" i="1"/>
  <c r="L136" i="1"/>
  <c r="L137" i="1"/>
  <c r="L138" i="1"/>
  <c r="L139" i="1"/>
  <c r="L140" i="1"/>
  <c r="M139" i="1"/>
  <c r="M138" i="1"/>
  <c r="M137" i="1"/>
  <c r="M136" i="1"/>
  <c r="AX130" i="1"/>
  <c r="AX133" i="1"/>
  <c r="AY130" i="1"/>
  <c r="AY133" i="1"/>
  <c r="AZ130" i="1"/>
  <c r="AZ133" i="1"/>
  <c r="BA130" i="1"/>
  <c r="BA133" i="1"/>
  <c r="BB130" i="1"/>
  <c r="BB133" i="1"/>
  <c r="BC133" i="1"/>
  <c r="BC127" i="1"/>
  <c r="BC128" i="1"/>
  <c r="BC129" i="1"/>
  <c r="BC130" i="1"/>
  <c r="BC131" i="1"/>
  <c r="BC132" i="1"/>
  <c r="BD133" i="1"/>
  <c r="AO130" i="1"/>
  <c r="AO133" i="1"/>
  <c r="AP130" i="1"/>
  <c r="AP133" i="1"/>
  <c r="AQ130" i="1"/>
  <c r="AQ133" i="1"/>
  <c r="AR130" i="1"/>
  <c r="AR133" i="1"/>
  <c r="AS130" i="1"/>
  <c r="AS133" i="1"/>
  <c r="AT130" i="1"/>
  <c r="AT133" i="1"/>
  <c r="AU133" i="1"/>
  <c r="AU127" i="1"/>
  <c r="AU128" i="1"/>
  <c r="AU129" i="1"/>
  <c r="AU130" i="1"/>
  <c r="AU131" i="1"/>
  <c r="AU132" i="1"/>
  <c r="AV133" i="1"/>
  <c r="AF130" i="1"/>
  <c r="AF133" i="1"/>
  <c r="AG130" i="1"/>
  <c r="AG133" i="1"/>
  <c r="AH130" i="1"/>
  <c r="AH133" i="1"/>
  <c r="AI130" i="1"/>
  <c r="AI133" i="1"/>
  <c r="AJ130" i="1"/>
  <c r="AJ133" i="1"/>
  <c r="AK130" i="1"/>
  <c r="AK133" i="1"/>
  <c r="AL133" i="1"/>
  <c r="AL126" i="1"/>
  <c r="AL127" i="1"/>
  <c r="AL128" i="1"/>
  <c r="AL129" i="1"/>
  <c r="AL130" i="1"/>
  <c r="AL131" i="1"/>
  <c r="AL132" i="1"/>
  <c r="AM133" i="1"/>
  <c r="W130" i="1"/>
  <c r="W133" i="1"/>
  <c r="X130" i="1"/>
  <c r="X133" i="1"/>
  <c r="Y130" i="1"/>
  <c r="Y133" i="1"/>
  <c r="Z130" i="1"/>
  <c r="Z133" i="1"/>
  <c r="AA130" i="1"/>
  <c r="AA133" i="1"/>
  <c r="AB130" i="1"/>
  <c r="AB133" i="1"/>
  <c r="AC133" i="1"/>
  <c r="AC126" i="1"/>
  <c r="AC127" i="1"/>
  <c r="AC128" i="1"/>
  <c r="AC129" i="1"/>
  <c r="AC130" i="1"/>
  <c r="AC131" i="1"/>
  <c r="AC132" i="1"/>
  <c r="AD133" i="1"/>
  <c r="Q130" i="1"/>
  <c r="Q133" i="1"/>
  <c r="R130" i="1"/>
  <c r="R133" i="1"/>
  <c r="S130" i="1"/>
  <c r="S133" i="1"/>
  <c r="T133" i="1"/>
  <c r="T126" i="1"/>
  <c r="T127" i="1"/>
  <c r="T128" i="1"/>
  <c r="T129" i="1"/>
  <c r="T130" i="1"/>
  <c r="T131" i="1"/>
  <c r="T132" i="1"/>
  <c r="U133" i="1"/>
  <c r="N133" i="1"/>
  <c r="D130" i="1"/>
  <c r="D133" i="1"/>
  <c r="E130" i="1"/>
  <c r="E133" i="1"/>
  <c r="I130" i="1"/>
  <c r="I133" i="1"/>
  <c r="J130" i="1"/>
  <c r="J133" i="1"/>
  <c r="K133" i="1"/>
  <c r="O133" i="1"/>
  <c r="K126" i="1"/>
  <c r="K127" i="1"/>
  <c r="K128" i="1"/>
  <c r="K129" i="1"/>
  <c r="K130" i="1"/>
  <c r="K131" i="1"/>
  <c r="K132" i="1"/>
  <c r="M133" i="1"/>
  <c r="L133" i="1"/>
  <c r="BD132" i="1"/>
  <c r="AV132" i="1"/>
  <c r="AM132" i="1"/>
  <c r="AD132" i="1"/>
  <c r="U132" i="1"/>
  <c r="M132" i="1"/>
  <c r="L132" i="1"/>
  <c r="BD131" i="1"/>
  <c r="AV131" i="1"/>
  <c r="AM131" i="1"/>
  <c r="AD131" i="1"/>
  <c r="U131" i="1"/>
  <c r="M131" i="1"/>
  <c r="L131" i="1"/>
  <c r="BE130" i="1"/>
  <c r="BD126" i="1"/>
  <c r="BD127" i="1"/>
  <c r="BD128" i="1"/>
  <c r="BD129" i="1"/>
  <c r="BD130" i="1"/>
  <c r="AW130" i="1"/>
  <c r="AV126" i="1"/>
  <c r="AV127" i="1"/>
  <c r="AV128" i="1"/>
  <c r="AV129" i="1"/>
  <c r="AV130" i="1"/>
  <c r="AN130" i="1"/>
  <c r="AM126" i="1"/>
  <c r="AM127" i="1"/>
  <c r="AM128" i="1"/>
  <c r="AM129" i="1"/>
  <c r="AM130" i="1"/>
  <c r="AE130" i="1"/>
  <c r="AD126" i="1"/>
  <c r="AD127" i="1"/>
  <c r="AD128" i="1"/>
  <c r="AD129" i="1"/>
  <c r="AD130" i="1"/>
  <c r="V130" i="1"/>
  <c r="U126" i="1"/>
  <c r="U127" i="1"/>
  <c r="U128" i="1"/>
  <c r="U129" i="1"/>
  <c r="U130" i="1"/>
  <c r="P130" i="1"/>
  <c r="N130" i="1"/>
  <c r="O130" i="1"/>
  <c r="M130" i="1"/>
  <c r="L126" i="1"/>
  <c r="L127" i="1"/>
  <c r="L128" i="1"/>
  <c r="L129" i="1"/>
  <c r="L130" i="1"/>
  <c r="M129" i="1"/>
  <c r="M128" i="1"/>
  <c r="M127" i="1"/>
  <c r="M126" i="1"/>
  <c r="AX120" i="1"/>
  <c r="AX123" i="1"/>
  <c r="AY120" i="1"/>
  <c r="AY123" i="1"/>
  <c r="AZ120" i="1"/>
  <c r="AZ123" i="1"/>
  <c r="BA120" i="1"/>
  <c r="BA123" i="1"/>
  <c r="BB120" i="1"/>
  <c r="BB123" i="1"/>
  <c r="BC123" i="1"/>
  <c r="BC114" i="1"/>
  <c r="BC115" i="1"/>
  <c r="BC116" i="1"/>
  <c r="BC117" i="1"/>
  <c r="BC118" i="1"/>
  <c r="BC119" i="1"/>
  <c r="BC120" i="1"/>
  <c r="BC121" i="1"/>
  <c r="BC122" i="1"/>
  <c r="BD123" i="1"/>
  <c r="AO120" i="1"/>
  <c r="AO123" i="1"/>
  <c r="AP120" i="1"/>
  <c r="AP123" i="1"/>
  <c r="AQ120" i="1"/>
  <c r="AQ123" i="1"/>
  <c r="AR120" i="1"/>
  <c r="AR123" i="1"/>
  <c r="AS120" i="1"/>
  <c r="AS123" i="1"/>
  <c r="AT120" i="1"/>
  <c r="AT123" i="1"/>
  <c r="AU123" i="1"/>
  <c r="AU114" i="1"/>
  <c r="AU115" i="1"/>
  <c r="AU116" i="1"/>
  <c r="AU117" i="1"/>
  <c r="AU118" i="1"/>
  <c r="AU119" i="1"/>
  <c r="AU120" i="1"/>
  <c r="AU121" i="1"/>
  <c r="AU122" i="1"/>
  <c r="AV123" i="1"/>
  <c r="AF120" i="1"/>
  <c r="AF123" i="1"/>
  <c r="AG120" i="1"/>
  <c r="AG123" i="1"/>
  <c r="AH120" i="1"/>
  <c r="AH123" i="1"/>
  <c r="AI120" i="1"/>
  <c r="AI123" i="1"/>
  <c r="AJ120" i="1"/>
  <c r="AJ123" i="1"/>
  <c r="AK120" i="1"/>
  <c r="AK123" i="1"/>
  <c r="AL123" i="1"/>
  <c r="AL114" i="1"/>
  <c r="AL115" i="1"/>
  <c r="AL116" i="1"/>
  <c r="AL117" i="1"/>
  <c r="AL118" i="1"/>
  <c r="AL119" i="1"/>
  <c r="AL120" i="1"/>
  <c r="AL121" i="1"/>
  <c r="AL122" i="1"/>
  <c r="AM123" i="1"/>
  <c r="W120" i="1"/>
  <c r="W123" i="1"/>
  <c r="X120" i="1"/>
  <c r="X123" i="1"/>
  <c r="Y120" i="1"/>
  <c r="Y123" i="1"/>
  <c r="Z120" i="1"/>
  <c r="Z123" i="1"/>
  <c r="AA120" i="1"/>
  <c r="AA123" i="1"/>
  <c r="AB120" i="1"/>
  <c r="AB123" i="1"/>
  <c r="AC123" i="1"/>
  <c r="AC114" i="1"/>
  <c r="AC115" i="1"/>
  <c r="AC116" i="1"/>
  <c r="AC117" i="1"/>
  <c r="AC118" i="1"/>
  <c r="AC119" i="1"/>
  <c r="AC120" i="1"/>
  <c r="AC121" i="1"/>
  <c r="AC122" i="1"/>
  <c r="AD123" i="1"/>
  <c r="Q120" i="1"/>
  <c r="Q123" i="1"/>
  <c r="R120" i="1"/>
  <c r="R123" i="1"/>
  <c r="S120" i="1"/>
  <c r="S123" i="1"/>
  <c r="T123" i="1"/>
  <c r="T114" i="1"/>
  <c r="T115" i="1"/>
  <c r="T116" i="1"/>
  <c r="T117" i="1"/>
  <c r="T118" i="1"/>
  <c r="T119" i="1"/>
  <c r="T120" i="1"/>
  <c r="T121" i="1"/>
  <c r="T122" i="1"/>
  <c r="U123" i="1"/>
  <c r="N123" i="1"/>
  <c r="C120" i="1"/>
  <c r="C123" i="1"/>
  <c r="D120" i="1"/>
  <c r="D123" i="1"/>
  <c r="E120" i="1"/>
  <c r="E123" i="1"/>
  <c r="F120" i="1"/>
  <c r="F123" i="1"/>
  <c r="I120" i="1"/>
  <c r="I123" i="1"/>
  <c r="J120" i="1"/>
  <c r="J123" i="1"/>
  <c r="K123" i="1"/>
  <c r="O123" i="1"/>
  <c r="K114" i="1"/>
  <c r="K115" i="1"/>
  <c r="K116" i="1"/>
  <c r="K117" i="1"/>
  <c r="K118" i="1"/>
  <c r="K119" i="1"/>
  <c r="K120" i="1"/>
  <c r="K121" i="1"/>
  <c r="K122" i="1"/>
  <c r="M123" i="1"/>
  <c r="L123" i="1"/>
  <c r="BD122" i="1"/>
  <c r="AV122" i="1"/>
  <c r="AM122" i="1"/>
  <c r="AD122" i="1"/>
  <c r="U122" i="1"/>
  <c r="M122" i="1"/>
  <c r="L122" i="1"/>
  <c r="BD121" i="1"/>
  <c r="AV121" i="1"/>
  <c r="AM121" i="1"/>
  <c r="AD121" i="1"/>
  <c r="U121" i="1"/>
  <c r="M121" i="1"/>
  <c r="L121" i="1"/>
  <c r="BE120" i="1"/>
  <c r="BD114" i="1"/>
  <c r="BD115" i="1"/>
  <c r="BD116" i="1"/>
  <c r="BD117" i="1"/>
  <c r="BD118" i="1"/>
  <c r="BD119" i="1"/>
  <c r="BD120" i="1"/>
  <c r="AW120" i="1"/>
  <c r="AV114" i="1"/>
  <c r="AV115" i="1"/>
  <c r="AV116" i="1"/>
  <c r="AV117" i="1"/>
  <c r="AV118" i="1"/>
  <c r="AV119" i="1"/>
  <c r="AV120" i="1"/>
  <c r="AN120" i="1"/>
  <c r="AM114" i="1"/>
  <c r="AM115" i="1"/>
  <c r="AM116" i="1"/>
  <c r="AM117" i="1"/>
  <c r="AM118" i="1"/>
  <c r="AM119" i="1"/>
  <c r="AM120" i="1"/>
  <c r="AE120" i="1"/>
  <c r="AD114" i="1"/>
  <c r="AD115" i="1"/>
  <c r="AD116" i="1"/>
  <c r="AD117" i="1"/>
  <c r="AD118" i="1"/>
  <c r="AD119" i="1"/>
  <c r="AD120" i="1"/>
  <c r="V120" i="1"/>
  <c r="U114" i="1"/>
  <c r="U115" i="1"/>
  <c r="U116" i="1"/>
  <c r="U117" i="1"/>
  <c r="U118" i="1"/>
  <c r="U119" i="1"/>
  <c r="U120" i="1"/>
  <c r="P120" i="1"/>
  <c r="N120" i="1"/>
  <c r="O120" i="1"/>
  <c r="M120" i="1"/>
  <c r="L114" i="1"/>
  <c r="L115" i="1"/>
  <c r="L116" i="1"/>
  <c r="L117" i="1"/>
  <c r="L118" i="1"/>
  <c r="L119" i="1"/>
  <c r="L120" i="1"/>
  <c r="M119" i="1"/>
  <c r="M118" i="1"/>
  <c r="M117" i="1"/>
  <c r="M116" i="1"/>
  <c r="M115" i="1"/>
  <c r="M114" i="1"/>
  <c r="AX84" i="1"/>
  <c r="AX87" i="1"/>
  <c r="AY84" i="1"/>
  <c r="AY87" i="1"/>
  <c r="AZ84" i="1"/>
  <c r="AZ87" i="1"/>
  <c r="BA84" i="1"/>
  <c r="BA87" i="1"/>
  <c r="BB84" i="1"/>
  <c r="BB87" i="1"/>
  <c r="BC87" i="1"/>
  <c r="BC78" i="1"/>
  <c r="BC79" i="1"/>
  <c r="BC80" i="1"/>
  <c r="BC81" i="1"/>
  <c r="BC82" i="1"/>
  <c r="BC83" i="1"/>
  <c r="BC84" i="1"/>
  <c r="BC85" i="1"/>
  <c r="BC86" i="1"/>
  <c r="BD87" i="1"/>
  <c r="AO84" i="1"/>
  <c r="AO87" i="1"/>
  <c r="AP84" i="1"/>
  <c r="AP87" i="1"/>
  <c r="AQ84" i="1"/>
  <c r="AQ87" i="1"/>
  <c r="AR84" i="1"/>
  <c r="AR87" i="1"/>
  <c r="AS84" i="1"/>
  <c r="AS87" i="1"/>
  <c r="AT84" i="1"/>
  <c r="AT87" i="1"/>
  <c r="AU87" i="1"/>
  <c r="AU78" i="1"/>
  <c r="AU79" i="1"/>
  <c r="AU80" i="1"/>
  <c r="AU81" i="1"/>
  <c r="AU82" i="1"/>
  <c r="AU83" i="1"/>
  <c r="AU84" i="1"/>
  <c r="AU85" i="1"/>
  <c r="AU86" i="1"/>
  <c r="AV87" i="1"/>
  <c r="AF84" i="1"/>
  <c r="AF87" i="1"/>
  <c r="AG84" i="1"/>
  <c r="AG87" i="1"/>
  <c r="AH84" i="1"/>
  <c r="AH87" i="1"/>
  <c r="AI84" i="1"/>
  <c r="AI87" i="1"/>
  <c r="AJ84" i="1"/>
  <c r="AJ87" i="1"/>
  <c r="AK84" i="1"/>
  <c r="AK87" i="1"/>
  <c r="AL87" i="1"/>
  <c r="AL78" i="1"/>
  <c r="AL79" i="1"/>
  <c r="AL80" i="1"/>
  <c r="AL81" i="1"/>
  <c r="AL82" i="1"/>
  <c r="AL83" i="1"/>
  <c r="AL84" i="1"/>
  <c r="AL85" i="1"/>
  <c r="AL86" i="1"/>
  <c r="AM87" i="1"/>
  <c r="W84" i="1"/>
  <c r="W87" i="1"/>
  <c r="X84" i="1"/>
  <c r="X87" i="1"/>
  <c r="Y84" i="1"/>
  <c r="Y87" i="1"/>
  <c r="Z84" i="1"/>
  <c r="Z87" i="1"/>
  <c r="AA84" i="1"/>
  <c r="AA87" i="1"/>
  <c r="AB84" i="1"/>
  <c r="AB87" i="1"/>
  <c r="AC87" i="1"/>
  <c r="AC78" i="1"/>
  <c r="AC79" i="1"/>
  <c r="AC80" i="1"/>
  <c r="AC81" i="1"/>
  <c r="AC82" i="1"/>
  <c r="AC83" i="1"/>
  <c r="AC84" i="1"/>
  <c r="AC85" i="1"/>
  <c r="AC86" i="1"/>
  <c r="AD87" i="1"/>
  <c r="Q84" i="1"/>
  <c r="Q87" i="1"/>
  <c r="R84" i="1"/>
  <c r="R87" i="1"/>
  <c r="S84" i="1"/>
  <c r="S87" i="1"/>
  <c r="T87" i="1"/>
  <c r="T78" i="1"/>
  <c r="T79" i="1"/>
  <c r="T80" i="1"/>
  <c r="T81" i="1"/>
  <c r="T82" i="1"/>
  <c r="T83" i="1"/>
  <c r="T84" i="1"/>
  <c r="T85" i="1"/>
  <c r="T86" i="1"/>
  <c r="U87" i="1"/>
  <c r="N87" i="1"/>
  <c r="B84" i="1"/>
  <c r="B87" i="1"/>
  <c r="C84" i="1"/>
  <c r="C87" i="1"/>
  <c r="D84" i="1"/>
  <c r="D87" i="1"/>
  <c r="E84" i="1"/>
  <c r="E87" i="1"/>
  <c r="F84" i="1"/>
  <c r="F87" i="1"/>
  <c r="G84" i="1"/>
  <c r="G87" i="1"/>
  <c r="H84" i="1"/>
  <c r="H87" i="1"/>
  <c r="I84" i="1"/>
  <c r="I87" i="1"/>
  <c r="J84" i="1"/>
  <c r="J87" i="1"/>
  <c r="K87" i="1"/>
  <c r="O87" i="1"/>
  <c r="K78" i="1"/>
  <c r="K79" i="1"/>
  <c r="K80" i="1"/>
  <c r="K81" i="1"/>
  <c r="K82" i="1"/>
  <c r="K83" i="1"/>
  <c r="K84" i="1"/>
  <c r="K85" i="1"/>
  <c r="K86" i="1"/>
  <c r="M87" i="1"/>
  <c r="L87" i="1"/>
  <c r="BD86" i="1"/>
  <c r="AV86" i="1"/>
  <c r="AM86" i="1"/>
  <c r="AD86" i="1"/>
  <c r="U86" i="1"/>
  <c r="M86" i="1"/>
  <c r="L86" i="1"/>
  <c r="BD85" i="1"/>
  <c r="AV85" i="1"/>
  <c r="AM85" i="1"/>
  <c r="AD85" i="1"/>
  <c r="U85" i="1"/>
  <c r="M85" i="1"/>
  <c r="L85" i="1"/>
  <c r="BF84" i="1"/>
  <c r="BG78" i="1"/>
  <c r="BG84" i="1"/>
  <c r="BE84" i="1"/>
  <c r="BD78" i="1"/>
  <c r="BD79" i="1"/>
  <c r="BD80" i="1"/>
  <c r="BD81" i="1"/>
  <c r="BD82" i="1"/>
  <c r="BD83" i="1"/>
  <c r="BD84" i="1"/>
  <c r="AW84" i="1"/>
  <c r="AV78" i="1"/>
  <c r="AV79" i="1"/>
  <c r="AV80" i="1"/>
  <c r="AV81" i="1"/>
  <c r="AV82" i="1"/>
  <c r="AV83" i="1"/>
  <c r="AV84" i="1"/>
  <c r="AN84" i="1"/>
  <c r="AM78" i="1"/>
  <c r="AM79" i="1"/>
  <c r="AM80" i="1"/>
  <c r="AM81" i="1"/>
  <c r="AM82" i="1"/>
  <c r="AM83" i="1"/>
  <c r="AM84" i="1"/>
  <c r="AE84" i="1"/>
  <c r="AD78" i="1"/>
  <c r="AD79" i="1"/>
  <c r="AD80" i="1"/>
  <c r="AD81" i="1"/>
  <c r="AD82" i="1"/>
  <c r="AD83" i="1"/>
  <c r="AD84" i="1"/>
  <c r="V84" i="1"/>
  <c r="U78" i="1"/>
  <c r="U79" i="1"/>
  <c r="U80" i="1"/>
  <c r="U81" i="1"/>
  <c r="U82" i="1"/>
  <c r="U83" i="1"/>
  <c r="U84" i="1"/>
  <c r="P84" i="1"/>
  <c r="N84" i="1"/>
  <c r="O84" i="1"/>
  <c r="M84" i="1"/>
  <c r="L78" i="1"/>
  <c r="L79" i="1"/>
  <c r="L80" i="1"/>
  <c r="L81" i="1"/>
  <c r="L82" i="1"/>
  <c r="L83" i="1"/>
  <c r="L84" i="1"/>
  <c r="BG83" i="1"/>
  <c r="M83" i="1"/>
  <c r="BG82" i="1"/>
  <c r="M82" i="1"/>
  <c r="BG81" i="1"/>
  <c r="M81" i="1"/>
  <c r="BG80" i="1"/>
  <c r="M80" i="1"/>
  <c r="BG79" i="1"/>
  <c r="M79" i="1"/>
  <c r="M78" i="1"/>
  <c r="AX72" i="1"/>
  <c r="AX75" i="1"/>
  <c r="AY72" i="1"/>
  <c r="AY75" i="1"/>
  <c r="AZ72" i="1"/>
  <c r="AZ75" i="1"/>
  <c r="BA72" i="1"/>
  <c r="BA75" i="1"/>
  <c r="BB72" i="1"/>
  <c r="BB75" i="1"/>
  <c r="BC75" i="1"/>
  <c r="BC68" i="1"/>
  <c r="BC69" i="1"/>
  <c r="BC70" i="1"/>
  <c r="BC71" i="1"/>
  <c r="BC72" i="1"/>
  <c r="BC73" i="1"/>
  <c r="BC74" i="1"/>
  <c r="BD75" i="1"/>
  <c r="AO72" i="1"/>
  <c r="AO75" i="1"/>
  <c r="AP72" i="1"/>
  <c r="AP75" i="1"/>
  <c r="AQ72" i="1"/>
  <c r="AQ75" i="1"/>
  <c r="AR72" i="1"/>
  <c r="AR75" i="1"/>
  <c r="AS72" i="1"/>
  <c r="AS75" i="1"/>
  <c r="AT72" i="1"/>
  <c r="AT75" i="1"/>
  <c r="AU75" i="1"/>
  <c r="AU68" i="1"/>
  <c r="AU69" i="1"/>
  <c r="AU70" i="1"/>
  <c r="AU71" i="1"/>
  <c r="AU72" i="1"/>
  <c r="AU73" i="1"/>
  <c r="AU74" i="1"/>
  <c r="AV75" i="1"/>
  <c r="AF72" i="1"/>
  <c r="AF75" i="1"/>
  <c r="AG72" i="1"/>
  <c r="AG75" i="1"/>
  <c r="AH72" i="1"/>
  <c r="AH75" i="1"/>
  <c r="AI72" i="1"/>
  <c r="AI75" i="1"/>
  <c r="AJ72" i="1"/>
  <c r="AJ75" i="1"/>
  <c r="AK72" i="1"/>
  <c r="AK75" i="1"/>
  <c r="AL75" i="1"/>
  <c r="AL68" i="1"/>
  <c r="AL69" i="1"/>
  <c r="AL70" i="1"/>
  <c r="AL71" i="1"/>
  <c r="AL72" i="1"/>
  <c r="AL73" i="1"/>
  <c r="AL74" i="1"/>
  <c r="AM75" i="1"/>
  <c r="W72" i="1"/>
  <c r="W75" i="1"/>
  <c r="X72" i="1"/>
  <c r="X75" i="1"/>
  <c r="Y72" i="1"/>
  <c r="Y75" i="1"/>
  <c r="Z72" i="1"/>
  <c r="Z75" i="1"/>
  <c r="AA72" i="1"/>
  <c r="AA75" i="1"/>
  <c r="AB72" i="1"/>
  <c r="AB75" i="1"/>
  <c r="AC75" i="1"/>
  <c r="AC68" i="1"/>
  <c r="AC69" i="1"/>
  <c r="AC70" i="1"/>
  <c r="AC71" i="1"/>
  <c r="AC72" i="1"/>
  <c r="AC73" i="1"/>
  <c r="AC74" i="1"/>
  <c r="AD75" i="1"/>
  <c r="Q72" i="1"/>
  <c r="Q75" i="1"/>
  <c r="R72" i="1"/>
  <c r="R75" i="1"/>
  <c r="S72" i="1"/>
  <c r="S75" i="1"/>
  <c r="T75" i="1"/>
  <c r="T68" i="1"/>
  <c r="T69" i="1"/>
  <c r="T70" i="1"/>
  <c r="T71" i="1"/>
  <c r="T72" i="1"/>
  <c r="T73" i="1"/>
  <c r="T74" i="1"/>
  <c r="U75" i="1"/>
  <c r="N75" i="1"/>
  <c r="B72" i="1"/>
  <c r="B75" i="1"/>
  <c r="K75" i="1"/>
  <c r="O75" i="1"/>
  <c r="K72" i="1"/>
  <c r="K73" i="1"/>
  <c r="K74" i="1"/>
  <c r="M75" i="1"/>
  <c r="L75" i="1"/>
  <c r="BD74" i="1"/>
  <c r="AV74" i="1"/>
  <c r="AM74" i="1"/>
  <c r="AD74" i="1"/>
  <c r="U74" i="1"/>
  <c r="M74" i="1"/>
  <c r="BD73" i="1"/>
  <c r="AV73" i="1"/>
  <c r="AM73" i="1"/>
  <c r="AD73" i="1"/>
  <c r="U73" i="1"/>
  <c r="M73" i="1"/>
  <c r="N72" i="1"/>
  <c r="O72" i="1"/>
  <c r="M72" i="1"/>
  <c r="K68" i="1"/>
  <c r="L68" i="1"/>
  <c r="K69" i="1"/>
  <c r="L69" i="1"/>
  <c r="K70" i="1"/>
  <c r="L70" i="1"/>
  <c r="K71" i="1"/>
  <c r="L71" i="1"/>
  <c r="L72" i="1"/>
  <c r="M71" i="1"/>
  <c r="M70" i="1"/>
  <c r="M69" i="1"/>
  <c r="M68" i="1"/>
  <c r="AX44" i="1"/>
  <c r="AX47" i="1"/>
  <c r="AY44" i="1"/>
  <c r="AY47" i="1"/>
  <c r="AZ44" i="1"/>
  <c r="AZ47" i="1"/>
  <c r="BA44" i="1"/>
  <c r="BA47" i="1"/>
  <c r="BB44" i="1"/>
  <c r="BB47" i="1"/>
  <c r="BC47" i="1"/>
  <c r="BC41" i="1"/>
  <c r="BC42" i="1"/>
  <c r="BC43" i="1"/>
  <c r="BC44" i="1"/>
  <c r="BC45" i="1"/>
  <c r="BC46" i="1"/>
  <c r="BD47" i="1"/>
  <c r="AO44" i="1"/>
  <c r="AO47" i="1"/>
  <c r="AP44" i="1"/>
  <c r="AP47" i="1"/>
  <c r="AQ44" i="1"/>
  <c r="AQ47" i="1"/>
  <c r="AR44" i="1"/>
  <c r="AR47" i="1"/>
  <c r="AS44" i="1"/>
  <c r="AS47" i="1"/>
  <c r="AT44" i="1"/>
  <c r="AT47" i="1"/>
  <c r="AU47" i="1"/>
  <c r="AU41" i="1"/>
  <c r="AU42" i="1"/>
  <c r="AU43" i="1"/>
  <c r="AU44" i="1"/>
  <c r="AU45" i="1"/>
  <c r="AU46" i="1"/>
  <c r="AV47" i="1"/>
  <c r="AF44" i="1"/>
  <c r="AF47" i="1"/>
  <c r="AG44" i="1"/>
  <c r="AG47" i="1"/>
  <c r="AH44" i="1"/>
  <c r="AH47" i="1"/>
  <c r="AI44" i="1"/>
  <c r="AI47" i="1"/>
  <c r="AJ44" i="1"/>
  <c r="AJ47" i="1"/>
  <c r="AK44" i="1"/>
  <c r="AK47" i="1"/>
  <c r="AL47" i="1"/>
  <c r="AL41" i="1"/>
  <c r="AL42" i="1"/>
  <c r="AL43" i="1"/>
  <c r="AL44" i="1"/>
  <c r="AL45" i="1"/>
  <c r="AL46" i="1"/>
  <c r="AM47" i="1"/>
  <c r="W44" i="1"/>
  <c r="W47" i="1"/>
  <c r="X44" i="1"/>
  <c r="X47" i="1"/>
  <c r="Y44" i="1"/>
  <c r="Y47" i="1"/>
  <c r="Z44" i="1"/>
  <c r="Z47" i="1"/>
  <c r="AA44" i="1"/>
  <c r="AA47" i="1"/>
  <c r="AB44" i="1"/>
  <c r="AB47" i="1"/>
  <c r="AC47" i="1"/>
  <c r="AC41" i="1"/>
  <c r="AC42" i="1"/>
  <c r="AC43" i="1"/>
  <c r="AC44" i="1"/>
  <c r="AC45" i="1"/>
  <c r="AC46" i="1"/>
  <c r="AD47" i="1"/>
  <c r="Q44" i="1"/>
  <c r="Q47" i="1"/>
  <c r="R44" i="1"/>
  <c r="R47" i="1"/>
  <c r="S44" i="1"/>
  <c r="S47" i="1"/>
  <c r="T47" i="1"/>
  <c r="T41" i="1"/>
  <c r="T42" i="1"/>
  <c r="T43" i="1"/>
  <c r="T44" i="1"/>
  <c r="T45" i="1"/>
  <c r="T46" i="1"/>
  <c r="U47" i="1"/>
  <c r="N47" i="1"/>
  <c r="C44" i="1"/>
  <c r="C47" i="1"/>
  <c r="D44" i="1"/>
  <c r="D47" i="1"/>
  <c r="E44" i="1"/>
  <c r="E47" i="1"/>
  <c r="F44" i="1"/>
  <c r="F47" i="1"/>
  <c r="G44" i="1"/>
  <c r="G47" i="1"/>
  <c r="H44" i="1"/>
  <c r="H47" i="1"/>
  <c r="I44" i="1"/>
  <c r="I47" i="1"/>
  <c r="J44" i="1"/>
  <c r="J47" i="1"/>
  <c r="K47" i="1"/>
  <c r="O47" i="1"/>
  <c r="K44" i="1"/>
  <c r="K45" i="1"/>
  <c r="K46" i="1"/>
  <c r="M47" i="1"/>
  <c r="L47" i="1"/>
  <c r="BD46" i="1"/>
  <c r="AV46" i="1"/>
  <c r="AM46" i="1"/>
  <c r="AD46" i="1"/>
  <c r="U46" i="1"/>
  <c r="M46" i="1"/>
  <c r="BD45" i="1"/>
  <c r="AV45" i="1"/>
  <c r="AM45" i="1"/>
  <c r="AD45" i="1"/>
  <c r="U45" i="1"/>
  <c r="M45" i="1"/>
  <c r="BF44" i="1"/>
  <c r="BG41" i="1"/>
  <c r="BG44" i="1"/>
  <c r="BD41" i="1"/>
  <c r="BD42" i="1"/>
  <c r="BD43" i="1"/>
  <c r="BD44" i="1"/>
  <c r="AV41" i="1"/>
  <c r="AV42" i="1"/>
  <c r="AV43" i="1"/>
  <c r="AV44" i="1"/>
  <c r="AM41" i="1"/>
  <c r="AM42" i="1"/>
  <c r="AM43" i="1"/>
  <c r="AM44" i="1"/>
  <c r="AD41" i="1"/>
  <c r="AD42" i="1"/>
  <c r="AD43" i="1"/>
  <c r="AD44" i="1"/>
  <c r="U41" i="1"/>
  <c r="U42" i="1"/>
  <c r="U43" i="1"/>
  <c r="U44" i="1"/>
  <c r="N44" i="1"/>
  <c r="O44" i="1"/>
  <c r="M44" i="1"/>
  <c r="K41" i="1"/>
  <c r="L41" i="1"/>
  <c r="K42" i="1"/>
  <c r="L42" i="1"/>
  <c r="K43" i="1"/>
  <c r="L43" i="1"/>
  <c r="L44" i="1"/>
  <c r="BG43" i="1"/>
  <c r="M43" i="1"/>
  <c r="BG42" i="1"/>
  <c r="M42" i="1"/>
  <c r="M41" i="1"/>
  <c r="AX35" i="1"/>
  <c r="AX38" i="1"/>
  <c r="AY35" i="1"/>
  <c r="AY38" i="1"/>
  <c r="AZ38" i="1"/>
  <c r="BA35" i="1"/>
  <c r="BA38" i="1"/>
  <c r="BB35" i="1"/>
  <c r="BB38" i="1"/>
  <c r="BC38" i="1"/>
  <c r="BC31" i="1"/>
  <c r="BC32" i="1"/>
  <c r="BC33" i="1"/>
  <c r="BC34" i="1"/>
  <c r="BC35" i="1"/>
  <c r="BC36" i="1"/>
  <c r="BC37" i="1"/>
  <c r="BD38" i="1"/>
  <c r="AO35" i="1"/>
  <c r="AO38" i="1"/>
  <c r="AP35" i="1"/>
  <c r="AP38" i="1"/>
  <c r="AQ35" i="1"/>
  <c r="AQ38" i="1"/>
  <c r="AR35" i="1"/>
  <c r="AR38" i="1"/>
  <c r="AS35" i="1"/>
  <c r="AS38" i="1"/>
  <c r="AT35" i="1"/>
  <c r="AT38" i="1"/>
  <c r="AU38" i="1"/>
  <c r="AU31" i="1"/>
  <c r="AU32" i="1"/>
  <c r="AU33" i="1"/>
  <c r="AU34" i="1"/>
  <c r="AU35" i="1"/>
  <c r="AU36" i="1"/>
  <c r="AU37" i="1"/>
  <c r="AV38" i="1"/>
  <c r="AF35" i="1"/>
  <c r="AF38" i="1"/>
  <c r="AG35" i="1"/>
  <c r="AG38" i="1"/>
  <c r="AH35" i="1"/>
  <c r="AH38" i="1"/>
  <c r="AI35" i="1"/>
  <c r="AI38" i="1"/>
  <c r="AJ35" i="1"/>
  <c r="AJ38" i="1"/>
  <c r="AK35" i="1"/>
  <c r="AK38" i="1"/>
  <c r="AL38" i="1"/>
  <c r="AL31" i="1"/>
  <c r="AL32" i="1"/>
  <c r="AL33" i="1"/>
  <c r="AL34" i="1"/>
  <c r="AL35" i="1"/>
  <c r="AL36" i="1"/>
  <c r="AL37" i="1"/>
  <c r="AM38" i="1"/>
  <c r="W35" i="1"/>
  <c r="W38" i="1"/>
  <c r="X35" i="1"/>
  <c r="X38" i="1"/>
  <c r="Y35" i="1"/>
  <c r="Y38" i="1"/>
  <c r="Z35" i="1"/>
  <c r="Z38" i="1"/>
  <c r="AA35" i="1"/>
  <c r="AA38" i="1"/>
  <c r="AB35" i="1"/>
  <c r="AB38" i="1"/>
  <c r="AC38" i="1"/>
  <c r="AC31" i="1"/>
  <c r="AC32" i="1"/>
  <c r="AC33" i="1"/>
  <c r="AC34" i="1"/>
  <c r="AC35" i="1"/>
  <c r="AC36" i="1"/>
  <c r="AC37" i="1"/>
  <c r="AD38" i="1"/>
  <c r="Q35" i="1"/>
  <c r="Q38" i="1"/>
  <c r="R35" i="1"/>
  <c r="R38" i="1"/>
  <c r="S35" i="1"/>
  <c r="S38" i="1"/>
  <c r="T38" i="1"/>
  <c r="T31" i="1"/>
  <c r="T32" i="1"/>
  <c r="T33" i="1"/>
  <c r="T34" i="1"/>
  <c r="T35" i="1"/>
  <c r="T36" i="1"/>
  <c r="T37" i="1"/>
  <c r="U38" i="1"/>
  <c r="N38" i="1"/>
  <c r="C35" i="1"/>
  <c r="C38" i="1"/>
  <c r="D35" i="1"/>
  <c r="D38" i="1"/>
  <c r="E35" i="1"/>
  <c r="E38" i="1"/>
  <c r="F35" i="1"/>
  <c r="F38" i="1"/>
  <c r="G35" i="1"/>
  <c r="G38" i="1"/>
  <c r="H35" i="1"/>
  <c r="H38" i="1"/>
  <c r="I35" i="1"/>
  <c r="I38" i="1"/>
  <c r="J35" i="1"/>
  <c r="J38" i="1"/>
  <c r="K38" i="1"/>
  <c r="O38" i="1"/>
  <c r="K35" i="1"/>
  <c r="K36" i="1"/>
  <c r="K37" i="1"/>
  <c r="M38" i="1"/>
  <c r="L38" i="1"/>
  <c r="BD37" i="1"/>
  <c r="AV37" i="1"/>
  <c r="AM37" i="1"/>
  <c r="AD37" i="1"/>
  <c r="U37" i="1"/>
  <c r="M37" i="1"/>
  <c r="BD36" i="1"/>
  <c r="AV36" i="1"/>
  <c r="AM36" i="1"/>
  <c r="AD36" i="1"/>
  <c r="U36" i="1"/>
  <c r="M36" i="1"/>
  <c r="N35" i="1"/>
  <c r="O35" i="1"/>
  <c r="M35" i="1"/>
  <c r="K31" i="1"/>
  <c r="L31" i="1"/>
  <c r="K32" i="1"/>
  <c r="L32" i="1"/>
  <c r="K33" i="1"/>
  <c r="L33" i="1"/>
  <c r="K34" i="1"/>
  <c r="L34" i="1"/>
  <c r="L35" i="1"/>
  <c r="M34" i="1"/>
  <c r="M33" i="1"/>
  <c r="M32" i="1"/>
  <c r="M31" i="1"/>
  <c r="AX25" i="1"/>
  <c r="AX28" i="1"/>
  <c r="AY25" i="1"/>
  <c r="AY28" i="1"/>
  <c r="AZ25" i="1"/>
  <c r="AZ28" i="1"/>
  <c r="BA25" i="1"/>
  <c r="BA28" i="1"/>
  <c r="BB25" i="1"/>
  <c r="BB28" i="1"/>
  <c r="BC28" i="1"/>
  <c r="AO25" i="1"/>
  <c r="AO28" i="1"/>
  <c r="AP25" i="1"/>
  <c r="AP28" i="1"/>
  <c r="AQ25" i="1"/>
  <c r="AQ28" i="1"/>
  <c r="AR25" i="1"/>
  <c r="AR28" i="1"/>
  <c r="AS25" i="1"/>
  <c r="AS28" i="1"/>
  <c r="AT25" i="1"/>
  <c r="AT28" i="1"/>
  <c r="AU28" i="1"/>
  <c r="AU20" i="1"/>
  <c r="AU21" i="1"/>
  <c r="AU22" i="1"/>
  <c r="AU23" i="1"/>
  <c r="AU24" i="1"/>
  <c r="AU25" i="1"/>
  <c r="AU26" i="1"/>
  <c r="AU27" i="1"/>
  <c r="AV28" i="1"/>
  <c r="AF25" i="1"/>
  <c r="AF28" i="1"/>
  <c r="AG25" i="1"/>
  <c r="AG28" i="1"/>
  <c r="AH25" i="1"/>
  <c r="AH28" i="1"/>
  <c r="AI25" i="1"/>
  <c r="AI28" i="1"/>
  <c r="AJ25" i="1"/>
  <c r="AJ28" i="1"/>
  <c r="AK25" i="1"/>
  <c r="AK28" i="1"/>
  <c r="AL28" i="1"/>
  <c r="AL20" i="1"/>
  <c r="AL21" i="1"/>
  <c r="AL22" i="1"/>
  <c r="AL23" i="1"/>
  <c r="AL24" i="1"/>
  <c r="AL25" i="1"/>
  <c r="AL26" i="1"/>
  <c r="AL27" i="1"/>
  <c r="AM28" i="1"/>
  <c r="W25" i="1"/>
  <c r="W28" i="1"/>
  <c r="X25" i="1"/>
  <c r="X28" i="1"/>
  <c r="Y25" i="1"/>
  <c r="Y28" i="1"/>
  <c r="Z25" i="1"/>
  <c r="Z28" i="1"/>
  <c r="AA25" i="1"/>
  <c r="AA28" i="1"/>
  <c r="AB25" i="1"/>
  <c r="AB28" i="1"/>
  <c r="AC28" i="1"/>
  <c r="AC20" i="1"/>
  <c r="AC21" i="1"/>
  <c r="AC22" i="1"/>
  <c r="AC23" i="1"/>
  <c r="AC24" i="1"/>
  <c r="AC25" i="1"/>
  <c r="AC26" i="1"/>
  <c r="AC27" i="1"/>
  <c r="AD28" i="1"/>
  <c r="Q25" i="1"/>
  <c r="Q28" i="1"/>
  <c r="R25" i="1"/>
  <c r="R28" i="1"/>
  <c r="S25" i="1"/>
  <c r="S28" i="1"/>
  <c r="T28" i="1"/>
  <c r="T20" i="1"/>
  <c r="T21" i="1"/>
  <c r="T22" i="1"/>
  <c r="T23" i="1"/>
  <c r="T24" i="1"/>
  <c r="T25" i="1"/>
  <c r="T26" i="1"/>
  <c r="T27" i="1"/>
  <c r="U28" i="1"/>
  <c r="N28" i="1"/>
  <c r="C25" i="1"/>
  <c r="C28" i="1"/>
  <c r="D25" i="1"/>
  <c r="D28" i="1"/>
  <c r="E25" i="1"/>
  <c r="E28" i="1"/>
  <c r="F25" i="1"/>
  <c r="F28" i="1"/>
  <c r="G25" i="1"/>
  <c r="G28" i="1"/>
  <c r="H25" i="1"/>
  <c r="H28" i="1"/>
  <c r="I25" i="1"/>
  <c r="I28" i="1"/>
  <c r="J25" i="1"/>
  <c r="J28" i="1"/>
  <c r="K28" i="1"/>
  <c r="O28" i="1"/>
  <c r="K25" i="1"/>
  <c r="K26" i="1"/>
  <c r="K27" i="1"/>
  <c r="M28" i="1"/>
  <c r="L28" i="1"/>
  <c r="BC27" i="1"/>
  <c r="AV27" i="1"/>
  <c r="AM27" i="1"/>
  <c r="AD27" i="1"/>
  <c r="U27" i="1"/>
  <c r="M27" i="1"/>
  <c r="BC26" i="1"/>
  <c r="AV26" i="1"/>
  <c r="AM26" i="1"/>
  <c r="AD26" i="1"/>
  <c r="U26" i="1"/>
  <c r="M26" i="1"/>
  <c r="BF25" i="1"/>
  <c r="BC20" i="1"/>
  <c r="BC21" i="1"/>
  <c r="BC22" i="1"/>
  <c r="BC23" i="1"/>
  <c r="BC24" i="1"/>
  <c r="BC25" i="1"/>
  <c r="BD20" i="1"/>
  <c r="BD21" i="1"/>
  <c r="BD22" i="1"/>
  <c r="BD23" i="1"/>
  <c r="BD25" i="1"/>
  <c r="AV20" i="1"/>
  <c r="AV21" i="1"/>
  <c r="AV22" i="1"/>
  <c r="AV23" i="1"/>
  <c r="AV25" i="1"/>
  <c r="AM20" i="1"/>
  <c r="AM21" i="1"/>
  <c r="AM22" i="1"/>
  <c r="AM23" i="1"/>
  <c r="AM24" i="1"/>
  <c r="AM25" i="1"/>
  <c r="AD20" i="1"/>
  <c r="AD21" i="1"/>
  <c r="AD22" i="1"/>
  <c r="AD23" i="1"/>
  <c r="AD24" i="1"/>
  <c r="AD25" i="1"/>
  <c r="U25" i="1"/>
  <c r="N25" i="1"/>
  <c r="O25" i="1"/>
  <c r="M25" i="1"/>
  <c r="K20" i="1"/>
  <c r="L20" i="1"/>
  <c r="K21" i="1"/>
  <c r="L21" i="1"/>
  <c r="K22" i="1"/>
  <c r="L22" i="1"/>
  <c r="K23" i="1"/>
  <c r="L23" i="1"/>
  <c r="K24" i="1"/>
  <c r="L24" i="1"/>
  <c r="L25" i="1"/>
  <c r="BG24" i="1"/>
  <c r="M24" i="1"/>
  <c r="BG23" i="1"/>
  <c r="M23" i="1"/>
  <c r="BG22" i="1"/>
  <c r="M22" i="1"/>
  <c r="BG21" i="1"/>
  <c r="M21" i="1"/>
  <c r="BG20" i="1"/>
  <c r="M20" i="1"/>
  <c r="B17" i="1"/>
  <c r="C17" i="1"/>
  <c r="D17" i="1"/>
  <c r="E17" i="1"/>
  <c r="F17" i="1"/>
  <c r="G17" i="1"/>
  <c r="H17" i="1"/>
  <c r="I17" i="1"/>
  <c r="J17" i="1"/>
  <c r="K17" i="1"/>
  <c r="K16" i="1"/>
  <c r="K15" i="1"/>
  <c r="B13" i="1"/>
  <c r="C13" i="1"/>
  <c r="D13" i="1"/>
  <c r="E13" i="1"/>
  <c r="F13" i="1"/>
  <c r="G13" i="1"/>
  <c r="H13" i="1"/>
  <c r="I13" i="1"/>
  <c r="J13" i="1"/>
  <c r="K13" i="1"/>
  <c r="K12" i="1"/>
  <c r="K11" i="1"/>
  <c r="B4" i="1"/>
  <c r="B6" i="1"/>
  <c r="B8" i="1"/>
  <c r="C4" i="1"/>
  <c r="C6" i="1"/>
  <c r="C8" i="1"/>
  <c r="D4" i="1"/>
  <c r="D6" i="1"/>
  <c r="D8" i="1"/>
  <c r="E4" i="1"/>
  <c r="E6" i="1"/>
  <c r="E8" i="1"/>
  <c r="F4" i="1"/>
  <c r="F6" i="1"/>
  <c r="F8" i="1"/>
  <c r="G8" i="1"/>
  <c r="H8" i="1"/>
  <c r="I8" i="1"/>
  <c r="J8" i="1"/>
  <c r="K8" i="1"/>
  <c r="K2" i="1"/>
  <c r="M8" i="1"/>
  <c r="L8" i="1"/>
  <c r="K7" i="1"/>
  <c r="M7" i="1"/>
  <c r="L7" i="1"/>
  <c r="K6" i="1"/>
  <c r="K5" i="1"/>
  <c r="G4" i="1"/>
  <c r="H4" i="1"/>
  <c r="I4" i="1"/>
  <c r="J4" i="1"/>
  <c r="K4" i="1"/>
  <c r="L4" i="1"/>
  <c r="K3" i="1"/>
  <c r="M3" i="1"/>
  <c r="L3" i="1"/>
  <c r="M2" i="1"/>
  <c r="L2" i="1"/>
</calcChain>
</file>

<file path=xl/comments1.xml><?xml version="1.0" encoding="utf-8"?>
<comments xmlns="http://schemas.openxmlformats.org/spreadsheetml/2006/main">
  <authors>
    <author>Opphavsperson</author>
  </authors>
  <commentList>
    <comment ref="G1" authorId="0">
      <text>
        <r>
          <rPr>
            <sz val="11"/>
            <color indexed="8"/>
            <rFont val="Helvetica"/>
          </rPr>
          <t>Opphavsperson:
NB! When reading the Clicker file, be aware that english questions in file do not match the Norwegian questions the participants got, so you have to look at the screenshots from the clicker file, and interpret the Norwegian questions actually getting posed.</t>
        </r>
      </text>
    </comment>
    <comment ref="J1" authorId="0">
      <text>
        <r>
          <rPr>
            <sz val="11"/>
            <color indexed="8"/>
            <rFont val="Helvetica"/>
          </rPr>
          <t>Opphavsperson:
Q10 and Q11 in the clicker-file is the same Q, so merged in analysis.</t>
        </r>
      </text>
    </comment>
    <comment ref="D3" authorId="0">
      <text>
        <r>
          <rPr>
            <sz val="11"/>
            <color indexed="8"/>
            <rFont val="Helvetica"/>
          </rPr>
          <t>Opphavsperson:
Only answered demographics</t>
        </r>
      </text>
    </comment>
    <comment ref="F3" authorId="0">
      <text>
        <r>
          <rPr>
            <sz val="11"/>
            <color indexed="8"/>
            <rFont val="Helvetica"/>
          </rPr>
          <t>Opphavsperson:
Only answered one question in total</t>
        </r>
      </text>
    </comment>
    <comment ref="H3" authorId="0">
      <text>
        <r>
          <rPr>
            <sz val="11"/>
            <color indexed="8"/>
            <rFont val="Helvetica"/>
          </rPr>
          <t>Opphavsperson:
Nurses (10) were excluded</t>
        </r>
      </text>
    </comment>
    <comment ref="D5" authorId="0">
      <text>
        <r>
          <rPr>
            <sz val="11"/>
            <color indexed="8"/>
            <rFont val="Helvetica"/>
          </rPr>
          <t>Opphavsperson:
Did not answer any questions during randomization</t>
        </r>
      </text>
    </comment>
    <comment ref="F5" authorId="0">
      <text>
        <r>
          <rPr>
            <sz val="11"/>
            <color indexed="8"/>
            <rFont val="Helvetica"/>
          </rPr>
          <t>Opphavsperson:
Did not answer any questions during randomization</t>
        </r>
      </text>
    </comment>
    <comment ref="D7" authorId="0">
      <text>
        <r>
          <rPr>
            <sz val="11"/>
            <color indexed="8"/>
            <rFont val="Helvetica"/>
          </rPr>
          <t>Opphavsperson:
Answered only 1 question during randomization.</t>
        </r>
      </text>
    </comment>
    <comment ref="E7" authorId="0">
      <text>
        <r>
          <rPr>
            <sz val="11"/>
            <color indexed="8"/>
            <rFont val="Helvetica"/>
          </rPr>
          <t xml:space="preserve">Opphavsperson:
One participant started in group A, but then also answered in group B. That participant is included in group A. </t>
        </r>
      </text>
    </comment>
    <comment ref="F7" authorId="0">
      <text>
        <r>
          <rPr>
            <sz val="11"/>
            <color indexed="8"/>
            <rFont val="Helvetica"/>
          </rPr>
          <t>Opphavsperson:
answered only 2 questions post-randomization</t>
        </r>
      </text>
    </comment>
    <comment ref="D12" authorId="0">
      <text>
        <r>
          <rPr>
            <sz val="11"/>
            <color indexed="8"/>
            <rFont val="Helvetica"/>
          </rPr>
          <t>Opphavsperson:
Answered only one question</t>
        </r>
      </text>
    </comment>
    <comment ref="F12" authorId="0">
      <text>
        <r>
          <rPr>
            <sz val="11"/>
            <color indexed="8"/>
            <rFont val="Helvetica"/>
          </rPr>
          <t>Opphavsperson:
Only answered 2 questions</t>
        </r>
      </text>
    </comment>
    <comment ref="BF19" authorId="0">
      <text>
        <r>
          <rPr>
            <sz val="11"/>
            <color indexed="8"/>
            <rFont val="Helvetica"/>
          </rPr>
          <t>Opphavsperson:
2 nurses did not answer</t>
        </r>
      </text>
    </comment>
    <comment ref="A31" authorId="0">
      <text>
        <r>
          <rPr>
            <sz val="11"/>
            <color indexed="8"/>
            <rFont val="Helvetica"/>
          </rPr>
          <t>Opphavsperson:
Marked blue in Clicker files</t>
        </r>
      </text>
    </comment>
    <comment ref="A32" authorId="0">
      <text>
        <r>
          <rPr>
            <sz val="11"/>
            <color indexed="8"/>
            <rFont val="Helvetica"/>
          </rPr>
          <t>Opphavsperson:
Marked white in clicker files</t>
        </r>
      </text>
    </comment>
    <comment ref="I32" authorId="0">
      <text>
        <r>
          <rPr>
            <sz val="11"/>
            <color indexed="8"/>
            <rFont val="Helvetica"/>
          </rPr>
          <t>Opphavsperson:
Foundation year doctor</t>
        </r>
      </text>
    </comment>
    <comment ref="A33" authorId="0">
      <text>
        <r>
          <rPr>
            <sz val="11"/>
            <color indexed="8"/>
            <rFont val="Helvetica"/>
          </rPr>
          <t>Opphavsperson:
marked purple in clicker files</t>
        </r>
      </text>
    </comment>
    <comment ref="A34" authorId="0">
      <text>
        <r>
          <rPr>
            <sz val="11"/>
            <color indexed="8"/>
            <rFont val="Helvetica"/>
          </rPr>
          <t>Opphavsperson:
Marked Orange in clicker files</t>
        </r>
      </text>
    </comment>
    <comment ref="H34" authorId="0">
      <text>
        <r>
          <rPr>
            <sz val="11"/>
            <color indexed="8"/>
            <rFont val="Helvetica"/>
          </rPr>
          <t>Opphavsperson:
Pooled GP (6)+ head of department (1) and residente (GP)</t>
        </r>
      </text>
    </comment>
    <comment ref="A36" authorId="0">
      <text>
        <r>
          <rPr>
            <sz val="11"/>
            <color indexed="8"/>
            <rFont val="Helvetica"/>
          </rPr>
          <t>Opphavsperson:
Marked gray in the clicker files</t>
        </r>
      </text>
    </comment>
    <comment ref="A37" authorId="0">
      <text>
        <r>
          <rPr>
            <sz val="11"/>
            <color indexed="8"/>
            <rFont val="Helvetica"/>
          </rPr>
          <t>Opphavsperson:
Marked gray in the clicker files</t>
        </r>
      </text>
    </comment>
    <comment ref="B146" authorId="0">
      <text>
        <r>
          <rPr>
            <sz val="11"/>
            <color indexed="8"/>
            <rFont val="Helvetica"/>
          </rPr>
          <t>Opphavsperson:
Strong rec, meaning just do it</t>
        </r>
      </text>
    </comment>
    <comment ref="A147" authorId="0">
      <text>
        <r>
          <rPr>
            <sz val="11"/>
            <color indexed="8"/>
            <rFont val="Helvetica"/>
          </rPr>
          <t>Opphavsperson:
At Hamar it said 'low quality'</t>
        </r>
      </text>
    </comment>
    <comment ref="B147" authorId="0">
      <text>
        <r>
          <rPr>
            <sz val="11"/>
            <color indexed="8"/>
            <rFont val="Helvetica"/>
          </rPr>
          <t>Opphavsperson:
Didn’t have that option, it was:
Weak rec, meaning maybe do it (5)- so it’s added to last alternative</t>
        </r>
      </text>
    </comment>
    <comment ref="G147" authorId="0">
      <text>
        <r>
          <rPr>
            <sz val="11"/>
            <color indexed="8"/>
            <rFont val="Helvetica"/>
          </rPr>
          <t>Opphavsperson:
Didn’t have that option, it was low quality instead ( )</t>
        </r>
      </text>
    </comment>
    <comment ref="A159" authorId="0">
      <text>
        <r>
          <rPr>
            <sz val="11"/>
            <color indexed="8"/>
            <rFont val="Helvetica"/>
          </rPr>
          <t>Opphavsperson:
Hamar and Gjøvik had: 'High quality evidence’ instead.</t>
        </r>
      </text>
    </comment>
    <comment ref="B159" authorId="0">
      <text>
        <r>
          <rPr>
            <sz val="11"/>
            <color indexed="8"/>
            <rFont val="Helvetica"/>
          </rPr>
          <t>Opphavsperson:
Didn’t have that alternative, but said instead: High quality evidence ( 1)</t>
        </r>
      </text>
    </comment>
    <comment ref="G159" authorId="0">
      <text>
        <r>
          <rPr>
            <sz val="11"/>
            <color indexed="8"/>
            <rFont val="Helvetica"/>
          </rPr>
          <t>Opphavsperson:
Didn’t have that alternative, but said instead: High quality evidence ( )</t>
        </r>
      </text>
    </comment>
    <comment ref="B164" authorId="0">
      <text>
        <r>
          <rPr>
            <sz val="11"/>
            <color indexed="8"/>
            <rFont val="Helvetica"/>
          </rPr>
          <t>Opphavsperson:
Several guidelines and EBM textbooks (e.g. UpToDate) use the GRADE system and label their recommendations with a number + letter.  (then an example) 
Q:
GRADE provides either strong or weak recommendations.  To what extent do you agree with the following statement:   “I fully understand the difference between strong and weak recommendations and the implications for clinical decision making” </t>
        </r>
      </text>
    </comment>
    <comment ref="A176" authorId="0">
      <text>
        <r>
          <rPr>
            <sz val="11"/>
            <color indexed="8"/>
            <rFont val="Helvetica"/>
          </rPr>
          <t xml:space="preserve">Opphavsperson:
Never heard of it = Strongly Disagree
Heard of it, but that's all = Somewhat disagree
Know it somewhat = Somewhat agree
Know it well = Agree
</t>
        </r>
      </text>
    </comment>
    <comment ref="B176" authorId="0">
      <text>
        <r>
          <rPr>
            <sz val="11"/>
            <color indexed="8"/>
            <rFont val="Helvetica"/>
          </rPr>
          <t>Opphavsperson:
Several guidelines and EBM textbooks (e.g. UpToDate) use the GRADE system and label their recommendations with a number + letter.  (then an example) 
Q:
GRADE provides either strong or weak recommendations.  To what extent do you agree with the following statement:   “I fully understand the difference between strong and weak recommendations and the implications for clinical decision making” </t>
        </r>
      </text>
    </comment>
    <comment ref="B188" authorId="0">
      <text>
        <r>
          <rPr>
            <sz val="11"/>
            <color indexed="8"/>
            <rFont val="Helvetica"/>
          </rPr>
          <t>Opphavsperson:
Several guidelines and EBM textbooks (e.g. UpToDate) use the GRADE system and label their recommendations with a number + letter.  (then an example) 
Q:
GRADE provides either strong or weak recommendations.  To what extent do you agree with the following statement:   “I fully understand the difference between strong and weak recommendations and the implications for clinical decision making” </t>
        </r>
      </text>
    </comment>
    <comment ref="B197" authorId="0">
      <text>
        <r>
          <rPr>
            <sz val="11"/>
            <color indexed="8"/>
            <rFont val="Helvetica"/>
          </rPr>
          <t>Opphavsperson:
Several guidelines and EBM textbooks (e.g. UpToDate) use the GRADE system and label their recommendations with a number + letter.  (then an example) 
Q:
GRADE provides either strong or weak recommendations.  To what extent do you agree with the following statement:   “I fully understand the difference between strong and weak recommendations and the implications for clinical decision making” </t>
        </r>
      </text>
    </comment>
    <comment ref="B206" authorId="0">
      <text>
        <r>
          <rPr>
            <sz val="11"/>
            <color indexed="8"/>
            <rFont val="Helvetica"/>
          </rPr>
          <t>Opphavsperson:
Several guidelines and EBM textbooks (e.g. UpToDate) use the GRADE system and label their recommendations with a number + letter.  (then an example) 
Q:
GRADE provides either strong or weak recommendations.  To what extent do you agree with the following statement:   “I fully understand the difference between strong and weak recommendations and the implications for clinical decision making” </t>
        </r>
      </text>
    </comment>
    <comment ref="B215" authorId="0">
      <text>
        <r>
          <rPr>
            <sz val="11"/>
            <color indexed="8"/>
            <rFont val="Helvetica"/>
          </rPr>
          <t>Opphavsperson:
Several guidelines and EBM textbooks (e.g. UpToDate) use the GRADE system and label their recommendations with a number + letter.  (then an example) 
Q:
GRADE provides either strong or weak recommendations.  To what extent do you agree with the following statement:   “I fully understand the difference between strong and weak recommendations and the implications for clinical decision making” </t>
        </r>
      </text>
    </comment>
    <comment ref="B226" authorId="0">
      <text>
        <r>
          <rPr>
            <sz val="11"/>
            <color indexed="8"/>
            <rFont val="Helvetica"/>
          </rPr>
          <t>Opphavsperson:
option not available</t>
        </r>
      </text>
    </comment>
    <comment ref="G226" authorId="0">
      <text>
        <r>
          <rPr>
            <sz val="11"/>
            <color indexed="8"/>
            <rFont val="Helvetica"/>
          </rPr>
          <t>Opphavsperson:
option not available</t>
        </r>
      </text>
    </comment>
    <comment ref="B238" authorId="0">
      <text>
        <r>
          <rPr>
            <sz val="11"/>
            <color indexed="8"/>
            <rFont val="Helvetica"/>
          </rPr>
          <t>Opphavsperson:
option not available</t>
        </r>
      </text>
    </comment>
    <comment ref="G238" authorId="0">
      <text>
        <r>
          <rPr>
            <sz val="11"/>
            <color indexed="8"/>
            <rFont val="Helvetica"/>
          </rPr>
          <t>Opphavsperson:
option not available</t>
        </r>
      </text>
    </comment>
    <comment ref="B240" authorId="0">
      <text>
        <r>
          <rPr>
            <sz val="11"/>
            <color indexed="8"/>
            <rFont val="Helvetica"/>
          </rPr>
          <t>Opphavsperson:
option not available</t>
        </r>
      </text>
    </comment>
    <comment ref="G240" authorId="0">
      <text>
        <r>
          <rPr>
            <sz val="11"/>
            <color indexed="8"/>
            <rFont val="Helvetica"/>
          </rPr>
          <t>Opphavsperson:
option not available</t>
        </r>
      </text>
    </comment>
    <comment ref="B243" authorId="0">
      <text>
        <r>
          <rPr>
            <sz val="11"/>
            <color indexed="8"/>
            <rFont val="Helvetica"/>
          </rPr>
          <t>Opphavsperson:
option not available</t>
        </r>
      </text>
    </comment>
    <comment ref="G243" authorId="0">
      <text>
        <r>
          <rPr>
            <sz val="11"/>
            <color indexed="8"/>
            <rFont val="Helvetica"/>
          </rPr>
          <t>Opphavsperson:
option not available</t>
        </r>
      </text>
    </comment>
    <comment ref="G253" authorId="0">
      <text>
        <r>
          <rPr>
            <sz val="11"/>
            <color indexed="8"/>
            <rFont val="Helvetica"/>
          </rPr>
          <t>Opphavsperson:
Not present as alternative, so separated out.</t>
        </r>
      </text>
    </comment>
    <comment ref="B424" authorId="0">
      <text>
        <r>
          <rPr>
            <sz val="11"/>
            <color indexed="8"/>
            <rFont val="Helvetica"/>
          </rPr>
          <t>Opphavsperson:
Was not an option</t>
        </r>
      </text>
    </comment>
    <comment ref="G424" authorId="0">
      <text>
        <r>
          <rPr>
            <sz val="11"/>
            <color indexed="8"/>
            <rFont val="Helvetica"/>
          </rPr>
          <t>Opphavsperson:
Was not an option</t>
        </r>
      </text>
    </comment>
    <comment ref="B428" authorId="0">
      <text>
        <r>
          <rPr>
            <sz val="11"/>
            <color indexed="8"/>
            <rFont val="Helvetica"/>
          </rPr>
          <t>Opphavsperson:
Was not an option</t>
        </r>
      </text>
    </comment>
    <comment ref="G428" authorId="0">
      <text>
        <r>
          <rPr>
            <sz val="11"/>
            <color indexed="8"/>
            <rFont val="Helvetica"/>
          </rPr>
          <t>Opphavsperson:
Was not an option</t>
        </r>
      </text>
    </comment>
    <comment ref="B441" authorId="0">
      <text>
        <r>
          <rPr>
            <sz val="11"/>
            <color indexed="8"/>
            <rFont val="Helvetica"/>
          </rPr>
          <t>Opphavsperson:
Less burden of treatment</t>
        </r>
      </text>
    </comment>
    <comment ref="G441" authorId="0">
      <text>
        <r>
          <rPr>
            <sz val="11"/>
            <color indexed="8"/>
            <rFont val="Helvetica"/>
          </rPr>
          <t>Opphavsperson:
Less burden of treatment and slightly better treatment effect</t>
        </r>
      </text>
    </comment>
    <comment ref="B443" authorId="0">
      <text>
        <r>
          <rPr>
            <sz val="11"/>
            <color indexed="8"/>
            <rFont val="Helvetica"/>
          </rPr>
          <t>Opphavsperson:
Was not an option</t>
        </r>
      </text>
    </comment>
    <comment ref="G443" authorId="0">
      <text>
        <r>
          <rPr>
            <sz val="11"/>
            <color indexed="8"/>
            <rFont val="Helvetica"/>
          </rPr>
          <t>Opphavsperson:
Was not an option</t>
        </r>
      </text>
    </comment>
    <comment ref="B496" authorId="0">
      <text>
        <r>
          <rPr>
            <sz val="11"/>
            <color indexed="8"/>
            <rFont val="Helvetica"/>
          </rPr>
          <t>Opphavsperson:
Was not an alternative</t>
        </r>
      </text>
    </comment>
    <comment ref="I559" authorId="0">
      <text>
        <r>
          <rPr>
            <sz val="11"/>
            <color indexed="8"/>
            <rFont val="Helvetica"/>
          </rPr>
          <t>Opphavsperson:
«This is an effective way of presenting guidelines»</t>
        </r>
      </text>
    </comment>
  </commentList>
</comments>
</file>

<file path=xl/sharedStrings.xml><?xml version="1.0" encoding="utf-8"?>
<sst xmlns="http://schemas.openxmlformats.org/spreadsheetml/2006/main" count="5520" uniqueCount="242">
  <si>
    <t>Gjøvik</t>
  </si>
  <si>
    <t>Molde</t>
  </si>
  <si>
    <t>Bærum</t>
  </si>
  <si>
    <t>Lovisenberg</t>
  </si>
  <si>
    <t>Diakonhjemmet</t>
  </si>
  <si>
    <t>Hamar</t>
  </si>
  <si>
    <t>Spain (- nurses)</t>
  </si>
  <si>
    <t>UK</t>
  </si>
  <si>
    <t>Beirut</t>
  </si>
  <si>
    <t>Total</t>
  </si>
  <si>
    <t>Procent of included</t>
  </si>
  <si>
    <t>Procent of eligible for Q</t>
  </si>
  <si>
    <t>Total split by profess- ion</t>
  </si>
  <si>
    <t>Procent split by prof.</t>
  </si>
  <si>
    <t>GP -&gt;</t>
  </si>
  <si>
    <t>U</t>
  </si>
  <si>
    <t>S</t>
  </si>
  <si>
    <t>Total GP</t>
  </si>
  <si>
    <t>Percent GP</t>
  </si>
  <si>
    <t>Con -&gt;</t>
  </si>
  <si>
    <t>D</t>
  </si>
  <si>
    <t>B</t>
  </si>
  <si>
    <t>H</t>
  </si>
  <si>
    <t>L</t>
  </si>
  <si>
    <t>M</t>
  </si>
  <si>
    <t>Total consultants</t>
  </si>
  <si>
    <t>Percent consultants</t>
  </si>
  <si>
    <t>Res -&gt;</t>
  </si>
  <si>
    <t>Bt</t>
  </si>
  <si>
    <t>Total residents</t>
  </si>
  <si>
    <t>Percent residents</t>
  </si>
  <si>
    <t>I n t  -&gt;</t>
  </si>
  <si>
    <t>Total Interns/students</t>
  </si>
  <si>
    <t>Percent Interns/students</t>
  </si>
  <si>
    <t>Unk   -&gt;</t>
  </si>
  <si>
    <t>Total Unknown</t>
  </si>
  <si>
    <t>Percent Unknown</t>
  </si>
  <si>
    <t>N u r  -&gt;</t>
  </si>
  <si>
    <t>Total only Nurses (spain)</t>
  </si>
  <si>
    <t>Percent only Nurses (spain)</t>
  </si>
  <si>
    <t>Total minus Nurses (spain)</t>
  </si>
  <si>
    <t>Percent minus Nurses (spain)</t>
  </si>
  <si>
    <t>Participants eligible</t>
  </si>
  <si>
    <t>Totally excluded participants/ non responders</t>
  </si>
  <si>
    <t>Participants included pre-randomization analysis</t>
  </si>
  <si>
    <t>Excluded from randomization</t>
  </si>
  <si>
    <t>Included in Randomization</t>
  </si>
  <si>
    <t>Excluded during randomization</t>
  </si>
  <si>
    <t>Participants included in post randomization</t>
  </si>
  <si>
    <t>Allocated to group A</t>
  </si>
  <si>
    <t>Participants allcoated</t>
  </si>
  <si>
    <t>Excluded from analysis</t>
  </si>
  <si>
    <t>Participants analysed</t>
  </si>
  <si>
    <t>Allocated to group B</t>
  </si>
  <si>
    <t>My age is?</t>
  </si>
  <si>
    <t xml:space="preserve">Spain </t>
  </si>
  <si>
    <t>Procent</t>
  </si>
  <si>
    <t>Percent</t>
  </si>
  <si>
    <t>25-35</t>
  </si>
  <si>
    <t>NA</t>
  </si>
  <si>
    <t>36-45</t>
  </si>
  <si>
    <t>46-55</t>
  </si>
  <si>
    <t>56-65</t>
  </si>
  <si>
    <t>66-100</t>
  </si>
  <si>
    <t>Non-response</t>
  </si>
  <si>
    <t>Dropouts/ not arrived yet</t>
  </si>
  <si>
    <t>Total eligible for this Q</t>
  </si>
  <si>
    <t>My position is?</t>
  </si>
  <si>
    <t>Spain</t>
  </si>
  <si>
    <t>Intern, Student</t>
  </si>
  <si>
    <t>Resident</t>
  </si>
  <si>
    <t>Supervisor, consultant</t>
  </si>
  <si>
    <t>GP</t>
  </si>
  <si>
    <t>HRM training</t>
  </si>
  <si>
    <t>In terms of training in health research methodology (HRM), you have?</t>
  </si>
  <si>
    <t>Never completed a formal course in HRM or epidemiology</t>
  </si>
  <si>
    <t>Completed one or more formal courses in HRM or epidemiology</t>
  </si>
  <si>
    <t>A masters degree or Ph.D degree in HRM or epidemiology</t>
  </si>
  <si>
    <t>Patient treatment before GL - Only Gjøvik</t>
  </si>
  <si>
    <t>Which, if any, antithrombotic treatment, would you offer the patient?</t>
  </si>
  <si>
    <t>Total Nurses (spain)</t>
  </si>
  <si>
    <t>Dabigatran, rivaroxaban or apixaban</t>
  </si>
  <si>
    <t>-</t>
  </si>
  <si>
    <t>ASA</t>
  </si>
  <si>
    <t>Warfarin</t>
  </si>
  <si>
    <t>No therapy</t>
  </si>
  <si>
    <t>Look for therapy</t>
  </si>
  <si>
    <t xml:space="preserve">If you were unsure of which, if any, therapy to offer the patient, where would you first look for an answer? </t>
  </si>
  <si>
    <t>Percent Nurses (spain)</t>
  </si>
  <si>
    <t>Local protocol</t>
  </si>
  <si>
    <t>Systematic review</t>
  </si>
  <si>
    <t>EBM textbook (e.g. UtD)</t>
  </si>
  <si>
    <t>Guideline</t>
  </si>
  <si>
    <t>Ask a collegue</t>
  </si>
  <si>
    <t>Individual study</t>
  </si>
  <si>
    <t>EBM steps feasibility, I consider traditional critical appraisal of research evidence to be feasible when I’m out in the clinics treating my patients</t>
  </si>
  <si>
    <t>I consider traditional critical appraisal of research evidence to be feasible when I’m out in the clinics treating my patients</t>
  </si>
  <si>
    <t>Strongly Disagree</t>
  </si>
  <si>
    <t>Disagree</t>
  </si>
  <si>
    <t>Somewhat Disagree</t>
  </si>
  <si>
    <t>Somewhat Agree</t>
  </si>
  <si>
    <t xml:space="preserve">Agree
</t>
  </si>
  <si>
    <t>Strongly Agree</t>
  </si>
  <si>
    <t>EBM steps feasibility. In the clinics: How many times have you followed these traditional steps the last month</t>
  </si>
  <si>
    <t>In the clinics: How many times have you followed these traditional steps the last month</t>
  </si>
  <si>
    <t>Never, rarely</t>
  </si>
  <si>
    <t>Not followed all steps, but done critical appraisal of research evidence weekly</t>
  </si>
  <si>
    <t>Followed all steps weekly</t>
  </si>
  <si>
    <t>Followed all steps, daily</t>
  </si>
  <si>
    <t>Understanding of GRADE - Only Gjøvik, Hamar</t>
  </si>
  <si>
    <t>How well do you know the GRADE system for assessing evidence and moving from evidence to recommendation?</t>
  </si>
  <si>
    <t>Never heard of it</t>
  </si>
  <si>
    <t>Heard of it, but that's all</t>
  </si>
  <si>
    <t>Know it somewhat</t>
  </si>
  <si>
    <t>Know it well</t>
  </si>
  <si>
    <t>Understanding of 2B: What does the number (2) reflect?</t>
  </si>
  <si>
    <t>What does the number (2) reflect?</t>
  </si>
  <si>
    <t>It´s a strong recommendation</t>
  </si>
  <si>
    <t>It´s moderate quality evidence</t>
  </si>
  <si>
    <t>It´s a moderate recommendation</t>
  </si>
  <si>
    <t>It´s a weak recommendation</t>
  </si>
  <si>
    <t>Understanding of 2B: What does the letter (B) reflect?</t>
  </si>
  <si>
    <t>What does the letter (B) reflect?</t>
  </si>
  <si>
    <t>Moderate quality evidence</t>
  </si>
  <si>
    <t>Low quality evidence</t>
  </si>
  <si>
    <t xml:space="preserve">Study design (based on a single Randomized study) </t>
  </si>
  <si>
    <t>Study design (based on a smaller systematic review)</t>
  </si>
  <si>
    <t xml:space="preserve">Understanding of GRADE: I fully understand the difference between strong and weak recommendations and the implications for clinical decision making. </t>
  </si>
  <si>
    <t>POOLED «Understanding of GRADE» above: I fully understand the difference between strong and weak recommendations and the implications for clinical decision making +  Gjøvik: Understanding of GRADE</t>
  </si>
  <si>
    <t>Analysis- How many saying they agree or strongly agree that they know GRADE, actually got Strength right?</t>
  </si>
  <si>
    <t>Number of Agree/ Strongly agree is getting it right</t>
  </si>
  <si>
    <t>Right</t>
  </si>
  <si>
    <t>Wrong</t>
  </si>
  <si>
    <t>Total Agree/strongly agree</t>
  </si>
  <si>
    <t>Analysis- How many of the ones NOT saying they agree or strongly agree that they know the grading system, actually got Strength right?</t>
  </si>
  <si>
    <t>Number of NOT Agree/ Strongly agree is getting it right</t>
  </si>
  <si>
    <t>Total NOT Agree/strongly agree</t>
  </si>
  <si>
    <t>Analysis- How many of the ones saying they agree or strongly agree knowing GRADE, actually got quality right?</t>
  </si>
  <si>
    <t>Analysis- How many of the ones saying they NOT agree or strongly agree knowing GRADE, actually got quality right?</t>
  </si>
  <si>
    <t>Alternative A - recommendation: These recommendations will help me manage my patient (minus Gjøvik+Hamar)</t>
  </si>
  <si>
    <t>These recommendations will help me manage my patient</t>
  </si>
  <si>
    <t>Pooled: Alternative A - recommendation: These recommendations will help me manage my patient</t>
  </si>
  <si>
    <t xml:space="preserve">Alternative A - recommendation: How do you interpret these recommendations? </t>
  </si>
  <si>
    <t xml:space="preserve">How do you interpret these recommendations? </t>
  </si>
  <si>
    <t>Strong recommendation for NOAC.. Weak recommendation for warfarin or aspirin.</t>
  </si>
  <si>
    <t>Weak recommendation for NOAC and warfarin.</t>
  </si>
  <si>
    <t>Weak recommendation for any option.</t>
  </si>
  <si>
    <t>Strong recommendation for treatment.. Weak recommendation for NOAC over warfarin.</t>
  </si>
  <si>
    <t>Alternative A - recommendation (Hamar +Gjøvik)</t>
  </si>
  <si>
    <t>Strong recommendation for NOAC. (hamar also said: Warfarin or aspirin rarely appropriate)</t>
  </si>
  <si>
    <t>Weak recommendation for NOAC. (hamar also said: Patients may well choose warfarin)</t>
  </si>
  <si>
    <t>Weak recommendation for any option, (hamar also said: including no treatment.)</t>
  </si>
  <si>
    <t>Alternative A - summary: This information helps me apply the recommendation on my patient</t>
  </si>
  <si>
    <t>This information helps me apply the recommendation on my patient</t>
  </si>
  <si>
    <t>Pooled Alternative A - summary: This information helps me apply the recommendation on my patient</t>
  </si>
  <si>
    <t>Alternative A - summary: What does this information tell you about NOAC vs warfarin?</t>
  </si>
  <si>
    <t>What does this information tell you about NOAC vs warfarin?</t>
  </si>
  <si>
    <t>Vastly superior treatment effect</t>
  </si>
  <si>
    <t>Slightly better treatment effect</t>
  </si>
  <si>
    <t>Large reduction in side effects</t>
  </si>
  <si>
    <t>No relevant difference in effect or side effects</t>
  </si>
  <si>
    <t>Alternative A - summary: What does this information tell you about NOAC vs warfarin? - Gjøvik and Hamar</t>
  </si>
  <si>
    <t>Less burden of treatment</t>
  </si>
  <si>
    <t>Large reduction in side-effects</t>
  </si>
  <si>
    <t>Pooled: Alternative A - summary: What does this information tell you about NOAC vs warfarin?</t>
  </si>
  <si>
    <t>Alternative A  - Which anticiagulation strategy would you have chosen</t>
  </si>
  <si>
    <t>Which, if any, antithrombotic treatment would you consider appropriate for Gabriel?</t>
  </si>
  <si>
    <t>NOAC (Dabigatran, rivaroxaban or apixaban)</t>
  </si>
  <si>
    <t>ASA /Aspirin</t>
  </si>
  <si>
    <t>Alt - Alternative A  - Which anticiagulation strategy would you have chosen - Gjøvik</t>
  </si>
  <si>
    <t>Discuss it with my patient</t>
  </si>
  <si>
    <t>Pooled Alternative A  - Which anticiagulation strategy would you have chosen incl. Gjøvik</t>
  </si>
  <si>
    <t>Alternative B - recommendation: These recommendations will help me manage my patient</t>
  </si>
  <si>
    <t>Total only Nurses (spain) (2)</t>
  </si>
  <si>
    <t>Pooled Alternative B - recommendation: These recommendations will help me manage my patient</t>
  </si>
  <si>
    <t xml:space="preserve">Alternative B - recommendation: How do you interpret these recommendations? </t>
  </si>
  <si>
    <t>Strong recommendation for NOAC. Weak recommendation for warfarin or aspirin.</t>
  </si>
  <si>
    <t>Strong recommendation for treatment. Weak recommendation for NOAC over warfarin.</t>
  </si>
  <si>
    <t>Alternative B - recommendation (Hamar +Gjøvik)</t>
  </si>
  <si>
    <t>Strong recommendation for NOAC. Warfarin or aspirin rarely appropriate</t>
  </si>
  <si>
    <t>Weak recommendation for NOAC. Patients may well choose warfarin</t>
  </si>
  <si>
    <t>Weak recommendation for any option, including no treatment.</t>
  </si>
  <si>
    <t>Alternative B - summary: This information helps me apply the recommendation on my patient</t>
  </si>
  <si>
    <t>Pooled Alternative B - summary: This information helps me apply the recommendation on my patient</t>
  </si>
  <si>
    <t>Alternative B - summary: What does this information tell you about NOAC vs warfarin?</t>
  </si>
  <si>
    <t>Alternative B - summary: What does this information tell you about NOAC vs warfarin? - Gjøvik and Hamar</t>
  </si>
  <si>
    <t>Pooled: Alternative B - summary: What does this information tell you about NOAC vs warfarin?</t>
  </si>
  <si>
    <t xml:space="preserve">Alternative B: Which, if any, antithrombotic treatment would you consider appropriate for Gabriel? </t>
  </si>
  <si>
    <t>Alt - Alternative B  - Which anticiagulation strategy would you have chosen - Gjøvik</t>
  </si>
  <si>
    <t xml:space="preserve">Pooled Alternative B: Which, if any, antithrombotic treatment would you consider appropriate for Gabriel? </t>
  </si>
  <si>
    <t>Total (not 'Discuss option in Total Total)</t>
  </si>
  <si>
    <t>Comparing A &amp; B: What is your first reaction to being presented with the absolute effects?</t>
  </si>
  <si>
    <t>Format B presents absolute effects for benefits and harms, whereas format A does not.  What is your first reaction to being presented with the absolute effects?</t>
  </si>
  <si>
    <t>Confusing distraction, leave it out</t>
  </si>
  <si>
    <t>A little confusing but not a big problem</t>
  </si>
  <si>
    <t>Doesn ́t help but doesn ́t hurt</t>
  </si>
  <si>
    <t>Not crucial but helpful</t>
  </si>
  <si>
    <t>Crucial information, should always be included</t>
  </si>
  <si>
    <t>Non-response group A</t>
  </si>
  <si>
    <t>Dropouts/ not arrived yet group A</t>
  </si>
  <si>
    <t>Non-response group B</t>
  </si>
  <si>
    <t>Dropouts/ not arrived yet group B</t>
  </si>
  <si>
    <t>Comparing A &amp; B: Overall, do you prefer format A or format B?</t>
  </si>
  <si>
    <t>Overall, do you prefer format A or format B?</t>
  </si>
  <si>
    <t>Format A</t>
  </si>
  <si>
    <t>I have no preference</t>
  </si>
  <si>
    <t>Format B</t>
  </si>
  <si>
    <t>Changes between A &amp; B: Did participants chose what they saw first, or did they change their mind.</t>
  </si>
  <si>
    <t>Did participants chose what they saw first, or did they change their mind.</t>
  </si>
  <si>
    <t>% of group</t>
  </si>
  <si>
    <t>Group A, and stuck with A</t>
  </si>
  <si>
    <t>No preference, group A</t>
  </si>
  <si>
    <t>Group A, but preferred B</t>
  </si>
  <si>
    <t>Group B, but preferred A</t>
  </si>
  <si>
    <t>No preference, group B</t>
  </si>
  <si>
    <t>Group B, and stuck with B</t>
  </si>
  <si>
    <t>Methods questions: I fully understand the difference between strong and weak recommendations and the implications for clinical decision making</t>
  </si>
  <si>
    <t>I fully understand the difference between strong and weak recommendations and the implications for clinical decision making</t>
  </si>
  <si>
    <t>Analysis - How many of participants that saw version A or B did answer favorable (Agree + Strongly agree) on understanding after seeing it</t>
  </si>
  <si>
    <t>A + favorable</t>
  </si>
  <si>
    <t>Total A that answered the understanding question</t>
  </si>
  <si>
    <t>Procentage A favorable</t>
  </si>
  <si>
    <t>B + favorable</t>
  </si>
  <si>
    <t>Total B that answered the understanding question</t>
  </si>
  <si>
    <t>Procentage B favorable</t>
  </si>
  <si>
    <t>Analysis - How many of participants that answer favorable on understanding (Agree, Strongly agree) still said the same after seeing the recommendations and an explanation</t>
  </si>
  <si>
    <t>Favorable, still favorable</t>
  </si>
  <si>
    <t>Favorable, not any more</t>
  </si>
  <si>
    <t>Not favorable first but now</t>
  </si>
  <si>
    <t>Not favorable and still not</t>
  </si>
  <si>
    <t>Non-response group</t>
  </si>
  <si>
    <t>Dropouts/ not arrived yet group</t>
  </si>
  <si>
    <t>Methods questions - This is a smart layout for guidelines</t>
  </si>
  <si>
    <t>This is a smart layout for guidelines</t>
  </si>
  <si>
    <t>END of analysis</t>
  </si>
  <si>
    <t>Below are optionals  V</t>
  </si>
  <si>
    <t>Methods questions: I fully understand the difference between the different categories of quality and the implications for clinical decision making</t>
  </si>
  <si>
    <t>I fully understand the difference between the different categories of quality and the implications for clinical decision making</t>
  </si>
  <si>
    <t>HRM training in Group A: Standard format</t>
  </si>
  <si>
    <t>HRM training in Group B: Multilayered format</t>
  </si>
  <si>
    <t>Look for therapy in Group A: Standard format</t>
  </si>
  <si>
    <t>Look for therapy in Group B: Multilayered format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</si>
</sst>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7" x14ac:knownFonts="1">
    <font>
      <sz val="12"/>
      <color indexed="8"/>
      <name val="Verdana"/>
    </font>
    <font>
      <sz val="11"/>
      <color indexed="8"/>
      <name val="Helvetica"/>
    </font>
    <font>
      <sz val="10"/>
      <color indexed="8"/>
      <name val="Helvetica"/>
    </font>
    <font>
      <b/>
      <sz val="10"/>
      <color indexed="8"/>
      <name val="Helvetica"/>
    </font>
    <font>
      <b/>
      <sz val="10"/>
      <color indexed="9"/>
      <name val="Helvetica"/>
    </font>
    <font>
      <i/>
      <sz val="10"/>
      <color indexed="8"/>
      <name val="Helvetica"/>
    </font>
    <font>
      <sz val="10"/>
      <color indexed="8"/>
      <name val="Arial"/>
    </font>
    <font>
      <sz val="11"/>
      <color indexed="8"/>
      <name val="Calibri"/>
    </font>
    <font>
      <b/>
      <i/>
      <sz val="10"/>
      <color indexed="8"/>
      <name val="Helvetica"/>
    </font>
    <font>
      <i/>
      <sz val="10"/>
      <color indexed="8"/>
      <name val="Arial"/>
    </font>
    <font>
      <b/>
      <sz val="16"/>
      <color indexed="9"/>
      <name val="Helvetica"/>
    </font>
    <font>
      <b/>
      <i/>
      <sz val="10"/>
      <color indexed="24"/>
      <name val="Helvetica"/>
    </font>
    <font>
      <i/>
      <sz val="10"/>
      <color indexed="24"/>
      <name val="Helvetica"/>
    </font>
    <font>
      <i/>
      <sz val="10"/>
      <color indexed="24"/>
      <name val="Arial"/>
    </font>
    <font>
      <sz val="8"/>
      <name val="Verdana"/>
    </font>
    <font>
      <u/>
      <sz val="12"/>
      <color theme="10"/>
      <name val="Verdana"/>
    </font>
    <font>
      <u/>
      <sz val="12"/>
      <color theme="11"/>
      <name val="Verdana"/>
    </font>
  </fonts>
  <fills count="13">
    <fill>
      <patternFill patternType="none"/>
    </fill>
    <fill>
      <patternFill patternType="gray125"/>
    </fill>
    <fill>
      <patternFill patternType="solid">
        <fgColor indexed="23"/>
        <bgColor auto="1"/>
      </patternFill>
    </fill>
    <fill>
      <patternFill patternType="solid">
        <fgColor indexed="24"/>
        <bgColor auto="1"/>
      </patternFill>
    </fill>
    <fill>
      <patternFill patternType="solid">
        <fgColor indexed="9"/>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
      <patternFill patternType="solid">
        <fgColor indexed="29"/>
        <bgColor auto="1"/>
      </patternFill>
    </fill>
    <fill>
      <patternFill patternType="solid">
        <fgColor indexed="30"/>
        <bgColor auto="1"/>
      </patternFill>
    </fill>
    <fill>
      <patternFill patternType="solid">
        <fgColor indexed="31"/>
        <bgColor auto="1"/>
      </patternFill>
    </fill>
    <fill>
      <patternFill patternType="solid">
        <fgColor indexed="32"/>
        <bgColor auto="1"/>
      </patternFill>
    </fill>
    <fill>
      <patternFill patternType="solid">
        <fgColor theme="6" tint="0.39997558519241921"/>
        <bgColor indexed="64"/>
      </patternFill>
    </fill>
  </fills>
  <borders count="11">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ck">
        <color indexed="25"/>
      </bottom>
      <diagonal/>
    </border>
    <border>
      <left style="thin">
        <color indexed="8"/>
      </left>
      <right style="thin">
        <color indexed="8"/>
      </right>
      <top style="thick">
        <color indexed="25"/>
      </top>
      <bottom style="thick">
        <color indexed="25"/>
      </bottom>
      <diagonal/>
    </border>
    <border>
      <left style="thin">
        <color indexed="8"/>
      </left>
      <right style="thin">
        <color indexed="8"/>
      </right>
      <top style="thick">
        <color indexed="25"/>
      </top>
      <bottom style="thin">
        <color indexed="8"/>
      </bottom>
      <diagonal/>
    </border>
    <border>
      <left style="thin">
        <color indexed="8"/>
      </left>
      <right style="thin">
        <color indexed="8"/>
      </right>
      <top style="thin">
        <color indexed="8"/>
      </top>
      <bottom style="thin">
        <color indexed="25"/>
      </bottom>
      <diagonal/>
    </border>
    <border>
      <left style="thin">
        <color indexed="8"/>
      </left>
      <right style="thin">
        <color indexed="8"/>
      </right>
      <top style="thin">
        <color indexed="25"/>
      </top>
      <bottom style="thin">
        <color indexed="8"/>
      </bottom>
      <diagonal/>
    </border>
    <border>
      <left style="thin">
        <color indexed="8"/>
      </left>
      <right style="thin">
        <color indexed="8"/>
      </right>
      <top style="thin">
        <color indexed="8"/>
      </top>
      <bottom style="thick">
        <color indexed="8"/>
      </bottom>
      <diagonal/>
    </border>
    <border>
      <left style="thin">
        <color indexed="8"/>
      </left>
      <right style="thin">
        <color indexed="8"/>
      </right>
      <top style="thick">
        <color indexed="8"/>
      </top>
      <bottom style="thin">
        <color indexed="8"/>
      </bottom>
      <diagonal/>
    </border>
    <border>
      <left style="thin">
        <color indexed="8"/>
      </left>
      <right style="thin">
        <color indexed="8"/>
      </right>
      <top style="thin">
        <color indexed="25"/>
      </top>
      <bottom style="thin">
        <color indexed="25"/>
      </bottom>
      <diagonal/>
    </border>
    <border>
      <left style="thin">
        <color indexed="8"/>
      </left>
      <right style="thin">
        <color indexed="8"/>
      </right>
      <top style="thick">
        <color indexed="8"/>
      </top>
      <bottom style="thick">
        <color indexed="8"/>
      </bottom>
      <diagonal/>
    </border>
  </borders>
  <cellStyleXfs count="39">
    <xf numFmtId="0" fontId="0" fillId="0" borderId="0" applyNumberFormat="0" applyFill="0" applyBorder="0" applyProtection="0">
      <alignment vertical="top" wrapText="1"/>
    </xf>
    <xf numFmtId="0" fontId="15" fillId="0" borderId="0" applyNumberFormat="0" applyFill="0" applyBorder="0" applyAlignment="0" applyProtection="0">
      <alignment vertical="top" wrapText="1"/>
    </xf>
    <xf numFmtId="0" fontId="16" fillId="0" borderId="0" applyNumberFormat="0" applyFill="0" applyBorder="0" applyAlignment="0" applyProtection="0">
      <alignment vertical="top" wrapText="1"/>
    </xf>
    <xf numFmtId="0" fontId="15" fillId="0" borderId="0" applyNumberFormat="0" applyFill="0" applyBorder="0" applyAlignment="0" applyProtection="0">
      <alignment vertical="top" wrapText="1"/>
    </xf>
    <xf numFmtId="0" fontId="16" fillId="0" borderId="0" applyNumberFormat="0" applyFill="0" applyBorder="0" applyAlignment="0" applyProtection="0">
      <alignment vertical="top" wrapText="1"/>
    </xf>
    <xf numFmtId="0" fontId="15" fillId="0" borderId="0" applyNumberFormat="0" applyFill="0" applyBorder="0" applyAlignment="0" applyProtection="0">
      <alignment vertical="top" wrapText="1"/>
    </xf>
    <xf numFmtId="0" fontId="16" fillId="0" borderId="0" applyNumberFormat="0" applyFill="0" applyBorder="0" applyAlignment="0" applyProtection="0">
      <alignment vertical="top" wrapText="1"/>
    </xf>
    <xf numFmtId="0" fontId="15" fillId="0" borderId="0" applyNumberFormat="0" applyFill="0" applyBorder="0" applyAlignment="0" applyProtection="0">
      <alignment vertical="top" wrapText="1"/>
    </xf>
    <xf numFmtId="0" fontId="16" fillId="0" borderId="0" applyNumberFormat="0" applyFill="0" applyBorder="0" applyAlignment="0" applyProtection="0">
      <alignment vertical="top" wrapText="1"/>
    </xf>
    <xf numFmtId="0" fontId="15" fillId="0" borderId="0" applyNumberFormat="0" applyFill="0" applyBorder="0" applyAlignment="0" applyProtection="0">
      <alignment vertical="top" wrapText="1"/>
    </xf>
    <xf numFmtId="0" fontId="16" fillId="0" borderId="0" applyNumberFormat="0" applyFill="0" applyBorder="0" applyAlignment="0" applyProtection="0">
      <alignment vertical="top" wrapText="1"/>
    </xf>
    <xf numFmtId="0" fontId="15" fillId="0" borderId="0" applyNumberFormat="0" applyFill="0" applyBorder="0" applyAlignment="0" applyProtection="0">
      <alignment vertical="top" wrapText="1"/>
    </xf>
    <xf numFmtId="0" fontId="16" fillId="0" borderId="0" applyNumberFormat="0" applyFill="0" applyBorder="0" applyAlignment="0" applyProtection="0">
      <alignment vertical="top" wrapText="1"/>
    </xf>
    <xf numFmtId="0" fontId="15" fillId="0" borderId="0" applyNumberFormat="0" applyFill="0" applyBorder="0" applyAlignment="0" applyProtection="0">
      <alignment vertical="top" wrapText="1"/>
    </xf>
    <xf numFmtId="0" fontId="16" fillId="0" borderId="0" applyNumberFormat="0" applyFill="0" applyBorder="0" applyAlignment="0" applyProtection="0">
      <alignment vertical="top" wrapText="1"/>
    </xf>
    <xf numFmtId="0" fontId="15" fillId="0" borderId="0" applyNumberFormat="0" applyFill="0" applyBorder="0" applyAlignment="0" applyProtection="0">
      <alignment vertical="top" wrapText="1"/>
    </xf>
    <xf numFmtId="0" fontId="16" fillId="0" borderId="0" applyNumberFormat="0" applyFill="0" applyBorder="0" applyAlignment="0" applyProtection="0">
      <alignment vertical="top" wrapText="1"/>
    </xf>
    <xf numFmtId="0" fontId="15" fillId="0" borderId="0" applyNumberFormat="0" applyFill="0" applyBorder="0" applyAlignment="0" applyProtection="0">
      <alignment vertical="top" wrapText="1"/>
    </xf>
    <xf numFmtId="0" fontId="16" fillId="0" borderId="0" applyNumberFormat="0" applyFill="0" applyBorder="0" applyAlignment="0" applyProtection="0">
      <alignment vertical="top" wrapText="1"/>
    </xf>
    <xf numFmtId="0" fontId="15" fillId="0" borderId="0" applyNumberFormat="0" applyFill="0" applyBorder="0" applyAlignment="0" applyProtection="0">
      <alignment vertical="top" wrapText="1"/>
    </xf>
    <xf numFmtId="0" fontId="16" fillId="0" borderId="0" applyNumberFormat="0" applyFill="0" applyBorder="0" applyAlignment="0" applyProtection="0">
      <alignment vertical="top" wrapText="1"/>
    </xf>
    <xf numFmtId="0" fontId="15" fillId="0" borderId="0" applyNumberFormat="0" applyFill="0" applyBorder="0" applyAlignment="0" applyProtection="0">
      <alignment vertical="top" wrapText="1"/>
    </xf>
    <xf numFmtId="0" fontId="16" fillId="0" borderId="0" applyNumberFormat="0" applyFill="0" applyBorder="0" applyAlignment="0" applyProtection="0">
      <alignment vertical="top" wrapText="1"/>
    </xf>
    <xf numFmtId="0" fontId="15" fillId="0" borderId="0" applyNumberFormat="0" applyFill="0" applyBorder="0" applyAlignment="0" applyProtection="0">
      <alignment vertical="top" wrapText="1"/>
    </xf>
    <xf numFmtId="0" fontId="16" fillId="0" borderId="0" applyNumberFormat="0" applyFill="0" applyBorder="0" applyAlignment="0" applyProtection="0">
      <alignment vertical="top" wrapText="1"/>
    </xf>
    <xf numFmtId="0" fontId="15" fillId="0" borderId="0" applyNumberFormat="0" applyFill="0" applyBorder="0" applyAlignment="0" applyProtection="0">
      <alignment vertical="top" wrapText="1"/>
    </xf>
    <xf numFmtId="0" fontId="16" fillId="0" borderId="0" applyNumberFormat="0" applyFill="0" applyBorder="0" applyAlignment="0" applyProtection="0">
      <alignment vertical="top" wrapText="1"/>
    </xf>
    <xf numFmtId="0" fontId="15" fillId="0" borderId="0" applyNumberFormat="0" applyFill="0" applyBorder="0" applyAlignment="0" applyProtection="0">
      <alignment vertical="top" wrapText="1"/>
    </xf>
    <xf numFmtId="0" fontId="16" fillId="0" borderId="0" applyNumberFormat="0" applyFill="0" applyBorder="0" applyAlignment="0" applyProtection="0">
      <alignment vertical="top" wrapText="1"/>
    </xf>
    <xf numFmtId="0" fontId="15" fillId="0" borderId="0" applyNumberFormat="0" applyFill="0" applyBorder="0" applyAlignment="0" applyProtection="0">
      <alignment vertical="top" wrapText="1"/>
    </xf>
    <xf numFmtId="0" fontId="16" fillId="0" borderId="0" applyNumberFormat="0" applyFill="0" applyBorder="0" applyAlignment="0" applyProtection="0">
      <alignment vertical="top" wrapText="1"/>
    </xf>
    <xf numFmtId="0" fontId="15" fillId="0" borderId="0" applyNumberFormat="0" applyFill="0" applyBorder="0" applyAlignment="0" applyProtection="0">
      <alignment vertical="top" wrapText="1"/>
    </xf>
    <xf numFmtId="0" fontId="16" fillId="0" borderId="0" applyNumberFormat="0" applyFill="0" applyBorder="0" applyAlignment="0" applyProtection="0">
      <alignment vertical="top" wrapText="1"/>
    </xf>
    <xf numFmtId="0" fontId="15" fillId="0" borderId="0" applyNumberFormat="0" applyFill="0" applyBorder="0" applyAlignment="0" applyProtection="0">
      <alignment vertical="top" wrapText="1"/>
    </xf>
    <xf numFmtId="0" fontId="16" fillId="0" borderId="0" applyNumberFormat="0" applyFill="0" applyBorder="0" applyAlignment="0" applyProtection="0">
      <alignment vertical="top" wrapText="1"/>
    </xf>
    <xf numFmtId="0" fontId="15" fillId="0" borderId="0" applyNumberFormat="0" applyFill="0" applyBorder="0" applyAlignment="0" applyProtection="0">
      <alignment vertical="top" wrapText="1"/>
    </xf>
    <xf numFmtId="0" fontId="16" fillId="0" borderId="0" applyNumberFormat="0" applyFill="0" applyBorder="0" applyAlignment="0" applyProtection="0">
      <alignment vertical="top" wrapText="1"/>
    </xf>
    <xf numFmtId="0" fontId="15" fillId="0" borderId="0" applyNumberFormat="0" applyFill="0" applyBorder="0" applyAlignment="0" applyProtection="0">
      <alignment vertical="top" wrapText="1"/>
    </xf>
    <xf numFmtId="0" fontId="16" fillId="0" borderId="0" applyNumberFormat="0" applyFill="0" applyBorder="0" applyAlignment="0" applyProtection="0">
      <alignment vertical="top" wrapText="1"/>
    </xf>
  </cellStyleXfs>
  <cellXfs count="186">
    <xf numFmtId="0" fontId="0" fillId="0" borderId="0" xfId="0" applyFont="1" applyAlignment="1">
      <alignment vertical="top" wrapText="1"/>
    </xf>
    <xf numFmtId="0" fontId="2" fillId="0" borderId="0" xfId="0" applyNumberFormat="1" applyFont="1" applyAlignment="1">
      <alignment vertical="top" wrapText="1"/>
    </xf>
    <xf numFmtId="0" fontId="3" fillId="2" borderId="1" xfId="0" applyFont="1" applyFill="1" applyBorder="1" applyAlignment="1">
      <alignment vertical="top" wrapText="1"/>
    </xf>
    <xf numFmtId="0" fontId="3" fillId="2" borderId="1" xfId="0" applyNumberFormat="1" applyFont="1" applyFill="1" applyBorder="1" applyAlignment="1">
      <alignment vertical="top" wrapText="1"/>
    </xf>
    <xf numFmtId="0" fontId="4" fillId="3" borderId="1" xfId="0" applyNumberFormat="1" applyFont="1" applyFill="1" applyBorder="1" applyAlignment="1">
      <alignment vertical="top" wrapText="1"/>
    </xf>
    <xf numFmtId="0"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0" fontId="4" fillId="3" borderId="1" xfId="0" applyNumberFormat="1" applyFont="1" applyFill="1" applyBorder="1" applyAlignment="1">
      <alignment horizontal="center" vertical="top" wrapText="1"/>
    </xf>
    <xf numFmtId="0" fontId="5" fillId="4" borderId="1" xfId="0" applyNumberFormat="1" applyFont="1" applyFill="1" applyBorder="1" applyAlignment="1">
      <alignment vertical="top" wrapText="1"/>
    </xf>
    <xf numFmtId="0" fontId="2" fillId="4" borderId="1" xfId="0" applyNumberFormat="1" applyFont="1" applyFill="1" applyBorder="1" applyAlignment="1">
      <alignment vertical="top" wrapText="1"/>
    </xf>
    <xf numFmtId="0" fontId="3" fillId="4" borderId="1" xfId="0" applyNumberFormat="1" applyFont="1" applyFill="1" applyBorder="1" applyAlignment="1">
      <alignment vertical="top" wrapText="1"/>
    </xf>
    <xf numFmtId="164" fontId="3" fillId="4" borderId="1" xfId="0" applyNumberFormat="1" applyFont="1" applyFill="1" applyBorder="1" applyAlignment="1">
      <alignment vertical="top" wrapText="1"/>
    </xf>
    <xf numFmtId="1" fontId="3" fillId="4" borderId="1" xfId="0" applyNumberFormat="1" applyFont="1" applyFill="1" applyBorder="1" applyAlignment="1">
      <alignment vertical="top" wrapText="1"/>
    </xf>
    <xf numFmtId="164" fontId="2" fillId="3" borderId="1" xfId="0" applyNumberFormat="1" applyFont="1" applyFill="1" applyBorder="1" applyAlignment="1">
      <alignment vertical="top" wrapText="1"/>
    </xf>
    <xf numFmtId="1" fontId="2" fillId="4" borderId="1" xfId="0" applyNumberFormat="1" applyFont="1" applyFill="1" applyBorder="1" applyAlignment="1">
      <alignment vertical="top" wrapText="1"/>
    </xf>
    <xf numFmtId="164" fontId="2" fillId="4" borderId="1" xfId="0" applyNumberFormat="1" applyFont="1" applyFill="1" applyBorder="1" applyAlignment="1">
      <alignment vertical="top" wrapText="1"/>
    </xf>
    <xf numFmtId="0" fontId="2" fillId="4" borderId="1" xfId="0" applyFont="1" applyFill="1" applyBorder="1" applyAlignment="1">
      <alignment vertical="top" wrapText="1"/>
    </xf>
    <xf numFmtId="164" fontId="3" fillId="4" borderId="2" xfId="0" applyNumberFormat="1" applyFont="1" applyFill="1" applyBorder="1" applyAlignment="1">
      <alignment vertical="top" wrapText="1"/>
    </xf>
    <xf numFmtId="164" fontId="3" fillId="4" borderId="3" xfId="0" applyNumberFormat="1" applyFont="1" applyFill="1" applyBorder="1" applyAlignment="1">
      <alignment vertical="top" wrapText="1"/>
    </xf>
    <xf numFmtId="164" fontId="3" fillId="4" borderId="4" xfId="0" applyNumberFormat="1" applyFont="1" applyFill="1" applyBorder="1" applyAlignment="1">
      <alignment vertical="top" wrapText="1"/>
    </xf>
    <xf numFmtId="0" fontId="3" fillId="4" borderId="1" xfId="0" applyFont="1" applyFill="1" applyBorder="1" applyAlignment="1">
      <alignment vertical="top" wrapText="1"/>
    </xf>
    <xf numFmtId="0" fontId="3" fillId="5" borderId="1" xfId="0" applyNumberFormat="1" applyFont="1" applyFill="1" applyBorder="1" applyAlignment="1">
      <alignment vertical="top" wrapText="1"/>
    </xf>
    <xf numFmtId="0" fontId="3" fillId="5" borderId="1" xfId="0" applyFont="1" applyFill="1" applyBorder="1" applyAlignment="1">
      <alignment vertical="top" wrapText="1"/>
    </xf>
    <xf numFmtId="0" fontId="3" fillId="0" borderId="1" xfId="0" applyNumberFormat="1" applyFont="1" applyBorder="1" applyAlignment="1">
      <alignment vertical="top" wrapText="1"/>
    </xf>
    <xf numFmtId="164" fontId="3" fillId="5" borderId="1" xfId="0" applyNumberFormat="1" applyFont="1" applyFill="1" applyBorder="1" applyAlignment="1">
      <alignment vertical="top" wrapText="1"/>
    </xf>
    <xf numFmtId="164" fontId="3" fillId="5" borderId="4" xfId="0" applyNumberFormat="1" applyFont="1" applyFill="1" applyBorder="1" applyAlignment="1">
      <alignment vertical="top" wrapText="1"/>
    </xf>
    <xf numFmtId="1" fontId="3" fillId="5" borderId="1" xfId="0" applyNumberFormat="1" applyFont="1" applyFill="1" applyBorder="1" applyAlignment="1">
      <alignment vertical="top" wrapText="1"/>
    </xf>
    <xf numFmtId="164" fontId="3" fillId="3" borderId="1" xfId="0" applyNumberFormat="1" applyFont="1" applyFill="1" applyBorder="1" applyAlignment="1">
      <alignment vertical="top" wrapText="1"/>
    </xf>
    <xf numFmtId="1" fontId="2" fillId="5" borderId="1" xfId="0" applyNumberFormat="1" applyFont="1" applyFill="1" applyBorder="1" applyAlignment="1">
      <alignment vertical="top" wrapText="1"/>
    </xf>
    <xf numFmtId="9" fontId="3" fillId="5" borderId="1" xfId="0" applyNumberFormat="1" applyFont="1" applyFill="1" applyBorder="1" applyAlignment="1">
      <alignment vertical="top" wrapText="1"/>
    </xf>
    <xf numFmtId="0" fontId="2" fillId="6" borderId="1" xfId="0" applyNumberFormat="1" applyFont="1" applyFill="1" applyBorder="1" applyAlignment="1">
      <alignment vertical="top" wrapText="1"/>
    </xf>
    <xf numFmtId="0" fontId="3" fillId="3" borderId="1" xfId="0" applyFont="1" applyFill="1" applyBorder="1" applyAlignment="1">
      <alignment vertical="top" wrapText="1"/>
    </xf>
    <xf numFmtId="0" fontId="2" fillId="0" borderId="1" xfId="0" applyNumberFormat="1" applyFont="1" applyBorder="1" applyAlignment="1">
      <alignment vertical="top" wrapText="1"/>
    </xf>
    <xf numFmtId="0" fontId="6" fillId="0" borderId="1" xfId="0" applyNumberFormat="1" applyFont="1" applyBorder="1" applyAlignment="1">
      <alignment vertical="center" wrapText="1"/>
    </xf>
    <xf numFmtId="0" fontId="7" fillId="0" borderId="1" xfId="0" applyNumberFormat="1" applyFont="1" applyBorder="1" applyAlignment="1">
      <alignment horizontal="left" vertical="center" wrapText="1"/>
    </xf>
    <xf numFmtId="164" fontId="3" fillId="0" borderId="1" xfId="0" applyNumberFormat="1" applyFont="1" applyBorder="1" applyAlignment="1">
      <alignment vertical="top" wrapText="1"/>
    </xf>
    <xf numFmtId="1" fontId="6" fillId="0" borderId="1" xfId="0" applyNumberFormat="1" applyFont="1" applyBorder="1" applyAlignment="1">
      <alignment vertical="center" wrapText="1"/>
    </xf>
    <xf numFmtId="1" fontId="3" fillId="0" borderId="1" xfId="0" applyNumberFormat="1" applyFont="1" applyBorder="1" applyAlignment="1">
      <alignment vertical="top" wrapText="1"/>
    </xf>
    <xf numFmtId="1" fontId="2" fillId="0" borderId="1" xfId="0" applyNumberFormat="1" applyFont="1" applyBorder="1" applyAlignment="1">
      <alignment vertical="top" wrapText="1"/>
    </xf>
    <xf numFmtId="0" fontId="3" fillId="4" borderId="5" xfId="0" applyNumberFormat="1" applyFont="1" applyFill="1" applyBorder="1" applyAlignment="1">
      <alignment vertical="top" wrapText="1"/>
    </xf>
    <xf numFmtId="164" fontId="2" fillId="0" borderId="1" xfId="0" applyNumberFormat="1" applyFont="1" applyBorder="1" applyAlignment="1">
      <alignment vertical="top" wrapText="1"/>
    </xf>
    <xf numFmtId="9" fontId="2" fillId="0" borderId="1" xfId="0" applyNumberFormat="1" applyFont="1" applyBorder="1" applyAlignment="1">
      <alignment vertical="top" wrapText="1"/>
    </xf>
    <xf numFmtId="0" fontId="2" fillId="0" borderId="1" xfId="0" applyFont="1" applyBorder="1" applyAlignment="1">
      <alignment vertical="top" wrapText="1"/>
    </xf>
    <xf numFmtId="0" fontId="3" fillId="5" borderId="6" xfId="0" applyNumberFormat="1" applyFont="1" applyFill="1" applyBorder="1" applyAlignment="1">
      <alignment vertical="top" wrapText="1"/>
    </xf>
    <xf numFmtId="9" fontId="3" fillId="4" borderId="1" xfId="0" applyNumberFormat="1" applyFont="1" applyFill="1" applyBorder="1" applyAlignment="1">
      <alignment vertical="top" wrapText="1"/>
    </xf>
    <xf numFmtId="1" fontId="2" fillId="4" borderId="2" xfId="0" applyNumberFormat="1" applyFont="1" applyFill="1" applyBorder="1" applyAlignment="1">
      <alignment vertical="top" wrapText="1"/>
    </xf>
    <xf numFmtId="1" fontId="2" fillId="4" borderId="7" xfId="0" applyNumberFormat="1" applyFont="1" applyFill="1" applyBorder="1" applyAlignment="1">
      <alignment vertical="top" wrapText="1"/>
    </xf>
    <xf numFmtId="1" fontId="2" fillId="4" borderId="5" xfId="0" applyNumberFormat="1" applyFont="1" applyFill="1" applyBorder="1" applyAlignment="1">
      <alignment vertical="top" wrapText="1"/>
    </xf>
    <xf numFmtId="9" fontId="2" fillId="4" borderId="1" xfId="0" applyNumberFormat="1" applyFont="1" applyFill="1" applyBorder="1" applyAlignment="1">
      <alignment vertical="top" wrapText="1"/>
    </xf>
    <xf numFmtId="1" fontId="2" fillId="4" borderId="4" xfId="0" applyNumberFormat="1" applyFont="1" applyFill="1" applyBorder="1" applyAlignment="1">
      <alignment vertical="top" wrapText="1"/>
    </xf>
    <xf numFmtId="1" fontId="2" fillId="4" borderId="8" xfId="0" applyNumberFormat="1" applyFont="1" applyFill="1" applyBorder="1" applyAlignment="1">
      <alignment vertical="top" wrapText="1"/>
    </xf>
    <xf numFmtId="1" fontId="2" fillId="0" borderId="4" xfId="0" applyNumberFormat="1" applyFont="1" applyBorder="1" applyAlignment="1">
      <alignment vertical="top" wrapText="1"/>
    </xf>
    <xf numFmtId="1" fontId="2" fillId="4" borderId="6" xfId="0" applyNumberFormat="1" applyFont="1" applyFill="1" applyBorder="1" applyAlignment="1">
      <alignment vertical="top" wrapText="1"/>
    </xf>
    <xf numFmtId="0" fontId="3" fillId="7" borderId="6" xfId="0" applyNumberFormat="1" applyFont="1" applyFill="1" applyBorder="1" applyAlignment="1">
      <alignment vertical="top" wrapText="1"/>
    </xf>
    <xf numFmtId="0" fontId="2" fillId="6" borderId="1" xfId="0" applyFont="1" applyFill="1" applyBorder="1" applyAlignment="1">
      <alignment vertical="top" wrapText="1"/>
    </xf>
    <xf numFmtId="0" fontId="2" fillId="4" borderId="2" xfId="0" applyNumberFormat="1" applyFont="1" applyFill="1" applyBorder="1" applyAlignment="1">
      <alignment vertical="top" wrapText="1"/>
    </xf>
    <xf numFmtId="0" fontId="2" fillId="4" borderId="2" xfId="0" applyFont="1" applyFill="1" applyBorder="1" applyAlignment="1">
      <alignment vertical="top" wrapText="1"/>
    </xf>
    <xf numFmtId="1" fontId="2" fillId="4" borderId="3" xfId="0" applyNumberFormat="1" applyFont="1" applyFill="1" applyBorder="1" applyAlignment="1">
      <alignment vertical="top" wrapText="1"/>
    </xf>
    <xf numFmtId="0" fontId="2" fillId="4" borderId="4" xfId="0" applyNumberFormat="1" applyFont="1" applyFill="1" applyBorder="1" applyAlignment="1">
      <alignment vertical="top" wrapText="1"/>
    </xf>
    <xf numFmtId="0" fontId="2" fillId="4" borderId="8" xfId="0" applyNumberFormat="1" applyFont="1" applyFill="1" applyBorder="1" applyAlignment="1">
      <alignment vertical="top" wrapText="1"/>
    </xf>
    <xf numFmtId="0" fontId="2" fillId="4" borderId="8" xfId="0" applyFont="1" applyFill="1" applyBorder="1" applyAlignment="1">
      <alignment vertical="top" wrapText="1"/>
    </xf>
    <xf numFmtId="0" fontId="2" fillId="4" borderId="4" xfId="0" applyFont="1" applyFill="1" applyBorder="1" applyAlignment="1">
      <alignment vertical="top" wrapText="1"/>
    </xf>
    <xf numFmtId="0" fontId="8" fillId="5" borderId="6" xfId="0" applyNumberFormat="1" applyFont="1" applyFill="1" applyBorder="1" applyAlignment="1">
      <alignment vertical="top" wrapText="1"/>
    </xf>
    <xf numFmtId="0" fontId="8" fillId="5" borderId="1" xfId="0" applyNumberFormat="1" applyFont="1" applyFill="1" applyBorder="1" applyAlignment="1">
      <alignment vertical="top" wrapText="1"/>
    </xf>
    <xf numFmtId="0" fontId="8" fillId="0" borderId="1" xfId="0" applyNumberFormat="1" applyFont="1" applyBorder="1" applyAlignment="1">
      <alignment vertical="top" wrapText="1"/>
    </xf>
    <xf numFmtId="0" fontId="8" fillId="5" borderId="1" xfId="0" applyFont="1" applyFill="1" applyBorder="1" applyAlignment="1">
      <alignment vertical="top" wrapText="1"/>
    </xf>
    <xf numFmtId="164" fontId="8" fillId="5" borderId="1" xfId="0" applyNumberFormat="1" applyFont="1" applyFill="1" applyBorder="1" applyAlignment="1">
      <alignment vertical="top" wrapText="1"/>
    </xf>
    <xf numFmtId="1" fontId="8" fillId="5" borderId="1" xfId="0" applyNumberFormat="1" applyFont="1" applyFill="1" applyBorder="1" applyAlignment="1">
      <alignment vertical="top" wrapText="1"/>
    </xf>
    <xf numFmtId="164" fontId="8" fillId="3" borderId="1" xfId="0" applyNumberFormat="1" applyFont="1" applyFill="1" applyBorder="1" applyAlignment="1">
      <alignment vertical="top" wrapText="1"/>
    </xf>
    <xf numFmtId="1" fontId="5" fillId="5" borderId="1" xfId="0" applyNumberFormat="1" applyFont="1" applyFill="1" applyBorder="1" applyAlignment="1">
      <alignment vertical="top" wrapText="1"/>
    </xf>
    <xf numFmtId="9" fontId="8" fillId="5" borderId="1" xfId="0" applyNumberFormat="1" applyFont="1" applyFill="1" applyBorder="1" applyAlignment="1">
      <alignment vertical="top" wrapText="1"/>
    </xf>
    <xf numFmtId="0" fontId="8" fillId="4" borderId="1" xfId="0" applyNumberFormat="1" applyFont="1" applyFill="1" applyBorder="1" applyAlignment="1">
      <alignment vertical="top" wrapText="1"/>
    </xf>
    <xf numFmtId="0" fontId="5" fillId="6" borderId="1" xfId="0" applyNumberFormat="1" applyFont="1" applyFill="1" applyBorder="1" applyAlignment="1">
      <alignment vertical="top" wrapText="1"/>
    </xf>
    <xf numFmtId="0" fontId="8" fillId="4" borderId="1" xfId="0" applyFont="1" applyFill="1" applyBorder="1" applyAlignment="1">
      <alignment vertical="top" wrapText="1"/>
    </xf>
    <xf numFmtId="1" fontId="8" fillId="4" borderId="1" xfId="0" applyNumberFormat="1" applyFont="1" applyFill="1" applyBorder="1" applyAlignment="1">
      <alignment vertical="top" wrapText="1"/>
    </xf>
    <xf numFmtId="164" fontId="8" fillId="4" borderId="1" xfId="0" applyNumberFormat="1" applyFont="1" applyFill="1" applyBorder="1" applyAlignment="1">
      <alignment vertical="top" wrapText="1"/>
    </xf>
    <xf numFmtId="9" fontId="8" fillId="4" borderId="1" xfId="0" applyNumberFormat="1" applyFont="1" applyFill="1" applyBorder="1" applyAlignment="1">
      <alignment vertical="top" wrapText="1"/>
    </xf>
    <xf numFmtId="0" fontId="5" fillId="4" borderId="1" xfId="0" applyFont="1" applyFill="1" applyBorder="1" applyAlignment="1">
      <alignment vertical="top" wrapText="1"/>
    </xf>
    <xf numFmtId="0" fontId="5" fillId="0" borderId="1" xfId="0" applyNumberFormat="1" applyFont="1" applyBorder="1" applyAlignment="1">
      <alignment vertical="top" wrapText="1"/>
    </xf>
    <xf numFmtId="164" fontId="8" fillId="0" borderId="1" xfId="0" applyNumberFormat="1" applyFont="1" applyBorder="1" applyAlignment="1">
      <alignment vertical="top" wrapText="1"/>
    </xf>
    <xf numFmtId="1" fontId="8" fillId="0" borderId="1" xfId="0" applyNumberFormat="1" applyFont="1" applyBorder="1" applyAlignment="1">
      <alignment vertical="top" wrapText="1"/>
    </xf>
    <xf numFmtId="164" fontId="5" fillId="3" borderId="1" xfId="0" applyNumberFormat="1" applyFont="1" applyFill="1" applyBorder="1" applyAlignment="1">
      <alignment vertical="top" wrapText="1"/>
    </xf>
    <xf numFmtId="0" fontId="9" fillId="0" borderId="1" xfId="0" applyNumberFormat="1" applyFont="1" applyBorder="1" applyAlignment="1">
      <alignment vertical="center" wrapText="1"/>
    </xf>
    <xf numFmtId="1" fontId="5" fillId="4" borderId="1" xfId="0" applyNumberFormat="1" applyFont="1" applyFill="1" applyBorder="1" applyAlignment="1">
      <alignment vertical="top" wrapText="1"/>
    </xf>
    <xf numFmtId="164" fontId="5" fillId="0" borderId="1" xfId="0" applyNumberFormat="1" applyFont="1" applyBorder="1" applyAlignment="1">
      <alignment vertical="top" wrapText="1"/>
    </xf>
    <xf numFmtId="0" fontId="9" fillId="0" borderId="1" xfId="0" applyFont="1" applyBorder="1" applyAlignment="1">
      <alignment vertical="center" wrapText="1"/>
    </xf>
    <xf numFmtId="164" fontId="5" fillId="4" borderId="1" xfId="0" applyNumberFormat="1" applyFont="1" applyFill="1" applyBorder="1" applyAlignment="1">
      <alignment vertical="top" wrapText="1"/>
    </xf>
    <xf numFmtId="1" fontId="5" fillId="4" borderId="2" xfId="0" applyNumberFormat="1" applyFont="1" applyFill="1" applyBorder="1" applyAlignment="1">
      <alignment vertical="top" wrapText="1"/>
    </xf>
    <xf numFmtId="1" fontId="5" fillId="4" borderId="7" xfId="0" applyNumberFormat="1" applyFont="1" applyFill="1" applyBorder="1" applyAlignment="1">
      <alignment vertical="top" wrapText="1"/>
    </xf>
    <xf numFmtId="1" fontId="5" fillId="4" borderId="5" xfId="0" applyNumberFormat="1" applyFont="1" applyFill="1" applyBorder="1" applyAlignment="1">
      <alignment vertical="top" wrapText="1"/>
    </xf>
    <xf numFmtId="1" fontId="5" fillId="0" borderId="1" xfId="0" applyNumberFormat="1" applyFont="1" applyBorder="1" applyAlignment="1">
      <alignment vertical="top" wrapText="1"/>
    </xf>
    <xf numFmtId="1" fontId="5" fillId="4" borderId="4" xfId="0" applyNumberFormat="1" applyFont="1" applyFill="1" applyBorder="1" applyAlignment="1">
      <alignment vertical="top" wrapText="1"/>
    </xf>
    <xf numFmtId="0" fontId="5" fillId="4" borderId="8" xfId="0" applyNumberFormat="1" applyFont="1" applyFill="1" applyBorder="1" applyAlignment="1">
      <alignment vertical="top" wrapText="1"/>
    </xf>
    <xf numFmtId="1" fontId="5" fillId="4" borderId="6" xfId="0" applyNumberFormat="1" applyFont="1" applyFill="1" applyBorder="1" applyAlignment="1">
      <alignment vertical="top" wrapText="1"/>
    </xf>
    <xf numFmtId="0" fontId="5" fillId="4" borderId="6" xfId="0" applyNumberFormat="1" applyFont="1" applyFill="1" applyBorder="1" applyAlignment="1">
      <alignment vertical="top" wrapText="1"/>
    </xf>
    <xf numFmtId="1" fontId="5" fillId="0" borderId="4" xfId="0" applyNumberFormat="1" applyFont="1" applyBorder="1" applyAlignment="1">
      <alignment vertical="top" wrapText="1"/>
    </xf>
    <xf numFmtId="0" fontId="8" fillId="4" borderId="5" xfId="0" applyNumberFormat="1" applyFont="1" applyFill="1" applyBorder="1" applyAlignment="1">
      <alignment vertical="top" wrapText="1"/>
    </xf>
    <xf numFmtId="9" fontId="5" fillId="0" borderId="1" xfId="0" applyNumberFormat="1" applyFont="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lignment vertical="top" wrapText="1"/>
    </xf>
    <xf numFmtId="0" fontId="5" fillId="4" borderId="4" xfId="0" applyNumberFormat="1" applyFont="1" applyFill="1" applyBorder="1" applyAlignment="1">
      <alignment vertical="top" wrapText="1"/>
    </xf>
    <xf numFmtId="0" fontId="2" fillId="0" borderId="4" xfId="0" applyNumberFormat="1" applyFont="1" applyBorder="1" applyAlignment="1">
      <alignment vertical="top" wrapText="1"/>
    </xf>
    <xf numFmtId="0" fontId="3" fillId="8" borderId="6" xfId="0" applyNumberFormat="1" applyFont="1" applyFill="1" applyBorder="1" applyAlignment="1">
      <alignment vertical="top" wrapText="1"/>
    </xf>
    <xf numFmtId="0" fontId="2" fillId="4" borderId="6" xfId="0" applyNumberFormat="1" applyFont="1" applyFill="1" applyBorder="1" applyAlignment="1">
      <alignment vertical="top" wrapText="1"/>
    </xf>
    <xf numFmtId="1" fontId="2" fillId="0" borderId="6" xfId="0" applyNumberFormat="1" applyFont="1" applyBorder="1" applyAlignment="1">
      <alignment vertical="top" wrapText="1"/>
    </xf>
    <xf numFmtId="0" fontId="3" fillId="4" borderId="5" xfId="0" applyFont="1" applyFill="1" applyBorder="1" applyAlignment="1">
      <alignment vertical="top" wrapText="1"/>
    </xf>
    <xf numFmtId="1" fontId="2" fillId="5" borderId="4" xfId="0" applyNumberFormat="1" applyFont="1" applyFill="1" applyBorder="1" applyAlignment="1">
      <alignment vertical="top" wrapText="1"/>
    </xf>
    <xf numFmtId="1" fontId="2" fillId="5" borderId="8" xfId="0" applyNumberFormat="1" applyFont="1" applyFill="1" applyBorder="1" applyAlignment="1">
      <alignment vertical="top" wrapText="1"/>
    </xf>
    <xf numFmtId="0" fontId="3" fillId="4" borderId="6" xfId="0" applyNumberFormat="1" applyFont="1" applyFill="1" applyBorder="1" applyAlignment="1">
      <alignment vertical="top" wrapText="1"/>
    </xf>
    <xf numFmtId="0" fontId="3" fillId="4" borderId="9" xfId="0" applyFont="1" applyFill="1" applyBorder="1" applyAlignment="1">
      <alignment vertical="top" wrapText="1"/>
    </xf>
    <xf numFmtId="0" fontId="3" fillId="0" borderId="1" xfId="0" applyFont="1" applyBorder="1" applyAlignment="1">
      <alignment vertical="top" wrapText="1"/>
    </xf>
    <xf numFmtId="1" fontId="2" fillId="4" borderId="10" xfId="0" applyNumberFormat="1" applyFont="1" applyFill="1" applyBorder="1" applyAlignment="1">
      <alignment vertical="top" wrapText="1"/>
    </xf>
    <xf numFmtId="0" fontId="6" fillId="0" borderId="5" xfId="0" applyNumberFormat="1" applyFont="1" applyBorder="1" applyAlignment="1">
      <alignment vertical="center" wrapText="1"/>
    </xf>
    <xf numFmtId="0" fontId="2" fillId="4" borderId="5" xfId="0" applyNumberFormat="1" applyFont="1" applyFill="1" applyBorder="1" applyAlignment="1">
      <alignment vertical="top" wrapText="1"/>
    </xf>
    <xf numFmtId="0" fontId="6" fillId="0" borderId="6" xfId="0" applyNumberFormat="1" applyFont="1" applyBorder="1" applyAlignment="1">
      <alignment vertical="center" wrapText="1"/>
    </xf>
    <xf numFmtId="0" fontId="3" fillId="6" borderId="1" xfId="0" applyNumberFormat="1" applyFont="1" applyFill="1" applyBorder="1" applyAlignment="1">
      <alignment vertical="top" wrapText="1"/>
    </xf>
    <xf numFmtId="0" fontId="2" fillId="0" borderId="2" xfId="0" applyNumberFormat="1" applyFont="1" applyBorder="1" applyAlignment="1">
      <alignment vertical="top" wrapText="1"/>
    </xf>
    <xf numFmtId="1" fontId="2" fillId="6" borderId="1" xfId="0" applyNumberFormat="1" applyFont="1" applyFill="1" applyBorder="1" applyAlignment="1">
      <alignment vertical="top" wrapText="1"/>
    </xf>
    <xf numFmtId="0" fontId="2" fillId="0" borderId="6" xfId="0" applyNumberFormat="1" applyFont="1" applyBorder="1" applyAlignment="1">
      <alignment vertical="top" wrapText="1"/>
    </xf>
    <xf numFmtId="0" fontId="6" fillId="0" borderId="1" xfId="0" applyFont="1" applyBorder="1" applyAlignment="1">
      <alignment vertical="center" wrapText="1"/>
    </xf>
    <xf numFmtId="0" fontId="5" fillId="9" borderId="1" xfId="0" applyNumberFormat="1" applyFont="1" applyFill="1" applyBorder="1" applyAlignment="1">
      <alignment vertical="top" wrapText="1"/>
    </xf>
    <xf numFmtId="0" fontId="8" fillId="9" borderId="1" xfId="0" applyNumberFormat="1" applyFont="1" applyFill="1" applyBorder="1" applyAlignment="1">
      <alignment vertical="top" wrapText="1"/>
    </xf>
    <xf numFmtId="0" fontId="9" fillId="9" borderId="1" xfId="0" applyNumberFormat="1" applyFont="1" applyFill="1" applyBorder="1" applyAlignment="1">
      <alignment vertical="center" wrapText="1"/>
    </xf>
    <xf numFmtId="1" fontId="3" fillId="9" borderId="1" xfId="0" applyNumberFormat="1" applyFont="1" applyFill="1" applyBorder="1" applyAlignment="1">
      <alignment vertical="top" wrapText="1"/>
    </xf>
    <xf numFmtId="1" fontId="2" fillId="4" borderId="9" xfId="0" applyNumberFormat="1" applyFont="1" applyFill="1" applyBorder="1" applyAlignment="1">
      <alignment vertical="top" wrapText="1"/>
    </xf>
    <xf numFmtId="1" fontId="2" fillId="0" borderId="5" xfId="0" applyNumberFormat="1" applyFont="1" applyBorder="1" applyAlignment="1">
      <alignment vertical="top" wrapText="1"/>
    </xf>
    <xf numFmtId="0" fontId="2" fillId="5" borderId="1" xfId="0" applyNumberFormat="1" applyFont="1" applyFill="1" applyBorder="1" applyAlignment="1">
      <alignment vertical="top" wrapText="1"/>
    </xf>
    <xf numFmtId="0" fontId="2" fillId="5" borderId="1" xfId="0" applyFont="1" applyFill="1" applyBorder="1" applyAlignment="1">
      <alignment vertical="top" wrapText="1"/>
    </xf>
    <xf numFmtId="164" fontId="2" fillId="5" borderId="1" xfId="0" applyNumberFormat="1" applyFont="1" applyFill="1" applyBorder="1" applyAlignment="1">
      <alignment vertical="top" wrapText="1"/>
    </xf>
    <xf numFmtId="9" fontId="2" fillId="5" borderId="1" xfId="0" applyNumberFormat="1" applyFont="1" applyFill="1" applyBorder="1" applyAlignment="1">
      <alignment vertical="top" wrapText="1"/>
    </xf>
    <xf numFmtId="0" fontId="2" fillId="9" borderId="1" xfId="0" applyNumberFormat="1" applyFont="1" applyFill="1" applyBorder="1" applyAlignment="1">
      <alignment vertical="top" wrapText="1"/>
    </xf>
    <xf numFmtId="0" fontId="5" fillId="4" borderId="5" xfId="0" applyNumberFormat="1" applyFont="1" applyFill="1" applyBorder="1" applyAlignment="1">
      <alignment vertical="top" wrapText="1"/>
    </xf>
    <xf numFmtId="0" fontId="5" fillId="0" borderId="6" xfId="0" applyNumberFormat="1" applyFont="1" applyBorder="1" applyAlignment="1">
      <alignment vertical="top" wrapText="1"/>
    </xf>
    <xf numFmtId="1" fontId="2" fillId="0" borderId="8" xfId="0" applyNumberFormat="1" applyFont="1" applyBorder="1" applyAlignment="1">
      <alignment vertical="top" wrapText="1"/>
    </xf>
    <xf numFmtId="0" fontId="2" fillId="0" borderId="8" xfId="0" applyNumberFormat="1" applyFont="1" applyBorder="1" applyAlignment="1">
      <alignment vertical="top" wrapText="1"/>
    </xf>
    <xf numFmtId="0" fontId="1" fillId="0" borderId="1" xfId="0" applyNumberFormat="1" applyFont="1" applyBorder="1" applyAlignment="1">
      <alignment vertical="top" wrapText="1"/>
    </xf>
    <xf numFmtId="0" fontId="6" fillId="0" borderId="2" xfId="0" applyNumberFormat="1" applyFont="1" applyBorder="1" applyAlignment="1">
      <alignment vertical="center" wrapText="1"/>
    </xf>
    <xf numFmtId="0" fontId="10" fillId="3" borderId="1" xfId="0" applyNumberFormat="1" applyFont="1" applyFill="1" applyBorder="1" applyAlignment="1">
      <alignment vertical="top" wrapText="1"/>
    </xf>
    <xf numFmtId="0" fontId="2" fillId="3" borderId="1" xfId="0" applyFont="1" applyFill="1" applyBorder="1" applyAlignment="1">
      <alignment vertical="top" wrapText="1"/>
    </xf>
    <xf numFmtId="1" fontId="3" fillId="3" borderId="1" xfId="0" applyNumberFormat="1" applyFont="1" applyFill="1" applyBorder="1" applyAlignment="1">
      <alignment vertical="top" wrapText="1"/>
    </xf>
    <xf numFmtId="1" fontId="2" fillId="3" borderId="1" xfId="0" applyNumberFormat="1" applyFont="1" applyFill="1" applyBorder="1" applyAlignment="1">
      <alignment vertical="top" wrapText="1"/>
    </xf>
    <xf numFmtId="9" fontId="2" fillId="3" borderId="1" xfId="0" applyNumberFormat="1" applyFont="1" applyFill="1" applyBorder="1" applyAlignment="1">
      <alignment vertical="top" wrapText="1"/>
    </xf>
    <xf numFmtId="0" fontId="10" fillId="3" borderId="5" xfId="0" applyNumberFormat="1" applyFont="1" applyFill="1" applyBorder="1" applyAlignment="1">
      <alignment vertical="top" wrapText="1"/>
    </xf>
    <xf numFmtId="0" fontId="11" fillId="4" borderId="1" xfId="0" applyNumberFormat="1" applyFont="1" applyFill="1" applyBorder="1" applyAlignment="1">
      <alignment vertical="top" wrapText="1"/>
    </xf>
    <xf numFmtId="0" fontId="12" fillId="6" borderId="1" xfId="0" applyNumberFormat="1" applyFont="1" applyFill="1" applyBorder="1" applyAlignment="1">
      <alignment vertical="top" wrapText="1"/>
    </xf>
    <xf numFmtId="0" fontId="11" fillId="4" borderId="1" xfId="0" applyFont="1" applyFill="1" applyBorder="1" applyAlignment="1">
      <alignment vertical="top" wrapText="1"/>
    </xf>
    <xf numFmtId="1" fontId="11" fillId="4" borderId="1" xfId="0" applyNumberFormat="1" applyFont="1" applyFill="1" applyBorder="1" applyAlignment="1">
      <alignment vertical="top" wrapText="1"/>
    </xf>
    <xf numFmtId="164" fontId="11" fillId="3" borderId="1" xfId="0" applyNumberFormat="1" applyFont="1" applyFill="1" applyBorder="1" applyAlignment="1">
      <alignment vertical="top" wrapText="1"/>
    </xf>
    <xf numFmtId="164" fontId="11" fillId="4" borderId="1" xfId="0" applyNumberFormat="1" applyFont="1" applyFill="1" applyBorder="1" applyAlignment="1">
      <alignment vertical="top" wrapText="1"/>
    </xf>
    <xf numFmtId="9" fontId="11" fillId="4" borderId="1" xfId="0" applyNumberFormat="1" applyFont="1" applyFill="1" applyBorder="1" applyAlignment="1">
      <alignment vertical="top" wrapText="1"/>
    </xf>
    <xf numFmtId="0" fontId="12" fillId="4" borderId="1" xfId="0" applyNumberFormat="1" applyFont="1" applyFill="1" applyBorder="1" applyAlignment="1">
      <alignment vertical="top" wrapText="1"/>
    </xf>
    <xf numFmtId="0" fontId="12" fillId="4" borderId="1" xfId="0" applyFont="1" applyFill="1" applyBorder="1" applyAlignment="1">
      <alignment vertical="top" wrapText="1"/>
    </xf>
    <xf numFmtId="0" fontId="12" fillId="0" borderId="1" xfId="0" applyNumberFormat="1" applyFont="1" applyBorder="1" applyAlignment="1">
      <alignment vertical="top" wrapText="1"/>
    </xf>
    <xf numFmtId="0" fontId="11" fillId="0" borderId="1" xfId="0" applyNumberFormat="1" applyFont="1" applyBorder="1" applyAlignment="1">
      <alignment vertical="top" wrapText="1"/>
    </xf>
    <xf numFmtId="164" fontId="11" fillId="0" borderId="1" xfId="0" applyNumberFormat="1" applyFont="1" applyBorder="1" applyAlignment="1">
      <alignment vertical="top" wrapText="1"/>
    </xf>
    <xf numFmtId="1" fontId="11" fillId="0" borderId="1" xfId="0" applyNumberFormat="1" applyFont="1" applyBorder="1" applyAlignment="1">
      <alignment vertical="top" wrapText="1"/>
    </xf>
    <xf numFmtId="164" fontId="12" fillId="3" borderId="1" xfId="0" applyNumberFormat="1" applyFont="1" applyFill="1" applyBorder="1" applyAlignment="1">
      <alignment vertical="top" wrapText="1"/>
    </xf>
    <xf numFmtId="1" fontId="12" fillId="4" borderId="1" xfId="0" applyNumberFormat="1" applyFont="1" applyFill="1" applyBorder="1" applyAlignment="1">
      <alignment vertical="top" wrapText="1"/>
    </xf>
    <xf numFmtId="164" fontId="12" fillId="0" borderId="1" xfId="0" applyNumberFormat="1" applyFont="1" applyBorder="1" applyAlignment="1">
      <alignment vertical="top" wrapText="1"/>
    </xf>
    <xf numFmtId="0" fontId="13" fillId="0" borderId="1" xfId="0" applyNumberFormat="1" applyFont="1" applyBorder="1" applyAlignment="1">
      <alignment vertical="center" wrapText="1"/>
    </xf>
    <xf numFmtId="164" fontId="12" fillId="4" borderId="1" xfId="0" applyNumberFormat="1" applyFont="1" applyFill="1" applyBorder="1" applyAlignment="1">
      <alignment vertical="top" wrapText="1"/>
    </xf>
    <xf numFmtId="0" fontId="13" fillId="0" borderId="1" xfId="0" applyFont="1" applyBorder="1" applyAlignment="1">
      <alignment vertical="center" wrapText="1"/>
    </xf>
    <xf numFmtId="1" fontId="12" fillId="4" borderId="2" xfId="0" applyNumberFormat="1" applyFont="1" applyFill="1" applyBorder="1" applyAlignment="1">
      <alignment vertical="top" wrapText="1"/>
    </xf>
    <xf numFmtId="1" fontId="12" fillId="4" borderId="7" xfId="0" applyNumberFormat="1" applyFont="1" applyFill="1" applyBorder="1" applyAlignment="1">
      <alignment vertical="top" wrapText="1"/>
    </xf>
    <xf numFmtId="1" fontId="12" fillId="0" borderId="1" xfId="0" applyNumberFormat="1" applyFont="1" applyBorder="1" applyAlignment="1">
      <alignment vertical="top" wrapText="1"/>
    </xf>
    <xf numFmtId="0" fontId="12" fillId="4" borderId="4" xfId="0" applyNumberFormat="1" applyFont="1" applyFill="1" applyBorder="1" applyAlignment="1">
      <alignment vertical="top" wrapText="1"/>
    </xf>
    <xf numFmtId="0" fontId="12" fillId="4" borderId="8" xfId="0" applyNumberFormat="1" applyFont="1" applyFill="1" applyBorder="1" applyAlignment="1">
      <alignment vertical="top" wrapText="1"/>
    </xf>
    <xf numFmtId="1" fontId="12" fillId="0" borderId="4" xfId="0" applyNumberFormat="1" applyFont="1" applyBorder="1" applyAlignment="1">
      <alignment vertical="top" wrapText="1"/>
    </xf>
    <xf numFmtId="0" fontId="12" fillId="4" borderId="5" xfId="0" applyNumberFormat="1" applyFont="1" applyFill="1" applyBorder="1" applyAlignment="1">
      <alignment vertical="top" wrapText="1"/>
    </xf>
    <xf numFmtId="0" fontId="12" fillId="0" borderId="6" xfId="0" applyNumberFormat="1" applyFont="1" applyBorder="1" applyAlignment="1">
      <alignment vertical="top" wrapText="1"/>
    </xf>
    <xf numFmtId="0" fontId="11" fillId="4" borderId="5" xfId="0" applyNumberFormat="1" applyFont="1" applyFill="1" applyBorder="1" applyAlignment="1">
      <alignment vertical="top" wrapText="1"/>
    </xf>
    <xf numFmtId="0" fontId="12" fillId="0" borderId="1" xfId="0" applyFont="1" applyBorder="1" applyAlignment="1">
      <alignment vertical="top" wrapText="1"/>
    </xf>
    <xf numFmtId="0" fontId="3" fillId="4" borderId="6" xfId="0" applyFont="1" applyFill="1" applyBorder="1" applyAlignment="1">
      <alignment vertical="top" wrapText="1"/>
    </xf>
    <xf numFmtId="0" fontId="2" fillId="0" borderId="0" xfId="0" applyNumberFormat="1" applyFont="1" applyAlignment="1">
      <alignment vertical="top" wrapText="1"/>
    </xf>
    <xf numFmtId="0" fontId="3" fillId="10" borderId="1" xfId="0" applyFont="1" applyFill="1" applyBorder="1" applyAlignment="1">
      <alignment vertical="top" wrapText="1"/>
    </xf>
    <xf numFmtId="0" fontId="2" fillId="11" borderId="1" xfId="0" applyNumberFormat="1" applyFont="1" applyFill="1" applyBorder="1" applyAlignment="1">
      <alignment vertical="top" wrapText="1"/>
    </xf>
    <xf numFmtId="0" fontId="2" fillId="11" borderId="1" xfId="0" applyFont="1" applyFill="1" applyBorder="1" applyAlignment="1">
      <alignment vertical="top" wrapText="1"/>
    </xf>
    <xf numFmtId="0" fontId="3" fillId="5" borderId="1" xfId="0" applyNumberFormat="1" applyFont="1" applyFill="1" applyBorder="1" applyAlignment="1">
      <alignment vertical="top" wrapText="1"/>
    </xf>
    <xf numFmtId="0" fontId="3" fillId="0" borderId="1" xfId="0" applyNumberFormat="1" applyFont="1" applyBorder="1" applyAlignment="1">
      <alignment vertical="top" wrapText="1"/>
    </xf>
    <xf numFmtId="0" fontId="3" fillId="5" borderId="1" xfId="0" applyFont="1" applyFill="1" applyBorder="1" applyAlignment="1">
      <alignment vertical="top" wrapText="1"/>
    </xf>
    <xf numFmtId="0" fontId="3" fillId="12" borderId="6" xfId="0" applyNumberFormat="1" applyFont="1" applyFill="1" applyBorder="1" applyAlignment="1">
      <alignment vertical="top" wrapText="1"/>
    </xf>
    <xf numFmtId="0" fontId="3" fillId="5" borderId="1" xfId="0" applyNumberFormat="1" applyFont="1" applyFill="1" applyBorder="1" applyAlignment="1">
      <alignment vertical="top" wrapText="1"/>
    </xf>
    <xf numFmtId="0" fontId="3" fillId="0" borderId="1" xfId="0" applyNumberFormat="1" applyFont="1" applyBorder="1" applyAlignment="1">
      <alignment vertical="top" wrapText="1"/>
    </xf>
    <xf numFmtId="0" fontId="8" fillId="5" borderId="1" xfId="0" applyNumberFormat="1" applyFont="1" applyFill="1" applyBorder="1" applyAlignment="1">
      <alignment vertical="top" wrapText="1"/>
    </xf>
    <xf numFmtId="0" fontId="8" fillId="0" borderId="1" xfId="0" applyNumberFormat="1" applyFont="1" applyBorder="1" applyAlignment="1">
      <alignment vertical="top" wrapText="1"/>
    </xf>
    <xf numFmtId="0" fontId="3" fillId="5" borderId="1" xfId="0" applyFont="1" applyFill="1" applyBorder="1" applyAlignment="1">
      <alignment vertical="top" wrapText="1"/>
    </xf>
  </cellXfs>
  <cellStyles count="39">
    <cellStyle name="Fulgt hyperkobling" xfId="2" builtinId="9" hidden="1"/>
    <cellStyle name="Fulgt hyperkobling" xfId="4" builtinId="9" hidden="1"/>
    <cellStyle name="Fulgt hyperkobling" xfId="6" builtinId="9" hidden="1"/>
    <cellStyle name="Fulgt hyperkobling" xfId="8" builtinId="9" hidden="1"/>
    <cellStyle name="Fulgt hyperkobling" xfId="10" builtinId="9" hidden="1"/>
    <cellStyle name="Fulgt hyperkobling" xfId="12" builtinId="9" hidden="1"/>
    <cellStyle name="Fulgt hyperkobling" xfId="14" builtinId="9" hidden="1"/>
    <cellStyle name="Fulgt hyperkobling" xfId="16" builtinId="9" hidden="1"/>
    <cellStyle name="Fulgt hyperkobling" xfId="18" builtinId="9" hidden="1"/>
    <cellStyle name="Fulgt hyperkobling" xfId="20" builtinId="9" hidden="1"/>
    <cellStyle name="Fulgt hyperkobling" xfId="22" builtinId="9" hidden="1"/>
    <cellStyle name="Fulgt hyperkobling" xfId="24" builtinId="9" hidden="1"/>
    <cellStyle name="Fulgt hyperkobling" xfId="26" builtinId="9" hidden="1"/>
    <cellStyle name="Fulgt hyperkobling" xfId="28" builtinId="9" hidden="1"/>
    <cellStyle name="Fulgt hyperkobling" xfId="30" builtinId="9" hidden="1"/>
    <cellStyle name="Fulgt hyperkobling" xfId="32" builtinId="9" hidden="1"/>
    <cellStyle name="Fulgt hyperkobling" xfId="34" builtinId="9" hidden="1"/>
    <cellStyle name="Fulgt hyperkobling" xfId="36" builtinId="9" hidden="1"/>
    <cellStyle name="Fulgt hyperkobling" xfId="38" builtinId="9" hidden="1"/>
    <cellStyle name="Hyperkobling" xfId="1" builtinId="8" hidden="1"/>
    <cellStyle name="Hyperkobling" xfId="3" builtinId="8" hidden="1"/>
    <cellStyle name="Hyperkobling" xfId="5" builtinId="8" hidden="1"/>
    <cellStyle name="Hyperkobling" xfId="7" builtinId="8" hidden="1"/>
    <cellStyle name="Hyperkobling" xfId="9" builtinId="8" hidden="1"/>
    <cellStyle name="Hyperkobling" xfId="11" builtinId="8" hidden="1"/>
    <cellStyle name="Hyperkobling" xfId="13" builtinId="8" hidden="1"/>
    <cellStyle name="Hyperkobling" xfId="15" builtinId="8" hidden="1"/>
    <cellStyle name="Hyperkobling" xfId="17" builtinId="8" hidden="1"/>
    <cellStyle name="Hyperkobling" xfId="19" builtinId="8" hidden="1"/>
    <cellStyle name="Hyperkobling" xfId="21" builtinId="8" hidden="1"/>
    <cellStyle name="Hyperkobling" xfId="23" builtinId="8" hidden="1"/>
    <cellStyle name="Hyperkobling" xfId="25" builtinId="8" hidden="1"/>
    <cellStyle name="Hyperkobling" xfId="27" builtinId="8" hidden="1"/>
    <cellStyle name="Hyperkobling" xfId="29" builtinId="8" hidden="1"/>
    <cellStyle name="Hyperkobling" xfId="31" builtinId="8" hidden="1"/>
    <cellStyle name="Hyperkobling" xfId="33" builtinId="8" hidden="1"/>
    <cellStyle name="Hyperkobling" xfId="35" builtinId="8" hidden="1"/>
    <cellStyle name="Hyperkobling" xfId="37" builtinId="8" hidden="1"/>
    <cellStyle name="Normal" xfId="0" builtinId="0"/>
  </cellStyles>
  <dxfs count="0"/>
  <tableStyles count="0" defaultPivotStyle="PivotStyleMedium4"/>
  <colors>
    <indexedColors>
      <rgbColor rgb="FF000000"/>
      <rgbColor rgb="FFFFFFFF"/>
      <rgbColor rgb="FFFF0000"/>
      <rgbColor rgb="FF00FF00"/>
      <rgbColor rgb="FF0000FF"/>
      <rgbColor rgb="FFFFFF00"/>
      <rgbColor rgb="FFFF00FF"/>
      <rgbColor rgb="FF00FFFF"/>
      <rgbColor rgb="FF000000"/>
      <rgbColor rgb="FFFEFEFE"/>
      <rgbColor rgb="FFB8B8B8"/>
      <rgbColor rgb="FF51A7F9"/>
      <rgbColor rgb="FF0264C0"/>
      <rgbColor rgb="FF6FBF40"/>
      <rgbColor rgb="FF00872A"/>
      <rgbColor rgb="FFFBE02B"/>
      <rgbColor rgb="FFBD9A1A"/>
      <rgbColor rgb="FFEF9419"/>
      <rgbColor rgb="FFDE6A10"/>
      <rgbColor rgb="FFFA4912"/>
      <rgbColor rgb="FFC82505"/>
      <rgbColor rgb="FF875BB1"/>
      <rgbColor rgb="FF763E9B"/>
      <rgbColor rgb="FFBDC0BF"/>
      <rgbColor rgb="FF3F3F3F"/>
      <rgbColor rgb="FF515151"/>
      <rgbColor rgb="FFBFBFBF"/>
      <rgbColor rgb="FF9CE159"/>
      <rgbColor rgb="FF63B2DE"/>
      <rgbColor rgb="FFFFE061"/>
      <rgbColor rgb="FFB9DDF1"/>
      <rgbColor rgb="FFDBDBDB"/>
      <rgbColor rgb="FFF4F4F4"/>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_rels/theme1.x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1"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1"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IV590"/>
  <sheetViews>
    <sheetView showGridLines="0" tabSelected="1" workbookViewId="0">
      <pane xSplit="1" ySplit="1" topLeftCell="B2" activePane="bottomRight" state="frozenSplit"/>
      <selection pane="topRight"/>
      <selection pane="bottomLeft"/>
      <selection pane="bottomRight" activeCell="BL119" sqref="BL119"/>
    </sheetView>
  </sheetViews>
  <sheetFormatPr baseColWidth="10" defaultColWidth="9" defaultRowHeight="18" customHeight="1" x14ac:dyDescent="0"/>
  <cols>
    <col min="1" max="1" width="17.125" style="1" customWidth="1"/>
    <col min="2" max="2" width="4.625" style="1" customWidth="1"/>
    <col min="3" max="3" width="5.125" style="1" customWidth="1"/>
    <col min="4" max="4" width="5.5" style="1" customWidth="1"/>
    <col min="5" max="5" width="4.875" style="1" customWidth="1"/>
    <col min="6" max="6" width="6" style="1" customWidth="1"/>
    <col min="7" max="7" width="5" style="1" customWidth="1"/>
    <col min="8" max="8" width="4.25" style="1" customWidth="1"/>
    <col min="9" max="9" width="3.25" style="1" customWidth="1"/>
    <col min="10" max="10" width="3.125" style="1" customWidth="1"/>
    <col min="11" max="11" width="5" style="1" customWidth="1"/>
    <col min="12" max="12" width="7.125" style="1" customWidth="1"/>
    <col min="13" max="15" width="5.75" style="1" customWidth="1"/>
    <col min="16" max="16" width="2.125" style="1" customWidth="1"/>
    <col min="17" max="17" width="2.375" style="1" customWidth="1"/>
    <col min="18" max="19" width="2.5" style="1" customWidth="1"/>
    <col min="20" max="20" width="7.75" style="1" customWidth="1"/>
    <col min="21" max="21" width="5.75" style="1" customWidth="1"/>
    <col min="22" max="22" width="1.75" style="1" customWidth="1"/>
    <col min="23" max="23" width="2.25" style="1" customWidth="1"/>
    <col min="24" max="24" width="2.125" style="1" customWidth="1"/>
    <col min="25" max="26" width="2.375" style="1" customWidth="1"/>
    <col min="27" max="27" width="2.625" style="1" customWidth="1"/>
    <col min="28" max="28" width="2.375" style="1" customWidth="1"/>
    <col min="29" max="29" width="9" style="1" customWidth="1"/>
    <col min="30" max="30" width="8.5" style="1" customWidth="1"/>
    <col min="31" max="31" width="1.875" style="1" customWidth="1"/>
    <col min="32" max="33" width="2.625" style="1" customWidth="1"/>
    <col min="34" max="35" width="1.75" style="1" customWidth="1"/>
    <col min="36" max="36" width="2.375" style="1" customWidth="1"/>
    <col min="37" max="37" width="2.875" style="1" customWidth="1"/>
    <col min="38" max="38" width="8.375" style="1" customWidth="1"/>
    <col min="39" max="39" width="7.125" style="1" customWidth="1"/>
    <col min="40" max="40" width="1.625" style="1" customWidth="1"/>
    <col min="41" max="42" width="2.625" style="1" customWidth="1"/>
    <col min="43" max="44" width="2.5" style="1" customWidth="1"/>
    <col min="45" max="45" width="2.75" style="1" customWidth="1"/>
    <col min="46" max="46" width="2.625" style="1" customWidth="1"/>
    <col min="47" max="47" width="8.625" style="1" customWidth="1"/>
    <col min="48" max="48" width="6.375" style="1" customWidth="1"/>
    <col min="49" max="49" width="2.125" style="1" customWidth="1"/>
    <col min="50" max="50" width="2.25" style="1" customWidth="1"/>
    <col min="51" max="51" width="2.75" style="1" customWidth="1"/>
    <col min="52" max="52" width="2.625" style="1" customWidth="1"/>
    <col min="53" max="54" width="2.375" style="1" customWidth="1"/>
    <col min="55" max="55" width="6.875" style="1" customWidth="1"/>
    <col min="56" max="56" width="6.75" style="1" customWidth="1"/>
    <col min="57" max="57" width="1.75" style="1" customWidth="1"/>
    <col min="58" max="59" width="11" style="1" customWidth="1"/>
    <col min="60" max="60" width="11.125" style="1" customWidth="1"/>
    <col min="61" max="61" width="16.5" style="1" customWidth="1"/>
    <col min="62" max="256" width="9" style="1" customWidth="1"/>
  </cols>
  <sheetData>
    <row r="1" spans="1:61" ht="56.5" customHeight="1">
      <c r="A1" s="2"/>
      <c r="B1" s="3" t="s">
        <v>0</v>
      </c>
      <c r="C1" s="3" t="s">
        <v>1</v>
      </c>
      <c r="D1" s="3" t="s">
        <v>2</v>
      </c>
      <c r="E1" s="3" t="s">
        <v>3</v>
      </c>
      <c r="F1" s="3" t="s">
        <v>4</v>
      </c>
      <c r="G1" s="3" t="s">
        <v>5</v>
      </c>
      <c r="H1" s="3" t="s">
        <v>6</v>
      </c>
      <c r="I1" s="3" t="s">
        <v>7</v>
      </c>
      <c r="J1" s="3" t="s">
        <v>8</v>
      </c>
      <c r="K1" s="3" t="s">
        <v>9</v>
      </c>
      <c r="L1" s="3" t="s">
        <v>10</v>
      </c>
      <c r="M1" s="3" t="s">
        <v>11</v>
      </c>
      <c r="N1" s="3" t="s">
        <v>12</v>
      </c>
      <c r="O1" s="3" t="s">
        <v>13</v>
      </c>
      <c r="P1" s="4" t="s">
        <v>14</v>
      </c>
      <c r="Q1" s="5" t="s">
        <v>15</v>
      </c>
      <c r="R1" s="5" t="s">
        <v>16</v>
      </c>
      <c r="S1" s="6"/>
      <c r="T1" s="3" t="s">
        <v>17</v>
      </c>
      <c r="U1" s="3" t="s">
        <v>18</v>
      </c>
      <c r="V1" s="7" t="s">
        <v>19</v>
      </c>
      <c r="W1" s="5" t="s">
        <v>15</v>
      </c>
      <c r="X1" s="5" t="s">
        <v>20</v>
      </c>
      <c r="Y1" s="5" t="s">
        <v>21</v>
      </c>
      <c r="Z1" s="5" t="s">
        <v>22</v>
      </c>
      <c r="AA1" s="5" t="s">
        <v>23</v>
      </c>
      <c r="AB1" s="5" t="s">
        <v>24</v>
      </c>
      <c r="AC1" s="3" t="s">
        <v>25</v>
      </c>
      <c r="AD1" s="3" t="s">
        <v>26</v>
      </c>
      <c r="AE1" s="7" t="s">
        <v>27</v>
      </c>
      <c r="AF1" s="5" t="s">
        <v>20</v>
      </c>
      <c r="AG1" s="5" t="s">
        <v>21</v>
      </c>
      <c r="AH1" s="5" t="s">
        <v>22</v>
      </c>
      <c r="AI1" s="5" t="s">
        <v>23</v>
      </c>
      <c r="AJ1" s="5" t="s">
        <v>24</v>
      </c>
      <c r="AK1" s="5" t="s">
        <v>28</v>
      </c>
      <c r="AL1" s="3" t="s">
        <v>29</v>
      </c>
      <c r="AM1" s="3" t="s">
        <v>30</v>
      </c>
      <c r="AN1" s="7" t="s">
        <v>31</v>
      </c>
      <c r="AO1" s="3" t="s">
        <v>15</v>
      </c>
      <c r="AP1" s="3" t="s">
        <v>20</v>
      </c>
      <c r="AQ1" s="3" t="s">
        <v>21</v>
      </c>
      <c r="AR1" s="3" t="s">
        <v>16</v>
      </c>
      <c r="AS1" s="3" t="s">
        <v>22</v>
      </c>
      <c r="AT1" s="3" t="s">
        <v>24</v>
      </c>
      <c r="AU1" s="3" t="s">
        <v>32</v>
      </c>
      <c r="AV1" s="3" t="s">
        <v>33</v>
      </c>
      <c r="AW1" s="7" t="s">
        <v>34</v>
      </c>
      <c r="AX1" s="3" t="s">
        <v>15</v>
      </c>
      <c r="AY1" s="3" t="s">
        <v>20</v>
      </c>
      <c r="AZ1" s="3" t="s">
        <v>22</v>
      </c>
      <c r="BA1" s="3" t="s">
        <v>24</v>
      </c>
      <c r="BB1" s="3" t="s">
        <v>28</v>
      </c>
      <c r="BC1" s="3" t="s">
        <v>35</v>
      </c>
      <c r="BD1" s="3" t="s">
        <v>36</v>
      </c>
      <c r="BE1" s="7" t="s">
        <v>37</v>
      </c>
      <c r="BF1" s="3" t="s">
        <v>38</v>
      </c>
      <c r="BG1" s="3" t="s">
        <v>39</v>
      </c>
      <c r="BH1" s="3" t="s">
        <v>40</v>
      </c>
      <c r="BI1" s="3" t="s">
        <v>41</v>
      </c>
    </row>
    <row r="2" spans="1:61" ht="20.5" customHeight="1">
      <c r="A2" s="8" t="s">
        <v>42</v>
      </c>
      <c r="B2" s="9">
        <v>27</v>
      </c>
      <c r="C2" s="9">
        <v>7</v>
      </c>
      <c r="D2" s="9">
        <v>31</v>
      </c>
      <c r="E2" s="9">
        <v>17</v>
      </c>
      <c r="F2" s="9">
        <v>24</v>
      </c>
      <c r="G2" s="9">
        <v>18</v>
      </c>
      <c r="H2" s="9">
        <v>15</v>
      </c>
      <c r="I2" s="9">
        <v>20</v>
      </c>
      <c r="J2" s="9">
        <v>22</v>
      </c>
      <c r="K2" s="10">
        <f t="shared" ref="K2:K8" si="0">SUM(B2:J2)</f>
        <v>181</v>
      </c>
      <c r="L2" s="11">
        <f>K2/(K3+K7+K8)</f>
        <v>1.011173184357542</v>
      </c>
      <c r="M2" s="11">
        <f>K2/(K3+K7+K8)</f>
        <v>1.011173184357542</v>
      </c>
      <c r="N2" s="12"/>
      <c r="O2" s="11"/>
      <c r="P2" s="13"/>
      <c r="Q2" s="14"/>
      <c r="R2" s="14"/>
      <c r="S2" s="14"/>
      <c r="T2" s="14"/>
      <c r="U2" s="15"/>
      <c r="V2" s="13"/>
      <c r="W2" s="14"/>
      <c r="X2" s="14">
        <v>7</v>
      </c>
      <c r="Y2" s="14"/>
      <c r="Z2" s="14"/>
      <c r="AA2" s="14"/>
      <c r="AB2" s="14"/>
      <c r="AC2" s="14"/>
      <c r="AD2" s="15"/>
      <c r="AE2" s="13"/>
      <c r="AF2" s="14"/>
      <c r="AG2" s="14">
        <v>10</v>
      </c>
      <c r="AH2" s="14"/>
      <c r="AI2" s="14"/>
      <c r="AJ2" s="14"/>
      <c r="AK2" s="14"/>
      <c r="AL2" s="14"/>
      <c r="AM2" s="15"/>
      <c r="AN2" s="13"/>
      <c r="AO2" s="14"/>
      <c r="AP2" s="14">
        <v>3</v>
      </c>
      <c r="AQ2" s="14"/>
      <c r="AR2" s="14"/>
      <c r="AS2" s="14"/>
      <c r="AT2" s="14"/>
      <c r="AU2" s="14"/>
      <c r="AV2" s="15"/>
      <c r="AW2" s="13"/>
      <c r="AX2" s="14"/>
      <c r="AY2" s="14">
        <v>3</v>
      </c>
      <c r="AZ2" s="14"/>
      <c r="BA2" s="14"/>
      <c r="BB2" s="14"/>
      <c r="BC2" s="14"/>
      <c r="BD2" s="15"/>
      <c r="BE2" s="13"/>
      <c r="BF2" s="14"/>
      <c r="BG2" s="16"/>
      <c r="BH2" s="16"/>
      <c r="BI2" s="16"/>
    </row>
    <row r="3" spans="1:61" ht="32.25" customHeight="1">
      <c r="A3" s="8" t="s">
        <v>43</v>
      </c>
      <c r="B3" s="9">
        <v>0</v>
      </c>
      <c r="C3" s="9">
        <v>0</v>
      </c>
      <c r="D3" s="9">
        <v>1</v>
      </c>
      <c r="E3" s="9">
        <v>0</v>
      </c>
      <c r="F3" s="9">
        <v>1</v>
      </c>
      <c r="G3" s="9">
        <v>0</v>
      </c>
      <c r="H3" s="9">
        <v>0</v>
      </c>
      <c r="I3" s="9">
        <v>0</v>
      </c>
      <c r="J3" s="9">
        <v>0</v>
      </c>
      <c r="K3" s="10">
        <f t="shared" si="0"/>
        <v>2</v>
      </c>
      <c r="L3" s="11">
        <f>K3/(K2)</f>
        <v>1.1049723756906077E-2</v>
      </c>
      <c r="M3" s="11">
        <f>K3/K2</f>
        <v>1.1049723756906077E-2</v>
      </c>
      <c r="N3" s="12"/>
      <c r="O3" s="11"/>
      <c r="P3" s="13"/>
      <c r="Q3" s="14"/>
      <c r="R3" s="14"/>
      <c r="S3" s="14"/>
      <c r="T3" s="14"/>
      <c r="U3" s="15"/>
      <c r="V3" s="13"/>
      <c r="W3" s="14"/>
      <c r="X3" s="14">
        <v>0</v>
      </c>
      <c r="Y3" s="14"/>
      <c r="Z3" s="14"/>
      <c r="AA3" s="14"/>
      <c r="AB3" s="14"/>
      <c r="AC3" s="14"/>
      <c r="AD3" s="15"/>
      <c r="AE3" s="13"/>
      <c r="AF3" s="14"/>
      <c r="AG3" s="14">
        <v>0</v>
      </c>
      <c r="AH3" s="14"/>
      <c r="AI3" s="14"/>
      <c r="AJ3" s="14"/>
      <c r="AK3" s="14"/>
      <c r="AL3" s="14"/>
      <c r="AM3" s="15"/>
      <c r="AN3" s="13"/>
      <c r="AO3" s="14"/>
      <c r="AP3" s="14">
        <v>0</v>
      </c>
      <c r="AQ3" s="14"/>
      <c r="AR3" s="14"/>
      <c r="AS3" s="14"/>
      <c r="AT3" s="14"/>
      <c r="AU3" s="14"/>
      <c r="AV3" s="15"/>
      <c r="AW3" s="13"/>
      <c r="AX3" s="14"/>
      <c r="AY3" s="14">
        <v>1</v>
      </c>
      <c r="AZ3" s="14"/>
      <c r="BA3" s="14"/>
      <c r="BB3" s="14"/>
      <c r="BC3" s="14"/>
      <c r="BD3" s="15"/>
      <c r="BE3" s="13"/>
      <c r="BF3" s="14"/>
      <c r="BG3" s="16"/>
      <c r="BH3" s="16"/>
      <c r="BI3" s="16"/>
    </row>
    <row r="4" spans="1:61" ht="32.25" customHeight="1">
      <c r="A4" s="10" t="s">
        <v>44</v>
      </c>
      <c r="B4" s="9">
        <f t="shared" ref="B4:J4" si="1">B2-B3</f>
        <v>27</v>
      </c>
      <c r="C4" s="9">
        <f t="shared" si="1"/>
        <v>7</v>
      </c>
      <c r="D4" s="9">
        <f t="shared" si="1"/>
        <v>30</v>
      </c>
      <c r="E4" s="9">
        <f t="shared" si="1"/>
        <v>17</v>
      </c>
      <c r="F4" s="9">
        <f t="shared" si="1"/>
        <v>23</v>
      </c>
      <c r="G4" s="9">
        <f t="shared" si="1"/>
        <v>18</v>
      </c>
      <c r="H4" s="9">
        <f t="shared" si="1"/>
        <v>15</v>
      </c>
      <c r="I4" s="9">
        <f t="shared" si="1"/>
        <v>20</v>
      </c>
      <c r="J4" s="9">
        <f t="shared" si="1"/>
        <v>22</v>
      </c>
      <c r="K4" s="10">
        <f t="shared" si="0"/>
        <v>179</v>
      </c>
      <c r="L4" s="11">
        <f>K4/(K2)</f>
        <v>0.98895027624309395</v>
      </c>
      <c r="M4" s="11"/>
      <c r="N4" s="12"/>
      <c r="O4" s="11"/>
      <c r="P4" s="13"/>
      <c r="Q4" s="14"/>
      <c r="R4" s="14"/>
      <c r="S4" s="14"/>
      <c r="T4" s="14"/>
      <c r="U4" s="15"/>
      <c r="V4" s="13"/>
      <c r="W4" s="14"/>
      <c r="X4" s="14"/>
      <c r="Y4" s="14"/>
      <c r="Z4" s="14"/>
      <c r="AA4" s="14"/>
      <c r="AB4" s="14"/>
      <c r="AC4" s="14"/>
      <c r="AD4" s="15"/>
      <c r="AE4" s="13"/>
      <c r="AF4" s="14"/>
      <c r="AG4" s="14"/>
      <c r="AH4" s="14"/>
      <c r="AI4" s="14"/>
      <c r="AJ4" s="14"/>
      <c r="AK4" s="14"/>
      <c r="AL4" s="14"/>
      <c r="AM4" s="15"/>
      <c r="AN4" s="13"/>
      <c r="AO4" s="14"/>
      <c r="AP4" s="14"/>
      <c r="AQ4" s="14"/>
      <c r="AR4" s="14"/>
      <c r="AS4" s="14"/>
      <c r="AT4" s="14"/>
      <c r="AU4" s="14"/>
      <c r="AV4" s="15"/>
      <c r="AW4" s="13"/>
      <c r="AX4" s="14"/>
      <c r="AY4" s="14"/>
      <c r="AZ4" s="14"/>
      <c r="BA4" s="14"/>
      <c r="BB4" s="14"/>
      <c r="BC4" s="14"/>
      <c r="BD4" s="15"/>
      <c r="BE4" s="13"/>
      <c r="BF4" s="14"/>
      <c r="BG4" s="16"/>
      <c r="BH4" s="16"/>
      <c r="BI4" s="16"/>
    </row>
    <row r="5" spans="1:61" ht="33.75" customHeight="1">
      <c r="A5" s="9" t="s">
        <v>45</v>
      </c>
      <c r="B5" s="9">
        <v>0</v>
      </c>
      <c r="C5" s="9">
        <v>0</v>
      </c>
      <c r="D5" s="9">
        <v>1</v>
      </c>
      <c r="E5" s="9">
        <v>0</v>
      </c>
      <c r="F5" s="9">
        <v>1</v>
      </c>
      <c r="G5" s="9">
        <v>0</v>
      </c>
      <c r="H5" s="9">
        <v>0</v>
      </c>
      <c r="I5" s="9">
        <v>0</v>
      </c>
      <c r="J5" s="9">
        <v>0</v>
      </c>
      <c r="K5" s="10">
        <f t="shared" si="0"/>
        <v>2</v>
      </c>
      <c r="L5" s="11"/>
      <c r="M5" s="17"/>
      <c r="N5" s="12"/>
      <c r="O5" s="11"/>
      <c r="P5" s="13"/>
      <c r="Q5" s="14"/>
      <c r="R5" s="14"/>
      <c r="S5" s="14"/>
      <c r="T5" s="14"/>
      <c r="U5" s="15"/>
      <c r="V5" s="13"/>
      <c r="W5" s="14"/>
      <c r="X5" s="14"/>
      <c r="Y5" s="14"/>
      <c r="Z5" s="14"/>
      <c r="AA5" s="14"/>
      <c r="AB5" s="14"/>
      <c r="AC5" s="14"/>
      <c r="AD5" s="15"/>
      <c r="AE5" s="13"/>
      <c r="AF5" s="14"/>
      <c r="AG5" s="14"/>
      <c r="AH5" s="14"/>
      <c r="AI5" s="14"/>
      <c r="AJ5" s="14"/>
      <c r="AK5" s="14"/>
      <c r="AL5" s="14"/>
      <c r="AM5" s="15"/>
      <c r="AN5" s="13"/>
      <c r="AO5" s="14"/>
      <c r="AP5" s="14"/>
      <c r="AQ5" s="14"/>
      <c r="AR5" s="14"/>
      <c r="AS5" s="14"/>
      <c r="AT5" s="14"/>
      <c r="AU5" s="14"/>
      <c r="AV5" s="15"/>
      <c r="AW5" s="13"/>
      <c r="AX5" s="14"/>
      <c r="AY5" s="14"/>
      <c r="AZ5" s="14"/>
      <c r="BA5" s="14"/>
      <c r="BB5" s="14"/>
      <c r="BC5" s="14"/>
      <c r="BD5" s="15"/>
      <c r="BE5" s="13"/>
      <c r="BF5" s="14"/>
      <c r="BG5" s="16"/>
      <c r="BH5" s="16"/>
      <c r="BI5" s="16"/>
    </row>
    <row r="6" spans="1:61" ht="23" customHeight="1">
      <c r="A6" s="10" t="s">
        <v>46</v>
      </c>
      <c r="B6" s="9">
        <f>B4-B5</f>
        <v>27</v>
      </c>
      <c r="C6" s="9">
        <f>C4-C5</f>
        <v>7</v>
      </c>
      <c r="D6" s="9">
        <f>D4-D5</f>
        <v>29</v>
      </c>
      <c r="E6" s="9">
        <f>E4-E5</f>
        <v>17</v>
      </c>
      <c r="F6" s="9">
        <f>F4-F5</f>
        <v>22</v>
      </c>
      <c r="G6" s="9">
        <v>18</v>
      </c>
      <c r="H6" s="9">
        <v>15</v>
      </c>
      <c r="I6" s="9">
        <v>20</v>
      </c>
      <c r="J6" s="9">
        <v>22</v>
      </c>
      <c r="K6" s="10">
        <f t="shared" si="0"/>
        <v>177</v>
      </c>
      <c r="L6" s="11"/>
      <c r="M6" s="18"/>
      <c r="N6" s="12"/>
      <c r="O6" s="11"/>
      <c r="P6" s="13"/>
      <c r="Q6" s="14"/>
      <c r="R6" s="14"/>
      <c r="S6" s="14"/>
      <c r="T6" s="14"/>
      <c r="U6" s="15"/>
      <c r="V6" s="13"/>
      <c r="W6" s="14"/>
      <c r="X6" s="14"/>
      <c r="Y6" s="14"/>
      <c r="Z6" s="14"/>
      <c r="AA6" s="14"/>
      <c r="AB6" s="14"/>
      <c r="AC6" s="14"/>
      <c r="AD6" s="15"/>
      <c r="AE6" s="13"/>
      <c r="AF6" s="14"/>
      <c r="AG6" s="14"/>
      <c r="AH6" s="14"/>
      <c r="AI6" s="14"/>
      <c r="AJ6" s="14"/>
      <c r="AK6" s="14"/>
      <c r="AL6" s="14"/>
      <c r="AM6" s="15"/>
      <c r="AN6" s="13"/>
      <c r="AO6" s="14"/>
      <c r="AP6" s="14"/>
      <c r="AQ6" s="14"/>
      <c r="AR6" s="14"/>
      <c r="AS6" s="14"/>
      <c r="AT6" s="14"/>
      <c r="AU6" s="14"/>
      <c r="AV6" s="15"/>
      <c r="AW6" s="13"/>
      <c r="AX6" s="14"/>
      <c r="AY6" s="14"/>
      <c r="AZ6" s="14"/>
      <c r="BA6" s="14"/>
      <c r="BB6" s="14"/>
      <c r="BC6" s="14"/>
      <c r="BD6" s="15"/>
      <c r="BE6" s="13"/>
      <c r="BF6" s="14"/>
      <c r="BG6" s="16"/>
      <c r="BH6" s="16"/>
      <c r="BI6" s="16"/>
    </row>
    <row r="7" spans="1:61" ht="33.75" customHeight="1">
      <c r="A7" s="8" t="s">
        <v>47</v>
      </c>
      <c r="B7" s="9">
        <v>0</v>
      </c>
      <c r="C7" s="9">
        <v>0</v>
      </c>
      <c r="D7" s="9">
        <v>2</v>
      </c>
      <c r="E7" s="9">
        <v>0</v>
      </c>
      <c r="F7" s="9">
        <v>1</v>
      </c>
      <c r="G7" s="9">
        <v>0</v>
      </c>
      <c r="H7" s="9">
        <v>0</v>
      </c>
      <c r="I7" s="9">
        <v>0</v>
      </c>
      <c r="J7" s="9">
        <v>0</v>
      </c>
      <c r="K7" s="10">
        <f t="shared" si="0"/>
        <v>3</v>
      </c>
      <c r="L7" s="11">
        <f>K7/(K2)</f>
        <v>1.6574585635359115E-2</v>
      </c>
      <c r="M7" s="19">
        <f>K7/K2</f>
        <v>1.6574585635359115E-2</v>
      </c>
      <c r="N7" s="12"/>
      <c r="O7" s="11"/>
      <c r="P7" s="13"/>
      <c r="Q7" s="14"/>
      <c r="R7" s="14"/>
      <c r="S7" s="14"/>
      <c r="T7" s="14"/>
      <c r="U7" s="15"/>
      <c r="V7" s="13"/>
      <c r="W7" s="14"/>
      <c r="X7" s="14"/>
      <c r="Y7" s="14"/>
      <c r="Z7" s="14"/>
      <c r="AA7" s="14"/>
      <c r="AB7" s="14"/>
      <c r="AC7" s="14"/>
      <c r="AD7" s="15"/>
      <c r="AE7" s="13"/>
      <c r="AF7" s="14"/>
      <c r="AG7" s="14"/>
      <c r="AH7" s="14"/>
      <c r="AI7" s="14"/>
      <c r="AJ7" s="14"/>
      <c r="AK7" s="14"/>
      <c r="AL7" s="14"/>
      <c r="AM7" s="15"/>
      <c r="AN7" s="13"/>
      <c r="AO7" s="14"/>
      <c r="AP7" s="14"/>
      <c r="AQ7" s="14"/>
      <c r="AR7" s="14"/>
      <c r="AS7" s="14"/>
      <c r="AT7" s="14"/>
      <c r="AU7" s="14"/>
      <c r="AV7" s="15"/>
      <c r="AW7" s="13"/>
      <c r="AX7" s="14"/>
      <c r="AY7" s="14"/>
      <c r="AZ7" s="14"/>
      <c r="BA7" s="14"/>
      <c r="BB7" s="14"/>
      <c r="BC7" s="14"/>
      <c r="BD7" s="15"/>
      <c r="BE7" s="13"/>
      <c r="BF7" s="14"/>
      <c r="BG7" s="16"/>
      <c r="BH7" s="16"/>
      <c r="BI7" s="16"/>
    </row>
    <row r="8" spans="1:61" ht="33.75" customHeight="1">
      <c r="A8" s="10" t="s">
        <v>48</v>
      </c>
      <c r="B8" s="9">
        <f t="shared" ref="B8:J8" si="2">B6-B7</f>
        <v>27</v>
      </c>
      <c r="C8" s="9">
        <f t="shared" si="2"/>
        <v>7</v>
      </c>
      <c r="D8" s="9">
        <f t="shared" si="2"/>
        <v>27</v>
      </c>
      <c r="E8" s="9">
        <f t="shared" si="2"/>
        <v>17</v>
      </c>
      <c r="F8" s="9">
        <f t="shared" si="2"/>
        <v>21</v>
      </c>
      <c r="G8" s="9">
        <f t="shared" si="2"/>
        <v>18</v>
      </c>
      <c r="H8" s="9">
        <f t="shared" si="2"/>
        <v>15</v>
      </c>
      <c r="I8" s="9">
        <f t="shared" si="2"/>
        <v>20</v>
      </c>
      <c r="J8" s="9">
        <f t="shared" si="2"/>
        <v>22</v>
      </c>
      <c r="K8" s="10">
        <f t="shared" si="0"/>
        <v>174</v>
      </c>
      <c r="L8" s="11">
        <f>K8/(K2)</f>
        <v>0.96132596685082872</v>
      </c>
      <c r="M8" s="17">
        <f>K8/K2</f>
        <v>0.96132596685082872</v>
      </c>
      <c r="N8" s="12"/>
      <c r="O8" s="11"/>
      <c r="P8" s="13"/>
      <c r="Q8" s="14"/>
      <c r="R8" s="14"/>
      <c r="S8" s="14"/>
      <c r="T8" s="14"/>
      <c r="U8" s="15"/>
      <c r="V8" s="13"/>
      <c r="W8" s="14"/>
      <c r="X8" s="14"/>
      <c r="Y8" s="14"/>
      <c r="Z8" s="14"/>
      <c r="AA8" s="14"/>
      <c r="AB8" s="14"/>
      <c r="AC8" s="14"/>
      <c r="AD8" s="15"/>
      <c r="AE8" s="13"/>
      <c r="AF8" s="14"/>
      <c r="AG8" s="14"/>
      <c r="AH8" s="14"/>
      <c r="AI8" s="14"/>
      <c r="AJ8" s="14"/>
      <c r="AK8" s="14"/>
      <c r="AL8" s="14"/>
      <c r="AM8" s="15"/>
      <c r="AN8" s="13"/>
      <c r="AO8" s="14"/>
      <c r="AP8" s="14"/>
      <c r="AQ8" s="14"/>
      <c r="AR8" s="14"/>
      <c r="AS8" s="14"/>
      <c r="AT8" s="14"/>
      <c r="AU8" s="14"/>
      <c r="AV8" s="15"/>
      <c r="AW8" s="13"/>
      <c r="AX8" s="14"/>
      <c r="AY8" s="14"/>
      <c r="AZ8" s="14"/>
      <c r="BA8" s="14"/>
      <c r="BB8" s="14"/>
      <c r="BC8" s="14"/>
      <c r="BD8" s="15"/>
      <c r="BE8" s="13"/>
      <c r="BF8" s="14"/>
      <c r="BG8" s="16"/>
      <c r="BH8" s="16"/>
      <c r="BI8" s="16"/>
    </row>
    <row r="9" spans="1:61" ht="23" customHeight="1">
      <c r="A9" s="20"/>
      <c r="B9" s="16"/>
      <c r="C9" s="16"/>
      <c r="D9" s="16"/>
      <c r="E9" s="16"/>
      <c r="F9" s="16"/>
      <c r="G9" s="16"/>
      <c r="H9" s="16"/>
      <c r="I9" s="16"/>
      <c r="J9" s="16"/>
      <c r="K9" s="20"/>
      <c r="L9" s="11"/>
      <c r="M9" s="18"/>
      <c r="N9" s="12"/>
      <c r="O9" s="11"/>
      <c r="P9" s="13"/>
      <c r="Q9" s="14"/>
      <c r="R9" s="14"/>
      <c r="S9" s="14"/>
      <c r="T9" s="14"/>
      <c r="U9" s="15"/>
      <c r="V9" s="13"/>
      <c r="W9" s="14"/>
      <c r="X9" s="14"/>
      <c r="Y9" s="14"/>
      <c r="Z9" s="14"/>
      <c r="AA9" s="14"/>
      <c r="AB9" s="14"/>
      <c r="AC9" s="14"/>
      <c r="AD9" s="15"/>
      <c r="AE9" s="13"/>
      <c r="AF9" s="14"/>
      <c r="AG9" s="14"/>
      <c r="AH9" s="14"/>
      <c r="AI9" s="14"/>
      <c r="AJ9" s="14"/>
      <c r="AK9" s="14"/>
      <c r="AL9" s="14"/>
      <c r="AM9" s="15"/>
      <c r="AN9" s="13"/>
      <c r="AO9" s="14"/>
      <c r="AP9" s="14"/>
      <c r="AQ9" s="14"/>
      <c r="AR9" s="14"/>
      <c r="AS9" s="14"/>
      <c r="AT9" s="14"/>
      <c r="AU9" s="14"/>
      <c r="AV9" s="15"/>
      <c r="AW9" s="13"/>
      <c r="AX9" s="14"/>
      <c r="AY9" s="14"/>
      <c r="AZ9" s="14"/>
      <c r="BA9" s="14"/>
      <c r="BB9" s="14"/>
      <c r="BC9" s="14"/>
      <c r="BD9" s="15"/>
      <c r="BE9" s="13"/>
      <c r="BF9" s="14"/>
      <c r="BG9" s="16"/>
      <c r="BH9" s="16"/>
      <c r="BI9" s="16"/>
    </row>
    <row r="10" spans="1:61" ht="21.75" customHeight="1">
      <c r="A10" s="21" t="s">
        <v>49</v>
      </c>
      <c r="B10" s="185"/>
      <c r="C10" s="182"/>
      <c r="D10" s="182"/>
      <c r="E10" s="182"/>
      <c r="F10" s="182"/>
      <c r="G10" s="22"/>
      <c r="H10" s="22"/>
      <c r="I10" s="22"/>
      <c r="J10" s="22"/>
      <c r="K10" s="22"/>
      <c r="L10" s="24"/>
      <c r="M10" s="25"/>
      <c r="N10" s="26"/>
      <c r="O10" s="24"/>
      <c r="P10" s="27"/>
      <c r="Q10" s="28"/>
      <c r="R10" s="28"/>
      <c r="S10" s="28"/>
      <c r="T10" s="26"/>
      <c r="U10" s="24"/>
      <c r="V10" s="27"/>
      <c r="W10" s="28"/>
      <c r="X10" s="28"/>
      <c r="Y10" s="28"/>
      <c r="Z10" s="28"/>
      <c r="AA10" s="28"/>
      <c r="AB10" s="28"/>
      <c r="AC10" s="26"/>
      <c r="AD10" s="24"/>
      <c r="AE10" s="27"/>
      <c r="AF10" s="28"/>
      <c r="AG10" s="28"/>
      <c r="AH10" s="28"/>
      <c r="AI10" s="28"/>
      <c r="AJ10" s="28"/>
      <c r="AK10" s="28"/>
      <c r="AL10" s="26"/>
      <c r="AM10" s="29"/>
      <c r="AN10" s="27"/>
      <c r="AO10" s="26"/>
      <c r="AP10" s="26"/>
      <c r="AQ10" s="26"/>
      <c r="AR10" s="26"/>
      <c r="AS10" s="26"/>
      <c r="AT10" s="26"/>
      <c r="AU10" s="26"/>
      <c r="AV10" s="24"/>
      <c r="AW10" s="27"/>
      <c r="AX10" s="26"/>
      <c r="AY10" s="26"/>
      <c r="AZ10" s="26"/>
      <c r="BA10" s="26"/>
      <c r="BB10" s="26"/>
      <c r="BC10" s="26"/>
      <c r="BD10" s="24"/>
      <c r="BE10" s="27"/>
      <c r="BF10" s="26"/>
      <c r="BG10" s="22"/>
      <c r="BH10" s="22"/>
      <c r="BI10" s="22"/>
    </row>
    <row r="11" spans="1:61" ht="21.75" customHeight="1">
      <c r="A11" s="10" t="s">
        <v>50</v>
      </c>
      <c r="B11" s="9">
        <v>11</v>
      </c>
      <c r="C11" s="9">
        <v>4</v>
      </c>
      <c r="D11" s="9">
        <v>14</v>
      </c>
      <c r="E11" s="9">
        <v>11</v>
      </c>
      <c r="F11" s="9">
        <v>11</v>
      </c>
      <c r="G11" s="9">
        <v>8</v>
      </c>
      <c r="H11" s="9">
        <v>5</v>
      </c>
      <c r="I11" s="9">
        <v>10</v>
      </c>
      <c r="J11" s="9">
        <v>11</v>
      </c>
      <c r="K11" s="10">
        <f>SUM(B11:J11)</f>
        <v>85</v>
      </c>
      <c r="L11" s="11"/>
      <c r="M11" s="17"/>
      <c r="N11" s="12"/>
      <c r="O11" s="11"/>
      <c r="P11" s="13"/>
      <c r="Q11" s="14"/>
      <c r="R11" s="14"/>
      <c r="S11" s="14"/>
      <c r="T11" s="14"/>
      <c r="U11" s="15"/>
      <c r="V11" s="13"/>
      <c r="W11" s="14"/>
      <c r="X11" s="14"/>
      <c r="Y11" s="14"/>
      <c r="Z11" s="14"/>
      <c r="AA11" s="14"/>
      <c r="AB11" s="14"/>
      <c r="AC11" s="14"/>
      <c r="AD11" s="15"/>
      <c r="AE11" s="13"/>
      <c r="AF11" s="14"/>
      <c r="AG11" s="14"/>
      <c r="AH11" s="14"/>
      <c r="AI11" s="14"/>
      <c r="AJ11" s="14"/>
      <c r="AK11" s="14"/>
      <c r="AL11" s="14"/>
      <c r="AM11" s="15"/>
      <c r="AN11" s="13"/>
      <c r="AO11" s="14"/>
      <c r="AP11" s="14"/>
      <c r="AQ11" s="14"/>
      <c r="AR11" s="14"/>
      <c r="AS11" s="14"/>
      <c r="AT11" s="14"/>
      <c r="AU11" s="14"/>
      <c r="AV11" s="15"/>
      <c r="AW11" s="13"/>
      <c r="AX11" s="14"/>
      <c r="AY11" s="14"/>
      <c r="AZ11" s="14"/>
      <c r="BA11" s="14"/>
      <c r="BB11" s="14"/>
      <c r="BC11" s="14"/>
      <c r="BD11" s="15"/>
      <c r="BE11" s="13"/>
      <c r="BF11" s="14"/>
      <c r="BG11" s="16"/>
      <c r="BH11" s="16"/>
      <c r="BI11" s="16"/>
    </row>
    <row r="12" spans="1:61" ht="21.75" customHeight="1">
      <c r="A12" s="10" t="s">
        <v>51</v>
      </c>
      <c r="B12" s="9">
        <v>0</v>
      </c>
      <c r="C12" s="9">
        <v>0</v>
      </c>
      <c r="D12" s="9">
        <v>2</v>
      </c>
      <c r="E12" s="9">
        <v>0</v>
      </c>
      <c r="F12" s="9">
        <v>1</v>
      </c>
      <c r="G12" s="9">
        <v>0</v>
      </c>
      <c r="H12" s="9">
        <v>0</v>
      </c>
      <c r="I12" s="9">
        <v>0</v>
      </c>
      <c r="J12" s="9">
        <v>0</v>
      </c>
      <c r="K12" s="10">
        <f>SUM(B12:J12)</f>
        <v>3</v>
      </c>
      <c r="L12" s="11"/>
      <c r="M12" s="19"/>
      <c r="N12" s="12"/>
      <c r="O12" s="11"/>
      <c r="P12" s="13"/>
      <c r="Q12" s="14"/>
      <c r="R12" s="14"/>
      <c r="S12" s="14"/>
      <c r="T12" s="14"/>
      <c r="U12" s="15"/>
      <c r="V12" s="13"/>
      <c r="W12" s="14"/>
      <c r="X12" s="14"/>
      <c r="Y12" s="14"/>
      <c r="Z12" s="14"/>
      <c r="AA12" s="14"/>
      <c r="AB12" s="14"/>
      <c r="AC12" s="14"/>
      <c r="AD12" s="15"/>
      <c r="AE12" s="13"/>
      <c r="AF12" s="14"/>
      <c r="AG12" s="14"/>
      <c r="AH12" s="14"/>
      <c r="AI12" s="14"/>
      <c r="AJ12" s="14"/>
      <c r="AK12" s="14"/>
      <c r="AL12" s="14"/>
      <c r="AM12" s="15"/>
      <c r="AN12" s="13"/>
      <c r="AO12" s="14"/>
      <c r="AP12" s="14"/>
      <c r="AQ12" s="14"/>
      <c r="AR12" s="14"/>
      <c r="AS12" s="14"/>
      <c r="AT12" s="14"/>
      <c r="AU12" s="14"/>
      <c r="AV12" s="15"/>
      <c r="AW12" s="13"/>
      <c r="AX12" s="14"/>
      <c r="AY12" s="14"/>
      <c r="AZ12" s="14"/>
      <c r="BA12" s="14"/>
      <c r="BB12" s="14"/>
      <c r="BC12" s="14"/>
      <c r="BD12" s="15"/>
      <c r="BE12" s="13"/>
      <c r="BF12" s="14"/>
      <c r="BG12" s="16"/>
      <c r="BH12" s="16"/>
      <c r="BI12" s="16"/>
    </row>
    <row r="13" spans="1:61" ht="20.25" customHeight="1">
      <c r="A13" s="10" t="s">
        <v>52</v>
      </c>
      <c r="B13" s="9">
        <f t="shared" ref="B13:J13" si="3">B11-B12</f>
        <v>11</v>
      </c>
      <c r="C13" s="9">
        <f t="shared" si="3"/>
        <v>4</v>
      </c>
      <c r="D13" s="9">
        <f t="shared" si="3"/>
        <v>12</v>
      </c>
      <c r="E13" s="9">
        <f t="shared" si="3"/>
        <v>11</v>
      </c>
      <c r="F13" s="9">
        <f t="shared" si="3"/>
        <v>10</v>
      </c>
      <c r="G13" s="9">
        <f t="shared" si="3"/>
        <v>8</v>
      </c>
      <c r="H13" s="9">
        <f t="shared" si="3"/>
        <v>5</v>
      </c>
      <c r="I13" s="9">
        <f t="shared" si="3"/>
        <v>10</v>
      </c>
      <c r="J13" s="9">
        <f t="shared" si="3"/>
        <v>11</v>
      </c>
      <c r="K13" s="10">
        <f>SUM(B13:J13)</f>
        <v>82</v>
      </c>
      <c r="L13" s="11"/>
      <c r="M13" s="11"/>
      <c r="N13" s="12"/>
      <c r="O13" s="11"/>
      <c r="P13" s="13"/>
      <c r="Q13" s="14"/>
      <c r="R13" s="14"/>
      <c r="S13" s="14"/>
      <c r="T13" s="14"/>
      <c r="U13" s="15"/>
      <c r="V13" s="13"/>
      <c r="W13" s="14"/>
      <c r="X13" s="14"/>
      <c r="Y13" s="14"/>
      <c r="Z13" s="14"/>
      <c r="AA13" s="14"/>
      <c r="AB13" s="14"/>
      <c r="AC13" s="14"/>
      <c r="AD13" s="15"/>
      <c r="AE13" s="13"/>
      <c r="AF13" s="14"/>
      <c r="AG13" s="14"/>
      <c r="AH13" s="14"/>
      <c r="AI13" s="14"/>
      <c r="AJ13" s="14"/>
      <c r="AK13" s="14"/>
      <c r="AL13" s="14"/>
      <c r="AM13" s="15"/>
      <c r="AN13" s="13"/>
      <c r="AO13" s="14"/>
      <c r="AP13" s="14"/>
      <c r="AQ13" s="14"/>
      <c r="AR13" s="14"/>
      <c r="AS13" s="14"/>
      <c r="AT13" s="14"/>
      <c r="AU13" s="14"/>
      <c r="AV13" s="15"/>
      <c r="AW13" s="13"/>
      <c r="AX13" s="14"/>
      <c r="AY13" s="14"/>
      <c r="AZ13" s="14"/>
      <c r="BA13" s="14"/>
      <c r="BB13" s="14"/>
      <c r="BC13" s="14"/>
      <c r="BD13" s="15"/>
      <c r="BE13" s="13"/>
      <c r="BF13" s="14"/>
      <c r="BG13" s="16"/>
      <c r="BH13" s="16"/>
      <c r="BI13" s="16"/>
    </row>
    <row r="14" spans="1:61" ht="20.25" customHeight="1">
      <c r="A14" s="21" t="s">
        <v>53</v>
      </c>
      <c r="B14" s="185"/>
      <c r="C14" s="182"/>
      <c r="D14" s="182"/>
      <c r="E14" s="182"/>
      <c r="F14" s="182"/>
      <c r="G14" s="22"/>
      <c r="H14" s="22"/>
      <c r="I14" s="22"/>
      <c r="J14" s="22"/>
      <c r="K14" s="22"/>
      <c r="L14" s="24"/>
      <c r="M14" s="24"/>
      <c r="N14" s="26"/>
      <c r="O14" s="24"/>
      <c r="P14" s="27"/>
      <c r="Q14" s="28"/>
      <c r="R14" s="28"/>
      <c r="S14" s="28"/>
      <c r="T14" s="26"/>
      <c r="U14" s="24"/>
      <c r="V14" s="27"/>
      <c r="W14" s="28"/>
      <c r="X14" s="28"/>
      <c r="Y14" s="28"/>
      <c r="Z14" s="28"/>
      <c r="AA14" s="28"/>
      <c r="AB14" s="28"/>
      <c r="AC14" s="26"/>
      <c r="AD14" s="24"/>
      <c r="AE14" s="27"/>
      <c r="AF14" s="28"/>
      <c r="AG14" s="28"/>
      <c r="AH14" s="28"/>
      <c r="AI14" s="28"/>
      <c r="AJ14" s="28"/>
      <c r="AK14" s="28"/>
      <c r="AL14" s="26"/>
      <c r="AM14" s="29"/>
      <c r="AN14" s="27"/>
      <c r="AO14" s="26"/>
      <c r="AP14" s="26"/>
      <c r="AQ14" s="26"/>
      <c r="AR14" s="26"/>
      <c r="AS14" s="26"/>
      <c r="AT14" s="26"/>
      <c r="AU14" s="26"/>
      <c r="AV14" s="24"/>
      <c r="AW14" s="27"/>
      <c r="AX14" s="26"/>
      <c r="AY14" s="26"/>
      <c r="AZ14" s="26"/>
      <c r="BA14" s="26"/>
      <c r="BB14" s="26"/>
      <c r="BC14" s="26"/>
      <c r="BD14" s="24"/>
      <c r="BE14" s="27"/>
      <c r="BF14" s="26"/>
      <c r="BG14" s="22"/>
      <c r="BH14" s="22"/>
      <c r="BI14" s="22"/>
    </row>
    <row r="15" spans="1:61" ht="20.25" customHeight="1">
      <c r="A15" s="10" t="s">
        <v>50</v>
      </c>
      <c r="B15" s="9">
        <v>16</v>
      </c>
      <c r="C15" s="9">
        <v>3</v>
      </c>
      <c r="D15" s="9">
        <v>15</v>
      </c>
      <c r="E15" s="9">
        <v>6</v>
      </c>
      <c r="F15" s="9">
        <v>11</v>
      </c>
      <c r="G15" s="9">
        <v>10</v>
      </c>
      <c r="H15" s="9">
        <v>10</v>
      </c>
      <c r="I15" s="9">
        <v>10</v>
      </c>
      <c r="J15" s="9">
        <v>11</v>
      </c>
      <c r="K15" s="10">
        <f>SUM(B15:J15)</f>
        <v>92</v>
      </c>
      <c r="L15" s="11"/>
      <c r="M15" s="11"/>
      <c r="N15" s="12"/>
      <c r="O15" s="11"/>
      <c r="P15" s="13"/>
      <c r="Q15" s="14"/>
      <c r="R15" s="14"/>
      <c r="S15" s="14"/>
      <c r="T15" s="14"/>
      <c r="U15" s="15"/>
      <c r="V15" s="13"/>
      <c r="W15" s="14"/>
      <c r="X15" s="14"/>
      <c r="Y15" s="14"/>
      <c r="Z15" s="14"/>
      <c r="AA15" s="14"/>
      <c r="AB15" s="14"/>
      <c r="AC15" s="14"/>
      <c r="AD15" s="15"/>
      <c r="AE15" s="13"/>
      <c r="AF15" s="14"/>
      <c r="AG15" s="14"/>
      <c r="AH15" s="14"/>
      <c r="AI15" s="14"/>
      <c r="AJ15" s="14"/>
      <c r="AK15" s="14"/>
      <c r="AL15" s="14"/>
      <c r="AM15" s="15"/>
      <c r="AN15" s="13"/>
      <c r="AO15" s="14"/>
      <c r="AP15" s="14"/>
      <c r="AQ15" s="14"/>
      <c r="AR15" s="14"/>
      <c r="AS15" s="14"/>
      <c r="AT15" s="14"/>
      <c r="AU15" s="14"/>
      <c r="AV15" s="15"/>
      <c r="AW15" s="13"/>
      <c r="AX15" s="14"/>
      <c r="AY15" s="14"/>
      <c r="AZ15" s="14"/>
      <c r="BA15" s="14"/>
      <c r="BB15" s="14"/>
      <c r="BC15" s="14"/>
      <c r="BD15" s="15"/>
      <c r="BE15" s="13"/>
      <c r="BF15" s="14"/>
      <c r="BG15" s="16"/>
      <c r="BH15" s="16"/>
      <c r="BI15" s="16"/>
    </row>
    <row r="16" spans="1:61" ht="20.25" customHeight="1">
      <c r="A16" s="10" t="s">
        <v>51</v>
      </c>
      <c r="B16" s="9">
        <v>0</v>
      </c>
      <c r="C16" s="9">
        <v>0</v>
      </c>
      <c r="D16" s="9">
        <v>0</v>
      </c>
      <c r="E16" s="9">
        <v>0</v>
      </c>
      <c r="F16" s="9">
        <v>0</v>
      </c>
      <c r="G16" s="9">
        <v>0</v>
      </c>
      <c r="H16" s="9">
        <v>0</v>
      </c>
      <c r="I16" s="9">
        <v>0</v>
      </c>
      <c r="J16" s="9">
        <v>0</v>
      </c>
      <c r="K16" s="10">
        <f>SUM(B16:J16)</f>
        <v>0</v>
      </c>
      <c r="L16" s="11"/>
      <c r="M16" s="11"/>
      <c r="N16" s="12"/>
      <c r="O16" s="11"/>
      <c r="P16" s="13"/>
      <c r="Q16" s="14"/>
      <c r="R16" s="14"/>
      <c r="S16" s="14"/>
      <c r="T16" s="14"/>
      <c r="U16" s="15"/>
      <c r="V16" s="13"/>
      <c r="W16" s="14"/>
      <c r="X16" s="14"/>
      <c r="Y16" s="14"/>
      <c r="Z16" s="14"/>
      <c r="AA16" s="14"/>
      <c r="AB16" s="14"/>
      <c r="AC16" s="14"/>
      <c r="AD16" s="15"/>
      <c r="AE16" s="13"/>
      <c r="AF16" s="14"/>
      <c r="AG16" s="14"/>
      <c r="AH16" s="14"/>
      <c r="AI16" s="14"/>
      <c r="AJ16" s="14"/>
      <c r="AK16" s="14"/>
      <c r="AL16" s="14"/>
      <c r="AM16" s="15"/>
      <c r="AN16" s="13"/>
      <c r="AO16" s="14"/>
      <c r="AP16" s="14"/>
      <c r="AQ16" s="14"/>
      <c r="AR16" s="14"/>
      <c r="AS16" s="14"/>
      <c r="AT16" s="14"/>
      <c r="AU16" s="14"/>
      <c r="AV16" s="15"/>
      <c r="AW16" s="13"/>
      <c r="AX16" s="14"/>
      <c r="AY16" s="14"/>
      <c r="AZ16" s="14"/>
      <c r="BA16" s="14"/>
      <c r="BB16" s="14"/>
      <c r="BC16" s="14"/>
      <c r="BD16" s="15"/>
      <c r="BE16" s="13"/>
      <c r="BF16" s="14"/>
      <c r="BG16" s="16"/>
      <c r="BH16" s="16"/>
      <c r="BI16" s="16"/>
    </row>
    <row r="17" spans="1:61" ht="20.25" customHeight="1">
      <c r="A17" s="10" t="s">
        <v>52</v>
      </c>
      <c r="B17" s="9">
        <f t="shared" ref="B17:J17" si="4">B15-B16</f>
        <v>16</v>
      </c>
      <c r="C17" s="9">
        <f t="shared" si="4"/>
        <v>3</v>
      </c>
      <c r="D17" s="9">
        <f t="shared" si="4"/>
        <v>15</v>
      </c>
      <c r="E17" s="9">
        <f t="shared" si="4"/>
        <v>6</v>
      </c>
      <c r="F17" s="9">
        <f t="shared" si="4"/>
        <v>11</v>
      </c>
      <c r="G17" s="9">
        <f t="shared" si="4"/>
        <v>10</v>
      </c>
      <c r="H17" s="9">
        <f t="shared" si="4"/>
        <v>10</v>
      </c>
      <c r="I17" s="9">
        <f t="shared" si="4"/>
        <v>10</v>
      </c>
      <c r="J17" s="9">
        <f t="shared" si="4"/>
        <v>11</v>
      </c>
      <c r="K17" s="10">
        <f>SUM(B17:J17)</f>
        <v>92</v>
      </c>
      <c r="L17" s="11"/>
      <c r="M17" s="11"/>
      <c r="N17" s="12"/>
      <c r="O17" s="11"/>
      <c r="P17" s="13"/>
      <c r="Q17" s="14"/>
      <c r="R17" s="14"/>
      <c r="S17" s="14"/>
      <c r="T17" s="14"/>
      <c r="U17" s="15"/>
      <c r="V17" s="13"/>
      <c r="W17" s="14"/>
      <c r="X17" s="14"/>
      <c r="Y17" s="14"/>
      <c r="Z17" s="14"/>
      <c r="AA17" s="14"/>
      <c r="AB17" s="14"/>
      <c r="AC17" s="14"/>
      <c r="AD17" s="15"/>
      <c r="AE17" s="13"/>
      <c r="AF17" s="14"/>
      <c r="AG17" s="14"/>
      <c r="AH17" s="14"/>
      <c r="AI17" s="14"/>
      <c r="AJ17" s="14"/>
      <c r="AK17" s="14"/>
      <c r="AL17" s="14"/>
      <c r="AM17" s="15"/>
      <c r="AN17" s="13"/>
      <c r="AO17" s="14"/>
      <c r="AP17" s="14"/>
      <c r="AQ17" s="14"/>
      <c r="AR17" s="14"/>
      <c r="AS17" s="14"/>
      <c r="AT17" s="14"/>
      <c r="AU17" s="14"/>
      <c r="AV17" s="15"/>
      <c r="AW17" s="13"/>
      <c r="AX17" s="14"/>
      <c r="AY17" s="14"/>
      <c r="AZ17" s="14"/>
      <c r="BA17" s="14"/>
      <c r="BB17" s="14"/>
      <c r="BC17" s="14"/>
      <c r="BD17" s="15"/>
      <c r="BE17" s="13"/>
      <c r="BF17" s="14"/>
      <c r="BG17" s="16"/>
      <c r="BH17" s="16"/>
      <c r="BI17" s="16"/>
    </row>
    <row r="18" spans="1:61" ht="20.25" customHeight="1">
      <c r="A18" s="21" t="s">
        <v>54</v>
      </c>
      <c r="B18" s="181" t="s">
        <v>54</v>
      </c>
      <c r="C18" s="182"/>
      <c r="D18" s="182"/>
      <c r="E18" s="182"/>
      <c r="F18" s="182"/>
      <c r="G18" s="22"/>
      <c r="H18" s="22"/>
      <c r="I18" s="22"/>
      <c r="J18" s="22"/>
      <c r="K18" s="22"/>
      <c r="L18" s="24"/>
      <c r="M18" s="24"/>
      <c r="N18" s="26"/>
      <c r="O18" s="24"/>
      <c r="P18" s="27"/>
      <c r="Q18" s="28"/>
      <c r="R18" s="28"/>
      <c r="S18" s="28"/>
      <c r="T18" s="26"/>
      <c r="U18" s="24"/>
      <c r="V18" s="27"/>
      <c r="W18" s="28"/>
      <c r="X18" s="28"/>
      <c r="Y18" s="28"/>
      <c r="Z18" s="28"/>
      <c r="AA18" s="28"/>
      <c r="AB18" s="28"/>
      <c r="AC18" s="26"/>
      <c r="AD18" s="24"/>
      <c r="AE18" s="27"/>
      <c r="AF18" s="28"/>
      <c r="AG18" s="28"/>
      <c r="AH18" s="28"/>
      <c r="AI18" s="28"/>
      <c r="AJ18" s="28"/>
      <c r="AK18" s="28"/>
      <c r="AL18" s="26"/>
      <c r="AM18" s="29"/>
      <c r="AN18" s="27"/>
      <c r="AO18" s="26"/>
      <c r="AP18" s="26"/>
      <c r="AQ18" s="26"/>
      <c r="AR18" s="26"/>
      <c r="AS18" s="26"/>
      <c r="AT18" s="26"/>
      <c r="AU18" s="26"/>
      <c r="AV18" s="24"/>
      <c r="AW18" s="27"/>
      <c r="AX18" s="26"/>
      <c r="AY18" s="26"/>
      <c r="AZ18" s="26"/>
      <c r="BA18" s="26"/>
      <c r="BB18" s="26"/>
      <c r="BC18" s="26"/>
      <c r="BD18" s="24"/>
      <c r="BE18" s="27"/>
      <c r="BF18" s="26"/>
      <c r="BG18" s="22"/>
      <c r="BH18" s="22"/>
      <c r="BI18" s="22"/>
    </row>
    <row r="19" spans="1:61" ht="32.25" customHeight="1">
      <c r="A19" s="10"/>
      <c r="B19" s="30" t="s">
        <v>0</v>
      </c>
      <c r="C19" s="30" t="s">
        <v>1</v>
      </c>
      <c r="D19" s="30" t="s">
        <v>2</v>
      </c>
      <c r="E19" s="30" t="s">
        <v>3</v>
      </c>
      <c r="F19" s="30" t="s">
        <v>4</v>
      </c>
      <c r="G19" s="30" t="s">
        <v>5</v>
      </c>
      <c r="H19" s="30" t="s">
        <v>55</v>
      </c>
      <c r="I19" s="30" t="s">
        <v>7</v>
      </c>
      <c r="J19" s="30" t="s">
        <v>8</v>
      </c>
      <c r="K19" s="10" t="s">
        <v>9</v>
      </c>
      <c r="L19" s="10" t="s">
        <v>56</v>
      </c>
      <c r="M19" s="20"/>
      <c r="N19" s="12"/>
      <c r="O19" s="20"/>
      <c r="P19" s="31"/>
      <c r="Q19" s="30" t="s">
        <v>15</v>
      </c>
      <c r="R19" s="30" t="s">
        <v>16</v>
      </c>
      <c r="S19" s="30" t="s">
        <v>28</v>
      </c>
      <c r="T19" s="20"/>
      <c r="U19" s="32" t="s">
        <v>18</v>
      </c>
      <c r="V19" s="31"/>
      <c r="W19" s="30" t="s">
        <v>15</v>
      </c>
      <c r="X19" s="30" t="s">
        <v>20</v>
      </c>
      <c r="Y19" s="30" t="s">
        <v>21</v>
      </c>
      <c r="Z19" s="30" t="s">
        <v>22</v>
      </c>
      <c r="AA19" s="30" t="s">
        <v>23</v>
      </c>
      <c r="AB19" s="30" t="s">
        <v>24</v>
      </c>
      <c r="AC19" s="20"/>
      <c r="AD19" s="10" t="s">
        <v>26</v>
      </c>
      <c r="AE19" s="31"/>
      <c r="AF19" s="30" t="s">
        <v>20</v>
      </c>
      <c r="AG19" s="30" t="s">
        <v>21</v>
      </c>
      <c r="AH19" s="30" t="s">
        <v>22</v>
      </c>
      <c r="AI19" s="30" t="s">
        <v>23</v>
      </c>
      <c r="AJ19" s="30" t="s">
        <v>24</v>
      </c>
      <c r="AK19" s="30" t="s">
        <v>28</v>
      </c>
      <c r="AL19" s="20"/>
      <c r="AM19" s="10" t="s">
        <v>30</v>
      </c>
      <c r="AN19" s="31"/>
      <c r="AO19" s="30" t="s">
        <v>15</v>
      </c>
      <c r="AP19" s="30" t="s">
        <v>20</v>
      </c>
      <c r="AQ19" s="30" t="s">
        <v>21</v>
      </c>
      <c r="AR19" s="30" t="s">
        <v>16</v>
      </c>
      <c r="AS19" s="30" t="s">
        <v>22</v>
      </c>
      <c r="AT19" s="30" t="s">
        <v>24</v>
      </c>
      <c r="AU19" s="20"/>
      <c r="AV19" s="10" t="s">
        <v>57</v>
      </c>
      <c r="AW19" s="31"/>
      <c r="AX19" s="30" t="s">
        <v>15</v>
      </c>
      <c r="AY19" s="30" t="s">
        <v>20</v>
      </c>
      <c r="AZ19" s="30" t="s">
        <v>22</v>
      </c>
      <c r="BA19" s="30" t="s">
        <v>23</v>
      </c>
      <c r="BB19" s="30" t="s">
        <v>28</v>
      </c>
      <c r="BC19" s="20"/>
      <c r="BD19" s="10" t="s">
        <v>57</v>
      </c>
      <c r="BE19" s="31"/>
      <c r="BF19" s="9" t="s">
        <v>38</v>
      </c>
      <c r="BG19" s="9" t="s">
        <v>39</v>
      </c>
      <c r="BH19" s="9" t="s">
        <v>40</v>
      </c>
      <c r="BI19" s="9" t="s">
        <v>41</v>
      </c>
    </row>
    <row r="20" spans="1:61" ht="20.25" customHeight="1">
      <c r="A20" s="10" t="s">
        <v>58</v>
      </c>
      <c r="B20" s="9" t="s">
        <v>59</v>
      </c>
      <c r="C20" s="9">
        <v>5</v>
      </c>
      <c r="D20" s="9">
        <v>10</v>
      </c>
      <c r="E20" s="9">
        <v>2</v>
      </c>
      <c r="F20" s="9">
        <v>11</v>
      </c>
      <c r="G20" s="33">
        <v>10</v>
      </c>
      <c r="H20" s="33">
        <v>5</v>
      </c>
      <c r="I20" s="34">
        <v>2</v>
      </c>
      <c r="J20" s="33">
        <v>19</v>
      </c>
      <c r="K20" s="10">
        <f t="shared" ref="K20:K28" si="5">SUM(B20:J20)</f>
        <v>64</v>
      </c>
      <c r="L20" s="11">
        <f>K20/K25</f>
        <v>0.46376811594202899</v>
      </c>
      <c r="M20" s="35">
        <f>K20/K28</f>
        <v>0.42105263157894735</v>
      </c>
      <c r="N20" s="12"/>
      <c r="O20" s="11"/>
      <c r="P20" s="13"/>
      <c r="Q20" s="33">
        <v>1</v>
      </c>
      <c r="R20" s="33">
        <v>5</v>
      </c>
      <c r="S20" s="33">
        <v>0</v>
      </c>
      <c r="T20" s="14">
        <f>SUM(Q20:S20)</f>
        <v>6</v>
      </c>
      <c r="U20" s="15"/>
      <c r="V20" s="13"/>
      <c r="W20" s="33">
        <v>0</v>
      </c>
      <c r="X20" s="33">
        <v>1</v>
      </c>
      <c r="Y20" s="14">
        <v>0</v>
      </c>
      <c r="Z20" s="14">
        <v>0</v>
      </c>
      <c r="AA20" s="33">
        <v>0</v>
      </c>
      <c r="AB20" s="33">
        <v>0</v>
      </c>
      <c r="AC20" s="14">
        <f>SUM(W20:AB20)</f>
        <v>1</v>
      </c>
      <c r="AD20" s="15">
        <f>AC20/AC25</f>
        <v>2.1739130434782608E-2</v>
      </c>
      <c r="AE20" s="13"/>
      <c r="AF20" s="33">
        <v>7</v>
      </c>
      <c r="AG20" s="36">
        <v>6</v>
      </c>
      <c r="AH20" s="33">
        <v>1</v>
      </c>
      <c r="AI20" s="33">
        <v>2</v>
      </c>
      <c r="AJ20" s="33">
        <v>1</v>
      </c>
      <c r="AK20" s="33">
        <v>17</v>
      </c>
      <c r="AL20" s="14">
        <f>SUM(AF20:AK20)</f>
        <v>34</v>
      </c>
      <c r="AM20" s="15">
        <f>AL20/AL25</f>
        <v>0.79069767441860461</v>
      </c>
      <c r="AN20" s="13"/>
      <c r="AO20" s="33">
        <v>1</v>
      </c>
      <c r="AP20" s="33">
        <v>3</v>
      </c>
      <c r="AQ20" s="36">
        <v>4</v>
      </c>
      <c r="AR20" s="36">
        <v>0</v>
      </c>
      <c r="AS20" s="33">
        <v>8</v>
      </c>
      <c r="AT20" s="33">
        <v>4</v>
      </c>
      <c r="AU20" s="14">
        <f>SUM(AO20:AT20)</f>
        <v>20</v>
      </c>
      <c r="AV20" s="15">
        <f>AU20/AU25</f>
        <v>1</v>
      </c>
      <c r="AW20" s="13"/>
      <c r="AX20" s="33">
        <v>1</v>
      </c>
      <c r="AY20" s="33">
        <v>0</v>
      </c>
      <c r="AZ20" s="33">
        <v>1</v>
      </c>
      <c r="BA20" s="33">
        <v>0</v>
      </c>
      <c r="BB20" s="33">
        <v>2</v>
      </c>
      <c r="BC20" s="14">
        <f>SUM(AX20:BB20)</f>
        <v>4</v>
      </c>
      <c r="BD20" s="15">
        <f>BC20/BC25</f>
        <v>0.66666666666666663</v>
      </c>
      <c r="BE20" s="13"/>
      <c r="BF20" s="14"/>
      <c r="BG20" s="15" t="e">
        <f>BF20/BF25</f>
        <v>#DIV/0!</v>
      </c>
      <c r="BH20" s="16"/>
      <c r="BI20" s="16"/>
    </row>
    <row r="21" spans="1:61" ht="20.25" customHeight="1">
      <c r="A21" s="10" t="s">
        <v>60</v>
      </c>
      <c r="B21" s="9" t="s">
        <v>59</v>
      </c>
      <c r="C21" s="9">
        <v>0</v>
      </c>
      <c r="D21" s="9">
        <v>13</v>
      </c>
      <c r="E21" s="9">
        <v>3</v>
      </c>
      <c r="F21" s="9">
        <v>3</v>
      </c>
      <c r="G21" s="33">
        <v>6</v>
      </c>
      <c r="H21" s="33">
        <v>4</v>
      </c>
      <c r="I21" s="34">
        <v>6</v>
      </c>
      <c r="J21" s="33">
        <v>1</v>
      </c>
      <c r="K21" s="10">
        <f t="shared" si="5"/>
        <v>36</v>
      </c>
      <c r="L21" s="11">
        <f>K21/K25</f>
        <v>0.2608695652173913</v>
      </c>
      <c r="M21" s="35">
        <f>K21/K28</f>
        <v>0.23684210526315788</v>
      </c>
      <c r="N21" s="12"/>
      <c r="O21" s="11"/>
      <c r="P21" s="13"/>
      <c r="Q21" s="33">
        <v>3</v>
      </c>
      <c r="R21" s="33">
        <v>4</v>
      </c>
      <c r="S21" s="33">
        <v>1</v>
      </c>
      <c r="T21" s="14">
        <f>SUM(Q21:S21)</f>
        <v>8</v>
      </c>
      <c r="U21" s="15"/>
      <c r="V21" s="13"/>
      <c r="W21" s="33">
        <v>3</v>
      </c>
      <c r="X21" s="33">
        <v>1</v>
      </c>
      <c r="Y21" s="14">
        <v>10</v>
      </c>
      <c r="Z21" s="14">
        <v>3</v>
      </c>
      <c r="AA21" s="33">
        <v>1</v>
      </c>
      <c r="AB21" s="33">
        <v>0</v>
      </c>
      <c r="AC21" s="14">
        <f>SUM(W21:AB21)</f>
        <v>18</v>
      </c>
      <c r="AD21" s="15">
        <f>AC21/AC25</f>
        <v>0.39130434782608697</v>
      </c>
      <c r="AE21" s="13"/>
      <c r="AF21" s="33">
        <v>2</v>
      </c>
      <c r="AG21" s="36">
        <v>3</v>
      </c>
      <c r="AH21" s="33">
        <v>3</v>
      </c>
      <c r="AI21" s="33">
        <v>1</v>
      </c>
      <c r="AJ21" s="33">
        <v>0</v>
      </c>
      <c r="AK21" s="33">
        <v>0</v>
      </c>
      <c r="AL21" s="14">
        <f>SUM(AF21:AK21)</f>
        <v>9</v>
      </c>
      <c r="AM21" s="15">
        <f>AL21/AL25</f>
        <v>0.20930232558139536</v>
      </c>
      <c r="AN21" s="13"/>
      <c r="AO21" s="33">
        <v>0</v>
      </c>
      <c r="AP21" s="33">
        <v>0</v>
      </c>
      <c r="AQ21" s="36">
        <v>0</v>
      </c>
      <c r="AR21" s="36">
        <v>0</v>
      </c>
      <c r="AS21" s="33">
        <v>0</v>
      </c>
      <c r="AT21" s="33">
        <v>0</v>
      </c>
      <c r="AU21" s="14">
        <f>SUM(AO21:AT21)</f>
        <v>0</v>
      </c>
      <c r="AV21" s="15">
        <f>AU21/AU25</f>
        <v>0</v>
      </c>
      <c r="AW21" s="13"/>
      <c r="AX21" s="33">
        <v>0</v>
      </c>
      <c r="AY21" s="33">
        <v>0</v>
      </c>
      <c r="AZ21" s="33">
        <v>0</v>
      </c>
      <c r="BA21" s="33">
        <v>1</v>
      </c>
      <c r="BB21" s="33">
        <v>0</v>
      </c>
      <c r="BC21" s="14">
        <f>SUM(AX21:BB21)</f>
        <v>1</v>
      </c>
      <c r="BD21" s="15">
        <f>BC21/BC25</f>
        <v>0.16666666666666666</v>
      </c>
      <c r="BE21" s="13"/>
      <c r="BF21" s="14"/>
      <c r="BG21" s="15" t="e">
        <f>BF21/BF25</f>
        <v>#DIV/0!</v>
      </c>
      <c r="BH21" s="16"/>
      <c r="BI21" s="16"/>
    </row>
    <row r="22" spans="1:61" ht="20.25" customHeight="1">
      <c r="A22" s="10" t="s">
        <v>61</v>
      </c>
      <c r="B22" s="9" t="s">
        <v>59</v>
      </c>
      <c r="C22" s="9">
        <v>0</v>
      </c>
      <c r="D22" s="9">
        <v>2</v>
      </c>
      <c r="E22" s="9">
        <v>5</v>
      </c>
      <c r="F22" s="9">
        <v>1</v>
      </c>
      <c r="G22" s="33">
        <v>1</v>
      </c>
      <c r="H22" s="33">
        <v>1</v>
      </c>
      <c r="I22" s="34">
        <v>9</v>
      </c>
      <c r="J22" s="33">
        <v>0</v>
      </c>
      <c r="K22" s="10">
        <f t="shared" si="5"/>
        <v>19</v>
      </c>
      <c r="L22" s="11">
        <f>K22/K25</f>
        <v>0.13768115942028986</v>
      </c>
      <c r="M22" s="35">
        <f>K22/K28</f>
        <v>0.125</v>
      </c>
      <c r="N22" s="12"/>
      <c r="O22" s="11"/>
      <c r="P22" s="13"/>
      <c r="Q22" s="33">
        <v>3</v>
      </c>
      <c r="R22" s="33">
        <v>1</v>
      </c>
      <c r="S22" s="33">
        <v>0</v>
      </c>
      <c r="T22" s="14">
        <f>SUM(Q22:S22)</f>
        <v>4</v>
      </c>
      <c r="U22" s="15"/>
      <c r="V22" s="13"/>
      <c r="W22" s="33">
        <v>6</v>
      </c>
      <c r="X22" s="33">
        <v>1</v>
      </c>
      <c r="Y22" s="14">
        <v>2</v>
      </c>
      <c r="Z22" s="14">
        <v>0</v>
      </c>
      <c r="AA22" s="33">
        <v>5</v>
      </c>
      <c r="AB22" s="33">
        <v>0</v>
      </c>
      <c r="AC22" s="14">
        <f>SUM(W22:AB22)</f>
        <v>14</v>
      </c>
      <c r="AD22" s="15">
        <f>AC22/AC25</f>
        <v>0.30434782608695654</v>
      </c>
      <c r="AE22" s="13"/>
      <c r="AF22" s="33">
        <v>0</v>
      </c>
      <c r="AG22" s="36">
        <v>0</v>
      </c>
      <c r="AH22" s="33">
        <v>0</v>
      </c>
      <c r="AI22" s="33">
        <v>0</v>
      </c>
      <c r="AJ22" s="33">
        <v>0</v>
      </c>
      <c r="AK22" s="33">
        <v>0</v>
      </c>
      <c r="AL22" s="14">
        <f>SUM(AF22:AK22)</f>
        <v>0</v>
      </c>
      <c r="AM22" s="15">
        <f>AL22/AL25</f>
        <v>0</v>
      </c>
      <c r="AN22" s="13"/>
      <c r="AO22" s="33">
        <v>0</v>
      </c>
      <c r="AP22" s="33">
        <v>0</v>
      </c>
      <c r="AQ22" s="36">
        <v>0</v>
      </c>
      <c r="AR22" s="36">
        <v>0</v>
      </c>
      <c r="AS22" s="33">
        <v>0</v>
      </c>
      <c r="AT22" s="33">
        <v>0</v>
      </c>
      <c r="AU22" s="14">
        <f>SUM(AO22:AT22)</f>
        <v>0</v>
      </c>
      <c r="AV22" s="15">
        <f>AU22/AU25</f>
        <v>0</v>
      </c>
      <c r="AW22" s="13"/>
      <c r="AX22" s="33">
        <v>0</v>
      </c>
      <c r="AY22" s="33">
        <v>0</v>
      </c>
      <c r="AZ22" s="33">
        <v>1</v>
      </c>
      <c r="BA22" s="33">
        <v>0</v>
      </c>
      <c r="BB22" s="33">
        <v>0</v>
      </c>
      <c r="BC22" s="14">
        <f>SUM(AX22:BB22)</f>
        <v>1</v>
      </c>
      <c r="BD22" s="15">
        <f>BC22/BC25</f>
        <v>0.16666666666666666</v>
      </c>
      <c r="BE22" s="13"/>
      <c r="BF22" s="14"/>
      <c r="BG22" s="15" t="e">
        <f>BF22/BF25</f>
        <v>#DIV/0!</v>
      </c>
      <c r="BH22" s="16"/>
      <c r="BI22" s="16"/>
    </row>
    <row r="23" spans="1:61" ht="20.25" customHeight="1">
      <c r="A23" s="10" t="s">
        <v>62</v>
      </c>
      <c r="B23" s="9" t="s">
        <v>59</v>
      </c>
      <c r="C23" s="9">
        <v>2</v>
      </c>
      <c r="D23" s="9">
        <v>3</v>
      </c>
      <c r="E23" s="9">
        <v>4</v>
      </c>
      <c r="F23" s="9">
        <v>2</v>
      </c>
      <c r="G23" s="33">
        <v>0</v>
      </c>
      <c r="H23" s="33">
        <v>4</v>
      </c>
      <c r="I23" s="34">
        <v>2</v>
      </c>
      <c r="J23" s="33">
        <v>1</v>
      </c>
      <c r="K23" s="10">
        <f t="shared" si="5"/>
        <v>18</v>
      </c>
      <c r="L23" s="11">
        <f>K23/K25</f>
        <v>0.13043478260869565</v>
      </c>
      <c r="M23" s="35">
        <f>K23/K28</f>
        <v>0.11842105263157894</v>
      </c>
      <c r="N23" s="12"/>
      <c r="O23" s="11"/>
      <c r="P23" s="13"/>
      <c r="Q23" s="33">
        <v>2</v>
      </c>
      <c r="R23" s="33">
        <v>4</v>
      </c>
      <c r="S23" s="33">
        <v>0</v>
      </c>
      <c r="T23" s="14">
        <f>SUM(Q23:S23)</f>
        <v>6</v>
      </c>
      <c r="U23" s="15"/>
      <c r="V23" s="13"/>
      <c r="W23" s="33">
        <v>0</v>
      </c>
      <c r="X23" s="33">
        <v>2</v>
      </c>
      <c r="Y23" s="14">
        <v>4</v>
      </c>
      <c r="Z23" s="14">
        <v>0</v>
      </c>
      <c r="AA23" s="33">
        <v>4</v>
      </c>
      <c r="AB23" s="33">
        <v>2</v>
      </c>
      <c r="AC23" s="14">
        <f>SUM(W23:AB23)</f>
        <v>12</v>
      </c>
      <c r="AD23" s="15">
        <f>AC23/AC25</f>
        <v>0.2608695652173913</v>
      </c>
      <c r="AE23" s="13"/>
      <c r="AF23" s="33">
        <v>0</v>
      </c>
      <c r="AG23" s="36">
        <v>0</v>
      </c>
      <c r="AH23" s="33">
        <v>0</v>
      </c>
      <c r="AI23" s="33">
        <v>0</v>
      </c>
      <c r="AJ23" s="33">
        <v>0</v>
      </c>
      <c r="AK23" s="33">
        <v>0</v>
      </c>
      <c r="AL23" s="14">
        <f>SUM(AF23:AK23)</f>
        <v>0</v>
      </c>
      <c r="AM23" s="15">
        <f>AL23/AL25</f>
        <v>0</v>
      </c>
      <c r="AN23" s="13"/>
      <c r="AO23" s="33">
        <v>0</v>
      </c>
      <c r="AP23" s="33">
        <v>0</v>
      </c>
      <c r="AQ23" s="36">
        <v>0</v>
      </c>
      <c r="AR23" s="36">
        <v>0</v>
      </c>
      <c r="AS23" s="33">
        <v>0</v>
      </c>
      <c r="AT23" s="33">
        <v>0</v>
      </c>
      <c r="AU23" s="14">
        <f>SUM(AO23:AT23)</f>
        <v>0</v>
      </c>
      <c r="AV23" s="15">
        <f>AU23/AU25</f>
        <v>0</v>
      </c>
      <c r="AW23" s="13"/>
      <c r="AX23" s="33">
        <v>0</v>
      </c>
      <c r="AY23" s="33">
        <v>0</v>
      </c>
      <c r="AZ23" s="33">
        <v>0</v>
      </c>
      <c r="BA23" s="33">
        <v>0</v>
      </c>
      <c r="BB23" s="33">
        <v>0</v>
      </c>
      <c r="BC23" s="14">
        <f>SUM(AX23:BB23)</f>
        <v>0</v>
      </c>
      <c r="BD23" s="15">
        <f>BC23/BC25</f>
        <v>0</v>
      </c>
      <c r="BE23" s="13"/>
      <c r="BF23" s="14"/>
      <c r="BG23" s="15" t="e">
        <f>BF23/BF25</f>
        <v>#DIV/0!</v>
      </c>
      <c r="BH23" s="16"/>
      <c r="BI23" s="16"/>
    </row>
    <row r="24" spans="1:61" ht="20.25" customHeight="1">
      <c r="A24" s="10" t="s">
        <v>63</v>
      </c>
      <c r="B24" s="9" t="s">
        <v>59</v>
      </c>
      <c r="C24" s="9">
        <v>0</v>
      </c>
      <c r="D24" s="9">
        <v>0</v>
      </c>
      <c r="E24" s="9">
        <v>0</v>
      </c>
      <c r="F24" s="9">
        <v>1</v>
      </c>
      <c r="G24" s="33">
        <v>0</v>
      </c>
      <c r="H24" s="33">
        <v>0</v>
      </c>
      <c r="I24" s="33">
        <v>0</v>
      </c>
      <c r="J24" s="33">
        <v>0</v>
      </c>
      <c r="K24" s="10">
        <f t="shared" si="5"/>
        <v>1</v>
      </c>
      <c r="L24" s="11">
        <f>K24/K25</f>
        <v>7.246376811594203E-3</v>
      </c>
      <c r="M24" s="35">
        <f>K24/K28</f>
        <v>6.5789473684210523E-3</v>
      </c>
      <c r="N24" s="12"/>
      <c r="O24" s="11"/>
      <c r="P24" s="13"/>
      <c r="Q24" s="33">
        <v>0</v>
      </c>
      <c r="R24" s="33">
        <v>0</v>
      </c>
      <c r="S24" s="33">
        <v>1</v>
      </c>
      <c r="T24" s="14">
        <f>SUM(Q24:S24)</f>
        <v>1</v>
      </c>
      <c r="U24" s="15"/>
      <c r="V24" s="13"/>
      <c r="W24" s="33">
        <v>0</v>
      </c>
      <c r="X24" s="33">
        <v>1</v>
      </c>
      <c r="Y24" s="14">
        <v>0</v>
      </c>
      <c r="Z24" s="14">
        <v>0</v>
      </c>
      <c r="AA24" s="33">
        <v>0</v>
      </c>
      <c r="AB24" s="33">
        <v>0</v>
      </c>
      <c r="AC24" s="14">
        <f>SUM(W24:AB24)</f>
        <v>1</v>
      </c>
      <c r="AD24" s="15">
        <f>AC24/AC25</f>
        <v>2.1739130434782608E-2</v>
      </c>
      <c r="AE24" s="13"/>
      <c r="AF24" s="33">
        <v>0</v>
      </c>
      <c r="AG24" s="36">
        <v>0</v>
      </c>
      <c r="AH24" s="33">
        <v>0</v>
      </c>
      <c r="AI24" s="33">
        <v>0</v>
      </c>
      <c r="AJ24" s="33">
        <v>0</v>
      </c>
      <c r="AK24" s="33">
        <v>0</v>
      </c>
      <c r="AL24" s="14">
        <f>SUM(AF24:AK24)</f>
        <v>0</v>
      </c>
      <c r="AM24" s="15">
        <f>AL24/AL25</f>
        <v>0</v>
      </c>
      <c r="AN24" s="13"/>
      <c r="AO24" s="33">
        <v>0</v>
      </c>
      <c r="AP24" s="33">
        <v>0</v>
      </c>
      <c r="AQ24" s="36">
        <v>0</v>
      </c>
      <c r="AR24" s="36">
        <v>0</v>
      </c>
      <c r="AS24" s="33">
        <v>0</v>
      </c>
      <c r="AT24" s="33">
        <v>0</v>
      </c>
      <c r="AU24" s="14">
        <f>SUM(AO24:AT24)</f>
        <v>0</v>
      </c>
      <c r="AV24" s="15"/>
      <c r="AW24" s="13"/>
      <c r="AX24" s="33">
        <v>0</v>
      </c>
      <c r="AY24" s="33">
        <v>0</v>
      </c>
      <c r="AZ24" s="33">
        <v>0</v>
      </c>
      <c r="BA24" s="33">
        <v>0</v>
      </c>
      <c r="BB24" s="33">
        <v>0</v>
      </c>
      <c r="BC24" s="14">
        <f>SUM(AX24:BB24)</f>
        <v>0</v>
      </c>
      <c r="BD24" s="15"/>
      <c r="BE24" s="13"/>
      <c r="BF24" s="14"/>
      <c r="BG24" s="15" t="e">
        <f>BF24/BF25</f>
        <v>#DIV/0!</v>
      </c>
      <c r="BH24" s="16"/>
      <c r="BI24" s="16"/>
    </row>
    <row r="25" spans="1:61" ht="20.25" customHeight="1">
      <c r="A25" s="10" t="s">
        <v>9</v>
      </c>
      <c r="B25" s="9" t="s">
        <v>59</v>
      </c>
      <c r="C25" s="10">
        <f t="shared" ref="C25:J25" si="6">SUM(C20:C24)</f>
        <v>7</v>
      </c>
      <c r="D25" s="10">
        <f t="shared" si="6"/>
        <v>28</v>
      </c>
      <c r="E25" s="10">
        <f t="shared" si="6"/>
        <v>14</v>
      </c>
      <c r="F25" s="10">
        <f t="shared" si="6"/>
        <v>18</v>
      </c>
      <c r="G25" s="10">
        <f t="shared" si="6"/>
        <v>17</v>
      </c>
      <c r="H25" s="10">
        <f t="shared" si="6"/>
        <v>14</v>
      </c>
      <c r="I25" s="10">
        <f t="shared" si="6"/>
        <v>19</v>
      </c>
      <c r="J25" s="10">
        <f t="shared" si="6"/>
        <v>21</v>
      </c>
      <c r="K25" s="10">
        <f t="shared" si="5"/>
        <v>138</v>
      </c>
      <c r="L25" s="11">
        <f>SUM(L20:L24)</f>
        <v>1</v>
      </c>
      <c r="M25" s="35">
        <f>K25/K28</f>
        <v>0.90789473684210531</v>
      </c>
      <c r="N25" s="37">
        <f>T25+AC25+AL25+AU25</f>
        <v>134</v>
      </c>
      <c r="O25" s="35">
        <f>N25/K25</f>
        <v>0.97101449275362317</v>
      </c>
      <c r="P25" s="27"/>
      <c r="Q25" s="12">
        <f>SUM(Q20:Q24)</f>
        <v>9</v>
      </c>
      <c r="R25" s="12">
        <f>SUM(R20:R24)</f>
        <v>14</v>
      </c>
      <c r="S25" s="12">
        <f>SUM(S20:S24)</f>
        <v>2</v>
      </c>
      <c r="T25" s="12">
        <f>SUM(T20:T24)</f>
        <v>25</v>
      </c>
      <c r="U25" s="11">
        <f>T25/K25</f>
        <v>0.18115942028985507</v>
      </c>
      <c r="V25" s="27"/>
      <c r="W25" s="12">
        <f t="shared" ref="W25:AD25" si="7">SUM(W20:W24)</f>
        <v>9</v>
      </c>
      <c r="X25" s="12">
        <f t="shared" si="7"/>
        <v>6</v>
      </c>
      <c r="Y25" s="12">
        <f t="shared" si="7"/>
        <v>16</v>
      </c>
      <c r="Z25" s="12">
        <f t="shared" si="7"/>
        <v>3</v>
      </c>
      <c r="AA25" s="12">
        <f t="shared" si="7"/>
        <v>10</v>
      </c>
      <c r="AB25" s="12">
        <f t="shared" si="7"/>
        <v>2</v>
      </c>
      <c r="AC25" s="12">
        <f t="shared" si="7"/>
        <v>46</v>
      </c>
      <c r="AD25" s="11">
        <f t="shared" si="7"/>
        <v>1.0000000000000002</v>
      </c>
      <c r="AE25" s="27"/>
      <c r="AF25" s="12">
        <f t="shared" ref="AF25:AM25" si="8">SUM(AF20:AF24)</f>
        <v>9</v>
      </c>
      <c r="AG25" s="12">
        <f t="shared" si="8"/>
        <v>9</v>
      </c>
      <c r="AH25" s="12">
        <f t="shared" si="8"/>
        <v>4</v>
      </c>
      <c r="AI25" s="12">
        <f t="shared" si="8"/>
        <v>3</v>
      </c>
      <c r="AJ25" s="12">
        <f t="shared" si="8"/>
        <v>1</v>
      </c>
      <c r="AK25" s="12">
        <f t="shared" si="8"/>
        <v>17</v>
      </c>
      <c r="AL25" s="12">
        <f t="shared" si="8"/>
        <v>43</v>
      </c>
      <c r="AM25" s="11">
        <f t="shared" si="8"/>
        <v>1</v>
      </c>
      <c r="AN25" s="27"/>
      <c r="AO25" s="12">
        <f t="shared" ref="AO25:AV25" si="9">SUM(AO20:AO24)</f>
        <v>1</v>
      </c>
      <c r="AP25" s="12">
        <f t="shared" si="9"/>
        <v>3</v>
      </c>
      <c r="AQ25" s="12">
        <f t="shared" si="9"/>
        <v>4</v>
      </c>
      <c r="AR25" s="12">
        <f t="shared" si="9"/>
        <v>0</v>
      </c>
      <c r="AS25" s="12">
        <f t="shared" si="9"/>
        <v>8</v>
      </c>
      <c r="AT25" s="12">
        <f t="shared" si="9"/>
        <v>4</v>
      </c>
      <c r="AU25" s="12">
        <f t="shared" si="9"/>
        <v>20</v>
      </c>
      <c r="AV25" s="11">
        <f t="shared" si="9"/>
        <v>1</v>
      </c>
      <c r="AW25" s="27"/>
      <c r="AX25" s="12">
        <f t="shared" ref="AX25:BD25" si="10">SUM(AX20:AX24)</f>
        <v>1</v>
      </c>
      <c r="AY25" s="12">
        <f t="shared" si="10"/>
        <v>0</v>
      </c>
      <c r="AZ25" s="12">
        <f t="shared" si="10"/>
        <v>2</v>
      </c>
      <c r="BA25" s="12">
        <f t="shared" si="10"/>
        <v>1</v>
      </c>
      <c r="BB25" s="12">
        <f t="shared" si="10"/>
        <v>2</v>
      </c>
      <c r="BC25" s="12">
        <f t="shared" si="10"/>
        <v>6</v>
      </c>
      <c r="BD25" s="11">
        <f t="shared" si="10"/>
        <v>0.99999999999999989</v>
      </c>
      <c r="BE25" s="27"/>
      <c r="BF25" s="12">
        <f>SUM(BF20:BF24)</f>
        <v>0</v>
      </c>
      <c r="BG25" s="20"/>
      <c r="BH25" s="20"/>
      <c r="BI25" s="20"/>
    </row>
    <row r="26" spans="1:61" ht="20.25" customHeight="1">
      <c r="A26" s="8" t="s">
        <v>64</v>
      </c>
      <c r="B26" s="9" t="s">
        <v>59</v>
      </c>
      <c r="C26" s="9">
        <v>0</v>
      </c>
      <c r="D26" s="9">
        <v>0</v>
      </c>
      <c r="E26" s="9">
        <v>0</v>
      </c>
      <c r="F26" s="9">
        <v>0</v>
      </c>
      <c r="G26" s="9">
        <v>0</v>
      </c>
      <c r="H26" s="9">
        <v>0</v>
      </c>
      <c r="I26" s="9">
        <v>0</v>
      </c>
      <c r="J26" s="9">
        <v>0</v>
      </c>
      <c r="K26" s="10">
        <f t="shared" si="5"/>
        <v>0</v>
      </c>
      <c r="L26" s="11"/>
      <c r="M26" s="35">
        <f>K26/(K28)</f>
        <v>0</v>
      </c>
      <c r="N26" s="12"/>
      <c r="O26" s="11"/>
      <c r="P26" s="13"/>
      <c r="Q26" s="14">
        <v>0</v>
      </c>
      <c r="R26" s="14">
        <v>0</v>
      </c>
      <c r="S26" s="14">
        <v>0</v>
      </c>
      <c r="T26" s="38">
        <f>SUM(Q26:S26)</f>
        <v>0</v>
      </c>
      <c r="U26" s="15">
        <f>T26/T28</f>
        <v>0</v>
      </c>
      <c r="V26" s="13"/>
      <c r="W26" s="14">
        <v>0</v>
      </c>
      <c r="X26" s="14">
        <v>0</v>
      </c>
      <c r="Y26" s="14">
        <v>0</v>
      </c>
      <c r="Z26" s="14">
        <v>0</v>
      </c>
      <c r="AA26" s="14">
        <v>0</v>
      </c>
      <c r="AB26" s="14">
        <v>0</v>
      </c>
      <c r="AC26" s="38">
        <f>SUM(W26:AB26)</f>
        <v>0</v>
      </c>
      <c r="AD26" s="15">
        <f>AC26/AC28</f>
        <v>0</v>
      </c>
      <c r="AE26" s="13"/>
      <c r="AF26" s="14">
        <v>0</v>
      </c>
      <c r="AG26" s="14">
        <v>0</v>
      </c>
      <c r="AH26" s="14">
        <v>0</v>
      </c>
      <c r="AI26" s="14">
        <v>0</v>
      </c>
      <c r="AJ26" s="14">
        <v>0</v>
      </c>
      <c r="AK26" s="14">
        <v>0</v>
      </c>
      <c r="AL26" s="14">
        <f>SUM(AF26:AK26)</f>
        <v>0</v>
      </c>
      <c r="AM26" s="15">
        <f>AL26/AL28</f>
        <v>0</v>
      </c>
      <c r="AN26" s="13"/>
      <c r="AO26" s="14">
        <v>0</v>
      </c>
      <c r="AP26" s="14">
        <v>0</v>
      </c>
      <c r="AQ26" s="14">
        <v>0</v>
      </c>
      <c r="AR26" s="14">
        <v>0</v>
      </c>
      <c r="AS26" s="14">
        <v>0</v>
      </c>
      <c r="AT26" s="14">
        <v>0</v>
      </c>
      <c r="AU26" s="38">
        <f>SUM(AO26:AT26)</f>
        <v>0</v>
      </c>
      <c r="AV26" s="15">
        <f>AU26/AU28</f>
        <v>0</v>
      </c>
      <c r="AW26" s="13"/>
      <c r="AX26" s="14">
        <v>0</v>
      </c>
      <c r="AY26" s="14">
        <v>0</v>
      </c>
      <c r="AZ26" s="14">
        <v>0</v>
      </c>
      <c r="BA26" s="14">
        <v>0</v>
      </c>
      <c r="BB26" s="14">
        <v>0</v>
      </c>
      <c r="BC26" s="38">
        <f>SUM(AX26:BB26)</f>
        <v>0</v>
      </c>
      <c r="BD26" s="15"/>
      <c r="BE26" s="13"/>
      <c r="BF26" s="14"/>
      <c r="BG26" s="16"/>
      <c r="BH26" s="16"/>
      <c r="BI26" s="16"/>
    </row>
    <row r="27" spans="1:61" ht="20.25" customHeight="1">
      <c r="A27" s="8" t="s">
        <v>65</v>
      </c>
      <c r="B27" s="9" t="s">
        <v>59</v>
      </c>
      <c r="C27" s="9">
        <v>0</v>
      </c>
      <c r="D27" s="9">
        <v>2</v>
      </c>
      <c r="E27" s="9">
        <v>3</v>
      </c>
      <c r="F27" s="9">
        <v>5</v>
      </c>
      <c r="G27" s="9">
        <v>1</v>
      </c>
      <c r="H27" s="9">
        <v>1</v>
      </c>
      <c r="I27" s="9">
        <v>1</v>
      </c>
      <c r="J27" s="9">
        <v>1</v>
      </c>
      <c r="K27" s="10">
        <f t="shared" si="5"/>
        <v>14</v>
      </c>
      <c r="L27" s="11"/>
      <c r="M27" s="35">
        <f>K27/(K28)</f>
        <v>9.2105263157894732E-2</v>
      </c>
      <c r="N27" s="12"/>
      <c r="O27" s="11"/>
      <c r="P27" s="13"/>
      <c r="Q27" s="14">
        <v>0</v>
      </c>
      <c r="R27" s="14">
        <v>0</v>
      </c>
      <c r="S27" s="14">
        <v>0</v>
      </c>
      <c r="T27" s="38">
        <f>SUM(Q27:S27)</f>
        <v>0</v>
      </c>
      <c r="U27" s="15">
        <f>T27/T28</f>
        <v>0</v>
      </c>
      <c r="V27" s="13"/>
      <c r="W27" s="14">
        <v>0</v>
      </c>
      <c r="X27" s="14">
        <v>1</v>
      </c>
      <c r="Y27" s="14">
        <v>0</v>
      </c>
      <c r="Z27" s="14">
        <v>0</v>
      </c>
      <c r="AA27" s="14">
        <v>0</v>
      </c>
      <c r="AB27" s="14">
        <v>0</v>
      </c>
      <c r="AC27" s="38">
        <f>SUM(W27:AB27)</f>
        <v>1</v>
      </c>
      <c r="AD27" s="15">
        <f>AC27/AC28</f>
        <v>2.1276595744680851E-2</v>
      </c>
      <c r="AE27" s="13"/>
      <c r="AF27" s="14">
        <v>1</v>
      </c>
      <c r="AG27" s="14">
        <v>2</v>
      </c>
      <c r="AH27" s="14">
        <v>1</v>
      </c>
      <c r="AI27" s="14">
        <v>3</v>
      </c>
      <c r="AJ27" s="14">
        <v>0</v>
      </c>
      <c r="AK27" s="14">
        <v>0</v>
      </c>
      <c r="AL27" s="14">
        <f>SUM(AF27:AK27)</f>
        <v>7</v>
      </c>
      <c r="AM27" s="15">
        <f>AL27/AL28</f>
        <v>0.14000000000000001</v>
      </c>
      <c r="AN27" s="13"/>
      <c r="AO27" s="14">
        <v>0</v>
      </c>
      <c r="AP27" s="14">
        <v>0</v>
      </c>
      <c r="AQ27" s="14">
        <v>0</v>
      </c>
      <c r="AR27" s="14">
        <v>1</v>
      </c>
      <c r="AS27" s="14">
        <v>0</v>
      </c>
      <c r="AT27" s="14">
        <v>0</v>
      </c>
      <c r="AU27" s="38">
        <f>SUM(AO27:AT27)</f>
        <v>1</v>
      </c>
      <c r="AV27" s="15">
        <f>AU27/AU28</f>
        <v>4.7619047619047616E-2</v>
      </c>
      <c r="AW27" s="13"/>
      <c r="AX27" s="14">
        <v>0</v>
      </c>
      <c r="AY27" s="14">
        <v>3</v>
      </c>
      <c r="AZ27" s="14">
        <v>0</v>
      </c>
      <c r="BA27" s="14">
        <v>0</v>
      </c>
      <c r="BB27" s="14">
        <v>1</v>
      </c>
      <c r="BC27" s="38">
        <f>SUM(AX27:BB27)</f>
        <v>4</v>
      </c>
      <c r="BD27" s="15"/>
      <c r="BE27" s="13"/>
      <c r="BF27" s="14"/>
      <c r="BG27" s="16"/>
      <c r="BH27" s="16"/>
      <c r="BI27" s="16"/>
    </row>
    <row r="28" spans="1:61" ht="20.25" customHeight="1">
      <c r="A28" s="39" t="s">
        <v>66</v>
      </c>
      <c r="B28" s="9" t="s">
        <v>59</v>
      </c>
      <c r="C28" s="32">
        <f t="shared" ref="C28:J28" si="11">SUM(C25:C27)</f>
        <v>7</v>
      </c>
      <c r="D28" s="32">
        <f t="shared" si="11"/>
        <v>30</v>
      </c>
      <c r="E28" s="32">
        <f t="shared" si="11"/>
        <v>17</v>
      </c>
      <c r="F28" s="32">
        <f t="shared" si="11"/>
        <v>23</v>
      </c>
      <c r="G28" s="32">
        <f t="shared" si="11"/>
        <v>18</v>
      </c>
      <c r="H28" s="32">
        <f t="shared" si="11"/>
        <v>15</v>
      </c>
      <c r="I28" s="32">
        <f t="shared" si="11"/>
        <v>20</v>
      </c>
      <c r="J28" s="32">
        <f t="shared" si="11"/>
        <v>22</v>
      </c>
      <c r="K28" s="23">
        <f t="shared" si="5"/>
        <v>152</v>
      </c>
      <c r="L28" s="35">
        <f>K28/(K27+K26+K25)</f>
        <v>1</v>
      </c>
      <c r="M28" s="35">
        <f>K28/(K25+K26+K27)</f>
        <v>1</v>
      </c>
      <c r="N28" s="37">
        <f>T28+AC28+AL28+AU28+S29</f>
        <v>143</v>
      </c>
      <c r="O28" s="35">
        <f>N28/K28</f>
        <v>0.94078947368421051</v>
      </c>
      <c r="P28" s="13"/>
      <c r="Q28" s="38">
        <f>SUM(Q25:Q27)</f>
        <v>9</v>
      </c>
      <c r="R28" s="38">
        <f>SUM(R25:R27)</f>
        <v>14</v>
      </c>
      <c r="S28" s="38">
        <f>SUM(S25:S27)</f>
        <v>2</v>
      </c>
      <c r="T28" s="38">
        <f>SUM(Q28:S28)</f>
        <v>25</v>
      </c>
      <c r="U28" s="40">
        <f>T28/(T25+T26+T27)</f>
        <v>1</v>
      </c>
      <c r="V28" s="13"/>
      <c r="W28" s="38">
        <f t="shared" ref="W28:AB28" si="12">SUM(W25:W27)</f>
        <v>9</v>
      </c>
      <c r="X28" s="38">
        <f t="shared" si="12"/>
        <v>7</v>
      </c>
      <c r="Y28" s="38">
        <f t="shared" si="12"/>
        <v>16</v>
      </c>
      <c r="Z28" s="38">
        <f t="shared" si="12"/>
        <v>3</v>
      </c>
      <c r="AA28" s="38">
        <f t="shared" si="12"/>
        <v>10</v>
      </c>
      <c r="AB28" s="38">
        <f t="shared" si="12"/>
        <v>2</v>
      </c>
      <c r="AC28" s="38">
        <f>SUM(W28:AB28)</f>
        <v>47</v>
      </c>
      <c r="AD28" s="40">
        <f>AC28/(AC25+AC26+AC27)</f>
        <v>1</v>
      </c>
      <c r="AE28" s="13"/>
      <c r="AF28" s="38">
        <f t="shared" ref="AF28:AK28" si="13">SUM(AF25:AF27)</f>
        <v>10</v>
      </c>
      <c r="AG28" s="38">
        <f t="shared" si="13"/>
        <v>11</v>
      </c>
      <c r="AH28" s="38">
        <f t="shared" si="13"/>
        <v>5</v>
      </c>
      <c r="AI28" s="38">
        <f t="shared" si="13"/>
        <v>6</v>
      </c>
      <c r="AJ28" s="38">
        <f t="shared" si="13"/>
        <v>1</v>
      </c>
      <c r="AK28" s="38">
        <f t="shared" si="13"/>
        <v>17</v>
      </c>
      <c r="AL28" s="38">
        <f>SUM(AF28:AK28)</f>
        <v>50</v>
      </c>
      <c r="AM28" s="41">
        <f>AL28/(AL25+AL26+AL27)</f>
        <v>1</v>
      </c>
      <c r="AN28" s="13"/>
      <c r="AO28" s="38">
        <f t="shared" ref="AO28:AT28" si="14">SUM(AO25:AO27)</f>
        <v>1</v>
      </c>
      <c r="AP28" s="38">
        <f t="shared" si="14"/>
        <v>3</v>
      </c>
      <c r="AQ28" s="38">
        <f t="shared" si="14"/>
        <v>4</v>
      </c>
      <c r="AR28" s="38">
        <f t="shared" si="14"/>
        <v>1</v>
      </c>
      <c r="AS28" s="38">
        <f t="shared" si="14"/>
        <v>8</v>
      </c>
      <c r="AT28" s="38">
        <f t="shared" si="14"/>
        <v>4</v>
      </c>
      <c r="AU28" s="38">
        <f>SUM(AO28:AT28)</f>
        <v>21</v>
      </c>
      <c r="AV28" s="40">
        <f>AU28/(AU25+AU26+AU27)</f>
        <v>1</v>
      </c>
      <c r="AW28" s="13"/>
      <c r="AX28" s="38">
        <f>SUM(AX25:AX27)</f>
        <v>1</v>
      </c>
      <c r="AY28" s="38">
        <f>SUM(AY25:AY27)</f>
        <v>3</v>
      </c>
      <c r="AZ28" s="38">
        <f>SUM(AZ25:AZ27)</f>
        <v>2</v>
      </c>
      <c r="BA28" s="38">
        <f>SUM(BA25:BA27)</f>
        <v>1</v>
      </c>
      <c r="BB28" s="38">
        <f>SUM(BB25:BB27)</f>
        <v>3</v>
      </c>
      <c r="BC28" s="38">
        <f>SUM(AX28:BB28)</f>
        <v>10</v>
      </c>
      <c r="BD28" s="40"/>
      <c r="BE28" s="13"/>
      <c r="BF28" s="38"/>
      <c r="BG28" s="42"/>
      <c r="BH28" s="42"/>
      <c r="BI28" s="42"/>
    </row>
    <row r="29" spans="1:61" ht="20.25" customHeight="1">
      <c r="A29" s="43" t="s">
        <v>67</v>
      </c>
      <c r="B29" s="181" t="s">
        <v>67</v>
      </c>
      <c r="C29" s="182"/>
      <c r="D29" s="182"/>
      <c r="E29" s="182"/>
      <c r="F29" s="182"/>
      <c r="G29" s="22"/>
      <c r="H29" s="22"/>
      <c r="I29" s="22"/>
      <c r="J29" s="22"/>
      <c r="K29" s="22"/>
      <c r="L29" s="24"/>
      <c r="M29" s="24"/>
      <c r="N29" s="26"/>
      <c r="O29" s="24"/>
      <c r="P29" s="27"/>
      <c r="Q29" s="28"/>
      <c r="R29" s="28"/>
      <c r="S29" s="28"/>
      <c r="T29" s="26"/>
      <c r="U29" s="24"/>
      <c r="V29" s="27"/>
      <c r="W29" s="28"/>
      <c r="X29" s="28"/>
      <c r="Y29" s="28"/>
      <c r="Z29" s="28"/>
      <c r="AA29" s="28"/>
      <c r="AB29" s="28"/>
      <c r="AC29" s="26"/>
      <c r="AD29" s="24"/>
      <c r="AE29" s="27"/>
      <c r="AF29" s="28"/>
      <c r="AG29" s="28"/>
      <c r="AH29" s="28"/>
      <c r="AI29" s="28"/>
      <c r="AJ29" s="28"/>
      <c r="AK29" s="28"/>
      <c r="AL29" s="26"/>
      <c r="AM29" s="29"/>
      <c r="AN29" s="27"/>
      <c r="AO29" s="26"/>
      <c r="AP29" s="26"/>
      <c r="AQ29" s="26"/>
      <c r="AR29" s="26"/>
      <c r="AS29" s="26"/>
      <c r="AT29" s="26"/>
      <c r="AU29" s="26"/>
      <c r="AV29" s="24"/>
      <c r="AW29" s="27"/>
      <c r="AX29" s="26"/>
      <c r="AY29" s="26"/>
      <c r="AZ29" s="26"/>
      <c r="BA29" s="26"/>
      <c r="BB29" s="26"/>
      <c r="BC29" s="26"/>
      <c r="BD29" s="24"/>
      <c r="BE29" s="27"/>
      <c r="BF29" s="26"/>
      <c r="BG29" s="22"/>
      <c r="BH29" s="22"/>
      <c r="BI29" s="22"/>
    </row>
    <row r="30" spans="1:61" ht="32.25" customHeight="1">
      <c r="A30" s="10"/>
      <c r="B30" s="30" t="s">
        <v>0</v>
      </c>
      <c r="C30" s="30" t="s">
        <v>1</v>
      </c>
      <c r="D30" s="30" t="s">
        <v>2</v>
      </c>
      <c r="E30" s="30" t="s">
        <v>3</v>
      </c>
      <c r="F30" s="30" t="s">
        <v>4</v>
      </c>
      <c r="G30" s="30" t="s">
        <v>5</v>
      </c>
      <c r="H30" s="30" t="s">
        <v>68</v>
      </c>
      <c r="I30" s="30" t="s">
        <v>7</v>
      </c>
      <c r="J30" s="30" t="s">
        <v>8</v>
      </c>
      <c r="K30" s="10" t="s">
        <v>9</v>
      </c>
      <c r="L30" s="10" t="s">
        <v>56</v>
      </c>
      <c r="M30" s="20"/>
      <c r="N30" s="12"/>
      <c r="O30" s="20"/>
      <c r="P30" s="27"/>
      <c r="Q30" s="30" t="s">
        <v>15</v>
      </c>
      <c r="R30" s="30" t="s">
        <v>16</v>
      </c>
      <c r="S30" s="30" t="s">
        <v>28</v>
      </c>
      <c r="T30" s="20"/>
      <c r="U30" s="11"/>
      <c r="V30" s="27"/>
      <c r="W30" s="30" t="s">
        <v>15</v>
      </c>
      <c r="X30" s="30" t="s">
        <v>20</v>
      </c>
      <c r="Y30" s="30" t="s">
        <v>21</v>
      </c>
      <c r="Z30" s="30" t="s">
        <v>22</v>
      </c>
      <c r="AA30" s="30" t="s">
        <v>23</v>
      </c>
      <c r="AB30" s="30" t="s">
        <v>24</v>
      </c>
      <c r="AC30" s="20"/>
      <c r="AD30" s="11"/>
      <c r="AE30" s="27"/>
      <c r="AF30" s="30" t="s">
        <v>20</v>
      </c>
      <c r="AG30" s="30" t="s">
        <v>21</v>
      </c>
      <c r="AH30" s="30" t="s">
        <v>22</v>
      </c>
      <c r="AI30" s="30" t="s">
        <v>23</v>
      </c>
      <c r="AJ30" s="30" t="s">
        <v>24</v>
      </c>
      <c r="AK30" s="30" t="s">
        <v>28</v>
      </c>
      <c r="AL30" s="20"/>
      <c r="AM30" s="44"/>
      <c r="AN30" s="27"/>
      <c r="AO30" s="30" t="s">
        <v>15</v>
      </c>
      <c r="AP30" s="30" t="s">
        <v>20</v>
      </c>
      <c r="AQ30" s="30" t="s">
        <v>21</v>
      </c>
      <c r="AR30" s="30" t="s">
        <v>16</v>
      </c>
      <c r="AS30" s="30" t="s">
        <v>22</v>
      </c>
      <c r="AT30" s="30" t="s">
        <v>24</v>
      </c>
      <c r="AU30" s="20"/>
      <c r="AV30" s="11"/>
      <c r="AW30" s="27"/>
      <c r="AX30" s="30" t="s">
        <v>15</v>
      </c>
      <c r="AY30" s="30" t="s">
        <v>20</v>
      </c>
      <c r="AZ30" s="30" t="s">
        <v>22</v>
      </c>
      <c r="BA30" s="30" t="s">
        <v>23</v>
      </c>
      <c r="BB30" s="30" t="s">
        <v>28</v>
      </c>
      <c r="BC30" s="20"/>
      <c r="BD30" s="11"/>
      <c r="BE30" s="27"/>
      <c r="BF30" s="9" t="s">
        <v>39</v>
      </c>
      <c r="BG30" s="16"/>
      <c r="BH30" s="16"/>
      <c r="BI30" s="16"/>
    </row>
    <row r="31" spans="1:61" ht="20.25" customHeight="1">
      <c r="A31" s="10" t="s">
        <v>69</v>
      </c>
      <c r="B31" s="9" t="s">
        <v>59</v>
      </c>
      <c r="C31" s="9">
        <v>4</v>
      </c>
      <c r="D31" s="9">
        <v>4</v>
      </c>
      <c r="E31" s="9">
        <v>0</v>
      </c>
      <c r="F31" s="9">
        <v>3</v>
      </c>
      <c r="G31" s="33">
        <v>8</v>
      </c>
      <c r="H31" s="33">
        <v>1</v>
      </c>
      <c r="I31" s="33">
        <v>1</v>
      </c>
      <c r="J31" s="33">
        <v>0</v>
      </c>
      <c r="K31" s="10">
        <f t="shared" ref="K31:K38" si="15">SUM(B31:J31)</f>
        <v>21</v>
      </c>
      <c r="L31" s="11">
        <f>K31/K35</f>
        <v>0.14788732394366197</v>
      </c>
      <c r="M31" s="35">
        <f>K31/K38</f>
        <v>0.13815789473684212</v>
      </c>
      <c r="N31" s="12"/>
      <c r="O31" s="11"/>
      <c r="P31" s="13"/>
      <c r="Q31" s="14">
        <v>0</v>
      </c>
      <c r="R31" s="14">
        <v>0</v>
      </c>
      <c r="S31" s="14">
        <v>0</v>
      </c>
      <c r="T31" s="14">
        <f>SUM(Q31:S31)</f>
        <v>0</v>
      </c>
      <c r="U31" s="15"/>
      <c r="V31" s="13"/>
      <c r="W31" s="14">
        <v>0</v>
      </c>
      <c r="X31" s="14">
        <v>0</v>
      </c>
      <c r="Y31" s="14">
        <v>0</v>
      </c>
      <c r="Z31" s="14">
        <v>0</v>
      </c>
      <c r="AA31" s="14">
        <v>0</v>
      </c>
      <c r="AB31" s="14">
        <v>0</v>
      </c>
      <c r="AC31" s="14">
        <f>SUM(W31:AB31)</f>
        <v>0</v>
      </c>
      <c r="AD31" s="15"/>
      <c r="AE31" s="13"/>
      <c r="AF31" s="14">
        <v>0</v>
      </c>
      <c r="AG31" s="14">
        <v>0</v>
      </c>
      <c r="AH31" s="14">
        <v>0</v>
      </c>
      <c r="AI31" s="14">
        <v>0</v>
      </c>
      <c r="AJ31" s="14">
        <v>0</v>
      </c>
      <c r="AK31" s="14">
        <v>0</v>
      </c>
      <c r="AL31" s="14">
        <f>SUM(AF31:AK31)</f>
        <v>0</v>
      </c>
      <c r="AM31" s="15"/>
      <c r="AN31" s="13"/>
      <c r="AO31" s="14">
        <v>1</v>
      </c>
      <c r="AP31" s="14">
        <v>3</v>
      </c>
      <c r="AQ31" s="14">
        <v>4</v>
      </c>
      <c r="AR31" s="14">
        <v>1</v>
      </c>
      <c r="AS31" s="14">
        <v>8</v>
      </c>
      <c r="AT31" s="14">
        <v>4</v>
      </c>
      <c r="AU31" s="14">
        <f>SUM(AO31:AT31)</f>
        <v>21</v>
      </c>
      <c r="AV31" s="15"/>
      <c r="AW31" s="13"/>
      <c r="AX31" s="14">
        <v>0</v>
      </c>
      <c r="AY31" s="14">
        <v>0</v>
      </c>
      <c r="AZ31" s="14">
        <v>0</v>
      </c>
      <c r="BA31" s="14">
        <v>0</v>
      </c>
      <c r="BB31" s="14">
        <v>0</v>
      </c>
      <c r="BC31" s="14">
        <f>SUM(AX31:BB31)</f>
        <v>0</v>
      </c>
      <c r="BD31" s="15"/>
      <c r="BE31" s="13"/>
      <c r="BF31" s="14"/>
      <c r="BG31" s="15"/>
      <c r="BH31" s="16"/>
      <c r="BI31" s="15"/>
    </row>
    <row r="32" spans="1:61" ht="20.25" customHeight="1">
      <c r="A32" s="10" t="s">
        <v>70</v>
      </c>
      <c r="B32" s="9" t="s">
        <v>59</v>
      </c>
      <c r="C32" s="9">
        <v>1</v>
      </c>
      <c r="D32" s="9">
        <v>11</v>
      </c>
      <c r="E32" s="9">
        <v>6</v>
      </c>
      <c r="F32" s="9">
        <v>10</v>
      </c>
      <c r="G32" s="33">
        <v>5</v>
      </c>
      <c r="H32" s="33">
        <v>0</v>
      </c>
      <c r="I32" s="33">
        <v>0</v>
      </c>
      <c r="J32" s="33">
        <v>17</v>
      </c>
      <c r="K32" s="10">
        <f t="shared" si="15"/>
        <v>50</v>
      </c>
      <c r="L32" s="11">
        <f>K32/K35</f>
        <v>0.352112676056338</v>
      </c>
      <c r="M32" s="35">
        <f>K32/K38</f>
        <v>0.32894736842105265</v>
      </c>
      <c r="N32" s="12"/>
      <c r="O32" s="11"/>
      <c r="P32" s="13"/>
      <c r="Q32" s="14">
        <v>0</v>
      </c>
      <c r="R32" s="14">
        <v>0</v>
      </c>
      <c r="S32" s="14">
        <v>0</v>
      </c>
      <c r="T32" s="14">
        <f>SUM(Q32:S32)</f>
        <v>0</v>
      </c>
      <c r="U32" s="15"/>
      <c r="V32" s="13"/>
      <c r="W32" s="14">
        <v>0</v>
      </c>
      <c r="X32" s="14">
        <v>0</v>
      </c>
      <c r="Y32" s="14">
        <v>0</v>
      </c>
      <c r="Z32" s="14">
        <v>0</v>
      </c>
      <c r="AA32" s="14">
        <v>0</v>
      </c>
      <c r="AB32" s="14">
        <v>0</v>
      </c>
      <c r="AC32" s="14">
        <f>SUM(W32:AB32)</f>
        <v>0</v>
      </c>
      <c r="AD32" s="15"/>
      <c r="AE32" s="13"/>
      <c r="AF32" s="14">
        <v>10</v>
      </c>
      <c r="AG32" s="14">
        <v>11</v>
      </c>
      <c r="AH32" s="14">
        <v>5</v>
      </c>
      <c r="AI32" s="14">
        <v>6</v>
      </c>
      <c r="AJ32" s="14">
        <v>1</v>
      </c>
      <c r="AK32" s="14">
        <v>17</v>
      </c>
      <c r="AL32" s="14">
        <f>SUM(AF32:AK32)</f>
        <v>50</v>
      </c>
      <c r="AM32" s="15"/>
      <c r="AN32" s="13"/>
      <c r="AO32" s="14">
        <v>0</v>
      </c>
      <c r="AP32" s="14">
        <v>0</v>
      </c>
      <c r="AQ32" s="14">
        <v>0</v>
      </c>
      <c r="AR32" s="14">
        <v>0</v>
      </c>
      <c r="AS32" s="14">
        <v>0</v>
      </c>
      <c r="AT32" s="14">
        <v>0</v>
      </c>
      <c r="AU32" s="14">
        <f>SUM(AO32:AT32)</f>
        <v>0</v>
      </c>
      <c r="AV32" s="15"/>
      <c r="AW32" s="13"/>
      <c r="AX32" s="14">
        <v>0</v>
      </c>
      <c r="AY32" s="14">
        <v>0</v>
      </c>
      <c r="AZ32" s="14">
        <v>0</v>
      </c>
      <c r="BA32" s="14">
        <v>0</v>
      </c>
      <c r="BB32" s="14">
        <v>0</v>
      </c>
      <c r="BC32" s="14">
        <f>SUM(AX32:BB32)</f>
        <v>0</v>
      </c>
      <c r="BD32" s="15"/>
      <c r="BE32" s="13"/>
      <c r="BF32" s="14"/>
      <c r="BG32" s="15"/>
      <c r="BH32" s="16"/>
      <c r="BI32" s="15"/>
    </row>
    <row r="33" spans="1:256" ht="20.25" customHeight="1">
      <c r="A33" s="10" t="s">
        <v>71</v>
      </c>
      <c r="B33" s="9" t="s">
        <v>59</v>
      </c>
      <c r="C33" s="9">
        <v>2</v>
      </c>
      <c r="D33" s="9">
        <v>15</v>
      </c>
      <c r="E33" s="9">
        <v>10</v>
      </c>
      <c r="F33" s="9">
        <v>7</v>
      </c>
      <c r="G33" s="33">
        <v>3</v>
      </c>
      <c r="H33" s="33">
        <v>0</v>
      </c>
      <c r="I33" s="33">
        <v>9</v>
      </c>
      <c r="J33" s="33">
        <v>0</v>
      </c>
      <c r="K33" s="10">
        <f t="shared" si="15"/>
        <v>46</v>
      </c>
      <c r="L33" s="11">
        <f>K33/K35</f>
        <v>0.323943661971831</v>
      </c>
      <c r="M33" s="35">
        <f>K33/K38</f>
        <v>0.30263157894736842</v>
      </c>
      <c r="N33" s="12"/>
      <c r="O33" s="11"/>
      <c r="P33" s="13"/>
      <c r="Q33" s="14">
        <v>0</v>
      </c>
      <c r="R33" s="14">
        <v>0</v>
      </c>
      <c r="S33" s="14">
        <v>0</v>
      </c>
      <c r="T33" s="14">
        <f>SUM(Q33:S33)</f>
        <v>0</v>
      </c>
      <c r="U33" s="15"/>
      <c r="V33" s="13"/>
      <c r="W33" s="14">
        <v>9</v>
      </c>
      <c r="X33" s="14">
        <v>7</v>
      </c>
      <c r="Y33" s="14">
        <v>15</v>
      </c>
      <c r="Z33" s="14">
        <v>3</v>
      </c>
      <c r="AA33" s="14">
        <v>10</v>
      </c>
      <c r="AB33" s="14">
        <v>2</v>
      </c>
      <c r="AC33" s="14">
        <f>SUM(W33:AB33)</f>
        <v>46</v>
      </c>
      <c r="AD33" s="15"/>
      <c r="AE33" s="13"/>
      <c r="AF33" s="14">
        <v>0</v>
      </c>
      <c r="AG33" s="14">
        <v>0</v>
      </c>
      <c r="AH33" s="14">
        <v>0</v>
      </c>
      <c r="AI33" s="14">
        <v>0</v>
      </c>
      <c r="AJ33" s="14">
        <v>0</v>
      </c>
      <c r="AK33" s="14">
        <v>0</v>
      </c>
      <c r="AL33" s="14">
        <f>SUM(AF33:AK33)</f>
        <v>0</v>
      </c>
      <c r="AM33" s="15"/>
      <c r="AN33" s="13"/>
      <c r="AO33" s="14">
        <v>0</v>
      </c>
      <c r="AP33" s="14">
        <v>0</v>
      </c>
      <c r="AQ33" s="14">
        <v>0</v>
      </c>
      <c r="AR33" s="14">
        <v>0</v>
      </c>
      <c r="AS33" s="14">
        <v>0</v>
      </c>
      <c r="AT33" s="14">
        <v>0</v>
      </c>
      <c r="AU33" s="14">
        <f>SUM(AO33:AT33)</f>
        <v>0</v>
      </c>
      <c r="AV33" s="15"/>
      <c r="AW33" s="13"/>
      <c r="AX33" s="14">
        <v>0</v>
      </c>
      <c r="AY33" s="14">
        <v>0</v>
      </c>
      <c r="AZ33" s="14">
        <v>0</v>
      </c>
      <c r="BA33" s="14">
        <v>0</v>
      </c>
      <c r="BB33" s="14">
        <v>0</v>
      </c>
      <c r="BC33" s="14">
        <f>SUM(AX33:BB33)</f>
        <v>0</v>
      </c>
      <c r="BD33" s="15"/>
      <c r="BE33" s="13"/>
      <c r="BF33" s="14"/>
      <c r="BG33" s="15"/>
      <c r="BH33" s="16"/>
      <c r="BI33" s="15"/>
    </row>
    <row r="34" spans="1:256" ht="20.25" customHeight="1">
      <c r="A34" s="10" t="s">
        <v>72</v>
      </c>
      <c r="B34" s="9" t="s">
        <v>59</v>
      </c>
      <c r="C34" s="9" t="s">
        <v>59</v>
      </c>
      <c r="D34" s="9" t="s">
        <v>59</v>
      </c>
      <c r="E34" s="9" t="s">
        <v>59</v>
      </c>
      <c r="F34" s="9" t="s">
        <v>59</v>
      </c>
      <c r="G34" s="9" t="s">
        <v>59</v>
      </c>
      <c r="H34" s="9">
        <v>14</v>
      </c>
      <c r="I34" s="33">
        <v>9</v>
      </c>
      <c r="J34" s="33">
        <v>2</v>
      </c>
      <c r="K34" s="10">
        <f t="shared" si="15"/>
        <v>25</v>
      </c>
      <c r="L34" s="11">
        <f>K34/K35</f>
        <v>0.176056338028169</v>
      </c>
      <c r="M34" s="35">
        <f>K34/K38</f>
        <v>0.16447368421052633</v>
      </c>
      <c r="N34" s="12"/>
      <c r="O34" s="11"/>
      <c r="P34" s="13"/>
      <c r="Q34" s="14">
        <v>9</v>
      </c>
      <c r="R34" s="14">
        <v>14</v>
      </c>
      <c r="S34" s="14">
        <v>2</v>
      </c>
      <c r="T34" s="14">
        <f>SUM(Q34:S34)</f>
        <v>25</v>
      </c>
      <c r="U34" s="15"/>
      <c r="V34" s="13"/>
      <c r="W34" s="14">
        <v>0</v>
      </c>
      <c r="X34" s="14">
        <v>0</v>
      </c>
      <c r="Y34" s="14">
        <v>0</v>
      </c>
      <c r="Z34" s="14">
        <v>0</v>
      </c>
      <c r="AA34" s="14">
        <v>0</v>
      </c>
      <c r="AB34" s="14">
        <v>0</v>
      </c>
      <c r="AC34" s="14">
        <f>SUM(W34:AB34)</f>
        <v>0</v>
      </c>
      <c r="AD34" s="15"/>
      <c r="AE34" s="13"/>
      <c r="AF34" s="14">
        <v>0</v>
      </c>
      <c r="AG34" s="14">
        <v>0</v>
      </c>
      <c r="AH34" s="14">
        <v>0</v>
      </c>
      <c r="AI34" s="14">
        <v>0</v>
      </c>
      <c r="AJ34" s="14">
        <v>0</v>
      </c>
      <c r="AK34" s="14">
        <v>0</v>
      </c>
      <c r="AL34" s="14">
        <f>SUM(AF34:AK34)</f>
        <v>0</v>
      </c>
      <c r="AM34" s="15"/>
      <c r="AN34" s="13"/>
      <c r="AO34" s="14">
        <v>0</v>
      </c>
      <c r="AP34" s="14">
        <v>0</v>
      </c>
      <c r="AQ34" s="14">
        <v>0</v>
      </c>
      <c r="AR34" s="14">
        <v>0</v>
      </c>
      <c r="AS34" s="14">
        <v>0</v>
      </c>
      <c r="AT34" s="14">
        <v>0</v>
      </c>
      <c r="AU34" s="14">
        <f>SUM(AO34:AT34)</f>
        <v>0</v>
      </c>
      <c r="AV34" s="15"/>
      <c r="AW34" s="13"/>
      <c r="AX34" s="14">
        <v>0</v>
      </c>
      <c r="AY34" s="14">
        <v>0</v>
      </c>
      <c r="AZ34" s="14">
        <v>0</v>
      </c>
      <c r="BA34" s="14">
        <v>0</v>
      </c>
      <c r="BB34" s="14">
        <v>0</v>
      </c>
      <c r="BC34" s="14">
        <f>SUM(AX34:BB34)</f>
        <v>0</v>
      </c>
      <c r="BD34" s="15"/>
      <c r="BE34" s="13"/>
      <c r="BF34" s="14"/>
      <c r="BG34" s="15"/>
      <c r="BH34" s="16"/>
      <c r="BI34" s="15"/>
    </row>
    <row r="35" spans="1:256" ht="21.75" customHeight="1">
      <c r="A35" s="10" t="s">
        <v>9</v>
      </c>
      <c r="B35" s="9" t="s">
        <v>59</v>
      </c>
      <c r="C35" s="9">
        <f t="shared" ref="C35:J35" si="16">SUM(C29:C34)</f>
        <v>7</v>
      </c>
      <c r="D35" s="9">
        <f t="shared" si="16"/>
        <v>30</v>
      </c>
      <c r="E35" s="9">
        <f t="shared" si="16"/>
        <v>16</v>
      </c>
      <c r="F35" s="9">
        <f t="shared" si="16"/>
        <v>20</v>
      </c>
      <c r="G35" s="9">
        <f t="shared" si="16"/>
        <v>16</v>
      </c>
      <c r="H35" s="9">
        <f t="shared" si="16"/>
        <v>15</v>
      </c>
      <c r="I35" s="9">
        <f t="shared" si="16"/>
        <v>19</v>
      </c>
      <c r="J35" s="9">
        <f t="shared" si="16"/>
        <v>19</v>
      </c>
      <c r="K35" s="10">
        <f t="shared" si="15"/>
        <v>142</v>
      </c>
      <c r="L35" s="11">
        <f>SUM(L29:L34)</f>
        <v>1</v>
      </c>
      <c r="M35" s="35">
        <f>K35/K38</f>
        <v>0.93421052631578949</v>
      </c>
      <c r="N35" s="37">
        <f>T35+AC35+AL35+AU35</f>
        <v>142</v>
      </c>
      <c r="O35" s="35">
        <f>N35/K35</f>
        <v>1</v>
      </c>
      <c r="P35" s="13"/>
      <c r="Q35" s="45">
        <f>SUM(Q31:Q34)</f>
        <v>9</v>
      </c>
      <c r="R35" s="46">
        <f>SUM(R31:R34)</f>
        <v>14</v>
      </c>
      <c r="S35" s="46">
        <f>SUM(S31:S34)</f>
        <v>2</v>
      </c>
      <c r="T35" s="14">
        <f>SUM(T31:T34)</f>
        <v>25</v>
      </c>
      <c r="U35" s="15"/>
      <c r="V35" s="13"/>
      <c r="W35" s="45">
        <f t="shared" ref="W35:AC35" si="17">SUM(W31:W34)</f>
        <v>9</v>
      </c>
      <c r="X35" s="45">
        <f t="shared" si="17"/>
        <v>7</v>
      </c>
      <c r="Y35" s="45">
        <f t="shared" si="17"/>
        <v>15</v>
      </c>
      <c r="Z35" s="45">
        <f t="shared" si="17"/>
        <v>3</v>
      </c>
      <c r="AA35" s="45">
        <f t="shared" si="17"/>
        <v>10</v>
      </c>
      <c r="AB35" s="45">
        <f t="shared" si="17"/>
        <v>2</v>
      </c>
      <c r="AC35" s="45">
        <f t="shared" si="17"/>
        <v>46</v>
      </c>
      <c r="AD35" s="15"/>
      <c r="AE35" s="13"/>
      <c r="AF35" s="45">
        <f t="shared" ref="AF35:AL35" si="18">SUM(AF31:AF34)</f>
        <v>10</v>
      </c>
      <c r="AG35" s="45">
        <f t="shared" si="18"/>
        <v>11</v>
      </c>
      <c r="AH35" s="45">
        <f t="shared" si="18"/>
        <v>5</v>
      </c>
      <c r="AI35" s="45">
        <f t="shared" si="18"/>
        <v>6</v>
      </c>
      <c r="AJ35" s="45">
        <f t="shared" si="18"/>
        <v>1</v>
      </c>
      <c r="AK35" s="45">
        <f t="shared" si="18"/>
        <v>17</v>
      </c>
      <c r="AL35" s="47">
        <f t="shared" si="18"/>
        <v>50</v>
      </c>
      <c r="AM35" s="48"/>
      <c r="AN35" s="13"/>
      <c r="AO35" s="45">
        <f t="shared" ref="AO35:AU35" si="19">SUM(AO31:AO34)</f>
        <v>1</v>
      </c>
      <c r="AP35" s="45">
        <f t="shared" si="19"/>
        <v>3</v>
      </c>
      <c r="AQ35" s="45">
        <f t="shared" si="19"/>
        <v>4</v>
      </c>
      <c r="AR35" s="45">
        <f t="shared" si="19"/>
        <v>1</v>
      </c>
      <c r="AS35" s="45">
        <f t="shared" si="19"/>
        <v>8</v>
      </c>
      <c r="AT35" s="45">
        <f t="shared" si="19"/>
        <v>4</v>
      </c>
      <c r="AU35" s="45">
        <f t="shared" si="19"/>
        <v>21</v>
      </c>
      <c r="AV35" s="15"/>
      <c r="AW35" s="13"/>
      <c r="AX35" s="45">
        <f>SUM(AX31:AX34)</f>
        <v>0</v>
      </c>
      <c r="AY35" s="45">
        <f>SUM(AY31:AY34)</f>
        <v>0</v>
      </c>
      <c r="AZ35" s="45">
        <v>0</v>
      </c>
      <c r="BA35" s="45">
        <f>SUM(BA31:BA34)</f>
        <v>0</v>
      </c>
      <c r="BB35" s="45">
        <f>SUM(BB31:BB34)</f>
        <v>0</v>
      </c>
      <c r="BC35" s="45">
        <f>SUM(BC31:BC34)</f>
        <v>0</v>
      </c>
      <c r="BD35" s="15"/>
      <c r="BE35" s="13"/>
      <c r="BF35" s="14"/>
      <c r="BG35" s="15"/>
      <c r="BH35" s="16"/>
      <c r="BI35" s="15"/>
    </row>
    <row r="36" spans="1:256" ht="21.75" customHeight="1">
      <c r="A36" s="8" t="s">
        <v>64</v>
      </c>
      <c r="B36" s="9" t="s">
        <v>59</v>
      </c>
      <c r="C36" s="9">
        <v>0</v>
      </c>
      <c r="D36" s="9">
        <v>0</v>
      </c>
      <c r="E36" s="9">
        <v>1</v>
      </c>
      <c r="F36" s="9">
        <v>0</v>
      </c>
      <c r="G36" s="9">
        <v>2</v>
      </c>
      <c r="H36" s="9">
        <v>0</v>
      </c>
      <c r="I36" s="9">
        <v>0</v>
      </c>
      <c r="J36" s="9">
        <v>2</v>
      </c>
      <c r="K36" s="10">
        <f t="shared" si="15"/>
        <v>5</v>
      </c>
      <c r="L36" s="11"/>
      <c r="M36" s="35">
        <f>K36/(K38)</f>
        <v>3.2894736842105261E-2</v>
      </c>
      <c r="N36" s="12"/>
      <c r="O36" s="11"/>
      <c r="P36" s="27"/>
      <c r="Q36" s="49">
        <v>0</v>
      </c>
      <c r="R36" s="50">
        <v>0</v>
      </c>
      <c r="S36" s="50">
        <v>0</v>
      </c>
      <c r="T36" s="38">
        <f>SUM(Q36:S36)</f>
        <v>0</v>
      </c>
      <c r="U36" s="15">
        <f>T36/T38</f>
        <v>0</v>
      </c>
      <c r="V36" s="27"/>
      <c r="W36" s="49">
        <v>0</v>
      </c>
      <c r="X36" s="49">
        <v>0</v>
      </c>
      <c r="Y36" s="49">
        <v>0</v>
      </c>
      <c r="Z36" s="49">
        <v>0</v>
      </c>
      <c r="AA36" s="49">
        <v>0</v>
      </c>
      <c r="AB36" s="49">
        <v>0</v>
      </c>
      <c r="AC36" s="51">
        <f>SUM(W36:AB36)</f>
        <v>0</v>
      </c>
      <c r="AD36" s="15">
        <f>AC36/AC38</f>
        <v>0</v>
      </c>
      <c r="AE36" s="27"/>
      <c r="AF36" s="49">
        <v>0</v>
      </c>
      <c r="AG36" s="49">
        <v>0</v>
      </c>
      <c r="AH36" s="49">
        <v>0</v>
      </c>
      <c r="AI36" s="49">
        <v>0</v>
      </c>
      <c r="AJ36" s="49">
        <v>0</v>
      </c>
      <c r="AK36" s="49">
        <v>0</v>
      </c>
      <c r="AL36" s="52">
        <f>SUM(AF36:AK36)</f>
        <v>0</v>
      </c>
      <c r="AM36" s="15">
        <f>AL36/AL38</f>
        <v>0</v>
      </c>
      <c r="AN36" s="27"/>
      <c r="AO36" s="49">
        <v>0</v>
      </c>
      <c r="AP36" s="49">
        <v>0</v>
      </c>
      <c r="AQ36" s="49">
        <v>0</v>
      </c>
      <c r="AR36" s="49">
        <v>0</v>
      </c>
      <c r="AS36" s="49">
        <v>0</v>
      </c>
      <c r="AT36" s="49">
        <v>0</v>
      </c>
      <c r="AU36" s="51">
        <f>SUM(AO36:AT36)</f>
        <v>0</v>
      </c>
      <c r="AV36" s="15">
        <f>AU36/AU38</f>
        <v>0</v>
      </c>
      <c r="AW36" s="27"/>
      <c r="AX36" s="49">
        <v>1</v>
      </c>
      <c r="AY36" s="49">
        <v>0</v>
      </c>
      <c r="AZ36" s="49">
        <v>2</v>
      </c>
      <c r="BA36" s="49">
        <v>1</v>
      </c>
      <c r="BB36" s="49">
        <v>2</v>
      </c>
      <c r="BC36" s="51">
        <f>SUM(AX36:BB36)</f>
        <v>6</v>
      </c>
      <c r="BD36" s="15">
        <f>BC36/BC38</f>
        <v>0.6</v>
      </c>
      <c r="BE36" s="27"/>
      <c r="BF36" s="14"/>
      <c r="BG36" s="16"/>
      <c r="BH36" s="16"/>
      <c r="BI36" s="16"/>
    </row>
    <row r="37" spans="1:256" ht="20.25" customHeight="1">
      <c r="A37" s="8" t="s">
        <v>65</v>
      </c>
      <c r="B37" s="9" t="s">
        <v>59</v>
      </c>
      <c r="C37" s="9">
        <v>0</v>
      </c>
      <c r="D37" s="9">
        <v>0</v>
      </c>
      <c r="E37" s="9">
        <v>0</v>
      </c>
      <c r="F37" s="9">
        <v>3</v>
      </c>
      <c r="G37" s="9">
        <v>0</v>
      </c>
      <c r="H37" s="9">
        <v>0</v>
      </c>
      <c r="I37" s="9">
        <v>1</v>
      </c>
      <c r="J37" s="9">
        <v>1</v>
      </c>
      <c r="K37" s="10">
        <f t="shared" si="15"/>
        <v>5</v>
      </c>
      <c r="L37" s="11"/>
      <c r="M37" s="35">
        <f>K37/(K38)</f>
        <v>3.2894736842105261E-2</v>
      </c>
      <c r="N37" s="12"/>
      <c r="O37" s="11"/>
      <c r="P37" s="27"/>
      <c r="Q37" s="14">
        <v>0</v>
      </c>
      <c r="R37" s="14">
        <v>0</v>
      </c>
      <c r="S37" s="14">
        <v>0</v>
      </c>
      <c r="T37" s="38">
        <f>SUM(Q37:S37)</f>
        <v>0</v>
      </c>
      <c r="U37" s="15">
        <f>T37/T38</f>
        <v>0</v>
      </c>
      <c r="V37" s="27"/>
      <c r="W37" s="14">
        <v>0</v>
      </c>
      <c r="X37" s="14">
        <v>0</v>
      </c>
      <c r="Y37" s="14">
        <v>0</v>
      </c>
      <c r="Z37" s="14">
        <v>0</v>
      </c>
      <c r="AA37" s="14">
        <v>0</v>
      </c>
      <c r="AB37" s="14">
        <v>0</v>
      </c>
      <c r="AC37" s="38">
        <f>SUM(W37:AB37)</f>
        <v>0</v>
      </c>
      <c r="AD37" s="15">
        <f>AC37/AC38</f>
        <v>0</v>
      </c>
      <c r="AE37" s="27"/>
      <c r="AF37" s="14">
        <v>0</v>
      </c>
      <c r="AG37" s="14">
        <v>0</v>
      </c>
      <c r="AH37" s="14">
        <v>0</v>
      </c>
      <c r="AI37" s="14">
        <v>0</v>
      </c>
      <c r="AJ37" s="14">
        <v>0</v>
      </c>
      <c r="AK37" s="14">
        <v>0</v>
      </c>
      <c r="AL37" s="14">
        <f>SUM(AF37:AK37)</f>
        <v>0</v>
      </c>
      <c r="AM37" s="15">
        <f>AL37/AL38</f>
        <v>0</v>
      </c>
      <c r="AN37" s="27"/>
      <c r="AO37" s="14">
        <v>0</v>
      </c>
      <c r="AP37" s="14">
        <v>0</v>
      </c>
      <c r="AQ37" s="14">
        <v>0</v>
      </c>
      <c r="AR37" s="14">
        <v>0</v>
      </c>
      <c r="AS37" s="14">
        <v>0</v>
      </c>
      <c r="AT37" s="14">
        <v>0</v>
      </c>
      <c r="AU37" s="38">
        <f>SUM(AO37:AT37)</f>
        <v>0</v>
      </c>
      <c r="AV37" s="15">
        <f>AU37/AU38</f>
        <v>0</v>
      </c>
      <c r="AW37" s="27"/>
      <c r="AX37" s="14">
        <v>0</v>
      </c>
      <c r="AY37" s="14">
        <v>3</v>
      </c>
      <c r="AZ37" s="14">
        <v>0</v>
      </c>
      <c r="BA37" s="14">
        <v>0</v>
      </c>
      <c r="BB37" s="14">
        <v>1</v>
      </c>
      <c r="BC37" s="38">
        <f>SUM(AX37:BB37)</f>
        <v>4</v>
      </c>
      <c r="BD37" s="15">
        <f>BC37/BC38</f>
        <v>0.4</v>
      </c>
      <c r="BE37" s="27"/>
      <c r="BF37" s="14"/>
      <c r="BG37" s="16"/>
      <c r="BH37" s="16"/>
      <c r="BI37" s="16"/>
    </row>
    <row r="38" spans="1:256" ht="20.25" customHeight="1">
      <c r="A38" s="39" t="s">
        <v>66</v>
      </c>
      <c r="B38" s="9" t="s">
        <v>59</v>
      </c>
      <c r="C38" s="32">
        <f t="shared" ref="C38:J38" si="20">SUM(C35:C37)</f>
        <v>7</v>
      </c>
      <c r="D38" s="32">
        <f t="shared" si="20"/>
        <v>30</v>
      </c>
      <c r="E38" s="32">
        <f t="shared" si="20"/>
        <v>17</v>
      </c>
      <c r="F38" s="32">
        <f t="shared" si="20"/>
        <v>23</v>
      </c>
      <c r="G38" s="32">
        <f t="shared" si="20"/>
        <v>18</v>
      </c>
      <c r="H38" s="32">
        <f t="shared" si="20"/>
        <v>15</v>
      </c>
      <c r="I38" s="32">
        <f t="shared" si="20"/>
        <v>20</v>
      </c>
      <c r="J38" s="32">
        <f t="shared" si="20"/>
        <v>22</v>
      </c>
      <c r="K38" s="23">
        <f t="shared" si="15"/>
        <v>152</v>
      </c>
      <c r="L38" s="35">
        <f>K38/(K37+K36+K35)</f>
        <v>1</v>
      </c>
      <c r="M38" s="35">
        <f>K38/(K35+K36+K37)</f>
        <v>1</v>
      </c>
      <c r="N38" s="37">
        <f>T38+AC38+AL38+AU38+S39</f>
        <v>142</v>
      </c>
      <c r="O38" s="35">
        <f>N38/K38</f>
        <v>0.93421052631578949</v>
      </c>
      <c r="P38" s="13"/>
      <c r="Q38" s="38">
        <f>SUM(Q35:Q37)</f>
        <v>9</v>
      </c>
      <c r="R38" s="38">
        <f>SUM(R35:R37)</f>
        <v>14</v>
      </c>
      <c r="S38" s="38">
        <f>SUM(S35:S37)</f>
        <v>2</v>
      </c>
      <c r="T38" s="38">
        <f>SUM(Q38:S38)</f>
        <v>25</v>
      </c>
      <c r="U38" s="40">
        <f>T38/(T35+T36+T37)</f>
        <v>1</v>
      </c>
      <c r="V38" s="13"/>
      <c r="W38" s="38">
        <f t="shared" ref="W38:AB38" si="21">SUM(W35:W37)</f>
        <v>9</v>
      </c>
      <c r="X38" s="38">
        <f t="shared" si="21"/>
        <v>7</v>
      </c>
      <c r="Y38" s="38">
        <f t="shared" si="21"/>
        <v>15</v>
      </c>
      <c r="Z38" s="38">
        <f t="shared" si="21"/>
        <v>3</v>
      </c>
      <c r="AA38" s="38">
        <f t="shared" si="21"/>
        <v>10</v>
      </c>
      <c r="AB38" s="38">
        <f t="shared" si="21"/>
        <v>2</v>
      </c>
      <c r="AC38" s="38">
        <f>SUM(W38:AB38)</f>
        <v>46</v>
      </c>
      <c r="AD38" s="40">
        <f>AC38/(AC35+AC36+AC37)</f>
        <v>1</v>
      </c>
      <c r="AE38" s="13"/>
      <c r="AF38" s="38">
        <f t="shared" ref="AF38:AK38" si="22">SUM(AF35:AF37)</f>
        <v>10</v>
      </c>
      <c r="AG38" s="38">
        <f t="shared" si="22"/>
        <v>11</v>
      </c>
      <c r="AH38" s="38">
        <f t="shared" si="22"/>
        <v>5</v>
      </c>
      <c r="AI38" s="38">
        <f t="shared" si="22"/>
        <v>6</v>
      </c>
      <c r="AJ38" s="38">
        <f t="shared" si="22"/>
        <v>1</v>
      </c>
      <c r="AK38" s="38">
        <f t="shared" si="22"/>
        <v>17</v>
      </c>
      <c r="AL38" s="38">
        <f>SUM(AF38:AK38)</f>
        <v>50</v>
      </c>
      <c r="AM38" s="41">
        <f>AL38/(AL35+AL36+AL37)</f>
        <v>1</v>
      </c>
      <c r="AN38" s="13"/>
      <c r="AO38" s="38">
        <f t="shared" ref="AO38:AT38" si="23">SUM(AO35:AO37)</f>
        <v>1</v>
      </c>
      <c r="AP38" s="38">
        <f t="shared" si="23"/>
        <v>3</v>
      </c>
      <c r="AQ38" s="38">
        <f t="shared" si="23"/>
        <v>4</v>
      </c>
      <c r="AR38" s="38">
        <f t="shared" si="23"/>
        <v>1</v>
      </c>
      <c r="AS38" s="38">
        <f t="shared" si="23"/>
        <v>8</v>
      </c>
      <c r="AT38" s="38">
        <f t="shared" si="23"/>
        <v>4</v>
      </c>
      <c r="AU38" s="38">
        <f>SUM(AO38:AT38)</f>
        <v>21</v>
      </c>
      <c r="AV38" s="40">
        <f>AU38/(AU35+AU36+AU37)</f>
        <v>1</v>
      </c>
      <c r="AW38" s="13"/>
      <c r="AX38" s="38">
        <f>SUM(AX35:AX37)</f>
        <v>1</v>
      </c>
      <c r="AY38" s="38">
        <f>SUM(AY35:AY37)</f>
        <v>3</v>
      </c>
      <c r="AZ38" s="38">
        <f>SUM(AZ35:AZ37)</f>
        <v>2</v>
      </c>
      <c r="BA38" s="38">
        <f>SUM(BA35:BA37)</f>
        <v>1</v>
      </c>
      <c r="BB38" s="38">
        <f>SUM(BB35:BB37)</f>
        <v>3</v>
      </c>
      <c r="BC38" s="38">
        <f>SUM(AX38:BB38)</f>
        <v>10</v>
      </c>
      <c r="BD38" s="40">
        <f>BC38/(BC35+BC36+BC37)</f>
        <v>1</v>
      </c>
      <c r="BE38" s="13"/>
      <c r="BF38" s="38"/>
      <c r="BG38" s="42"/>
      <c r="BH38" s="42"/>
      <c r="BI38" s="42"/>
    </row>
    <row r="39" spans="1:256" ht="32.25" customHeight="1">
      <c r="A39" s="43" t="s">
        <v>73</v>
      </c>
      <c r="B39" s="181" t="s">
        <v>74</v>
      </c>
      <c r="C39" s="182"/>
      <c r="D39" s="182"/>
      <c r="E39" s="182"/>
      <c r="F39" s="182"/>
      <c r="G39" s="22"/>
      <c r="H39" s="22"/>
      <c r="I39" s="22"/>
      <c r="J39" s="22"/>
      <c r="K39" s="21"/>
      <c r="L39" s="24"/>
      <c r="M39" s="24"/>
      <c r="N39" s="26"/>
      <c r="O39" s="24"/>
      <c r="P39" s="27"/>
      <c r="Q39" s="28"/>
      <c r="R39" s="28"/>
      <c r="S39" s="28"/>
      <c r="T39" s="26"/>
      <c r="U39" s="24"/>
      <c r="V39" s="27"/>
      <c r="W39" s="28"/>
      <c r="X39" s="28"/>
      <c r="Y39" s="28"/>
      <c r="Z39" s="28"/>
      <c r="AA39" s="28"/>
      <c r="AB39" s="28"/>
      <c r="AC39" s="26"/>
      <c r="AD39" s="24"/>
      <c r="AE39" s="27"/>
      <c r="AF39" s="28"/>
      <c r="AG39" s="28"/>
      <c r="AH39" s="28"/>
      <c r="AI39" s="28"/>
      <c r="AJ39" s="28"/>
      <c r="AK39" s="28"/>
      <c r="AL39" s="26"/>
      <c r="AM39" s="29"/>
      <c r="AN39" s="27"/>
      <c r="AO39" s="26"/>
      <c r="AP39" s="26"/>
      <c r="AQ39" s="26"/>
      <c r="AR39" s="26"/>
      <c r="AS39" s="26"/>
      <c r="AT39" s="26"/>
      <c r="AU39" s="26"/>
      <c r="AV39" s="24"/>
      <c r="AW39" s="27"/>
      <c r="AX39" s="26"/>
      <c r="AY39" s="26"/>
      <c r="AZ39" s="26"/>
      <c r="BA39" s="26"/>
      <c r="BB39" s="26"/>
      <c r="BC39" s="26"/>
      <c r="BD39" s="24"/>
      <c r="BE39" s="27"/>
      <c r="BF39" s="26"/>
      <c r="BG39" s="22"/>
      <c r="BH39" s="22"/>
      <c r="BI39" s="22"/>
    </row>
    <row r="40" spans="1:256" ht="32.5" customHeight="1">
      <c r="A40" s="10"/>
      <c r="B40" s="30" t="s">
        <v>0</v>
      </c>
      <c r="C40" s="30" t="s">
        <v>1</v>
      </c>
      <c r="D40" s="30" t="s">
        <v>2</v>
      </c>
      <c r="E40" s="30" t="s">
        <v>3</v>
      </c>
      <c r="F40" s="30" t="s">
        <v>4</v>
      </c>
      <c r="G40" s="30" t="s">
        <v>5</v>
      </c>
      <c r="H40" s="30" t="s">
        <v>68</v>
      </c>
      <c r="I40" s="30" t="s">
        <v>7</v>
      </c>
      <c r="J40" s="30" t="s">
        <v>8</v>
      </c>
      <c r="K40" s="10" t="s">
        <v>9</v>
      </c>
      <c r="L40" s="10" t="s">
        <v>56</v>
      </c>
      <c r="M40" s="20"/>
      <c r="N40" s="12"/>
      <c r="O40" s="20"/>
      <c r="P40" s="27"/>
      <c r="Q40" s="30" t="s">
        <v>15</v>
      </c>
      <c r="R40" s="30" t="s">
        <v>16</v>
      </c>
      <c r="S40" s="30" t="s">
        <v>28</v>
      </c>
      <c r="T40" s="20"/>
      <c r="U40" s="11"/>
      <c r="V40" s="27"/>
      <c r="W40" s="30" t="s">
        <v>15</v>
      </c>
      <c r="X40" s="30" t="s">
        <v>20</v>
      </c>
      <c r="Y40" s="30" t="s">
        <v>21</v>
      </c>
      <c r="Z40" s="30" t="s">
        <v>22</v>
      </c>
      <c r="AA40" s="30" t="s">
        <v>23</v>
      </c>
      <c r="AB40" s="30" t="s">
        <v>24</v>
      </c>
      <c r="AC40" s="20"/>
      <c r="AD40" s="11"/>
      <c r="AE40" s="27"/>
      <c r="AF40" s="30" t="s">
        <v>20</v>
      </c>
      <c r="AG40" s="30" t="s">
        <v>21</v>
      </c>
      <c r="AH40" s="30" t="s">
        <v>22</v>
      </c>
      <c r="AI40" s="30" t="s">
        <v>23</v>
      </c>
      <c r="AJ40" s="30" t="s">
        <v>24</v>
      </c>
      <c r="AK40" s="30" t="s">
        <v>28</v>
      </c>
      <c r="AL40" s="20"/>
      <c r="AM40" s="44"/>
      <c r="AN40" s="27"/>
      <c r="AO40" s="30" t="s">
        <v>15</v>
      </c>
      <c r="AP40" s="30" t="s">
        <v>20</v>
      </c>
      <c r="AQ40" s="30" t="s">
        <v>21</v>
      </c>
      <c r="AR40" s="30" t="s">
        <v>16</v>
      </c>
      <c r="AS40" s="30" t="s">
        <v>22</v>
      </c>
      <c r="AT40" s="30" t="s">
        <v>24</v>
      </c>
      <c r="AU40" s="20"/>
      <c r="AV40" s="11"/>
      <c r="AW40" s="27"/>
      <c r="AX40" s="30" t="s">
        <v>15</v>
      </c>
      <c r="AY40" s="30" t="s">
        <v>20</v>
      </c>
      <c r="AZ40" s="30" t="s">
        <v>22</v>
      </c>
      <c r="BA40" s="30" t="s">
        <v>23</v>
      </c>
      <c r="BB40" s="30" t="s">
        <v>28</v>
      </c>
      <c r="BC40" s="20"/>
      <c r="BD40" s="11"/>
      <c r="BE40" s="27"/>
      <c r="BF40" s="9" t="s">
        <v>38</v>
      </c>
      <c r="BG40" s="9" t="s">
        <v>39</v>
      </c>
      <c r="BH40" s="9" t="s">
        <v>40</v>
      </c>
      <c r="BI40" s="9" t="s">
        <v>41</v>
      </c>
    </row>
    <row r="41" spans="1:256" ht="44.75" customHeight="1">
      <c r="A41" s="10" t="s">
        <v>75</v>
      </c>
      <c r="B41" s="9" t="s">
        <v>59</v>
      </c>
      <c r="C41" s="9">
        <v>3</v>
      </c>
      <c r="D41" s="9">
        <v>17</v>
      </c>
      <c r="E41" s="9">
        <v>7</v>
      </c>
      <c r="F41" s="9">
        <v>11</v>
      </c>
      <c r="G41" s="33">
        <v>10</v>
      </c>
      <c r="H41" s="33">
        <v>3</v>
      </c>
      <c r="I41" s="33">
        <v>14</v>
      </c>
      <c r="J41" s="33">
        <v>4</v>
      </c>
      <c r="K41" s="10">
        <f t="shared" ref="K41:K47" si="24">SUM(B41:J41)</f>
        <v>69</v>
      </c>
      <c r="L41" s="11">
        <f>K41/K44</f>
        <v>0.49285714285714288</v>
      </c>
      <c r="M41" s="35">
        <f>K41/K47</f>
        <v>0.45394736842105265</v>
      </c>
      <c r="N41" s="12"/>
      <c r="O41" s="11"/>
      <c r="P41" s="13"/>
      <c r="Q41" s="33">
        <v>6</v>
      </c>
      <c r="R41" s="33">
        <v>2</v>
      </c>
      <c r="S41" s="33">
        <v>0</v>
      </c>
      <c r="T41" s="14">
        <f>SUM(Q41:S41)</f>
        <v>8</v>
      </c>
      <c r="U41" s="15">
        <f>T41/T44</f>
        <v>0.32</v>
      </c>
      <c r="V41" s="13"/>
      <c r="W41" s="33">
        <v>7</v>
      </c>
      <c r="X41" s="33">
        <v>4</v>
      </c>
      <c r="Y41" s="33">
        <v>7</v>
      </c>
      <c r="Z41" s="33">
        <v>0</v>
      </c>
      <c r="AA41" s="33">
        <v>4</v>
      </c>
      <c r="AB41" s="33">
        <v>2</v>
      </c>
      <c r="AC41" s="14">
        <f>SUM(W41:AB41)</f>
        <v>24</v>
      </c>
      <c r="AD41" s="15">
        <f>AC41/AC44</f>
        <v>0.55813953488372092</v>
      </c>
      <c r="AE41" s="13"/>
      <c r="AF41" s="33">
        <v>4</v>
      </c>
      <c r="AG41" s="33">
        <v>7</v>
      </c>
      <c r="AH41" s="33">
        <v>3</v>
      </c>
      <c r="AI41" s="33">
        <v>3</v>
      </c>
      <c r="AJ41" s="33">
        <v>0</v>
      </c>
      <c r="AK41" s="33">
        <v>2</v>
      </c>
      <c r="AL41" s="14">
        <f>SUM(AF41:AK41)</f>
        <v>19</v>
      </c>
      <c r="AM41" s="15">
        <f>AL41/AL44</f>
        <v>0.40425531914893614</v>
      </c>
      <c r="AN41" s="13"/>
      <c r="AO41" s="33">
        <v>1</v>
      </c>
      <c r="AP41" s="33">
        <v>2</v>
      </c>
      <c r="AQ41" s="33">
        <v>4</v>
      </c>
      <c r="AR41" s="33">
        <v>1</v>
      </c>
      <c r="AS41" s="33">
        <v>4</v>
      </c>
      <c r="AT41" s="33">
        <v>1</v>
      </c>
      <c r="AU41" s="14">
        <f>SUM(AO41:AT41)</f>
        <v>13</v>
      </c>
      <c r="AV41" s="15">
        <f>AU41/AU44</f>
        <v>0.65</v>
      </c>
      <c r="AW41" s="13"/>
      <c r="AX41" s="33">
        <v>0</v>
      </c>
      <c r="AY41" s="33">
        <v>1</v>
      </c>
      <c r="AZ41" s="33">
        <v>2</v>
      </c>
      <c r="BA41" s="33">
        <v>0</v>
      </c>
      <c r="BB41" s="33">
        <v>2</v>
      </c>
      <c r="BC41" s="14">
        <f>SUM(AX41:BB41)</f>
        <v>5</v>
      </c>
      <c r="BD41" s="15">
        <f>BC41/BC44</f>
        <v>0.83333333333333337</v>
      </c>
      <c r="BE41" s="13"/>
      <c r="BF41" s="14"/>
      <c r="BG41" s="15" t="e">
        <f>BF41/BF44</f>
        <v>#DIV/0!</v>
      </c>
      <c r="BH41" s="16"/>
      <c r="BI41" s="15"/>
    </row>
    <row r="42" spans="1:256" ht="44.75" customHeight="1">
      <c r="A42" s="10" t="s">
        <v>76</v>
      </c>
      <c r="B42" s="9" t="s">
        <v>59</v>
      </c>
      <c r="C42" s="9">
        <v>2</v>
      </c>
      <c r="D42" s="9">
        <v>5</v>
      </c>
      <c r="E42" s="9">
        <v>8</v>
      </c>
      <c r="F42" s="9">
        <v>7</v>
      </c>
      <c r="G42" s="33">
        <v>8</v>
      </c>
      <c r="H42" s="33">
        <v>12</v>
      </c>
      <c r="I42" s="33">
        <v>4</v>
      </c>
      <c r="J42" s="33">
        <v>15</v>
      </c>
      <c r="K42" s="10">
        <f t="shared" si="24"/>
        <v>61</v>
      </c>
      <c r="L42" s="11">
        <f>K42/K44</f>
        <v>0.43571428571428572</v>
      </c>
      <c r="M42" s="35">
        <f>K42/K47</f>
        <v>0.40131578947368424</v>
      </c>
      <c r="N42" s="12"/>
      <c r="O42" s="11"/>
      <c r="P42" s="13"/>
      <c r="Q42" s="33">
        <v>2</v>
      </c>
      <c r="R42" s="33">
        <v>12</v>
      </c>
      <c r="S42" s="33">
        <v>1</v>
      </c>
      <c r="T42" s="14">
        <f>SUM(Q42:S42)</f>
        <v>15</v>
      </c>
      <c r="U42" s="15">
        <f>T42/T44</f>
        <v>0.6</v>
      </c>
      <c r="V42" s="13"/>
      <c r="W42" s="33">
        <v>2</v>
      </c>
      <c r="X42" s="33">
        <v>2</v>
      </c>
      <c r="Y42" s="33">
        <v>3</v>
      </c>
      <c r="Z42" s="33">
        <v>2</v>
      </c>
      <c r="AA42" s="33">
        <v>4</v>
      </c>
      <c r="AB42" s="33">
        <v>0</v>
      </c>
      <c r="AC42" s="14">
        <f>SUM(W42:AB42)</f>
        <v>13</v>
      </c>
      <c r="AD42" s="15">
        <f>AC42/AC44</f>
        <v>0.30232558139534882</v>
      </c>
      <c r="AE42" s="13"/>
      <c r="AF42" s="33">
        <v>4</v>
      </c>
      <c r="AG42" s="33">
        <v>2</v>
      </c>
      <c r="AH42" s="33">
        <v>2</v>
      </c>
      <c r="AI42" s="33">
        <v>3</v>
      </c>
      <c r="AJ42" s="33">
        <v>1</v>
      </c>
      <c r="AK42" s="33">
        <v>14</v>
      </c>
      <c r="AL42" s="14">
        <f>SUM(AF42:AK42)</f>
        <v>26</v>
      </c>
      <c r="AM42" s="15">
        <f>AL42/AL44</f>
        <v>0.55319148936170215</v>
      </c>
      <c r="AN42" s="13"/>
      <c r="AO42" s="33">
        <v>0</v>
      </c>
      <c r="AP42" s="33">
        <v>1</v>
      </c>
      <c r="AQ42" s="33">
        <v>0</v>
      </c>
      <c r="AR42" s="33">
        <v>0</v>
      </c>
      <c r="AS42" s="33">
        <v>4</v>
      </c>
      <c r="AT42" s="33">
        <v>1</v>
      </c>
      <c r="AU42" s="14">
        <f>SUM(AO42:AT42)</f>
        <v>6</v>
      </c>
      <c r="AV42" s="15">
        <f>AU42/AU44</f>
        <v>0.3</v>
      </c>
      <c r="AW42" s="13"/>
      <c r="AX42" s="33">
        <v>0</v>
      </c>
      <c r="AY42" s="33">
        <v>0</v>
      </c>
      <c r="AZ42" s="33">
        <v>0</v>
      </c>
      <c r="BA42" s="33">
        <v>1</v>
      </c>
      <c r="BB42" s="33">
        <v>0</v>
      </c>
      <c r="BC42" s="14">
        <f>SUM(AX42:BB42)</f>
        <v>1</v>
      </c>
      <c r="BD42" s="15">
        <f>BC42/BC44</f>
        <v>0.16666666666666666</v>
      </c>
      <c r="BE42" s="13"/>
      <c r="BF42" s="14"/>
      <c r="BG42" s="15" t="e">
        <f>BF42/BF44</f>
        <v>#DIV/0!</v>
      </c>
      <c r="BH42" s="16"/>
      <c r="BI42" s="15"/>
    </row>
    <row r="43" spans="1:256" ht="44.75" customHeight="1">
      <c r="A43" s="10" t="s">
        <v>77</v>
      </c>
      <c r="B43" s="9" t="s">
        <v>59</v>
      </c>
      <c r="C43" s="9">
        <v>1</v>
      </c>
      <c r="D43" s="9">
        <v>3</v>
      </c>
      <c r="E43" s="9">
        <v>2</v>
      </c>
      <c r="F43" s="9">
        <v>2</v>
      </c>
      <c r="G43" s="33">
        <v>0</v>
      </c>
      <c r="H43" s="33">
        <v>0</v>
      </c>
      <c r="I43" s="33">
        <v>1</v>
      </c>
      <c r="J43" s="33">
        <v>1</v>
      </c>
      <c r="K43" s="10">
        <f t="shared" si="24"/>
        <v>10</v>
      </c>
      <c r="L43" s="11">
        <f>K43/K44</f>
        <v>7.1428571428571425E-2</v>
      </c>
      <c r="M43" s="35">
        <f>K43/K47</f>
        <v>6.5789473684210523E-2</v>
      </c>
      <c r="N43" s="12"/>
      <c r="O43" s="11"/>
      <c r="P43" s="13"/>
      <c r="Q43" s="33">
        <v>1</v>
      </c>
      <c r="R43" s="33">
        <v>0</v>
      </c>
      <c r="S43" s="33">
        <v>1</v>
      </c>
      <c r="T43" s="14">
        <f>SUM(Q43:S43)</f>
        <v>2</v>
      </c>
      <c r="U43" s="15">
        <f>T43/T44</f>
        <v>0.08</v>
      </c>
      <c r="V43" s="13"/>
      <c r="W43" s="33">
        <v>0</v>
      </c>
      <c r="X43" s="33">
        <v>1</v>
      </c>
      <c r="Y43" s="33">
        <v>2</v>
      </c>
      <c r="Z43" s="33">
        <v>1</v>
      </c>
      <c r="AA43" s="33">
        <v>2</v>
      </c>
      <c r="AB43" s="33">
        <v>0</v>
      </c>
      <c r="AC43" s="14">
        <f>SUM(W43:AB43)</f>
        <v>6</v>
      </c>
      <c r="AD43" s="15">
        <f>AC43/AC44</f>
        <v>0.13953488372093023</v>
      </c>
      <c r="AE43" s="13"/>
      <c r="AF43" s="33">
        <v>1</v>
      </c>
      <c r="AG43" s="33">
        <v>1</v>
      </c>
      <c r="AH43" s="33">
        <v>0</v>
      </c>
      <c r="AI43" s="33">
        <v>0</v>
      </c>
      <c r="AJ43" s="33">
        <v>0</v>
      </c>
      <c r="AK43" s="33">
        <v>0</v>
      </c>
      <c r="AL43" s="14">
        <f>SUM(AF43:AK43)</f>
        <v>2</v>
      </c>
      <c r="AM43" s="15">
        <f>AL43/AL44</f>
        <v>4.2553191489361701E-2</v>
      </c>
      <c r="AN43" s="13"/>
      <c r="AO43" s="33">
        <v>0</v>
      </c>
      <c r="AP43" s="33">
        <v>0</v>
      </c>
      <c r="AQ43" s="33">
        <v>0</v>
      </c>
      <c r="AR43" s="33">
        <v>0</v>
      </c>
      <c r="AS43" s="33">
        <v>0</v>
      </c>
      <c r="AT43" s="33">
        <v>1</v>
      </c>
      <c r="AU43" s="14">
        <f>SUM(AO43:AT43)</f>
        <v>1</v>
      </c>
      <c r="AV43" s="15">
        <f>AU43/AU44</f>
        <v>0.05</v>
      </c>
      <c r="AW43" s="13"/>
      <c r="AX43" s="33">
        <v>0</v>
      </c>
      <c r="AY43" s="33">
        <v>0</v>
      </c>
      <c r="AZ43" s="33">
        <v>0</v>
      </c>
      <c r="BA43" s="33">
        <v>0</v>
      </c>
      <c r="BB43" s="33">
        <v>0</v>
      </c>
      <c r="BC43" s="14">
        <f>SUM(AX43:BB43)</f>
        <v>0</v>
      </c>
      <c r="BD43" s="15">
        <f>BC43/BC44</f>
        <v>0</v>
      </c>
      <c r="BE43" s="13"/>
      <c r="BF43" s="14"/>
      <c r="BG43" s="15" t="e">
        <f>BF43/BF44</f>
        <v>#DIV/0!</v>
      </c>
      <c r="BH43" s="16"/>
      <c r="BI43" s="15"/>
    </row>
    <row r="44" spans="1:256" ht="21.75" customHeight="1">
      <c r="A44" s="10" t="s">
        <v>9</v>
      </c>
      <c r="B44" s="9" t="s">
        <v>59</v>
      </c>
      <c r="C44" s="9">
        <f t="shared" ref="C44:J44" si="25">SUM(C41:C43)</f>
        <v>6</v>
      </c>
      <c r="D44" s="9">
        <f t="shared" si="25"/>
        <v>25</v>
      </c>
      <c r="E44" s="9">
        <f t="shared" si="25"/>
        <v>17</v>
      </c>
      <c r="F44" s="9">
        <f t="shared" si="25"/>
        <v>20</v>
      </c>
      <c r="G44" s="9">
        <f t="shared" si="25"/>
        <v>18</v>
      </c>
      <c r="H44" s="9">
        <f t="shared" si="25"/>
        <v>15</v>
      </c>
      <c r="I44" s="9">
        <f t="shared" si="25"/>
        <v>19</v>
      </c>
      <c r="J44" s="9">
        <f t="shared" si="25"/>
        <v>20</v>
      </c>
      <c r="K44" s="10">
        <f t="shared" si="24"/>
        <v>140</v>
      </c>
      <c r="L44" s="11">
        <f>SUM(L39:L43)</f>
        <v>1</v>
      </c>
      <c r="M44" s="35">
        <f>K44/K47</f>
        <v>0.92105263157894735</v>
      </c>
      <c r="N44" s="37">
        <f>T44+AC44+AL44+AU44</f>
        <v>135</v>
      </c>
      <c r="O44" s="35">
        <f>N44/K44</f>
        <v>0.9642857142857143</v>
      </c>
      <c r="P44" s="13"/>
      <c r="Q44" s="45">
        <f>SUM(Q39:Q43)</f>
        <v>9</v>
      </c>
      <c r="R44" s="46">
        <f>SUM(R39:R43)</f>
        <v>14</v>
      </c>
      <c r="S44" s="46">
        <f>SUM(S39:S43)</f>
        <v>2</v>
      </c>
      <c r="T44" s="14">
        <f>SUM(T39:T43)</f>
        <v>25</v>
      </c>
      <c r="U44" s="15">
        <f>SUM(U41:U43)</f>
        <v>0.99999999999999989</v>
      </c>
      <c r="V44" s="13"/>
      <c r="W44" s="45">
        <f t="shared" ref="W44:AC44" si="26">SUM(W39:W43)</f>
        <v>9</v>
      </c>
      <c r="X44" s="45">
        <f t="shared" si="26"/>
        <v>7</v>
      </c>
      <c r="Y44" s="45">
        <f t="shared" si="26"/>
        <v>12</v>
      </c>
      <c r="Z44" s="45">
        <f t="shared" si="26"/>
        <v>3</v>
      </c>
      <c r="AA44" s="45">
        <f t="shared" si="26"/>
        <v>10</v>
      </c>
      <c r="AB44" s="45">
        <f t="shared" si="26"/>
        <v>2</v>
      </c>
      <c r="AC44" s="45">
        <f t="shared" si="26"/>
        <v>43</v>
      </c>
      <c r="AD44" s="15">
        <f>SUM(AD41:AD43)</f>
        <v>1</v>
      </c>
      <c r="AE44" s="13"/>
      <c r="AF44" s="45">
        <f t="shared" ref="AF44:AL44" si="27">SUM(AF39:AF43)</f>
        <v>9</v>
      </c>
      <c r="AG44" s="45">
        <f t="shared" si="27"/>
        <v>10</v>
      </c>
      <c r="AH44" s="45">
        <f t="shared" si="27"/>
        <v>5</v>
      </c>
      <c r="AI44" s="45">
        <f t="shared" si="27"/>
        <v>6</v>
      </c>
      <c r="AJ44" s="45">
        <f t="shared" si="27"/>
        <v>1</v>
      </c>
      <c r="AK44" s="45">
        <f t="shared" si="27"/>
        <v>16</v>
      </c>
      <c r="AL44" s="45">
        <f t="shared" si="27"/>
        <v>47</v>
      </c>
      <c r="AM44" s="48">
        <f>SUM(AM41:AM43)</f>
        <v>0.99999999999999989</v>
      </c>
      <c r="AN44" s="13"/>
      <c r="AO44" s="45">
        <f t="shared" ref="AO44:AU44" si="28">SUM(AO39:AO43)</f>
        <v>1</v>
      </c>
      <c r="AP44" s="45">
        <f t="shared" si="28"/>
        <v>3</v>
      </c>
      <c r="AQ44" s="45">
        <f t="shared" si="28"/>
        <v>4</v>
      </c>
      <c r="AR44" s="45">
        <f t="shared" si="28"/>
        <v>1</v>
      </c>
      <c r="AS44" s="45">
        <f t="shared" si="28"/>
        <v>8</v>
      </c>
      <c r="AT44" s="45">
        <f t="shared" si="28"/>
        <v>3</v>
      </c>
      <c r="AU44" s="45">
        <f t="shared" si="28"/>
        <v>20</v>
      </c>
      <c r="AV44" s="15">
        <f>SUM(AV41:AV43)</f>
        <v>1</v>
      </c>
      <c r="AW44" s="13"/>
      <c r="AX44" s="45">
        <f t="shared" ref="AX44:BC44" si="29">SUM(AX39:AX43)</f>
        <v>0</v>
      </c>
      <c r="AY44" s="45">
        <f t="shared" si="29"/>
        <v>1</v>
      </c>
      <c r="AZ44" s="45">
        <f t="shared" si="29"/>
        <v>2</v>
      </c>
      <c r="BA44" s="45">
        <f t="shared" si="29"/>
        <v>1</v>
      </c>
      <c r="BB44" s="45">
        <f t="shared" si="29"/>
        <v>2</v>
      </c>
      <c r="BC44" s="45">
        <f t="shared" si="29"/>
        <v>6</v>
      </c>
      <c r="BD44" s="15">
        <f>SUM(BD41:BD43)</f>
        <v>1</v>
      </c>
      <c r="BE44" s="13"/>
      <c r="BF44" s="14">
        <f>SUM(BF41:BF43)</f>
        <v>0</v>
      </c>
      <c r="BG44" s="15" t="e">
        <f>SUM(BG41:BG43)</f>
        <v>#DIV/0!</v>
      </c>
      <c r="BH44" s="16"/>
      <c r="BI44" s="15"/>
    </row>
    <row r="45" spans="1:256" ht="21.75" customHeight="1">
      <c r="A45" s="8" t="s">
        <v>64</v>
      </c>
      <c r="B45" s="9" t="s">
        <v>59</v>
      </c>
      <c r="C45" s="9">
        <v>1</v>
      </c>
      <c r="D45" s="9">
        <v>5</v>
      </c>
      <c r="E45" s="9">
        <v>0</v>
      </c>
      <c r="F45" s="9">
        <v>1</v>
      </c>
      <c r="G45" s="9">
        <v>0</v>
      </c>
      <c r="H45" s="9">
        <v>0</v>
      </c>
      <c r="I45" s="9">
        <v>0</v>
      </c>
      <c r="J45" s="9">
        <v>1</v>
      </c>
      <c r="K45" s="10">
        <f t="shared" si="24"/>
        <v>8</v>
      </c>
      <c r="L45" s="11"/>
      <c r="M45" s="35">
        <f>K45/(K47)</f>
        <v>5.2631578947368418E-2</v>
      </c>
      <c r="N45" s="12"/>
      <c r="O45" s="11"/>
      <c r="P45" s="13"/>
      <c r="Q45" s="49">
        <v>0</v>
      </c>
      <c r="R45" s="50">
        <v>0</v>
      </c>
      <c r="S45" s="50">
        <v>0</v>
      </c>
      <c r="T45" s="38">
        <f>SUM(Q45:S45)</f>
        <v>0</v>
      </c>
      <c r="U45" s="15">
        <f>T45/T47</f>
        <v>0</v>
      </c>
      <c r="V45" s="13"/>
      <c r="W45" s="49">
        <v>0</v>
      </c>
      <c r="X45" s="49">
        <v>0</v>
      </c>
      <c r="Y45" s="49">
        <v>4</v>
      </c>
      <c r="Z45" s="49">
        <v>0</v>
      </c>
      <c r="AA45" s="49">
        <v>0</v>
      </c>
      <c r="AB45" s="49">
        <v>0</v>
      </c>
      <c r="AC45" s="51">
        <f>SUM(W45:AB45)</f>
        <v>4</v>
      </c>
      <c r="AD45" s="15">
        <f>AC45/AC47</f>
        <v>8.5106382978723402E-2</v>
      </c>
      <c r="AE45" s="13"/>
      <c r="AF45" s="49">
        <v>1</v>
      </c>
      <c r="AG45" s="49">
        <v>1</v>
      </c>
      <c r="AH45" s="49">
        <v>0</v>
      </c>
      <c r="AI45" s="49">
        <v>0</v>
      </c>
      <c r="AJ45" s="49">
        <v>0</v>
      </c>
      <c r="AK45" s="49">
        <v>1</v>
      </c>
      <c r="AL45" s="49">
        <f>SUM(AF45:AK45)</f>
        <v>3</v>
      </c>
      <c r="AM45" s="15">
        <f>AL45/AL47</f>
        <v>0.06</v>
      </c>
      <c r="AN45" s="13"/>
      <c r="AO45" s="49">
        <v>0</v>
      </c>
      <c r="AP45" s="49">
        <v>0</v>
      </c>
      <c r="AQ45" s="49">
        <v>0</v>
      </c>
      <c r="AR45" s="49">
        <v>0</v>
      </c>
      <c r="AS45" s="49">
        <v>0</v>
      </c>
      <c r="AT45" s="49">
        <v>1</v>
      </c>
      <c r="AU45" s="51">
        <f>SUM(AO45:AT45)</f>
        <v>1</v>
      </c>
      <c r="AV45" s="15">
        <f>AU45/AU47</f>
        <v>4.7619047619047616E-2</v>
      </c>
      <c r="AW45" s="13"/>
      <c r="AX45" s="49">
        <v>1</v>
      </c>
      <c r="AY45" s="49">
        <v>0</v>
      </c>
      <c r="AZ45" s="49">
        <v>0</v>
      </c>
      <c r="BA45" s="49">
        <v>0</v>
      </c>
      <c r="BB45" s="49">
        <v>0</v>
      </c>
      <c r="BC45" s="51">
        <f>SUM(AX45:BB45)</f>
        <v>1</v>
      </c>
      <c r="BD45" s="15">
        <f>BC45/BC47</f>
        <v>0.1</v>
      </c>
      <c r="BE45" s="13"/>
      <c r="BF45" s="14"/>
      <c r="BG45" s="16"/>
      <c r="BH45" s="16"/>
      <c r="BI45" s="16"/>
    </row>
    <row r="46" spans="1:256" ht="20.25" customHeight="1">
      <c r="A46" s="8" t="s">
        <v>65</v>
      </c>
      <c r="B46" s="9" t="s">
        <v>59</v>
      </c>
      <c r="C46" s="9">
        <v>0</v>
      </c>
      <c r="D46" s="9">
        <v>0</v>
      </c>
      <c r="E46" s="9">
        <v>0</v>
      </c>
      <c r="F46" s="9">
        <v>2</v>
      </c>
      <c r="G46" s="9">
        <v>0</v>
      </c>
      <c r="H46" s="9">
        <v>0</v>
      </c>
      <c r="I46" s="9">
        <v>1</v>
      </c>
      <c r="J46" s="9">
        <v>1</v>
      </c>
      <c r="K46" s="10">
        <f t="shared" si="24"/>
        <v>4</v>
      </c>
      <c r="L46" s="11"/>
      <c r="M46" s="35">
        <f>K46/(K47)</f>
        <v>2.6315789473684209E-2</v>
      </c>
      <c r="N46" s="12"/>
      <c r="O46" s="11"/>
      <c r="P46" s="13"/>
      <c r="Q46" s="14">
        <v>0</v>
      </c>
      <c r="R46" s="14">
        <v>0</v>
      </c>
      <c r="S46" s="14">
        <v>0</v>
      </c>
      <c r="T46" s="38">
        <f>SUM(Q46:S46)</f>
        <v>0</v>
      </c>
      <c r="U46" s="15">
        <f>T46/T47</f>
        <v>0</v>
      </c>
      <c r="V46" s="13"/>
      <c r="W46" s="14">
        <v>0</v>
      </c>
      <c r="X46" s="14">
        <v>0</v>
      </c>
      <c r="Y46" s="14">
        <v>0</v>
      </c>
      <c r="Z46" s="14">
        <v>0</v>
      </c>
      <c r="AA46" s="14">
        <v>0</v>
      </c>
      <c r="AB46" s="14">
        <v>0</v>
      </c>
      <c r="AC46" s="38">
        <f>SUM(W46:AB46)</f>
        <v>0</v>
      </c>
      <c r="AD46" s="15">
        <f>AC46/AC47</f>
        <v>0</v>
      </c>
      <c r="AE46" s="13"/>
      <c r="AF46" s="14">
        <v>0</v>
      </c>
      <c r="AG46" s="14">
        <v>0</v>
      </c>
      <c r="AH46" s="14">
        <v>0</v>
      </c>
      <c r="AI46" s="14">
        <v>0</v>
      </c>
      <c r="AJ46" s="14">
        <v>0</v>
      </c>
      <c r="AK46" s="14">
        <v>0</v>
      </c>
      <c r="AL46" s="14">
        <f>SUM(AF46:AK46)</f>
        <v>0</v>
      </c>
      <c r="AM46" s="15">
        <f>AL46/AL47</f>
        <v>0</v>
      </c>
      <c r="AN46" s="13"/>
      <c r="AO46" s="14">
        <v>0</v>
      </c>
      <c r="AP46" s="14">
        <v>0</v>
      </c>
      <c r="AQ46" s="14">
        <v>0</v>
      </c>
      <c r="AR46" s="14">
        <v>0</v>
      </c>
      <c r="AS46" s="14">
        <v>0</v>
      </c>
      <c r="AT46" s="14">
        <v>0</v>
      </c>
      <c r="AU46" s="38">
        <f>SUM(AO46:AT46)</f>
        <v>0</v>
      </c>
      <c r="AV46" s="15">
        <f>AU46/AU47</f>
        <v>0</v>
      </c>
      <c r="AW46" s="13"/>
      <c r="AX46" s="14">
        <v>0</v>
      </c>
      <c r="AY46" s="14">
        <v>2</v>
      </c>
      <c r="AZ46" s="14">
        <v>0</v>
      </c>
      <c r="BA46" s="14">
        <v>0</v>
      </c>
      <c r="BB46" s="14">
        <v>1</v>
      </c>
      <c r="BC46" s="38">
        <f>SUM(AX46:BB46)</f>
        <v>3</v>
      </c>
      <c r="BD46" s="15">
        <f>BC46/BC47</f>
        <v>0.3</v>
      </c>
      <c r="BE46" s="13"/>
      <c r="BF46" s="14"/>
      <c r="BG46" s="16"/>
      <c r="BH46" s="16"/>
      <c r="BI46" s="16"/>
    </row>
    <row r="47" spans="1:256" ht="20.25" customHeight="1">
      <c r="A47" s="39" t="s">
        <v>66</v>
      </c>
      <c r="B47" s="9" t="s">
        <v>59</v>
      </c>
      <c r="C47" s="32">
        <f t="shared" ref="C47:J47" si="30">SUM(C44:C46)</f>
        <v>7</v>
      </c>
      <c r="D47" s="32">
        <f t="shared" si="30"/>
        <v>30</v>
      </c>
      <c r="E47" s="32">
        <f t="shared" si="30"/>
        <v>17</v>
      </c>
      <c r="F47" s="32">
        <f t="shared" si="30"/>
        <v>23</v>
      </c>
      <c r="G47" s="32">
        <f t="shared" si="30"/>
        <v>18</v>
      </c>
      <c r="H47" s="32">
        <f t="shared" si="30"/>
        <v>15</v>
      </c>
      <c r="I47" s="32">
        <f t="shared" si="30"/>
        <v>20</v>
      </c>
      <c r="J47" s="32">
        <f t="shared" si="30"/>
        <v>22</v>
      </c>
      <c r="K47" s="23">
        <f t="shared" si="24"/>
        <v>152</v>
      </c>
      <c r="L47" s="35">
        <f>K47/(K46+K45+K44)</f>
        <v>1</v>
      </c>
      <c r="M47" s="35">
        <f>K47/(K44+K45+K46)</f>
        <v>1</v>
      </c>
      <c r="N47" s="37">
        <f>T47+AC47+AL47+AU47+S66</f>
        <v>143</v>
      </c>
      <c r="O47" s="35">
        <f>N47/K47</f>
        <v>0.94078947368421051</v>
      </c>
      <c r="P47" s="13"/>
      <c r="Q47" s="38">
        <f>SUM(Q44:Q46)</f>
        <v>9</v>
      </c>
      <c r="R47" s="38">
        <f>SUM(R44:R46)</f>
        <v>14</v>
      </c>
      <c r="S47" s="38">
        <f>SUM(S44:S46)</f>
        <v>2</v>
      </c>
      <c r="T47" s="38">
        <f>SUM(Q47:S47)</f>
        <v>25</v>
      </c>
      <c r="U47" s="40">
        <f>T47/(T44+T45+T46)</f>
        <v>1</v>
      </c>
      <c r="V47" s="13"/>
      <c r="W47" s="38">
        <f t="shared" ref="W47:AB47" si="31">SUM(W44:W46)</f>
        <v>9</v>
      </c>
      <c r="X47" s="38">
        <f t="shared" si="31"/>
        <v>7</v>
      </c>
      <c r="Y47" s="38">
        <f t="shared" si="31"/>
        <v>16</v>
      </c>
      <c r="Z47" s="38">
        <f t="shared" si="31"/>
        <v>3</v>
      </c>
      <c r="AA47" s="38">
        <f t="shared" si="31"/>
        <v>10</v>
      </c>
      <c r="AB47" s="38">
        <f t="shared" si="31"/>
        <v>2</v>
      </c>
      <c r="AC47" s="38">
        <f>SUM(W47:AB47)</f>
        <v>47</v>
      </c>
      <c r="AD47" s="40">
        <f>AC47/(AC44+AC45+AC46)</f>
        <v>1</v>
      </c>
      <c r="AE47" s="13"/>
      <c r="AF47" s="38">
        <f t="shared" ref="AF47:AK47" si="32">SUM(AF44:AF46)</f>
        <v>10</v>
      </c>
      <c r="AG47" s="38">
        <f t="shared" si="32"/>
        <v>11</v>
      </c>
      <c r="AH47" s="38">
        <f t="shared" si="32"/>
        <v>5</v>
      </c>
      <c r="AI47" s="38">
        <f t="shared" si="32"/>
        <v>6</v>
      </c>
      <c r="AJ47" s="38">
        <f t="shared" si="32"/>
        <v>1</v>
      </c>
      <c r="AK47" s="38">
        <f t="shared" si="32"/>
        <v>17</v>
      </c>
      <c r="AL47" s="38">
        <f>SUM(AF47:AK47)</f>
        <v>50</v>
      </c>
      <c r="AM47" s="41">
        <f>AL47/(AL44+AL45+AL46)</f>
        <v>1</v>
      </c>
      <c r="AN47" s="13"/>
      <c r="AO47" s="38">
        <f t="shared" ref="AO47:AT47" si="33">SUM(AO44:AO46)</f>
        <v>1</v>
      </c>
      <c r="AP47" s="38">
        <f t="shared" si="33"/>
        <v>3</v>
      </c>
      <c r="AQ47" s="38">
        <f t="shared" si="33"/>
        <v>4</v>
      </c>
      <c r="AR47" s="38">
        <f t="shared" si="33"/>
        <v>1</v>
      </c>
      <c r="AS47" s="38">
        <f t="shared" si="33"/>
        <v>8</v>
      </c>
      <c r="AT47" s="38">
        <f t="shared" si="33"/>
        <v>4</v>
      </c>
      <c r="AU47" s="38">
        <f>SUM(AO47:AT47)</f>
        <v>21</v>
      </c>
      <c r="AV47" s="40">
        <f>AU47/(AU44+AU45+AU46)</f>
        <v>1</v>
      </c>
      <c r="AW47" s="13"/>
      <c r="AX47" s="38">
        <f>SUM(AX44:AX46)</f>
        <v>1</v>
      </c>
      <c r="AY47" s="38">
        <f>SUM(AY44:AY46)</f>
        <v>3</v>
      </c>
      <c r="AZ47" s="38">
        <f>SUM(AZ44:AZ46)</f>
        <v>2</v>
      </c>
      <c r="BA47" s="38">
        <f>SUM(BA44:BA46)</f>
        <v>1</v>
      </c>
      <c r="BB47" s="38">
        <f>SUM(BB44:BB46)</f>
        <v>3</v>
      </c>
      <c r="BC47" s="38">
        <f>SUM(AX47:BB47)</f>
        <v>10</v>
      </c>
      <c r="BD47" s="40">
        <f>BC47/(BC44+BC45+BC46)</f>
        <v>1</v>
      </c>
      <c r="BE47" s="13"/>
      <c r="BF47" s="38"/>
      <c r="BG47" s="42"/>
      <c r="BH47" s="42"/>
      <c r="BI47" s="42"/>
    </row>
    <row r="48" spans="1:256" ht="32.25" customHeight="1">
      <c r="A48" s="180" t="s">
        <v>238</v>
      </c>
      <c r="B48" s="181" t="s">
        <v>74</v>
      </c>
      <c r="C48" s="182"/>
      <c r="D48" s="182"/>
      <c r="E48" s="182"/>
      <c r="F48" s="182"/>
      <c r="G48" s="179"/>
      <c r="H48" s="179"/>
      <c r="I48" s="179"/>
      <c r="J48" s="179"/>
      <c r="K48" s="177"/>
      <c r="L48" s="24"/>
      <c r="M48" s="24"/>
      <c r="N48" s="26"/>
      <c r="O48" s="24"/>
      <c r="P48" s="27"/>
      <c r="Q48" s="28"/>
      <c r="R48" s="28"/>
      <c r="S48" s="28"/>
      <c r="T48" s="26"/>
      <c r="U48" s="24"/>
      <c r="V48" s="27"/>
      <c r="W48" s="28"/>
      <c r="X48" s="28"/>
      <c r="Y48" s="28"/>
      <c r="Z48" s="28"/>
      <c r="AA48" s="28"/>
      <c r="AB48" s="28"/>
      <c r="AC48" s="26"/>
      <c r="AD48" s="24"/>
      <c r="AE48" s="27"/>
      <c r="AF48" s="28"/>
      <c r="AG48" s="28"/>
      <c r="AH48" s="28"/>
      <c r="AI48" s="28"/>
      <c r="AJ48" s="28"/>
      <c r="AK48" s="28"/>
      <c r="AL48" s="26"/>
      <c r="AM48" s="29"/>
      <c r="AN48" s="27"/>
      <c r="AO48" s="26"/>
      <c r="AP48" s="26"/>
      <c r="AQ48" s="26"/>
      <c r="AR48" s="26"/>
      <c r="AS48" s="26"/>
      <c r="AT48" s="26"/>
      <c r="AU48" s="26"/>
      <c r="AV48" s="24"/>
      <c r="AW48" s="27"/>
      <c r="AX48" s="26"/>
      <c r="AY48" s="26"/>
      <c r="AZ48" s="26"/>
      <c r="BA48" s="26"/>
      <c r="BB48" s="26"/>
      <c r="BC48" s="26"/>
      <c r="BD48" s="24"/>
      <c r="BE48" s="27"/>
      <c r="BF48" s="26"/>
      <c r="BG48" s="179"/>
      <c r="BH48" s="179"/>
      <c r="BI48" s="179"/>
      <c r="BJ48" s="173"/>
      <c r="BK48" s="173"/>
      <c r="BL48" s="173"/>
      <c r="BM48" s="173"/>
      <c r="BN48" s="173"/>
      <c r="BO48" s="173"/>
      <c r="BP48" s="173"/>
      <c r="BQ48" s="173"/>
      <c r="BR48" s="173"/>
      <c r="BS48" s="173"/>
      <c r="BT48" s="173"/>
      <c r="BU48" s="173"/>
      <c r="BV48" s="173"/>
      <c r="BW48" s="173"/>
      <c r="BX48" s="173"/>
      <c r="BY48" s="173"/>
      <c r="BZ48" s="173"/>
      <c r="CA48" s="173"/>
      <c r="CB48" s="173"/>
      <c r="CC48" s="173"/>
      <c r="CD48" s="173"/>
      <c r="CE48" s="173"/>
      <c r="CF48" s="173"/>
      <c r="CG48" s="173"/>
      <c r="CH48" s="173"/>
      <c r="CI48" s="173"/>
      <c r="CJ48" s="173"/>
      <c r="CK48" s="173"/>
      <c r="CL48" s="173"/>
      <c r="CM48" s="173"/>
      <c r="CN48" s="173"/>
      <c r="CO48" s="173"/>
      <c r="CP48" s="173"/>
      <c r="CQ48" s="173"/>
      <c r="CR48" s="173"/>
      <c r="CS48" s="173"/>
      <c r="CT48" s="173"/>
      <c r="CU48" s="173"/>
      <c r="CV48" s="173"/>
      <c r="CW48" s="173"/>
      <c r="CX48" s="173"/>
      <c r="CY48" s="173"/>
      <c r="CZ48" s="173"/>
      <c r="DA48" s="173"/>
      <c r="DB48" s="173"/>
      <c r="DC48" s="173"/>
      <c r="DD48" s="173"/>
      <c r="DE48" s="173"/>
      <c r="DF48" s="173"/>
      <c r="DG48" s="173"/>
      <c r="DH48" s="173"/>
      <c r="DI48" s="173"/>
      <c r="DJ48" s="173"/>
      <c r="DK48" s="173"/>
      <c r="DL48" s="173"/>
      <c r="DM48" s="173"/>
      <c r="DN48" s="173"/>
      <c r="DO48" s="173"/>
      <c r="DP48" s="173"/>
      <c r="DQ48" s="173"/>
      <c r="DR48" s="173"/>
      <c r="DS48" s="173"/>
      <c r="DT48" s="173"/>
      <c r="DU48" s="173"/>
      <c r="DV48" s="173"/>
      <c r="DW48" s="173"/>
      <c r="DX48" s="173"/>
      <c r="DY48" s="173"/>
      <c r="DZ48" s="173"/>
      <c r="EA48" s="173"/>
      <c r="EB48" s="173"/>
      <c r="EC48" s="173"/>
      <c r="ED48" s="173"/>
      <c r="EE48" s="173"/>
      <c r="EF48" s="173"/>
      <c r="EG48" s="173"/>
      <c r="EH48" s="173"/>
      <c r="EI48" s="173"/>
      <c r="EJ48" s="173"/>
      <c r="EK48" s="173"/>
      <c r="EL48" s="173"/>
      <c r="EM48" s="173"/>
      <c r="EN48" s="173"/>
      <c r="EO48" s="173"/>
      <c r="EP48" s="173"/>
      <c r="EQ48" s="173"/>
      <c r="ER48" s="173"/>
      <c r="ES48" s="173"/>
      <c r="ET48" s="173"/>
      <c r="EU48" s="173"/>
      <c r="EV48" s="173"/>
      <c r="EW48" s="173"/>
      <c r="EX48" s="173"/>
      <c r="EY48" s="173"/>
      <c r="EZ48" s="173"/>
      <c r="FA48" s="173"/>
      <c r="FB48" s="173"/>
      <c r="FC48" s="173"/>
      <c r="FD48" s="173"/>
      <c r="FE48" s="173"/>
      <c r="FF48" s="173"/>
      <c r="FG48" s="173"/>
      <c r="FH48" s="173"/>
      <c r="FI48" s="173"/>
      <c r="FJ48" s="173"/>
      <c r="FK48" s="173"/>
      <c r="FL48" s="173"/>
      <c r="FM48" s="173"/>
      <c r="FN48" s="173"/>
      <c r="FO48" s="173"/>
      <c r="FP48" s="173"/>
      <c r="FQ48" s="173"/>
      <c r="FR48" s="173"/>
      <c r="FS48" s="173"/>
      <c r="FT48" s="173"/>
      <c r="FU48" s="173"/>
      <c r="FV48" s="173"/>
      <c r="FW48" s="173"/>
      <c r="FX48" s="173"/>
      <c r="FY48" s="173"/>
      <c r="FZ48" s="173"/>
      <c r="GA48" s="173"/>
      <c r="GB48" s="173"/>
      <c r="GC48" s="173"/>
      <c r="GD48" s="173"/>
      <c r="GE48" s="173"/>
      <c r="GF48" s="173"/>
      <c r="GG48" s="173"/>
      <c r="GH48" s="173"/>
      <c r="GI48" s="173"/>
      <c r="GJ48" s="173"/>
      <c r="GK48" s="173"/>
      <c r="GL48" s="173"/>
      <c r="GM48" s="173"/>
      <c r="GN48" s="173"/>
      <c r="GO48" s="173"/>
      <c r="GP48" s="173"/>
      <c r="GQ48" s="173"/>
      <c r="GR48" s="173"/>
      <c r="GS48" s="173"/>
      <c r="GT48" s="173"/>
      <c r="GU48" s="173"/>
      <c r="GV48" s="173"/>
      <c r="GW48" s="173"/>
      <c r="GX48" s="173"/>
      <c r="GY48" s="173"/>
      <c r="GZ48" s="173"/>
      <c r="HA48" s="173"/>
      <c r="HB48" s="173"/>
      <c r="HC48" s="173"/>
      <c r="HD48" s="173"/>
      <c r="HE48" s="173"/>
      <c r="HF48" s="173"/>
      <c r="HG48" s="173"/>
      <c r="HH48" s="173"/>
      <c r="HI48" s="173"/>
      <c r="HJ48" s="173"/>
      <c r="HK48" s="173"/>
      <c r="HL48" s="173"/>
      <c r="HM48" s="173"/>
      <c r="HN48" s="173"/>
      <c r="HO48" s="173"/>
      <c r="HP48" s="173"/>
      <c r="HQ48" s="173"/>
      <c r="HR48" s="173"/>
      <c r="HS48" s="173"/>
      <c r="HT48" s="173"/>
      <c r="HU48" s="173"/>
      <c r="HV48" s="173"/>
      <c r="HW48" s="173"/>
      <c r="HX48" s="173"/>
      <c r="HY48" s="173"/>
      <c r="HZ48" s="173"/>
      <c r="IA48" s="173"/>
      <c r="IB48" s="173"/>
      <c r="IC48" s="173"/>
      <c r="ID48" s="173"/>
      <c r="IE48" s="173"/>
      <c r="IF48" s="173"/>
      <c r="IG48" s="173"/>
      <c r="IH48" s="173"/>
      <c r="II48" s="173"/>
      <c r="IJ48" s="173"/>
      <c r="IK48" s="173"/>
      <c r="IL48" s="173"/>
      <c r="IM48" s="173"/>
      <c r="IN48" s="173"/>
      <c r="IO48" s="173"/>
      <c r="IP48" s="173"/>
      <c r="IQ48" s="173"/>
      <c r="IR48" s="173"/>
      <c r="IS48" s="173"/>
      <c r="IT48" s="173"/>
      <c r="IU48" s="173"/>
      <c r="IV48" s="173"/>
    </row>
    <row r="49" spans="1:256" ht="32.5" customHeight="1">
      <c r="A49" s="10"/>
      <c r="B49" s="30" t="s">
        <v>0</v>
      </c>
      <c r="C49" s="30" t="s">
        <v>1</v>
      </c>
      <c r="D49" s="30" t="s">
        <v>2</v>
      </c>
      <c r="E49" s="30" t="s">
        <v>3</v>
      </c>
      <c r="F49" s="30" t="s">
        <v>4</v>
      </c>
      <c r="G49" s="30" t="s">
        <v>5</v>
      </c>
      <c r="H49" s="30" t="s">
        <v>68</v>
      </c>
      <c r="I49" s="30" t="s">
        <v>7</v>
      </c>
      <c r="J49" s="30" t="s">
        <v>8</v>
      </c>
      <c r="K49" s="10" t="s">
        <v>9</v>
      </c>
      <c r="L49" s="10" t="s">
        <v>56</v>
      </c>
      <c r="M49" s="20"/>
      <c r="N49" s="12"/>
      <c r="O49" s="20"/>
      <c r="P49" s="27"/>
      <c r="Q49" s="30" t="s">
        <v>15</v>
      </c>
      <c r="R49" s="30" t="s">
        <v>16</v>
      </c>
      <c r="S49" s="30" t="s">
        <v>28</v>
      </c>
      <c r="T49" s="20"/>
      <c r="U49" s="11"/>
      <c r="V49" s="27"/>
      <c r="W49" s="30" t="s">
        <v>15</v>
      </c>
      <c r="X49" s="30" t="s">
        <v>20</v>
      </c>
      <c r="Y49" s="30" t="s">
        <v>21</v>
      </c>
      <c r="Z49" s="30" t="s">
        <v>22</v>
      </c>
      <c r="AA49" s="30" t="s">
        <v>23</v>
      </c>
      <c r="AB49" s="30" t="s">
        <v>24</v>
      </c>
      <c r="AC49" s="20"/>
      <c r="AD49" s="11"/>
      <c r="AE49" s="27"/>
      <c r="AF49" s="30" t="s">
        <v>20</v>
      </c>
      <c r="AG49" s="30" t="s">
        <v>21</v>
      </c>
      <c r="AH49" s="30" t="s">
        <v>22</v>
      </c>
      <c r="AI49" s="30" t="s">
        <v>23</v>
      </c>
      <c r="AJ49" s="30" t="s">
        <v>24</v>
      </c>
      <c r="AK49" s="30" t="s">
        <v>28</v>
      </c>
      <c r="AL49" s="20"/>
      <c r="AM49" s="44"/>
      <c r="AN49" s="27"/>
      <c r="AO49" s="30" t="s">
        <v>15</v>
      </c>
      <c r="AP49" s="30" t="s">
        <v>20</v>
      </c>
      <c r="AQ49" s="30" t="s">
        <v>21</v>
      </c>
      <c r="AR49" s="30" t="s">
        <v>16</v>
      </c>
      <c r="AS49" s="30" t="s">
        <v>22</v>
      </c>
      <c r="AT49" s="30" t="s">
        <v>24</v>
      </c>
      <c r="AU49" s="20"/>
      <c r="AV49" s="11"/>
      <c r="AW49" s="27"/>
      <c r="AX49" s="30" t="s">
        <v>15</v>
      </c>
      <c r="AY49" s="30" t="s">
        <v>20</v>
      </c>
      <c r="AZ49" s="30" t="s">
        <v>22</v>
      </c>
      <c r="BA49" s="30" t="s">
        <v>23</v>
      </c>
      <c r="BB49" s="30" t="s">
        <v>28</v>
      </c>
      <c r="BC49" s="20"/>
      <c r="BD49" s="11"/>
      <c r="BE49" s="27"/>
      <c r="BF49" s="9" t="s">
        <v>38</v>
      </c>
      <c r="BG49" s="9" t="s">
        <v>39</v>
      </c>
      <c r="BH49" s="9" t="s">
        <v>40</v>
      </c>
      <c r="BI49" s="9" t="s">
        <v>41</v>
      </c>
      <c r="BJ49" s="173"/>
      <c r="BK49" s="173"/>
      <c r="BL49" s="173"/>
      <c r="BM49" s="173"/>
      <c r="BN49" s="173"/>
      <c r="BO49" s="173"/>
      <c r="BP49" s="173"/>
      <c r="BQ49" s="173"/>
      <c r="BR49" s="173"/>
      <c r="BS49" s="173"/>
      <c r="BT49" s="173"/>
      <c r="BU49" s="173"/>
      <c r="BV49" s="173"/>
      <c r="BW49" s="173"/>
      <c r="BX49" s="173"/>
      <c r="BY49" s="173"/>
      <c r="BZ49" s="173"/>
      <c r="CA49" s="173"/>
      <c r="CB49" s="173"/>
      <c r="CC49" s="173"/>
      <c r="CD49" s="173"/>
      <c r="CE49" s="173"/>
      <c r="CF49" s="173"/>
      <c r="CG49" s="173"/>
      <c r="CH49" s="173"/>
      <c r="CI49" s="173"/>
      <c r="CJ49" s="173"/>
      <c r="CK49" s="173"/>
      <c r="CL49" s="173"/>
      <c r="CM49" s="173"/>
      <c r="CN49" s="173"/>
      <c r="CO49" s="173"/>
      <c r="CP49" s="173"/>
      <c r="CQ49" s="173"/>
      <c r="CR49" s="173"/>
      <c r="CS49" s="173"/>
      <c r="CT49" s="173"/>
      <c r="CU49" s="173"/>
      <c r="CV49" s="173"/>
      <c r="CW49" s="173"/>
      <c r="CX49" s="173"/>
      <c r="CY49" s="173"/>
      <c r="CZ49" s="173"/>
      <c r="DA49" s="173"/>
      <c r="DB49" s="173"/>
      <c r="DC49" s="173"/>
      <c r="DD49" s="173"/>
      <c r="DE49" s="173"/>
      <c r="DF49" s="173"/>
      <c r="DG49" s="173"/>
      <c r="DH49" s="173"/>
      <c r="DI49" s="173"/>
      <c r="DJ49" s="173"/>
      <c r="DK49" s="173"/>
      <c r="DL49" s="173"/>
      <c r="DM49" s="173"/>
      <c r="DN49" s="173"/>
      <c r="DO49" s="173"/>
      <c r="DP49" s="173"/>
      <c r="DQ49" s="173"/>
      <c r="DR49" s="173"/>
      <c r="DS49" s="173"/>
      <c r="DT49" s="173"/>
      <c r="DU49" s="173"/>
      <c r="DV49" s="173"/>
      <c r="DW49" s="173"/>
      <c r="DX49" s="173"/>
      <c r="DY49" s="173"/>
      <c r="DZ49" s="173"/>
      <c r="EA49" s="173"/>
      <c r="EB49" s="173"/>
      <c r="EC49" s="173"/>
      <c r="ED49" s="173"/>
      <c r="EE49" s="173"/>
      <c r="EF49" s="173"/>
      <c r="EG49" s="173"/>
      <c r="EH49" s="173"/>
      <c r="EI49" s="173"/>
      <c r="EJ49" s="173"/>
      <c r="EK49" s="173"/>
      <c r="EL49" s="173"/>
      <c r="EM49" s="173"/>
      <c r="EN49" s="173"/>
      <c r="EO49" s="173"/>
      <c r="EP49" s="173"/>
      <c r="EQ49" s="173"/>
      <c r="ER49" s="173"/>
      <c r="ES49" s="173"/>
      <c r="ET49" s="173"/>
      <c r="EU49" s="173"/>
      <c r="EV49" s="173"/>
      <c r="EW49" s="173"/>
      <c r="EX49" s="173"/>
      <c r="EY49" s="173"/>
      <c r="EZ49" s="173"/>
      <c r="FA49" s="173"/>
      <c r="FB49" s="173"/>
      <c r="FC49" s="173"/>
      <c r="FD49" s="173"/>
      <c r="FE49" s="173"/>
      <c r="FF49" s="173"/>
      <c r="FG49" s="173"/>
      <c r="FH49" s="173"/>
      <c r="FI49" s="173"/>
      <c r="FJ49" s="173"/>
      <c r="FK49" s="173"/>
      <c r="FL49" s="173"/>
      <c r="FM49" s="173"/>
      <c r="FN49" s="173"/>
      <c r="FO49" s="173"/>
      <c r="FP49" s="173"/>
      <c r="FQ49" s="173"/>
      <c r="FR49" s="173"/>
      <c r="FS49" s="173"/>
      <c r="FT49" s="173"/>
      <c r="FU49" s="173"/>
      <c r="FV49" s="173"/>
      <c r="FW49" s="173"/>
      <c r="FX49" s="173"/>
      <c r="FY49" s="173"/>
      <c r="FZ49" s="173"/>
      <c r="GA49" s="173"/>
      <c r="GB49" s="173"/>
      <c r="GC49" s="173"/>
      <c r="GD49" s="173"/>
      <c r="GE49" s="173"/>
      <c r="GF49" s="173"/>
      <c r="GG49" s="173"/>
      <c r="GH49" s="173"/>
      <c r="GI49" s="173"/>
      <c r="GJ49" s="173"/>
      <c r="GK49" s="173"/>
      <c r="GL49" s="173"/>
      <c r="GM49" s="173"/>
      <c r="GN49" s="173"/>
      <c r="GO49" s="173"/>
      <c r="GP49" s="173"/>
      <c r="GQ49" s="173"/>
      <c r="GR49" s="173"/>
      <c r="GS49" s="173"/>
      <c r="GT49" s="173"/>
      <c r="GU49" s="173"/>
      <c r="GV49" s="173"/>
      <c r="GW49" s="173"/>
      <c r="GX49" s="173"/>
      <c r="GY49" s="173"/>
      <c r="GZ49" s="173"/>
      <c r="HA49" s="173"/>
      <c r="HB49" s="173"/>
      <c r="HC49" s="173"/>
      <c r="HD49" s="173"/>
      <c r="HE49" s="173"/>
      <c r="HF49" s="173"/>
      <c r="HG49" s="173"/>
      <c r="HH49" s="173"/>
      <c r="HI49" s="173"/>
      <c r="HJ49" s="173"/>
      <c r="HK49" s="173"/>
      <c r="HL49" s="173"/>
      <c r="HM49" s="173"/>
      <c r="HN49" s="173"/>
      <c r="HO49" s="173"/>
      <c r="HP49" s="173"/>
      <c r="HQ49" s="173"/>
      <c r="HR49" s="173"/>
      <c r="HS49" s="173"/>
      <c r="HT49" s="173"/>
      <c r="HU49" s="173"/>
      <c r="HV49" s="173"/>
      <c r="HW49" s="173"/>
      <c r="HX49" s="173"/>
      <c r="HY49" s="173"/>
      <c r="HZ49" s="173"/>
      <c r="IA49" s="173"/>
      <c r="IB49" s="173"/>
      <c r="IC49" s="173"/>
      <c r="ID49" s="173"/>
      <c r="IE49" s="173"/>
      <c r="IF49" s="173"/>
      <c r="IG49" s="173"/>
      <c r="IH49" s="173"/>
      <c r="II49" s="173"/>
      <c r="IJ49" s="173"/>
      <c r="IK49" s="173"/>
      <c r="IL49" s="173"/>
      <c r="IM49" s="173"/>
      <c r="IN49" s="173"/>
      <c r="IO49" s="173"/>
      <c r="IP49" s="173"/>
      <c r="IQ49" s="173"/>
      <c r="IR49" s="173"/>
      <c r="IS49" s="173"/>
      <c r="IT49" s="173"/>
      <c r="IU49" s="173"/>
      <c r="IV49" s="173"/>
    </row>
    <row r="50" spans="1:256" ht="36">
      <c r="A50" s="10" t="s">
        <v>75</v>
      </c>
      <c r="B50" s="9" t="s">
        <v>59</v>
      </c>
      <c r="C50" s="32">
        <v>2</v>
      </c>
      <c r="D50" s="32">
        <v>7</v>
      </c>
      <c r="E50" s="32">
        <v>6</v>
      </c>
      <c r="F50" s="32">
        <v>5</v>
      </c>
      <c r="G50" s="32">
        <v>3</v>
      </c>
      <c r="H50" s="32">
        <v>1</v>
      </c>
      <c r="I50" s="32">
        <v>9</v>
      </c>
      <c r="J50" s="32">
        <v>2</v>
      </c>
      <c r="K50" s="10">
        <f t="shared" ref="K50:K56" si="34">SUM(B50:J50)</f>
        <v>35</v>
      </c>
      <c r="L50" s="11">
        <f>K50/K53</f>
        <v>0.51470588235294112</v>
      </c>
      <c r="M50" s="35">
        <f>K50/K56</f>
        <v>0.46666666666666667</v>
      </c>
      <c r="N50" s="37"/>
      <c r="O50" s="35"/>
      <c r="P50" s="13"/>
      <c r="Q50" s="38"/>
      <c r="R50" s="38"/>
      <c r="S50" s="38"/>
      <c r="T50" s="38"/>
      <c r="U50" s="40"/>
      <c r="V50" s="13"/>
      <c r="W50" s="38"/>
      <c r="X50" s="38"/>
      <c r="Y50" s="38"/>
      <c r="Z50" s="38"/>
      <c r="AA50" s="38"/>
      <c r="AB50" s="38"/>
      <c r="AC50" s="38"/>
      <c r="AD50" s="40"/>
      <c r="AE50" s="13"/>
      <c r="AF50" s="38"/>
      <c r="AG50" s="38"/>
      <c r="AH50" s="38"/>
      <c r="AI50" s="38"/>
      <c r="AJ50" s="38"/>
      <c r="AK50" s="38"/>
      <c r="AL50" s="38"/>
      <c r="AM50" s="41"/>
      <c r="AN50" s="13"/>
      <c r="AO50" s="38"/>
      <c r="AP50" s="38"/>
      <c r="AQ50" s="38"/>
      <c r="AR50" s="38"/>
      <c r="AS50" s="38"/>
      <c r="AT50" s="38"/>
      <c r="AU50" s="38"/>
      <c r="AV50" s="40"/>
      <c r="AW50" s="13"/>
      <c r="AX50" s="38"/>
      <c r="AY50" s="38"/>
      <c r="AZ50" s="38"/>
      <c r="BA50" s="38"/>
      <c r="BB50" s="38"/>
      <c r="BC50" s="38"/>
      <c r="BD50" s="40"/>
      <c r="BE50" s="13"/>
      <c r="BF50" s="38"/>
      <c r="BG50" s="42"/>
      <c r="BH50" s="42"/>
      <c r="BI50" s="42"/>
      <c r="BJ50" s="173"/>
      <c r="BK50" s="173"/>
      <c r="BL50" s="173"/>
      <c r="BM50" s="173"/>
      <c r="BN50" s="173"/>
      <c r="BO50" s="173"/>
      <c r="BP50" s="173"/>
      <c r="BQ50" s="173"/>
      <c r="BR50" s="173"/>
      <c r="BS50" s="173"/>
      <c r="BT50" s="173"/>
      <c r="BU50" s="173"/>
      <c r="BV50" s="173"/>
      <c r="BW50" s="173"/>
      <c r="BX50" s="173"/>
      <c r="BY50" s="173"/>
      <c r="BZ50" s="173"/>
      <c r="CA50" s="173"/>
      <c r="CB50" s="173"/>
      <c r="CC50" s="173"/>
      <c r="CD50" s="173"/>
      <c r="CE50" s="173"/>
      <c r="CF50" s="173"/>
      <c r="CG50" s="173"/>
      <c r="CH50" s="173"/>
      <c r="CI50" s="173"/>
      <c r="CJ50" s="173"/>
      <c r="CK50" s="173"/>
      <c r="CL50" s="173"/>
      <c r="CM50" s="173"/>
      <c r="CN50" s="173"/>
      <c r="CO50" s="173"/>
      <c r="CP50" s="173"/>
      <c r="CQ50" s="173"/>
      <c r="CR50" s="173"/>
      <c r="CS50" s="173"/>
      <c r="CT50" s="173"/>
      <c r="CU50" s="173"/>
      <c r="CV50" s="173"/>
      <c r="CW50" s="173"/>
      <c r="CX50" s="173"/>
      <c r="CY50" s="173"/>
      <c r="CZ50" s="173"/>
      <c r="DA50" s="173"/>
      <c r="DB50" s="173"/>
      <c r="DC50" s="173"/>
      <c r="DD50" s="173"/>
      <c r="DE50" s="173"/>
      <c r="DF50" s="173"/>
      <c r="DG50" s="173"/>
      <c r="DH50" s="173"/>
      <c r="DI50" s="173"/>
      <c r="DJ50" s="173"/>
      <c r="DK50" s="173"/>
      <c r="DL50" s="173"/>
      <c r="DM50" s="173"/>
      <c r="DN50" s="173"/>
      <c r="DO50" s="173"/>
      <c r="DP50" s="173"/>
      <c r="DQ50" s="173"/>
      <c r="DR50" s="173"/>
      <c r="DS50" s="173"/>
      <c r="DT50" s="173"/>
      <c r="DU50" s="173"/>
      <c r="DV50" s="173"/>
      <c r="DW50" s="173"/>
      <c r="DX50" s="173"/>
      <c r="DY50" s="173"/>
      <c r="DZ50" s="173"/>
      <c r="EA50" s="173"/>
      <c r="EB50" s="173"/>
      <c r="EC50" s="173"/>
      <c r="ED50" s="173"/>
      <c r="EE50" s="173"/>
      <c r="EF50" s="173"/>
      <c r="EG50" s="173"/>
      <c r="EH50" s="173"/>
      <c r="EI50" s="173"/>
      <c r="EJ50" s="173"/>
      <c r="EK50" s="173"/>
      <c r="EL50" s="173"/>
      <c r="EM50" s="173"/>
      <c r="EN50" s="173"/>
      <c r="EO50" s="173"/>
      <c r="EP50" s="173"/>
      <c r="EQ50" s="173"/>
      <c r="ER50" s="173"/>
      <c r="ES50" s="173"/>
      <c r="ET50" s="173"/>
      <c r="EU50" s="173"/>
      <c r="EV50" s="173"/>
      <c r="EW50" s="173"/>
      <c r="EX50" s="173"/>
      <c r="EY50" s="173"/>
      <c r="EZ50" s="173"/>
      <c r="FA50" s="173"/>
      <c r="FB50" s="173"/>
      <c r="FC50" s="173"/>
      <c r="FD50" s="173"/>
      <c r="FE50" s="173"/>
      <c r="FF50" s="173"/>
      <c r="FG50" s="173"/>
      <c r="FH50" s="173"/>
      <c r="FI50" s="173"/>
      <c r="FJ50" s="173"/>
      <c r="FK50" s="173"/>
      <c r="FL50" s="173"/>
      <c r="FM50" s="173"/>
      <c r="FN50" s="173"/>
      <c r="FO50" s="173"/>
      <c r="FP50" s="173"/>
      <c r="FQ50" s="173"/>
      <c r="FR50" s="173"/>
      <c r="FS50" s="173"/>
      <c r="FT50" s="173"/>
      <c r="FU50" s="173"/>
      <c r="FV50" s="173"/>
      <c r="FW50" s="173"/>
      <c r="FX50" s="173"/>
      <c r="FY50" s="173"/>
      <c r="FZ50" s="173"/>
      <c r="GA50" s="173"/>
      <c r="GB50" s="173"/>
      <c r="GC50" s="173"/>
      <c r="GD50" s="173"/>
      <c r="GE50" s="173"/>
      <c r="GF50" s="173"/>
      <c r="GG50" s="173"/>
      <c r="GH50" s="173"/>
      <c r="GI50" s="173"/>
      <c r="GJ50" s="173"/>
      <c r="GK50" s="173"/>
      <c r="GL50" s="173"/>
      <c r="GM50" s="173"/>
      <c r="GN50" s="173"/>
      <c r="GO50" s="173"/>
      <c r="GP50" s="173"/>
      <c r="GQ50" s="173"/>
      <c r="GR50" s="173"/>
      <c r="GS50" s="173"/>
      <c r="GT50" s="173"/>
      <c r="GU50" s="173"/>
      <c r="GV50" s="173"/>
      <c r="GW50" s="173"/>
      <c r="GX50" s="173"/>
      <c r="GY50" s="173"/>
      <c r="GZ50" s="173"/>
      <c r="HA50" s="173"/>
      <c r="HB50" s="173"/>
      <c r="HC50" s="173"/>
      <c r="HD50" s="173"/>
      <c r="HE50" s="173"/>
      <c r="HF50" s="173"/>
      <c r="HG50" s="173"/>
      <c r="HH50" s="173"/>
      <c r="HI50" s="173"/>
      <c r="HJ50" s="173"/>
      <c r="HK50" s="173"/>
      <c r="HL50" s="173"/>
      <c r="HM50" s="173"/>
      <c r="HN50" s="173"/>
      <c r="HO50" s="173"/>
      <c r="HP50" s="173"/>
      <c r="HQ50" s="173"/>
      <c r="HR50" s="173"/>
      <c r="HS50" s="173"/>
      <c r="HT50" s="173"/>
      <c r="HU50" s="173"/>
      <c r="HV50" s="173"/>
      <c r="HW50" s="173"/>
      <c r="HX50" s="173"/>
      <c r="HY50" s="173"/>
      <c r="HZ50" s="173"/>
      <c r="IA50" s="173"/>
      <c r="IB50" s="173"/>
      <c r="IC50" s="173"/>
      <c r="ID50" s="173"/>
      <c r="IE50" s="173"/>
      <c r="IF50" s="173"/>
      <c r="IG50" s="173"/>
      <c r="IH50" s="173"/>
      <c r="II50" s="173"/>
      <c r="IJ50" s="173"/>
      <c r="IK50" s="173"/>
      <c r="IL50" s="173"/>
      <c r="IM50" s="173"/>
      <c r="IN50" s="173"/>
      <c r="IO50" s="173"/>
      <c r="IP50" s="173"/>
      <c r="IQ50" s="173"/>
      <c r="IR50" s="173"/>
      <c r="IS50" s="173"/>
      <c r="IT50" s="173"/>
      <c r="IU50" s="173"/>
      <c r="IV50" s="173"/>
    </row>
    <row r="51" spans="1:256" ht="36">
      <c r="A51" s="10" t="s">
        <v>76</v>
      </c>
      <c r="B51" s="9" t="s">
        <v>59</v>
      </c>
      <c r="C51" s="32">
        <v>1</v>
      </c>
      <c r="D51" s="32">
        <v>3</v>
      </c>
      <c r="E51" s="32">
        <v>4</v>
      </c>
      <c r="F51" s="32">
        <v>4</v>
      </c>
      <c r="G51" s="32">
        <v>5</v>
      </c>
      <c r="H51" s="32">
        <v>4</v>
      </c>
      <c r="I51" s="32">
        <v>0</v>
      </c>
      <c r="J51" s="32">
        <v>0</v>
      </c>
      <c r="K51" s="10">
        <f t="shared" si="34"/>
        <v>21</v>
      </c>
      <c r="L51" s="11">
        <f>K51/K53</f>
        <v>0.30882352941176472</v>
      </c>
      <c r="M51" s="35">
        <f>K51/K56</f>
        <v>0.28000000000000003</v>
      </c>
      <c r="N51" s="37"/>
      <c r="O51" s="35"/>
      <c r="P51" s="13"/>
      <c r="Q51" s="38"/>
      <c r="R51" s="38"/>
      <c r="S51" s="38"/>
      <c r="T51" s="38"/>
      <c r="U51" s="40"/>
      <c r="V51" s="13"/>
      <c r="W51" s="38"/>
      <c r="X51" s="38"/>
      <c r="Y51" s="38"/>
      <c r="Z51" s="38"/>
      <c r="AA51" s="38"/>
      <c r="AB51" s="38"/>
      <c r="AC51" s="38"/>
      <c r="AD51" s="40"/>
      <c r="AE51" s="13"/>
      <c r="AF51" s="38"/>
      <c r="AG51" s="38"/>
      <c r="AH51" s="38"/>
      <c r="AI51" s="38"/>
      <c r="AJ51" s="38"/>
      <c r="AK51" s="38"/>
      <c r="AL51" s="38"/>
      <c r="AM51" s="41"/>
      <c r="AN51" s="13"/>
      <c r="AO51" s="38"/>
      <c r="AP51" s="38"/>
      <c r="AQ51" s="38"/>
      <c r="AR51" s="38"/>
      <c r="AS51" s="38"/>
      <c r="AT51" s="38"/>
      <c r="AU51" s="38"/>
      <c r="AV51" s="40"/>
      <c r="AW51" s="13"/>
      <c r="AX51" s="38"/>
      <c r="AY51" s="38"/>
      <c r="AZ51" s="38"/>
      <c r="BA51" s="38"/>
      <c r="BB51" s="38"/>
      <c r="BC51" s="38"/>
      <c r="BD51" s="40"/>
      <c r="BE51" s="13"/>
      <c r="BF51" s="38"/>
      <c r="BG51" s="42"/>
      <c r="BH51" s="42"/>
      <c r="BI51" s="42"/>
      <c r="BJ51" s="173"/>
      <c r="BK51" s="173"/>
      <c r="BL51" s="173"/>
      <c r="BM51" s="173"/>
      <c r="BN51" s="173"/>
      <c r="BO51" s="173"/>
      <c r="BP51" s="173"/>
      <c r="BQ51" s="173"/>
      <c r="BR51" s="173"/>
      <c r="BS51" s="173"/>
      <c r="BT51" s="173"/>
      <c r="BU51" s="173"/>
      <c r="BV51" s="173"/>
      <c r="BW51" s="173"/>
      <c r="BX51" s="173"/>
      <c r="BY51" s="173"/>
      <c r="BZ51" s="173"/>
      <c r="CA51" s="173"/>
      <c r="CB51" s="173"/>
      <c r="CC51" s="173"/>
      <c r="CD51" s="173"/>
      <c r="CE51" s="173"/>
      <c r="CF51" s="173"/>
      <c r="CG51" s="173"/>
      <c r="CH51" s="173"/>
      <c r="CI51" s="173"/>
      <c r="CJ51" s="173"/>
      <c r="CK51" s="173"/>
      <c r="CL51" s="173"/>
      <c r="CM51" s="173"/>
      <c r="CN51" s="173"/>
      <c r="CO51" s="173"/>
      <c r="CP51" s="173"/>
      <c r="CQ51" s="173"/>
      <c r="CR51" s="173"/>
      <c r="CS51" s="173"/>
      <c r="CT51" s="173"/>
      <c r="CU51" s="173"/>
      <c r="CV51" s="173"/>
      <c r="CW51" s="173"/>
      <c r="CX51" s="173"/>
      <c r="CY51" s="173"/>
      <c r="CZ51" s="173"/>
      <c r="DA51" s="173"/>
      <c r="DB51" s="173"/>
      <c r="DC51" s="173"/>
      <c r="DD51" s="173"/>
      <c r="DE51" s="173"/>
      <c r="DF51" s="173"/>
      <c r="DG51" s="173"/>
      <c r="DH51" s="173"/>
      <c r="DI51" s="173"/>
      <c r="DJ51" s="173"/>
      <c r="DK51" s="173"/>
      <c r="DL51" s="173"/>
      <c r="DM51" s="173"/>
      <c r="DN51" s="173"/>
      <c r="DO51" s="173"/>
      <c r="DP51" s="173"/>
      <c r="DQ51" s="173"/>
      <c r="DR51" s="173"/>
      <c r="DS51" s="173"/>
      <c r="DT51" s="173"/>
      <c r="DU51" s="173"/>
      <c r="DV51" s="173"/>
      <c r="DW51" s="173"/>
      <c r="DX51" s="173"/>
      <c r="DY51" s="173"/>
      <c r="DZ51" s="173"/>
      <c r="EA51" s="173"/>
      <c r="EB51" s="173"/>
      <c r="EC51" s="173"/>
      <c r="ED51" s="173"/>
      <c r="EE51" s="173"/>
      <c r="EF51" s="173"/>
      <c r="EG51" s="173"/>
      <c r="EH51" s="173"/>
      <c r="EI51" s="173"/>
      <c r="EJ51" s="173"/>
      <c r="EK51" s="173"/>
      <c r="EL51" s="173"/>
      <c r="EM51" s="173"/>
      <c r="EN51" s="173"/>
      <c r="EO51" s="173"/>
      <c r="EP51" s="173"/>
      <c r="EQ51" s="173"/>
      <c r="ER51" s="173"/>
      <c r="ES51" s="173"/>
      <c r="ET51" s="173"/>
      <c r="EU51" s="173"/>
      <c r="EV51" s="173"/>
      <c r="EW51" s="173"/>
      <c r="EX51" s="173"/>
      <c r="EY51" s="173"/>
      <c r="EZ51" s="173"/>
      <c r="FA51" s="173"/>
      <c r="FB51" s="173"/>
      <c r="FC51" s="173"/>
      <c r="FD51" s="173"/>
      <c r="FE51" s="173"/>
      <c r="FF51" s="173"/>
      <c r="FG51" s="173"/>
      <c r="FH51" s="173"/>
      <c r="FI51" s="173"/>
      <c r="FJ51" s="173"/>
      <c r="FK51" s="173"/>
      <c r="FL51" s="173"/>
      <c r="FM51" s="173"/>
      <c r="FN51" s="173"/>
      <c r="FO51" s="173"/>
      <c r="FP51" s="173"/>
      <c r="FQ51" s="173"/>
      <c r="FR51" s="173"/>
      <c r="FS51" s="173"/>
      <c r="FT51" s="173"/>
      <c r="FU51" s="173"/>
      <c r="FV51" s="173"/>
      <c r="FW51" s="173"/>
      <c r="FX51" s="173"/>
      <c r="FY51" s="173"/>
      <c r="FZ51" s="173"/>
      <c r="GA51" s="173"/>
      <c r="GB51" s="173"/>
      <c r="GC51" s="173"/>
      <c r="GD51" s="173"/>
      <c r="GE51" s="173"/>
      <c r="GF51" s="173"/>
      <c r="GG51" s="173"/>
      <c r="GH51" s="173"/>
      <c r="GI51" s="173"/>
      <c r="GJ51" s="173"/>
      <c r="GK51" s="173"/>
      <c r="GL51" s="173"/>
      <c r="GM51" s="173"/>
      <c r="GN51" s="173"/>
      <c r="GO51" s="173"/>
      <c r="GP51" s="173"/>
      <c r="GQ51" s="173"/>
      <c r="GR51" s="173"/>
      <c r="GS51" s="173"/>
      <c r="GT51" s="173"/>
      <c r="GU51" s="173"/>
      <c r="GV51" s="173"/>
      <c r="GW51" s="173"/>
      <c r="GX51" s="173"/>
      <c r="GY51" s="173"/>
      <c r="GZ51" s="173"/>
      <c r="HA51" s="173"/>
      <c r="HB51" s="173"/>
      <c r="HC51" s="173"/>
      <c r="HD51" s="173"/>
      <c r="HE51" s="173"/>
      <c r="HF51" s="173"/>
      <c r="HG51" s="173"/>
      <c r="HH51" s="173"/>
      <c r="HI51" s="173"/>
      <c r="HJ51" s="173"/>
      <c r="HK51" s="173"/>
      <c r="HL51" s="173"/>
      <c r="HM51" s="173"/>
      <c r="HN51" s="173"/>
      <c r="HO51" s="173"/>
      <c r="HP51" s="173"/>
      <c r="HQ51" s="173"/>
      <c r="HR51" s="173"/>
      <c r="HS51" s="173"/>
      <c r="HT51" s="173"/>
      <c r="HU51" s="173"/>
      <c r="HV51" s="173"/>
      <c r="HW51" s="173"/>
      <c r="HX51" s="173"/>
      <c r="HY51" s="173"/>
      <c r="HZ51" s="173"/>
      <c r="IA51" s="173"/>
      <c r="IB51" s="173"/>
      <c r="IC51" s="173"/>
      <c r="ID51" s="173"/>
      <c r="IE51" s="173"/>
      <c r="IF51" s="173"/>
      <c r="IG51" s="173"/>
      <c r="IH51" s="173"/>
      <c r="II51" s="173"/>
      <c r="IJ51" s="173"/>
      <c r="IK51" s="173"/>
      <c r="IL51" s="173"/>
      <c r="IM51" s="173"/>
      <c r="IN51" s="173"/>
      <c r="IO51" s="173"/>
      <c r="IP51" s="173"/>
      <c r="IQ51" s="173"/>
      <c r="IR51" s="173"/>
      <c r="IS51" s="173"/>
      <c r="IT51" s="173"/>
      <c r="IU51" s="173"/>
      <c r="IV51" s="173"/>
    </row>
    <row r="52" spans="1:256" ht="36">
      <c r="A52" s="10" t="s">
        <v>77</v>
      </c>
      <c r="B52" s="9" t="s">
        <v>59</v>
      </c>
      <c r="C52" s="32">
        <v>0</v>
      </c>
      <c r="D52" s="32">
        <v>1</v>
      </c>
      <c r="E52" s="32">
        <v>1</v>
      </c>
      <c r="F52" s="32">
        <v>1</v>
      </c>
      <c r="G52" s="32">
        <v>0</v>
      </c>
      <c r="H52" s="32">
        <v>0</v>
      </c>
      <c r="I52" s="32">
        <v>1</v>
      </c>
      <c r="J52" s="32">
        <v>8</v>
      </c>
      <c r="K52" s="10">
        <f t="shared" si="34"/>
        <v>12</v>
      </c>
      <c r="L52" s="11">
        <f>K52/K53</f>
        <v>0.17647058823529413</v>
      </c>
      <c r="M52" s="35">
        <f>K52/K56</f>
        <v>0.16</v>
      </c>
      <c r="N52" s="37"/>
      <c r="O52" s="35"/>
      <c r="P52" s="13"/>
      <c r="Q52" s="38"/>
      <c r="R52" s="38"/>
      <c r="S52" s="38"/>
      <c r="T52" s="38"/>
      <c r="U52" s="40"/>
      <c r="V52" s="13"/>
      <c r="W52" s="38"/>
      <c r="X52" s="38"/>
      <c r="Y52" s="38"/>
      <c r="Z52" s="38"/>
      <c r="AA52" s="38"/>
      <c r="AB52" s="38"/>
      <c r="AC52" s="38"/>
      <c r="AD52" s="40"/>
      <c r="AE52" s="13"/>
      <c r="AF52" s="38"/>
      <c r="AG52" s="38"/>
      <c r="AH52" s="38"/>
      <c r="AI52" s="38"/>
      <c r="AJ52" s="38"/>
      <c r="AK52" s="38"/>
      <c r="AL52" s="38"/>
      <c r="AM52" s="41"/>
      <c r="AN52" s="13"/>
      <c r="AO52" s="38"/>
      <c r="AP52" s="38"/>
      <c r="AQ52" s="38"/>
      <c r="AR52" s="38"/>
      <c r="AS52" s="38"/>
      <c r="AT52" s="38"/>
      <c r="AU52" s="38"/>
      <c r="AV52" s="40"/>
      <c r="AW52" s="13"/>
      <c r="AX52" s="38"/>
      <c r="AY52" s="38"/>
      <c r="AZ52" s="38"/>
      <c r="BA52" s="38"/>
      <c r="BB52" s="38"/>
      <c r="BC52" s="38"/>
      <c r="BD52" s="40"/>
      <c r="BE52" s="13"/>
      <c r="BF52" s="38"/>
      <c r="BG52" s="42"/>
      <c r="BH52" s="42"/>
      <c r="BI52" s="42"/>
      <c r="BJ52" s="173"/>
      <c r="BK52" s="173"/>
      <c r="BL52" s="173"/>
      <c r="BM52" s="173"/>
      <c r="BN52" s="173"/>
      <c r="BO52" s="173"/>
      <c r="BP52" s="173"/>
      <c r="BQ52" s="173"/>
      <c r="BR52" s="173"/>
      <c r="BS52" s="173"/>
      <c r="BT52" s="173"/>
      <c r="BU52" s="173"/>
      <c r="BV52" s="173"/>
      <c r="BW52" s="173"/>
      <c r="BX52" s="173"/>
      <c r="BY52" s="173"/>
      <c r="BZ52" s="173"/>
      <c r="CA52" s="173"/>
      <c r="CB52" s="173"/>
      <c r="CC52" s="173"/>
      <c r="CD52" s="173"/>
      <c r="CE52" s="173"/>
      <c r="CF52" s="173"/>
      <c r="CG52" s="173"/>
      <c r="CH52" s="173"/>
      <c r="CI52" s="173"/>
      <c r="CJ52" s="173"/>
      <c r="CK52" s="173"/>
      <c r="CL52" s="173"/>
      <c r="CM52" s="173"/>
      <c r="CN52" s="173"/>
      <c r="CO52" s="173"/>
      <c r="CP52" s="173"/>
      <c r="CQ52" s="173"/>
      <c r="CR52" s="173"/>
      <c r="CS52" s="173"/>
      <c r="CT52" s="173"/>
      <c r="CU52" s="173"/>
      <c r="CV52" s="173"/>
      <c r="CW52" s="173"/>
      <c r="CX52" s="173"/>
      <c r="CY52" s="173"/>
      <c r="CZ52" s="173"/>
      <c r="DA52" s="173"/>
      <c r="DB52" s="173"/>
      <c r="DC52" s="173"/>
      <c r="DD52" s="173"/>
      <c r="DE52" s="173"/>
      <c r="DF52" s="173"/>
      <c r="DG52" s="173"/>
      <c r="DH52" s="173"/>
      <c r="DI52" s="173"/>
      <c r="DJ52" s="173"/>
      <c r="DK52" s="173"/>
      <c r="DL52" s="173"/>
      <c r="DM52" s="173"/>
      <c r="DN52" s="173"/>
      <c r="DO52" s="173"/>
      <c r="DP52" s="173"/>
      <c r="DQ52" s="173"/>
      <c r="DR52" s="173"/>
      <c r="DS52" s="173"/>
      <c r="DT52" s="173"/>
      <c r="DU52" s="173"/>
      <c r="DV52" s="173"/>
      <c r="DW52" s="173"/>
      <c r="DX52" s="173"/>
      <c r="DY52" s="173"/>
      <c r="DZ52" s="173"/>
      <c r="EA52" s="173"/>
      <c r="EB52" s="173"/>
      <c r="EC52" s="173"/>
      <c r="ED52" s="173"/>
      <c r="EE52" s="173"/>
      <c r="EF52" s="173"/>
      <c r="EG52" s="173"/>
      <c r="EH52" s="173"/>
      <c r="EI52" s="173"/>
      <c r="EJ52" s="173"/>
      <c r="EK52" s="173"/>
      <c r="EL52" s="173"/>
      <c r="EM52" s="173"/>
      <c r="EN52" s="173"/>
      <c r="EO52" s="173"/>
      <c r="EP52" s="173"/>
      <c r="EQ52" s="173"/>
      <c r="ER52" s="173"/>
      <c r="ES52" s="173"/>
      <c r="ET52" s="173"/>
      <c r="EU52" s="173"/>
      <c r="EV52" s="173"/>
      <c r="EW52" s="173"/>
      <c r="EX52" s="173"/>
      <c r="EY52" s="173"/>
      <c r="EZ52" s="173"/>
      <c r="FA52" s="173"/>
      <c r="FB52" s="173"/>
      <c r="FC52" s="173"/>
      <c r="FD52" s="173"/>
      <c r="FE52" s="173"/>
      <c r="FF52" s="173"/>
      <c r="FG52" s="173"/>
      <c r="FH52" s="173"/>
      <c r="FI52" s="173"/>
      <c r="FJ52" s="173"/>
      <c r="FK52" s="173"/>
      <c r="FL52" s="173"/>
      <c r="FM52" s="173"/>
      <c r="FN52" s="173"/>
      <c r="FO52" s="173"/>
      <c r="FP52" s="173"/>
      <c r="FQ52" s="173"/>
      <c r="FR52" s="173"/>
      <c r="FS52" s="173"/>
      <c r="FT52" s="173"/>
      <c r="FU52" s="173"/>
      <c r="FV52" s="173"/>
      <c r="FW52" s="173"/>
      <c r="FX52" s="173"/>
      <c r="FY52" s="173"/>
      <c r="FZ52" s="173"/>
      <c r="GA52" s="173"/>
      <c r="GB52" s="173"/>
      <c r="GC52" s="173"/>
      <c r="GD52" s="173"/>
      <c r="GE52" s="173"/>
      <c r="GF52" s="173"/>
      <c r="GG52" s="173"/>
      <c r="GH52" s="173"/>
      <c r="GI52" s="173"/>
      <c r="GJ52" s="173"/>
      <c r="GK52" s="173"/>
      <c r="GL52" s="173"/>
      <c r="GM52" s="173"/>
      <c r="GN52" s="173"/>
      <c r="GO52" s="173"/>
      <c r="GP52" s="173"/>
      <c r="GQ52" s="173"/>
      <c r="GR52" s="173"/>
      <c r="GS52" s="173"/>
      <c r="GT52" s="173"/>
      <c r="GU52" s="173"/>
      <c r="GV52" s="173"/>
      <c r="GW52" s="173"/>
      <c r="GX52" s="173"/>
      <c r="GY52" s="173"/>
      <c r="GZ52" s="173"/>
      <c r="HA52" s="173"/>
      <c r="HB52" s="173"/>
      <c r="HC52" s="173"/>
      <c r="HD52" s="173"/>
      <c r="HE52" s="173"/>
      <c r="HF52" s="173"/>
      <c r="HG52" s="173"/>
      <c r="HH52" s="173"/>
      <c r="HI52" s="173"/>
      <c r="HJ52" s="173"/>
      <c r="HK52" s="173"/>
      <c r="HL52" s="173"/>
      <c r="HM52" s="173"/>
      <c r="HN52" s="173"/>
      <c r="HO52" s="173"/>
      <c r="HP52" s="173"/>
      <c r="HQ52" s="173"/>
      <c r="HR52" s="173"/>
      <c r="HS52" s="173"/>
      <c r="HT52" s="173"/>
      <c r="HU52" s="173"/>
      <c r="HV52" s="173"/>
      <c r="HW52" s="173"/>
      <c r="HX52" s="173"/>
      <c r="HY52" s="173"/>
      <c r="HZ52" s="173"/>
      <c r="IA52" s="173"/>
      <c r="IB52" s="173"/>
      <c r="IC52" s="173"/>
      <c r="ID52" s="173"/>
      <c r="IE52" s="173"/>
      <c r="IF52" s="173"/>
      <c r="IG52" s="173"/>
      <c r="IH52" s="173"/>
      <c r="II52" s="173"/>
      <c r="IJ52" s="173"/>
      <c r="IK52" s="173"/>
      <c r="IL52" s="173"/>
      <c r="IM52" s="173"/>
      <c r="IN52" s="173"/>
      <c r="IO52" s="173"/>
      <c r="IP52" s="173"/>
      <c r="IQ52" s="173"/>
      <c r="IR52" s="173"/>
      <c r="IS52" s="173"/>
      <c r="IT52" s="173"/>
      <c r="IU52" s="173"/>
      <c r="IV52" s="173"/>
    </row>
    <row r="53" spans="1:256" ht="20.25" customHeight="1">
      <c r="A53" s="10" t="s">
        <v>9</v>
      </c>
      <c r="B53" s="9" t="s">
        <v>59</v>
      </c>
      <c r="C53" s="9">
        <f t="shared" ref="C53:J53" si="35">SUM(C50:C52)</f>
        <v>3</v>
      </c>
      <c r="D53" s="9">
        <f t="shared" si="35"/>
        <v>11</v>
      </c>
      <c r="E53" s="9">
        <f t="shared" si="35"/>
        <v>11</v>
      </c>
      <c r="F53" s="9">
        <f t="shared" si="35"/>
        <v>10</v>
      </c>
      <c r="G53" s="9">
        <f t="shared" si="35"/>
        <v>8</v>
      </c>
      <c r="H53" s="9">
        <f t="shared" si="35"/>
        <v>5</v>
      </c>
      <c r="I53" s="9">
        <f t="shared" si="35"/>
        <v>10</v>
      </c>
      <c r="J53" s="9">
        <f t="shared" si="35"/>
        <v>10</v>
      </c>
      <c r="K53" s="10">
        <f t="shared" si="34"/>
        <v>68</v>
      </c>
      <c r="L53" s="11">
        <f>SUM(L48:L52)</f>
        <v>1</v>
      </c>
      <c r="M53" s="35">
        <f>K53/K56</f>
        <v>0.90666666666666662</v>
      </c>
      <c r="N53" s="37"/>
      <c r="O53" s="35"/>
      <c r="P53" s="13"/>
      <c r="Q53" s="38"/>
      <c r="R53" s="38"/>
      <c r="S53" s="38"/>
      <c r="T53" s="38"/>
      <c r="U53" s="40"/>
      <c r="V53" s="13"/>
      <c r="W53" s="38"/>
      <c r="X53" s="38"/>
      <c r="Y53" s="38"/>
      <c r="Z53" s="38"/>
      <c r="AA53" s="38"/>
      <c r="AB53" s="38"/>
      <c r="AC53" s="38"/>
      <c r="AD53" s="40"/>
      <c r="AE53" s="13"/>
      <c r="AF53" s="38"/>
      <c r="AG53" s="38"/>
      <c r="AH53" s="38"/>
      <c r="AI53" s="38"/>
      <c r="AJ53" s="38"/>
      <c r="AK53" s="38"/>
      <c r="AL53" s="38"/>
      <c r="AM53" s="41"/>
      <c r="AN53" s="13"/>
      <c r="AO53" s="38"/>
      <c r="AP53" s="38"/>
      <c r="AQ53" s="38"/>
      <c r="AR53" s="38"/>
      <c r="AS53" s="38"/>
      <c r="AT53" s="38"/>
      <c r="AU53" s="38"/>
      <c r="AV53" s="40"/>
      <c r="AW53" s="13"/>
      <c r="AX53" s="38"/>
      <c r="AY53" s="38"/>
      <c r="AZ53" s="38"/>
      <c r="BA53" s="38"/>
      <c r="BB53" s="38"/>
      <c r="BC53" s="38"/>
      <c r="BD53" s="40"/>
      <c r="BE53" s="13"/>
      <c r="BF53" s="38"/>
      <c r="BG53" s="42"/>
      <c r="BH53" s="42"/>
      <c r="BI53" s="42"/>
      <c r="BJ53" s="173"/>
      <c r="BK53" s="173"/>
      <c r="BL53" s="173"/>
      <c r="BM53" s="173"/>
      <c r="BN53" s="173"/>
      <c r="BO53" s="173"/>
      <c r="BP53" s="173"/>
      <c r="BQ53" s="173"/>
      <c r="BR53" s="173"/>
      <c r="BS53" s="173"/>
      <c r="BT53" s="173"/>
      <c r="BU53" s="173"/>
      <c r="BV53" s="173"/>
      <c r="BW53" s="173"/>
      <c r="BX53" s="173"/>
      <c r="BY53" s="173"/>
      <c r="BZ53" s="173"/>
      <c r="CA53" s="173"/>
      <c r="CB53" s="173"/>
      <c r="CC53" s="173"/>
      <c r="CD53" s="173"/>
      <c r="CE53" s="173"/>
      <c r="CF53" s="173"/>
      <c r="CG53" s="173"/>
      <c r="CH53" s="173"/>
      <c r="CI53" s="173"/>
      <c r="CJ53" s="173"/>
      <c r="CK53" s="173"/>
      <c r="CL53" s="173"/>
      <c r="CM53" s="173"/>
      <c r="CN53" s="173"/>
      <c r="CO53" s="173"/>
      <c r="CP53" s="173"/>
      <c r="CQ53" s="173"/>
      <c r="CR53" s="173"/>
      <c r="CS53" s="173"/>
      <c r="CT53" s="173"/>
      <c r="CU53" s="173"/>
      <c r="CV53" s="173"/>
      <c r="CW53" s="173"/>
      <c r="CX53" s="173"/>
      <c r="CY53" s="173"/>
      <c r="CZ53" s="173"/>
      <c r="DA53" s="173"/>
      <c r="DB53" s="173"/>
      <c r="DC53" s="173"/>
      <c r="DD53" s="173"/>
      <c r="DE53" s="173"/>
      <c r="DF53" s="173"/>
      <c r="DG53" s="173"/>
      <c r="DH53" s="173"/>
      <c r="DI53" s="173"/>
      <c r="DJ53" s="173"/>
      <c r="DK53" s="173"/>
      <c r="DL53" s="173"/>
      <c r="DM53" s="173"/>
      <c r="DN53" s="173"/>
      <c r="DO53" s="173"/>
      <c r="DP53" s="173"/>
      <c r="DQ53" s="173"/>
      <c r="DR53" s="173"/>
      <c r="DS53" s="173"/>
      <c r="DT53" s="173"/>
      <c r="DU53" s="173"/>
      <c r="DV53" s="173"/>
      <c r="DW53" s="173"/>
      <c r="DX53" s="173"/>
      <c r="DY53" s="173"/>
      <c r="DZ53" s="173"/>
      <c r="EA53" s="173"/>
      <c r="EB53" s="173"/>
      <c r="EC53" s="173"/>
      <c r="ED53" s="173"/>
      <c r="EE53" s="173"/>
      <c r="EF53" s="173"/>
      <c r="EG53" s="173"/>
      <c r="EH53" s="173"/>
      <c r="EI53" s="173"/>
      <c r="EJ53" s="173"/>
      <c r="EK53" s="173"/>
      <c r="EL53" s="173"/>
      <c r="EM53" s="173"/>
      <c r="EN53" s="173"/>
      <c r="EO53" s="173"/>
      <c r="EP53" s="173"/>
      <c r="EQ53" s="173"/>
      <c r="ER53" s="173"/>
      <c r="ES53" s="173"/>
      <c r="ET53" s="173"/>
      <c r="EU53" s="173"/>
      <c r="EV53" s="173"/>
      <c r="EW53" s="173"/>
      <c r="EX53" s="173"/>
      <c r="EY53" s="173"/>
      <c r="EZ53" s="173"/>
      <c r="FA53" s="173"/>
      <c r="FB53" s="173"/>
      <c r="FC53" s="173"/>
      <c r="FD53" s="173"/>
      <c r="FE53" s="173"/>
      <c r="FF53" s="173"/>
      <c r="FG53" s="173"/>
      <c r="FH53" s="173"/>
      <c r="FI53" s="173"/>
      <c r="FJ53" s="173"/>
      <c r="FK53" s="173"/>
      <c r="FL53" s="173"/>
      <c r="FM53" s="173"/>
      <c r="FN53" s="173"/>
      <c r="FO53" s="173"/>
      <c r="FP53" s="173"/>
      <c r="FQ53" s="173"/>
      <c r="FR53" s="173"/>
      <c r="FS53" s="173"/>
      <c r="FT53" s="173"/>
      <c r="FU53" s="173"/>
      <c r="FV53" s="173"/>
      <c r="FW53" s="173"/>
      <c r="FX53" s="173"/>
      <c r="FY53" s="173"/>
      <c r="FZ53" s="173"/>
      <c r="GA53" s="173"/>
      <c r="GB53" s="173"/>
      <c r="GC53" s="173"/>
      <c r="GD53" s="173"/>
      <c r="GE53" s="173"/>
      <c r="GF53" s="173"/>
      <c r="GG53" s="173"/>
      <c r="GH53" s="173"/>
      <c r="GI53" s="173"/>
      <c r="GJ53" s="173"/>
      <c r="GK53" s="173"/>
      <c r="GL53" s="173"/>
      <c r="GM53" s="173"/>
      <c r="GN53" s="173"/>
      <c r="GO53" s="173"/>
      <c r="GP53" s="173"/>
      <c r="GQ53" s="173"/>
      <c r="GR53" s="173"/>
      <c r="GS53" s="173"/>
      <c r="GT53" s="173"/>
      <c r="GU53" s="173"/>
      <c r="GV53" s="173"/>
      <c r="GW53" s="173"/>
      <c r="GX53" s="173"/>
      <c r="GY53" s="173"/>
      <c r="GZ53" s="173"/>
      <c r="HA53" s="173"/>
      <c r="HB53" s="173"/>
      <c r="HC53" s="173"/>
      <c r="HD53" s="173"/>
      <c r="HE53" s="173"/>
      <c r="HF53" s="173"/>
      <c r="HG53" s="173"/>
      <c r="HH53" s="173"/>
      <c r="HI53" s="173"/>
      <c r="HJ53" s="173"/>
      <c r="HK53" s="173"/>
      <c r="HL53" s="173"/>
      <c r="HM53" s="173"/>
      <c r="HN53" s="173"/>
      <c r="HO53" s="173"/>
      <c r="HP53" s="173"/>
      <c r="HQ53" s="173"/>
      <c r="HR53" s="173"/>
      <c r="HS53" s="173"/>
      <c r="HT53" s="173"/>
      <c r="HU53" s="173"/>
      <c r="HV53" s="173"/>
      <c r="HW53" s="173"/>
      <c r="HX53" s="173"/>
      <c r="HY53" s="173"/>
      <c r="HZ53" s="173"/>
      <c r="IA53" s="173"/>
      <c r="IB53" s="173"/>
      <c r="IC53" s="173"/>
      <c r="ID53" s="173"/>
      <c r="IE53" s="173"/>
      <c r="IF53" s="173"/>
      <c r="IG53" s="173"/>
      <c r="IH53" s="173"/>
      <c r="II53" s="173"/>
      <c r="IJ53" s="173"/>
      <c r="IK53" s="173"/>
      <c r="IL53" s="173"/>
      <c r="IM53" s="173"/>
      <c r="IN53" s="173"/>
      <c r="IO53" s="173"/>
      <c r="IP53" s="173"/>
      <c r="IQ53" s="173"/>
      <c r="IR53" s="173"/>
      <c r="IS53" s="173"/>
      <c r="IT53" s="173"/>
      <c r="IU53" s="173"/>
      <c r="IV53" s="173"/>
    </row>
    <row r="54" spans="1:256" ht="20.25" customHeight="1">
      <c r="A54" s="8" t="s">
        <v>64</v>
      </c>
      <c r="B54" s="9" t="s">
        <v>59</v>
      </c>
      <c r="C54" s="32">
        <v>1</v>
      </c>
      <c r="D54" s="32">
        <v>2</v>
      </c>
      <c r="E54" s="32">
        <v>0</v>
      </c>
      <c r="F54" s="32"/>
      <c r="G54" s="32">
        <v>0</v>
      </c>
      <c r="H54" s="32"/>
      <c r="I54" s="32"/>
      <c r="J54" s="32"/>
      <c r="K54" s="10">
        <f t="shared" si="34"/>
        <v>3</v>
      </c>
      <c r="L54" s="11"/>
      <c r="M54" s="35">
        <f>K54/(K56)</f>
        <v>0.04</v>
      </c>
      <c r="N54" s="37"/>
      <c r="O54" s="35"/>
      <c r="P54" s="13"/>
      <c r="Q54" s="38"/>
      <c r="R54" s="38"/>
      <c r="S54" s="38"/>
      <c r="T54" s="38"/>
      <c r="U54" s="40"/>
      <c r="V54" s="13"/>
      <c r="W54" s="38"/>
      <c r="X54" s="38"/>
      <c r="Y54" s="38"/>
      <c r="Z54" s="38"/>
      <c r="AA54" s="38"/>
      <c r="AB54" s="38"/>
      <c r="AC54" s="38"/>
      <c r="AD54" s="40"/>
      <c r="AE54" s="13"/>
      <c r="AF54" s="38"/>
      <c r="AG54" s="38"/>
      <c r="AH54" s="38"/>
      <c r="AI54" s="38"/>
      <c r="AJ54" s="38"/>
      <c r="AK54" s="38"/>
      <c r="AL54" s="38"/>
      <c r="AM54" s="41"/>
      <c r="AN54" s="13"/>
      <c r="AO54" s="38"/>
      <c r="AP54" s="38"/>
      <c r="AQ54" s="38"/>
      <c r="AR54" s="38"/>
      <c r="AS54" s="38"/>
      <c r="AT54" s="38"/>
      <c r="AU54" s="38"/>
      <c r="AV54" s="40"/>
      <c r="AW54" s="13"/>
      <c r="AX54" s="38"/>
      <c r="AY54" s="38"/>
      <c r="AZ54" s="38"/>
      <c r="BA54" s="38"/>
      <c r="BB54" s="38"/>
      <c r="BC54" s="38"/>
      <c r="BD54" s="40"/>
      <c r="BE54" s="13"/>
      <c r="BF54" s="38"/>
      <c r="BG54" s="42"/>
      <c r="BH54" s="42"/>
      <c r="BI54" s="42"/>
      <c r="BJ54" s="173"/>
      <c r="BK54" s="173"/>
      <c r="BL54" s="173"/>
      <c r="BM54" s="173"/>
      <c r="BN54" s="173"/>
      <c r="BO54" s="173"/>
      <c r="BP54" s="173"/>
      <c r="BQ54" s="173"/>
      <c r="BR54" s="173"/>
      <c r="BS54" s="173"/>
      <c r="BT54" s="173"/>
      <c r="BU54" s="173"/>
      <c r="BV54" s="173"/>
      <c r="BW54" s="173"/>
      <c r="BX54" s="173"/>
      <c r="BY54" s="173"/>
      <c r="BZ54" s="173"/>
      <c r="CA54" s="173"/>
      <c r="CB54" s="173"/>
      <c r="CC54" s="173"/>
      <c r="CD54" s="173"/>
      <c r="CE54" s="173"/>
      <c r="CF54" s="173"/>
      <c r="CG54" s="173"/>
      <c r="CH54" s="173"/>
      <c r="CI54" s="173"/>
      <c r="CJ54" s="173"/>
      <c r="CK54" s="173"/>
      <c r="CL54" s="173"/>
      <c r="CM54" s="173"/>
      <c r="CN54" s="173"/>
      <c r="CO54" s="173"/>
      <c r="CP54" s="173"/>
      <c r="CQ54" s="173"/>
      <c r="CR54" s="173"/>
      <c r="CS54" s="173"/>
      <c r="CT54" s="173"/>
      <c r="CU54" s="173"/>
      <c r="CV54" s="173"/>
      <c r="CW54" s="173"/>
      <c r="CX54" s="173"/>
      <c r="CY54" s="173"/>
      <c r="CZ54" s="173"/>
      <c r="DA54" s="173"/>
      <c r="DB54" s="173"/>
      <c r="DC54" s="173"/>
      <c r="DD54" s="173"/>
      <c r="DE54" s="173"/>
      <c r="DF54" s="173"/>
      <c r="DG54" s="173"/>
      <c r="DH54" s="173"/>
      <c r="DI54" s="173"/>
      <c r="DJ54" s="173"/>
      <c r="DK54" s="173"/>
      <c r="DL54" s="173"/>
      <c r="DM54" s="173"/>
      <c r="DN54" s="173"/>
      <c r="DO54" s="173"/>
      <c r="DP54" s="173"/>
      <c r="DQ54" s="173"/>
      <c r="DR54" s="173"/>
      <c r="DS54" s="173"/>
      <c r="DT54" s="173"/>
      <c r="DU54" s="173"/>
      <c r="DV54" s="173"/>
      <c r="DW54" s="173"/>
      <c r="DX54" s="173"/>
      <c r="DY54" s="173"/>
      <c r="DZ54" s="173"/>
      <c r="EA54" s="173"/>
      <c r="EB54" s="173"/>
      <c r="EC54" s="173"/>
      <c r="ED54" s="173"/>
      <c r="EE54" s="173"/>
      <c r="EF54" s="173"/>
      <c r="EG54" s="173"/>
      <c r="EH54" s="173"/>
      <c r="EI54" s="173"/>
      <c r="EJ54" s="173"/>
      <c r="EK54" s="173"/>
      <c r="EL54" s="173"/>
      <c r="EM54" s="173"/>
      <c r="EN54" s="173"/>
      <c r="EO54" s="173"/>
      <c r="EP54" s="173"/>
      <c r="EQ54" s="173"/>
      <c r="ER54" s="173"/>
      <c r="ES54" s="173"/>
      <c r="ET54" s="173"/>
      <c r="EU54" s="173"/>
      <c r="EV54" s="173"/>
      <c r="EW54" s="173"/>
      <c r="EX54" s="173"/>
      <c r="EY54" s="173"/>
      <c r="EZ54" s="173"/>
      <c r="FA54" s="173"/>
      <c r="FB54" s="173"/>
      <c r="FC54" s="173"/>
      <c r="FD54" s="173"/>
      <c r="FE54" s="173"/>
      <c r="FF54" s="173"/>
      <c r="FG54" s="173"/>
      <c r="FH54" s="173"/>
      <c r="FI54" s="173"/>
      <c r="FJ54" s="173"/>
      <c r="FK54" s="173"/>
      <c r="FL54" s="173"/>
      <c r="FM54" s="173"/>
      <c r="FN54" s="173"/>
      <c r="FO54" s="173"/>
      <c r="FP54" s="173"/>
      <c r="FQ54" s="173"/>
      <c r="FR54" s="173"/>
      <c r="FS54" s="173"/>
      <c r="FT54" s="173"/>
      <c r="FU54" s="173"/>
      <c r="FV54" s="173"/>
      <c r="FW54" s="173"/>
      <c r="FX54" s="173"/>
      <c r="FY54" s="173"/>
      <c r="FZ54" s="173"/>
      <c r="GA54" s="173"/>
      <c r="GB54" s="173"/>
      <c r="GC54" s="173"/>
      <c r="GD54" s="173"/>
      <c r="GE54" s="173"/>
      <c r="GF54" s="173"/>
      <c r="GG54" s="173"/>
      <c r="GH54" s="173"/>
      <c r="GI54" s="173"/>
      <c r="GJ54" s="173"/>
      <c r="GK54" s="173"/>
      <c r="GL54" s="173"/>
      <c r="GM54" s="173"/>
      <c r="GN54" s="173"/>
      <c r="GO54" s="173"/>
      <c r="GP54" s="173"/>
      <c r="GQ54" s="173"/>
      <c r="GR54" s="173"/>
      <c r="GS54" s="173"/>
      <c r="GT54" s="173"/>
      <c r="GU54" s="173"/>
      <c r="GV54" s="173"/>
      <c r="GW54" s="173"/>
      <c r="GX54" s="173"/>
      <c r="GY54" s="173"/>
      <c r="GZ54" s="173"/>
      <c r="HA54" s="173"/>
      <c r="HB54" s="173"/>
      <c r="HC54" s="173"/>
      <c r="HD54" s="173"/>
      <c r="HE54" s="173"/>
      <c r="HF54" s="173"/>
      <c r="HG54" s="173"/>
      <c r="HH54" s="173"/>
      <c r="HI54" s="173"/>
      <c r="HJ54" s="173"/>
      <c r="HK54" s="173"/>
      <c r="HL54" s="173"/>
      <c r="HM54" s="173"/>
      <c r="HN54" s="173"/>
      <c r="HO54" s="173"/>
      <c r="HP54" s="173"/>
      <c r="HQ54" s="173"/>
      <c r="HR54" s="173"/>
      <c r="HS54" s="173"/>
      <c r="HT54" s="173"/>
      <c r="HU54" s="173"/>
      <c r="HV54" s="173"/>
      <c r="HW54" s="173"/>
      <c r="HX54" s="173"/>
      <c r="HY54" s="173"/>
      <c r="HZ54" s="173"/>
      <c r="IA54" s="173"/>
      <c r="IB54" s="173"/>
      <c r="IC54" s="173"/>
      <c r="ID54" s="173"/>
      <c r="IE54" s="173"/>
      <c r="IF54" s="173"/>
      <c r="IG54" s="173"/>
      <c r="IH54" s="173"/>
      <c r="II54" s="173"/>
      <c r="IJ54" s="173"/>
      <c r="IK54" s="173"/>
      <c r="IL54" s="173"/>
      <c r="IM54" s="173"/>
      <c r="IN54" s="173"/>
      <c r="IO54" s="173"/>
      <c r="IP54" s="173"/>
      <c r="IQ54" s="173"/>
      <c r="IR54" s="173"/>
      <c r="IS54" s="173"/>
      <c r="IT54" s="173"/>
      <c r="IU54" s="173"/>
      <c r="IV54" s="173"/>
    </row>
    <row r="55" spans="1:256" ht="20.25" customHeight="1">
      <c r="A55" s="8" t="s">
        <v>65</v>
      </c>
      <c r="B55" s="9" t="s">
        <v>59</v>
      </c>
      <c r="C55" s="32"/>
      <c r="D55" s="32">
        <v>1</v>
      </c>
      <c r="E55" s="32">
        <v>0</v>
      </c>
      <c r="F55" s="32">
        <v>2</v>
      </c>
      <c r="G55" s="32">
        <v>0</v>
      </c>
      <c r="H55" s="32"/>
      <c r="I55" s="32"/>
      <c r="J55" s="32">
        <v>1</v>
      </c>
      <c r="K55" s="10">
        <f t="shared" si="34"/>
        <v>4</v>
      </c>
      <c r="L55" s="11"/>
      <c r="M55" s="35">
        <f>K55/(K56)</f>
        <v>5.3333333333333337E-2</v>
      </c>
      <c r="N55" s="37"/>
      <c r="O55" s="35"/>
      <c r="P55" s="13"/>
      <c r="Q55" s="38"/>
      <c r="R55" s="38"/>
      <c r="S55" s="38"/>
      <c r="T55" s="38"/>
      <c r="U55" s="40"/>
      <c r="V55" s="13"/>
      <c r="W55" s="38"/>
      <c r="X55" s="38"/>
      <c r="Y55" s="38"/>
      <c r="Z55" s="38"/>
      <c r="AA55" s="38"/>
      <c r="AB55" s="38"/>
      <c r="AC55" s="38"/>
      <c r="AD55" s="40"/>
      <c r="AE55" s="13"/>
      <c r="AF55" s="38"/>
      <c r="AG55" s="38"/>
      <c r="AH55" s="38"/>
      <c r="AI55" s="38"/>
      <c r="AJ55" s="38"/>
      <c r="AK55" s="38"/>
      <c r="AL55" s="38"/>
      <c r="AM55" s="41"/>
      <c r="AN55" s="13"/>
      <c r="AO55" s="38"/>
      <c r="AP55" s="38"/>
      <c r="AQ55" s="38"/>
      <c r="AR55" s="38"/>
      <c r="AS55" s="38"/>
      <c r="AT55" s="38"/>
      <c r="AU55" s="38"/>
      <c r="AV55" s="40"/>
      <c r="AW55" s="13"/>
      <c r="AX55" s="38"/>
      <c r="AY55" s="38"/>
      <c r="AZ55" s="38"/>
      <c r="BA55" s="38"/>
      <c r="BB55" s="38"/>
      <c r="BC55" s="38"/>
      <c r="BD55" s="40"/>
      <c r="BE55" s="13"/>
      <c r="BF55" s="38"/>
      <c r="BG55" s="42"/>
      <c r="BH55" s="42"/>
      <c r="BI55" s="42"/>
      <c r="BJ55" s="173"/>
      <c r="BK55" s="173"/>
      <c r="BL55" s="173"/>
      <c r="BM55" s="173"/>
      <c r="BN55" s="173"/>
      <c r="BO55" s="173"/>
      <c r="BP55" s="173"/>
      <c r="BQ55" s="173"/>
      <c r="BR55" s="173"/>
      <c r="BS55" s="173"/>
      <c r="BT55" s="173"/>
      <c r="BU55" s="173"/>
      <c r="BV55" s="173"/>
      <c r="BW55" s="173"/>
      <c r="BX55" s="173"/>
      <c r="BY55" s="173"/>
      <c r="BZ55" s="173"/>
      <c r="CA55" s="173"/>
      <c r="CB55" s="173"/>
      <c r="CC55" s="173"/>
      <c r="CD55" s="173"/>
      <c r="CE55" s="173"/>
      <c r="CF55" s="173"/>
      <c r="CG55" s="173"/>
      <c r="CH55" s="173"/>
      <c r="CI55" s="173"/>
      <c r="CJ55" s="173"/>
      <c r="CK55" s="173"/>
      <c r="CL55" s="173"/>
      <c r="CM55" s="173"/>
      <c r="CN55" s="173"/>
      <c r="CO55" s="173"/>
      <c r="CP55" s="173"/>
      <c r="CQ55" s="173"/>
      <c r="CR55" s="173"/>
      <c r="CS55" s="173"/>
      <c r="CT55" s="173"/>
      <c r="CU55" s="173"/>
      <c r="CV55" s="173"/>
      <c r="CW55" s="173"/>
      <c r="CX55" s="173"/>
      <c r="CY55" s="173"/>
      <c r="CZ55" s="173"/>
      <c r="DA55" s="173"/>
      <c r="DB55" s="173"/>
      <c r="DC55" s="173"/>
      <c r="DD55" s="173"/>
      <c r="DE55" s="173"/>
      <c r="DF55" s="173"/>
      <c r="DG55" s="173"/>
      <c r="DH55" s="173"/>
      <c r="DI55" s="173"/>
      <c r="DJ55" s="173"/>
      <c r="DK55" s="173"/>
      <c r="DL55" s="173"/>
      <c r="DM55" s="173"/>
      <c r="DN55" s="173"/>
      <c r="DO55" s="173"/>
      <c r="DP55" s="173"/>
      <c r="DQ55" s="173"/>
      <c r="DR55" s="173"/>
      <c r="DS55" s="173"/>
      <c r="DT55" s="173"/>
      <c r="DU55" s="173"/>
      <c r="DV55" s="173"/>
      <c r="DW55" s="173"/>
      <c r="DX55" s="173"/>
      <c r="DY55" s="173"/>
      <c r="DZ55" s="173"/>
      <c r="EA55" s="173"/>
      <c r="EB55" s="173"/>
      <c r="EC55" s="173"/>
      <c r="ED55" s="173"/>
      <c r="EE55" s="173"/>
      <c r="EF55" s="173"/>
      <c r="EG55" s="173"/>
      <c r="EH55" s="173"/>
      <c r="EI55" s="173"/>
      <c r="EJ55" s="173"/>
      <c r="EK55" s="173"/>
      <c r="EL55" s="173"/>
      <c r="EM55" s="173"/>
      <c r="EN55" s="173"/>
      <c r="EO55" s="173"/>
      <c r="EP55" s="173"/>
      <c r="EQ55" s="173"/>
      <c r="ER55" s="173"/>
      <c r="ES55" s="173"/>
      <c r="ET55" s="173"/>
      <c r="EU55" s="173"/>
      <c r="EV55" s="173"/>
      <c r="EW55" s="173"/>
      <c r="EX55" s="173"/>
      <c r="EY55" s="173"/>
      <c r="EZ55" s="173"/>
      <c r="FA55" s="173"/>
      <c r="FB55" s="173"/>
      <c r="FC55" s="173"/>
      <c r="FD55" s="173"/>
      <c r="FE55" s="173"/>
      <c r="FF55" s="173"/>
      <c r="FG55" s="173"/>
      <c r="FH55" s="173"/>
      <c r="FI55" s="173"/>
      <c r="FJ55" s="173"/>
      <c r="FK55" s="173"/>
      <c r="FL55" s="173"/>
      <c r="FM55" s="173"/>
      <c r="FN55" s="173"/>
      <c r="FO55" s="173"/>
      <c r="FP55" s="173"/>
      <c r="FQ55" s="173"/>
      <c r="FR55" s="173"/>
      <c r="FS55" s="173"/>
      <c r="FT55" s="173"/>
      <c r="FU55" s="173"/>
      <c r="FV55" s="173"/>
      <c r="FW55" s="173"/>
      <c r="FX55" s="173"/>
      <c r="FY55" s="173"/>
      <c r="FZ55" s="173"/>
      <c r="GA55" s="173"/>
      <c r="GB55" s="173"/>
      <c r="GC55" s="173"/>
      <c r="GD55" s="173"/>
      <c r="GE55" s="173"/>
      <c r="GF55" s="173"/>
      <c r="GG55" s="173"/>
      <c r="GH55" s="173"/>
      <c r="GI55" s="173"/>
      <c r="GJ55" s="173"/>
      <c r="GK55" s="173"/>
      <c r="GL55" s="173"/>
      <c r="GM55" s="173"/>
      <c r="GN55" s="173"/>
      <c r="GO55" s="173"/>
      <c r="GP55" s="173"/>
      <c r="GQ55" s="173"/>
      <c r="GR55" s="173"/>
      <c r="GS55" s="173"/>
      <c r="GT55" s="173"/>
      <c r="GU55" s="173"/>
      <c r="GV55" s="173"/>
      <c r="GW55" s="173"/>
      <c r="GX55" s="173"/>
      <c r="GY55" s="173"/>
      <c r="GZ55" s="173"/>
      <c r="HA55" s="173"/>
      <c r="HB55" s="173"/>
      <c r="HC55" s="173"/>
      <c r="HD55" s="173"/>
      <c r="HE55" s="173"/>
      <c r="HF55" s="173"/>
      <c r="HG55" s="173"/>
      <c r="HH55" s="173"/>
      <c r="HI55" s="173"/>
      <c r="HJ55" s="173"/>
      <c r="HK55" s="173"/>
      <c r="HL55" s="173"/>
      <c r="HM55" s="173"/>
      <c r="HN55" s="173"/>
      <c r="HO55" s="173"/>
      <c r="HP55" s="173"/>
      <c r="HQ55" s="173"/>
      <c r="HR55" s="173"/>
      <c r="HS55" s="173"/>
      <c r="HT55" s="173"/>
      <c r="HU55" s="173"/>
      <c r="HV55" s="173"/>
      <c r="HW55" s="173"/>
      <c r="HX55" s="173"/>
      <c r="HY55" s="173"/>
      <c r="HZ55" s="173"/>
      <c r="IA55" s="173"/>
      <c r="IB55" s="173"/>
      <c r="IC55" s="173"/>
      <c r="ID55" s="173"/>
      <c r="IE55" s="173"/>
      <c r="IF55" s="173"/>
      <c r="IG55" s="173"/>
      <c r="IH55" s="173"/>
      <c r="II55" s="173"/>
      <c r="IJ55" s="173"/>
      <c r="IK55" s="173"/>
      <c r="IL55" s="173"/>
      <c r="IM55" s="173"/>
      <c r="IN55" s="173"/>
      <c r="IO55" s="173"/>
      <c r="IP55" s="173"/>
      <c r="IQ55" s="173"/>
      <c r="IR55" s="173"/>
      <c r="IS55" s="173"/>
      <c r="IT55" s="173"/>
      <c r="IU55" s="173"/>
      <c r="IV55" s="173"/>
    </row>
    <row r="56" spans="1:256" ht="20.25" customHeight="1">
      <c r="A56" s="39" t="s">
        <v>66</v>
      </c>
      <c r="B56" s="9" t="s">
        <v>59</v>
      </c>
      <c r="C56" s="32">
        <f t="shared" ref="C56:J56" si="36">SUM(C53:C55)</f>
        <v>4</v>
      </c>
      <c r="D56" s="32">
        <f t="shared" si="36"/>
        <v>14</v>
      </c>
      <c r="E56" s="32">
        <f t="shared" si="36"/>
        <v>11</v>
      </c>
      <c r="F56" s="32">
        <f t="shared" si="36"/>
        <v>12</v>
      </c>
      <c r="G56" s="32">
        <f t="shared" si="36"/>
        <v>8</v>
      </c>
      <c r="H56" s="32">
        <f t="shared" si="36"/>
        <v>5</v>
      </c>
      <c r="I56" s="32">
        <f t="shared" si="36"/>
        <v>10</v>
      </c>
      <c r="J56" s="32">
        <f t="shared" si="36"/>
        <v>11</v>
      </c>
      <c r="K56" s="178">
        <f t="shared" si="34"/>
        <v>75</v>
      </c>
      <c r="L56" s="35">
        <f>K56/(K55+K54+K53)</f>
        <v>1</v>
      </c>
      <c r="M56" s="35">
        <f>K56/(K53+K54+K55)</f>
        <v>1</v>
      </c>
      <c r="N56" s="37"/>
      <c r="O56" s="35"/>
      <c r="P56" s="13"/>
      <c r="Q56" s="38"/>
      <c r="R56" s="38"/>
      <c r="S56" s="38"/>
      <c r="T56" s="38"/>
      <c r="U56" s="40"/>
      <c r="V56" s="13"/>
      <c r="W56" s="38"/>
      <c r="X56" s="38"/>
      <c r="Y56" s="38"/>
      <c r="Z56" s="38"/>
      <c r="AA56" s="38"/>
      <c r="AB56" s="38"/>
      <c r="AC56" s="38"/>
      <c r="AD56" s="40"/>
      <c r="AE56" s="13"/>
      <c r="AF56" s="38"/>
      <c r="AG56" s="38"/>
      <c r="AH56" s="38"/>
      <c r="AI56" s="38"/>
      <c r="AJ56" s="38"/>
      <c r="AK56" s="38"/>
      <c r="AL56" s="38"/>
      <c r="AM56" s="41"/>
      <c r="AN56" s="13"/>
      <c r="AO56" s="38"/>
      <c r="AP56" s="38"/>
      <c r="AQ56" s="38"/>
      <c r="AR56" s="38"/>
      <c r="AS56" s="38"/>
      <c r="AT56" s="38"/>
      <c r="AU56" s="38"/>
      <c r="AV56" s="40"/>
      <c r="AW56" s="13"/>
      <c r="AX56" s="38"/>
      <c r="AY56" s="38"/>
      <c r="AZ56" s="38"/>
      <c r="BA56" s="38"/>
      <c r="BB56" s="38"/>
      <c r="BC56" s="38"/>
      <c r="BD56" s="40"/>
      <c r="BE56" s="13"/>
      <c r="BF56" s="38"/>
      <c r="BG56" s="42"/>
      <c r="BH56" s="42"/>
      <c r="BI56" s="42"/>
      <c r="BJ56" s="173"/>
      <c r="BK56" s="173"/>
      <c r="BL56" s="173"/>
      <c r="BM56" s="173"/>
      <c r="BN56" s="173"/>
      <c r="BO56" s="173"/>
      <c r="BP56" s="173"/>
      <c r="BQ56" s="173"/>
      <c r="BR56" s="173"/>
      <c r="BS56" s="173"/>
      <c r="BT56" s="173"/>
      <c r="BU56" s="173"/>
      <c r="BV56" s="173"/>
      <c r="BW56" s="173"/>
      <c r="BX56" s="173"/>
      <c r="BY56" s="173"/>
      <c r="BZ56" s="173"/>
      <c r="CA56" s="173"/>
      <c r="CB56" s="173"/>
      <c r="CC56" s="173"/>
      <c r="CD56" s="173"/>
      <c r="CE56" s="173"/>
      <c r="CF56" s="173"/>
      <c r="CG56" s="173"/>
      <c r="CH56" s="173"/>
      <c r="CI56" s="173"/>
      <c r="CJ56" s="173"/>
      <c r="CK56" s="173"/>
      <c r="CL56" s="173"/>
      <c r="CM56" s="173"/>
      <c r="CN56" s="173"/>
      <c r="CO56" s="173"/>
      <c r="CP56" s="173"/>
      <c r="CQ56" s="173"/>
      <c r="CR56" s="173"/>
      <c r="CS56" s="173"/>
      <c r="CT56" s="173"/>
      <c r="CU56" s="173"/>
      <c r="CV56" s="173"/>
      <c r="CW56" s="173"/>
      <c r="CX56" s="173"/>
      <c r="CY56" s="173"/>
      <c r="CZ56" s="173"/>
      <c r="DA56" s="173"/>
      <c r="DB56" s="173"/>
      <c r="DC56" s="173"/>
      <c r="DD56" s="173"/>
      <c r="DE56" s="173"/>
      <c r="DF56" s="173"/>
      <c r="DG56" s="173"/>
      <c r="DH56" s="173"/>
      <c r="DI56" s="173"/>
      <c r="DJ56" s="173"/>
      <c r="DK56" s="173"/>
      <c r="DL56" s="173"/>
      <c r="DM56" s="173"/>
      <c r="DN56" s="173"/>
      <c r="DO56" s="173"/>
      <c r="DP56" s="173"/>
      <c r="DQ56" s="173"/>
      <c r="DR56" s="173"/>
      <c r="DS56" s="173"/>
      <c r="DT56" s="173"/>
      <c r="DU56" s="173"/>
      <c r="DV56" s="173"/>
      <c r="DW56" s="173"/>
      <c r="DX56" s="173"/>
      <c r="DY56" s="173"/>
      <c r="DZ56" s="173"/>
      <c r="EA56" s="173"/>
      <c r="EB56" s="173"/>
      <c r="EC56" s="173"/>
      <c r="ED56" s="173"/>
      <c r="EE56" s="173"/>
      <c r="EF56" s="173"/>
      <c r="EG56" s="173"/>
      <c r="EH56" s="173"/>
      <c r="EI56" s="173"/>
      <c r="EJ56" s="173"/>
      <c r="EK56" s="173"/>
      <c r="EL56" s="173"/>
      <c r="EM56" s="173"/>
      <c r="EN56" s="173"/>
      <c r="EO56" s="173"/>
      <c r="EP56" s="173"/>
      <c r="EQ56" s="173"/>
      <c r="ER56" s="173"/>
      <c r="ES56" s="173"/>
      <c r="ET56" s="173"/>
      <c r="EU56" s="173"/>
      <c r="EV56" s="173"/>
      <c r="EW56" s="173"/>
      <c r="EX56" s="173"/>
      <c r="EY56" s="173"/>
      <c r="EZ56" s="173"/>
      <c r="FA56" s="173"/>
      <c r="FB56" s="173"/>
      <c r="FC56" s="173"/>
      <c r="FD56" s="173"/>
      <c r="FE56" s="173"/>
      <c r="FF56" s="173"/>
      <c r="FG56" s="173"/>
      <c r="FH56" s="173"/>
      <c r="FI56" s="173"/>
      <c r="FJ56" s="173"/>
      <c r="FK56" s="173"/>
      <c r="FL56" s="173"/>
      <c r="FM56" s="173"/>
      <c r="FN56" s="173"/>
      <c r="FO56" s="173"/>
      <c r="FP56" s="173"/>
      <c r="FQ56" s="173"/>
      <c r="FR56" s="173"/>
      <c r="FS56" s="173"/>
      <c r="FT56" s="173"/>
      <c r="FU56" s="173"/>
      <c r="FV56" s="173"/>
      <c r="FW56" s="173"/>
      <c r="FX56" s="173"/>
      <c r="FY56" s="173"/>
      <c r="FZ56" s="173"/>
      <c r="GA56" s="173"/>
      <c r="GB56" s="173"/>
      <c r="GC56" s="173"/>
      <c r="GD56" s="173"/>
      <c r="GE56" s="173"/>
      <c r="GF56" s="173"/>
      <c r="GG56" s="173"/>
      <c r="GH56" s="173"/>
      <c r="GI56" s="173"/>
      <c r="GJ56" s="173"/>
      <c r="GK56" s="173"/>
      <c r="GL56" s="173"/>
      <c r="GM56" s="173"/>
      <c r="GN56" s="173"/>
      <c r="GO56" s="173"/>
      <c r="GP56" s="173"/>
      <c r="GQ56" s="173"/>
      <c r="GR56" s="173"/>
      <c r="GS56" s="173"/>
      <c r="GT56" s="173"/>
      <c r="GU56" s="173"/>
      <c r="GV56" s="173"/>
      <c r="GW56" s="173"/>
      <c r="GX56" s="173"/>
      <c r="GY56" s="173"/>
      <c r="GZ56" s="173"/>
      <c r="HA56" s="173"/>
      <c r="HB56" s="173"/>
      <c r="HC56" s="173"/>
      <c r="HD56" s="173"/>
      <c r="HE56" s="173"/>
      <c r="HF56" s="173"/>
      <c r="HG56" s="173"/>
      <c r="HH56" s="173"/>
      <c r="HI56" s="173"/>
      <c r="HJ56" s="173"/>
      <c r="HK56" s="173"/>
      <c r="HL56" s="173"/>
      <c r="HM56" s="173"/>
      <c r="HN56" s="173"/>
      <c r="HO56" s="173"/>
      <c r="HP56" s="173"/>
      <c r="HQ56" s="173"/>
      <c r="HR56" s="173"/>
      <c r="HS56" s="173"/>
      <c r="HT56" s="173"/>
      <c r="HU56" s="173"/>
      <c r="HV56" s="173"/>
      <c r="HW56" s="173"/>
      <c r="HX56" s="173"/>
      <c r="HY56" s="173"/>
      <c r="HZ56" s="173"/>
      <c r="IA56" s="173"/>
      <c r="IB56" s="173"/>
      <c r="IC56" s="173"/>
      <c r="ID56" s="173"/>
      <c r="IE56" s="173"/>
      <c r="IF56" s="173"/>
      <c r="IG56" s="173"/>
      <c r="IH56" s="173"/>
      <c r="II56" s="173"/>
      <c r="IJ56" s="173"/>
      <c r="IK56" s="173"/>
      <c r="IL56" s="173"/>
      <c r="IM56" s="173"/>
      <c r="IN56" s="173"/>
      <c r="IO56" s="173"/>
      <c r="IP56" s="173"/>
      <c r="IQ56" s="173"/>
      <c r="IR56" s="173"/>
      <c r="IS56" s="173"/>
      <c r="IT56" s="173"/>
      <c r="IU56" s="173"/>
      <c r="IV56" s="173"/>
    </row>
    <row r="57" spans="1:256" ht="32.25" customHeight="1">
      <c r="A57" s="180" t="s">
        <v>239</v>
      </c>
      <c r="B57" s="181" t="s">
        <v>74</v>
      </c>
      <c r="C57" s="182"/>
      <c r="D57" s="182"/>
      <c r="E57" s="182"/>
      <c r="F57" s="182"/>
      <c r="G57" s="179"/>
      <c r="H57" s="179"/>
      <c r="I57" s="179"/>
      <c r="J57" s="179"/>
      <c r="K57" s="177"/>
      <c r="L57" s="24"/>
      <c r="M57" s="24"/>
      <c r="N57" s="26"/>
      <c r="O57" s="24"/>
      <c r="P57" s="27"/>
      <c r="Q57" s="28"/>
      <c r="R57" s="28"/>
      <c r="S57" s="28"/>
      <c r="T57" s="26"/>
      <c r="U57" s="24"/>
      <c r="V57" s="27"/>
      <c r="W57" s="28"/>
      <c r="X57" s="28"/>
      <c r="Y57" s="28"/>
      <c r="Z57" s="28"/>
      <c r="AA57" s="28"/>
      <c r="AB57" s="28"/>
      <c r="AC57" s="26"/>
      <c r="AD57" s="24"/>
      <c r="AE57" s="27"/>
      <c r="AF57" s="28"/>
      <c r="AG57" s="28"/>
      <c r="AH57" s="28"/>
      <c r="AI57" s="28"/>
      <c r="AJ57" s="28"/>
      <c r="AK57" s="28"/>
      <c r="AL57" s="26"/>
      <c r="AM57" s="29"/>
      <c r="AN57" s="27"/>
      <c r="AO57" s="26"/>
      <c r="AP57" s="26"/>
      <c r="AQ57" s="26"/>
      <c r="AR57" s="26"/>
      <c r="AS57" s="26"/>
      <c r="AT57" s="26"/>
      <c r="AU57" s="26"/>
      <c r="AV57" s="24"/>
      <c r="AW57" s="27"/>
      <c r="AX57" s="26"/>
      <c r="AY57" s="26"/>
      <c r="AZ57" s="26"/>
      <c r="BA57" s="26"/>
      <c r="BB57" s="26"/>
      <c r="BC57" s="26"/>
      <c r="BD57" s="24"/>
      <c r="BE57" s="27"/>
      <c r="BF57" s="26"/>
      <c r="BG57" s="179"/>
      <c r="BH57" s="179"/>
      <c r="BI57" s="179"/>
      <c r="BJ57" s="173"/>
      <c r="BK57" s="173"/>
      <c r="BL57" s="173"/>
      <c r="BM57" s="173"/>
      <c r="BN57" s="173"/>
      <c r="BO57" s="173"/>
      <c r="BP57" s="173"/>
      <c r="BQ57" s="173"/>
      <c r="BR57" s="173"/>
      <c r="BS57" s="173"/>
      <c r="BT57" s="173"/>
      <c r="BU57" s="173"/>
      <c r="BV57" s="173"/>
      <c r="BW57" s="173"/>
      <c r="BX57" s="173"/>
      <c r="BY57" s="173"/>
      <c r="BZ57" s="173"/>
      <c r="CA57" s="173"/>
      <c r="CB57" s="173"/>
      <c r="CC57" s="173"/>
      <c r="CD57" s="173"/>
      <c r="CE57" s="173"/>
      <c r="CF57" s="173"/>
      <c r="CG57" s="173"/>
      <c r="CH57" s="173"/>
      <c r="CI57" s="173"/>
      <c r="CJ57" s="173"/>
      <c r="CK57" s="173"/>
      <c r="CL57" s="173"/>
      <c r="CM57" s="173"/>
      <c r="CN57" s="173"/>
      <c r="CO57" s="173"/>
      <c r="CP57" s="173"/>
      <c r="CQ57" s="173"/>
      <c r="CR57" s="173"/>
      <c r="CS57" s="173"/>
      <c r="CT57" s="173"/>
      <c r="CU57" s="173"/>
      <c r="CV57" s="173"/>
      <c r="CW57" s="173"/>
      <c r="CX57" s="173"/>
      <c r="CY57" s="173"/>
      <c r="CZ57" s="173"/>
      <c r="DA57" s="173"/>
      <c r="DB57" s="173"/>
      <c r="DC57" s="173"/>
      <c r="DD57" s="173"/>
      <c r="DE57" s="173"/>
      <c r="DF57" s="173"/>
      <c r="DG57" s="173"/>
      <c r="DH57" s="173"/>
      <c r="DI57" s="173"/>
      <c r="DJ57" s="173"/>
      <c r="DK57" s="173"/>
      <c r="DL57" s="173"/>
      <c r="DM57" s="173"/>
      <c r="DN57" s="173"/>
      <c r="DO57" s="173"/>
      <c r="DP57" s="173"/>
      <c r="DQ57" s="173"/>
      <c r="DR57" s="173"/>
      <c r="DS57" s="173"/>
      <c r="DT57" s="173"/>
      <c r="DU57" s="173"/>
      <c r="DV57" s="173"/>
      <c r="DW57" s="173"/>
      <c r="DX57" s="173"/>
      <c r="DY57" s="173"/>
      <c r="DZ57" s="173"/>
      <c r="EA57" s="173"/>
      <c r="EB57" s="173"/>
      <c r="EC57" s="173"/>
      <c r="ED57" s="173"/>
      <c r="EE57" s="173"/>
      <c r="EF57" s="173"/>
      <c r="EG57" s="173"/>
      <c r="EH57" s="173"/>
      <c r="EI57" s="173"/>
      <c r="EJ57" s="173"/>
      <c r="EK57" s="173"/>
      <c r="EL57" s="173"/>
      <c r="EM57" s="173"/>
      <c r="EN57" s="173"/>
      <c r="EO57" s="173"/>
      <c r="EP57" s="173"/>
      <c r="EQ57" s="173"/>
      <c r="ER57" s="173"/>
      <c r="ES57" s="173"/>
      <c r="ET57" s="173"/>
      <c r="EU57" s="173"/>
      <c r="EV57" s="173"/>
      <c r="EW57" s="173"/>
      <c r="EX57" s="173"/>
      <c r="EY57" s="173"/>
      <c r="EZ57" s="173"/>
      <c r="FA57" s="173"/>
      <c r="FB57" s="173"/>
      <c r="FC57" s="173"/>
      <c r="FD57" s="173"/>
      <c r="FE57" s="173"/>
      <c r="FF57" s="173"/>
      <c r="FG57" s="173"/>
      <c r="FH57" s="173"/>
      <c r="FI57" s="173"/>
      <c r="FJ57" s="173"/>
      <c r="FK57" s="173"/>
      <c r="FL57" s="173"/>
      <c r="FM57" s="173"/>
      <c r="FN57" s="173"/>
      <c r="FO57" s="173"/>
      <c r="FP57" s="173"/>
      <c r="FQ57" s="173"/>
      <c r="FR57" s="173"/>
      <c r="FS57" s="173"/>
      <c r="FT57" s="173"/>
      <c r="FU57" s="173"/>
      <c r="FV57" s="173"/>
      <c r="FW57" s="173"/>
      <c r="FX57" s="173"/>
      <c r="FY57" s="173"/>
      <c r="FZ57" s="173"/>
      <c r="GA57" s="173"/>
      <c r="GB57" s="173"/>
      <c r="GC57" s="173"/>
      <c r="GD57" s="173"/>
      <c r="GE57" s="173"/>
      <c r="GF57" s="173"/>
      <c r="GG57" s="173"/>
      <c r="GH57" s="173"/>
      <c r="GI57" s="173"/>
      <c r="GJ57" s="173"/>
      <c r="GK57" s="173"/>
      <c r="GL57" s="173"/>
      <c r="GM57" s="173"/>
      <c r="GN57" s="173"/>
      <c r="GO57" s="173"/>
      <c r="GP57" s="173"/>
      <c r="GQ57" s="173"/>
      <c r="GR57" s="173"/>
      <c r="GS57" s="173"/>
      <c r="GT57" s="173"/>
      <c r="GU57" s="173"/>
      <c r="GV57" s="173"/>
      <c r="GW57" s="173"/>
      <c r="GX57" s="173"/>
      <c r="GY57" s="173"/>
      <c r="GZ57" s="173"/>
      <c r="HA57" s="173"/>
      <c r="HB57" s="173"/>
      <c r="HC57" s="173"/>
      <c r="HD57" s="173"/>
      <c r="HE57" s="173"/>
      <c r="HF57" s="173"/>
      <c r="HG57" s="173"/>
      <c r="HH57" s="173"/>
      <c r="HI57" s="173"/>
      <c r="HJ57" s="173"/>
      <c r="HK57" s="173"/>
      <c r="HL57" s="173"/>
      <c r="HM57" s="173"/>
      <c r="HN57" s="173"/>
      <c r="HO57" s="173"/>
      <c r="HP57" s="173"/>
      <c r="HQ57" s="173"/>
      <c r="HR57" s="173"/>
      <c r="HS57" s="173"/>
      <c r="HT57" s="173"/>
      <c r="HU57" s="173"/>
      <c r="HV57" s="173"/>
      <c r="HW57" s="173"/>
      <c r="HX57" s="173"/>
      <c r="HY57" s="173"/>
      <c r="HZ57" s="173"/>
      <c r="IA57" s="173"/>
      <c r="IB57" s="173"/>
      <c r="IC57" s="173"/>
      <c r="ID57" s="173"/>
      <c r="IE57" s="173"/>
      <c r="IF57" s="173"/>
      <c r="IG57" s="173"/>
      <c r="IH57" s="173"/>
      <c r="II57" s="173"/>
      <c r="IJ57" s="173"/>
      <c r="IK57" s="173"/>
      <c r="IL57" s="173"/>
      <c r="IM57" s="173"/>
      <c r="IN57" s="173"/>
      <c r="IO57" s="173"/>
      <c r="IP57" s="173"/>
      <c r="IQ57" s="173"/>
      <c r="IR57" s="173"/>
      <c r="IS57" s="173"/>
      <c r="IT57" s="173"/>
      <c r="IU57" s="173"/>
      <c r="IV57" s="173"/>
    </row>
    <row r="58" spans="1:256" ht="32.5" customHeight="1">
      <c r="A58" s="10"/>
      <c r="B58" s="30" t="s">
        <v>0</v>
      </c>
      <c r="C58" s="30" t="s">
        <v>1</v>
      </c>
      <c r="D58" s="30" t="s">
        <v>2</v>
      </c>
      <c r="E58" s="30" t="s">
        <v>3</v>
      </c>
      <c r="F58" s="30" t="s">
        <v>4</v>
      </c>
      <c r="G58" s="30" t="s">
        <v>5</v>
      </c>
      <c r="H58" s="30" t="s">
        <v>68</v>
      </c>
      <c r="I58" s="30" t="s">
        <v>7</v>
      </c>
      <c r="J58" s="30" t="s">
        <v>8</v>
      </c>
      <c r="K58" s="10" t="s">
        <v>9</v>
      </c>
      <c r="L58" s="10" t="s">
        <v>56</v>
      </c>
      <c r="M58" s="20"/>
      <c r="N58" s="12"/>
      <c r="O58" s="20"/>
      <c r="P58" s="27"/>
      <c r="Q58" s="30" t="s">
        <v>15</v>
      </c>
      <c r="R58" s="30" t="s">
        <v>16</v>
      </c>
      <c r="S58" s="30" t="s">
        <v>28</v>
      </c>
      <c r="T58" s="20"/>
      <c r="U58" s="11"/>
      <c r="V58" s="27"/>
      <c r="W58" s="30" t="s">
        <v>15</v>
      </c>
      <c r="X58" s="30" t="s">
        <v>20</v>
      </c>
      <c r="Y58" s="30" t="s">
        <v>21</v>
      </c>
      <c r="Z58" s="30" t="s">
        <v>22</v>
      </c>
      <c r="AA58" s="30" t="s">
        <v>23</v>
      </c>
      <c r="AB58" s="30" t="s">
        <v>24</v>
      </c>
      <c r="AC58" s="20"/>
      <c r="AD58" s="11"/>
      <c r="AE58" s="27"/>
      <c r="AF58" s="30" t="s">
        <v>20</v>
      </c>
      <c r="AG58" s="30" t="s">
        <v>21</v>
      </c>
      <c r="AH58" s="30" t="s">
        <v>22</v>
      </c>
      <c r="AI58" s="30" t="s">
        <v>23</v>
      </c>
      <c r="AJ58" s="30" t="s">
        <v>24</v>
      </c>
      <c r="AK58" s="30" t="s">
        <v>28</v>
      </c>
      <c r="AL58" s="20"/>
      <c r="AM58" s="44"/>
      <c r="AN58" s="27"/>
      <c r="AO58" s="30" t="s">
        <v>15</v>
      </c>
      <c r="AP58" s="30" t="s">
        <v>20</v>
      </c>
      <c r="AQ58" s="30" t="s">
        <v>21</v>
      </c>
      <c r="AR58" s="30" t="s">
        <v>16</v>
      </c>
      <c r="AS58" s="30" t="s">
        <v>22</v>
      </c>
      <c r="AT58" s="30" t="s">
        <v>24</v>
      </c>
      <c r="AU58" s="20"/>
      <c r="AV58" s="11"/>
      <c r="AW58" s="27"/>
      <c r="AX58" s="30" t="s">
        <v>15</v>
      </c>
      <c r="AY58" s="30" t="s">
        <v>20</v>
      </c>
      <c r="AZ58" s="30" t="s">
        <v>22</v>
      </c>
      <c r="BA58" s="30" t="s">
        <v>23</v>
      </c>
      <c r="BB58" s="30" t="s">
        <v>28</v>
      </c>
      <c r="BC58" s="20"/>
      <c r="BD58" s="11"/>
      <c r="BE58" s="27"/>
      <c r="BF58" s="9" t="s">
        <v>38</v>
      </c>
      <c r="BG58" s="9" t="s">
        <v>39</v>
      </c>
      <c r="BH58" s="9" t="s">
        <v>40</v>
      </c>
      <c r="BI58" s="9" t="s">
        <v>41</v>
      </c>
      <c r="BJ58" s="173"/>
      <c r="BK58" s="173"/>
      <c r="BL58" s="173"/>
      <c r="BM58" s="173"/>
      <c r="BN58" s="173"/>
      <c r="BO58" s="173"/>
      <c r="BP58" s="173"/>
      <c r="BQ58" s="173"/>
      <c r="BR58" s="173"/>
      <c r="BS58" s="173"/>
      <c r="BT58" s="173"/>
      <c r="BU58" s="173"/>
      <c r="BV58" s="173"/>
      <c r="BW58" s="173"/>
      <c r="BX58" s="173"/>
      <c r="BY58" s="173"/>
      <c r="BZ58" s="173"/>
      <c r="CA58" s="173"/>
      <c r="CB58" s="173"/>
      <c r="CC58" s="173"/>
      <c r="CD58" s="173"/>
      <c r="CE58" s="173"/>
      <c r="CF58" s="173"/>
      <c r="CG58" s="173"/>
      <c r="CH58" s="173"/>
      <c r="CI58" s="173"/>
      <c r="CJ58" s="173"/>
      <c r="CK58" s="173"/>
      <c r="CL58" s="173"/>
      <c r="CM58" s="173"/>
      <c r="CN58" s="173"/>
      <c r="CO58" s="173"/>
      <c r="CP58" s="173"/>
      <c r="CQ58" s="173"/>
      <c r="CR58" s="173"/>
      <c r="CS58" s="173"/>
      <c r="CT58" s="173"/>
      <c r="CU58" s="173"/>
      <c r="CV58" s="173"/>
      <c r="CW58" s="173"/>
      <c r="CX58" s="173"/>
      <c r="CY58" s="173"/>
      <c r="CZ58" s="173"/>
      <c r="DA58" s="173"/>
      <c r="DB58" s="173"/>
      <c r="DC58" s="173"/>
      <c r="DD58" s="173"/>
      <c r="DE58" s="173"/>
      <c r="DF58" s="173"/>
      <c r="DG58" s="173"/>
      <c r="DH58" s="173"/>
      <c r="DI58" s="173"/>
      <c r="DJ58" s="173"/>
      <c r="DK58" s="173"/>
      <c r="DL58" s="173"/>
      <c r="DM58" s="173"/>
      <c r="DN58" s="173"/>
      <c r="DO58" s="173"/>
      <c r="DP58" s="173"/>
      <c r="DQ58" s="173"/>
      <c r="DR58" s="173"/>
      <c r="DS58" s="173"/>
      <c r="DT58" s="173"/>
      <c r="DU58" s="173"/>
      <c r="DV58" s="173"/>
      <c r="DW58" s="173"/>
      <c r="DX58" s="173"/>
      <c r="DY58" s="173"/>
      <c r="DZ58" s="173"/>
      <c r="EA58" s="173"/>
      <c r="EB58" s="173"/>
      <c r="EC58" s="173"/>
      <c r="ED58" s="173"/>
      <c r="EE58" s="173"/>
      <c r="EF58" s="173"/>
      <c r="EG58" s="173"/>
      <c r="EH58" s="173"/>
      <c r="EI58" s="173"/>
      <c r="EJ58" s="173"/>
      <c r="EK58" s="173"/>
      <c r="EL58" s="173"/>
      <c r="EM58" s="173"/>
      <c r="EN58" s="173"/>
      <c r="EO58" s="173"/>
      <c r="EP58" s="173"/>
      <c r="EQ58" s="173"/>
      <c r="ER58" s="173"/>
      <c r="ES58" s="173"/>
      <c r="ET58" s="173"/>
      <c r="EU58" s="173"/>
      <c r="EV58" s="173"/>
      <c r="EW58" s="173"/>
      <c r="EX58" s="173"/>
      <c r="EY58" s="173"/>
      <c r="EZ58" s="173"/>
      <c r="FA58" s="173"/>
      <c r="FB58" s="173"/>
      <c r="FC58" s="173"/>
      <c r="FD58" s="173"/>
      <c r="FE58" s="173"/>
      <c r="FF58" s="173"/>
      <c r="FG58" s="173"/>
      <c r="FH58" s="173"/>
      <c r="FI58" s="173"/>
      <c r="FJ58" s="173"/>
      <c r="FK58" s="173"/>
      <c r="FL58" s="173"/>
      <c r="FM58" s="173"/>
      <c r="FN58" s="173"/>
      <c r="FO58" s="173"/>
      <c r="FP58" s="173"/>
      <c r="FQ58" s="173"/>
      <c r="FR58" s="173"/>
      <c r="FS58" s="173"/>
      <c r="FT58" s="173"/>
      <c r="FU58" s="173"/>
      <c r="FV58" s="173"/>
      <c r="FW58" s="173"/>
      <c r="FX58" s="173"/>
      <c r="FY58" s="173"/>
      <c r="FZ58" s="173"/>
      <c r="GA58" s="173"/>
      <c r="GB58" s="173"/>
      <c r="GC58" s="173"/>
      <c r="GD58" s="173"/>
      <c r="GE58" s="173"/>
      <c r="GF58" s="173"/>
      <c r="GG58" s="173"/>
      <c r="GH58" s="173"/>
      <c r="GI58" s="173"/>
      <c r="GJ58" s="173"/>
      <c r="GK58" s="173"/>
      <c r="GL58" s="173"/>
      <c r="GM58" s="173"/>
      <c r="GN58" s="173"/>
      <c r="GO58" s="173"/>
      <c r="GP58" s="173"/>
      <c r="GQ58" s="173"/>
      <c r="GR58" s="173"/>
      <c r="GS58" s="173"/>
      <c r="GT58" s="173"/>
      <c r="GU58" s="173"/>
      <c r="GV58" s="173"/>
      <c r="GW58" s="173"/>
      <c r="GX58" s="173"/>
      <c r="GY58" s="173"/>
      <c r="GZ58" s="173"/>
      <c r="HA58" s="173"/>
      <c r="HB58" s="173"/>
      <c r="HC58" s="173"/>
      <c r="HD58" s="173"/>
      <c r="HE58" s="173"/>
      <c r="HF58" s="173"/>
      <c r="HG58" s="173"/>
      <c r="HH58" s="173"/>
      <c r="HI58" s="173"/>
      <c r="HJ58" s="173"/>
      <c r="HK58" s="173"/>
      <c r="HL58" s="173"/>
      <c r="HM58" s="173"/>
      <c r="HN58" s="173"/>
      <c r="HO58" s="173"/>
      <c r="HP58" s="173"/>
      <c r="HQ58" s="173"/>
      <c r="HR58" s="173"/>
      <c r="HS58" s="173"/>
      <c r="HT58" s="173"/>
      <c r="HU58" s="173"/>
      <c r="HV58" s="173"/>
      <c r="HW58" s="173"/>
      <c r="HX58" s="173"/>
      <c r="HY58" s="173"/>
      <c r="HZ58" s="173"/>
      <c r="IA58" s="173"/>
      <c r="IB58" s="173"/>
      <c r="IC58" s="173"/>
      <c r="ID58" s="173"/>
      <c r="IE58" s="173"/>
      <c r="IF58" s="173"/>
      <c r="IG58" s="173"/>
      <c r="IH58" s="173"/>
      <c r="II58" s="173"/>
      <c r="IJ58" s="173"/>
      <c r="IK58" s="173"/>
      <c r="IL58" s="173"/>
      <c r="IM58" s="173"/>
      <c r="IN58" s="173"/>
      <c r="IO58" s="173"/>
      <c r="IP58" s="173"/>
      <c r="IQ58" s="173"/>
      <c r="IR58" s="173"/>
      <c r="IS58" s="173"/>
      <c r="IT58" s="173"/>
      <c r="IU58" s="173"/>
      <c r="IV58" s="173"/>
    </row>
    <row r="59" spans="1:256" ht="36">
      <c r="A59" s="10" t="s">
        <v>75</v>
      </c>
      <c r="B59" s="9" t="s">
        <v>59</v>
      </c>
      <c r="C59" s="32">
        <v>1</v>
      </c>
      <c r="D59" s="32">
        <v>10</v>
      </c>
      <c r="E59" s="32">
        <v>1</v>
      </c>
      <c r="F59" s="32">
        <v>6</v>
      </c>
      <c r="G59" s="32">
        <v>7</v>
      </c>
      <c r="H59" s="32">
        <v>2</v>
      </c>
      <c r="I59" s="32">
        <v>5</v>
      </c>
      <c r="J59" s="32">
        <v>2</v>
      </c>
      <c r="K59" s="10">
        <f t="shared" ref="K59:K64" si="37">SUM(B59:J59)</f>
        <v>34</v>
      </c>
      <c r="L59" s="11">
        <f>K59/K62</f>
        <v>0.47222222222222221</v>
      </c>
      <c r="M59" s="35">
        <f>K59/K65</f>
        <v>0.44736842105263158</v>
      </c>
      <c r="N59" s="37"/>
      <c r="O59" s="35"/>
      <c r="P59" s="13"/>
      <c r="Q59" s="38"/>
      <c r="R59" s="38"/>
      <c r="S59" s="38"/>
      <c r="T59" s="38"/>
      <c r="U59" s="40"/>
      <c r="V59" s="13"/>
      <c r="W59" s="38"/>
      <c r="X59" s="38"/>
      <c r="Y59" s="38"/>
      <c r="Z59" s="38"/>
      <c r="AA59" s="38"/>
      <c r="AB59" s="38"/>
      <c r="AC59" s="38"/>
      <c r="AD59" s="40"/>
      <c r="AE59" s="13"/>
      <c r="AF59" s="38"/>
      <c r="AG59" s="38"/>
      <c r="AH59" s="38"/>
      <c r="AI59" s="38"/>
      <c r="AJ59" s="38"/>
      <c r="AK59" s="38"/>
      <c r="AL59" s="38"/>
      <c r="AM59" s="41"/>
      <c r="AN59" s="13"/>
      <c r="AO59" s="38"/>
      <c r="AP59" s="38"/>
      <c r="AQ59" s="38"/>
      <c r="AR59" s="38"/>
      <c r="AS59" s="38"/>
      <c r="AT59" s="38"/>
      <c r="AU59" s="38"/>
      <c r="AV59" s="40"/>
      <c r="AW59" s="13"/>
      <c r="AX59" s="38"/>
      <c r="AY59" s="38"/>
      <c r="AZ59" s="38"/>
      <c r="BA59" s="38"/>
      <c r="BB59" s="38"/>
      <c r="BC59" s="38"/>
      <c r="BD59" s="40"/>
      <c r="BE59" s="13"/>
      <c r="BF59" s="38"/>
      <c r="BG59" s="42"/>
      <c r="BH59" s="42"/>
      <c r="BI59" s="42"/>
      <c r="BJ59" s="173"/>
      <c r="BK59" s="173"/>
      <c r="BL59" s="173"/>
      <c r="BM59" s="173"/>
      <c r="BN59" s="173"/>
      <c r="BO59" s="173"/>
      <c r="BP59" s="173"/>
      <c r="BQ59" s="173"/>
      <c r="BR59" s="173"/>
      <c r="BS59" s="173"/>
      <c r="BT59" s="173"/>
      <c r="BU59" s="173"/>
      <c r="BV59" s="173"/>
      <c r="BW59" s="173"/>
      <c r="BX59" s="173"/>
      <c r="BY59" s="173"/>
      <c r="BZ59" s="173"/>
      <c r="CA59" s="173"/>
      <c r="CB59" s="173"/>
      <c r="CC59" s="173"/>
      <c r="CD59" s="173"/>
      <c r="CE59" s="173"/>
      <c r="CF59" s="173"/>
      <c r="CG59" s="173"/>
      <c r="CH59" s="173"/>
      <c r="CI59" s="173"/>
      <c r="CJ59" s="173"/>
      <c r="CK59" s="173"/>
      <c r="CL59" s="173"/>
      <c r="CM59" s="173"/>
      <c r="CN59" s="173"/>
      <c r="CO59" s="173"/>
      <c r="CP59" s="173"/>
      <c r="CQ59" s="173"/>
      <c r="CR59" s="173"/>
      <c r="CS59" s="173"/>
      <c r="CT59" s="173"/>
      <c r="CU59" s="173"/>
      <c r="CV59" s="173"/>
      <c r="CW59" s="173"/>
      <c r="CX59" s="173"/>
      <c r="CY59" s="173"/>
      <c r="CZ59" s="173"/>
      <c r="DA59" s="173"/>
      <c r="DB59" s="173"/>
      <c r="DC59" s="173"/>
      <c r="DD59" s="173"/>
      <c r="DE59" s="173"/>
      <c r="DF59" s="173"/>
      <c r="DG59" s="173"/>
      <c r="DH59" s="173"/>
      <c r="DI59" s="173"/>
      <c r="DJ59" s="173"/>
      <c r="DK59" s="173"/>
      <c r="DL59" s="173"/>
      <c r="DM59" s="173"/>
      <c r="DN59" s="173"/>
      <c r="DO59" s="173"/>
      <c r="DP59" s="173"/>
      <c r="DQ59" s="173"/>
      <c r="DR59" s="173"/>
      <c r="DS59" s="173"/>
      <c r="DT59" s="173"/>
      <c r="DU59" s="173"/>
      <c r="DV59" s="173"/>
      <c r="DW59" s="173"/>
      <c r="DX59" s="173"/>
      <c r="DY59" s="173"/>
      <c r="DZ59" s="173"/>
      <c r="EA59" s="173"/>
      <c r="EB59" s="173"/>
      <c r="EC59" s="173"/>
      <c r="ED59" s="173"/>
      <c r="EE59" s="173"/>
      <c r="EF59" s="173"/>
      <c r="EG59" s="173"/>
      <c r="EH59" s="173"/>
      <c r="EI59" s="173"/>
      <c r="EJ59" s="173"/>
      <c r="EK59" s="173"/>
      <c r="EL59" s="173"/>
      <c r="EM59" s="173"/>
      <c r="EN59" s="173"/>
      <c r="EO59" s="173"/>
      <c r="EP59" s="173"/>
      <c r="EQ59" s="173"/>
      <c r="ER59" s="173"/>
      <c r="ES59" s="173"/>
      <c r="ET59" s="173"/>
      <c r="EU59" s="173"/>
      <c r="EV59" s="173"/>
      <c r="EW59" s="173"/>
      <c r="EX59" s="173"/>
      <c r="EY59" s="173"/>
      <c r="EZ59" s="173"/>
      <c r="FA59" s="173"/>
      <c r="FB59" s="173"/>
      <c r="FC59" s="173"/>
      <c r="FD59" s="173"/>
      <c r="FE59" s="173"/>
      <c r="FF59" s="173"/>
      <c r="FG59" s="173"/>
      <c r="FH59" s="173"/>
      <c r="FI59" s="173"/>
      <c r="FJ59" s="173"/>
      <c r="FK59" s="173"/>
      <c r="FL59" s="173"/>
      <c r="FM59" s="173"/>
      <c r="FN59" s="173"/>
      <c r="FO59" s="173"/>
      <c r="FP59" s="173"/>
      <c r="FQ59" s="173"/>
      <c r="FR59" s="173"/>
      <c r="FS59" s="173"/>
      <c r="FT59" s="173"/>
      <c r="FU59" s="173"/>
      <c r="FV59" s="173"/>
      <c r="FW59" s="173"/>
      <c r="FX59" s="173"/>
      <c r="FY59" s="173"/>
      <c r="FZ59" s="173"/>
      <c r="GA59" s="173"/>
      <c r="GB59" s="173"/>
      <c r="GC59" s="173"/>
      <c r="GD59" s="173"/>
      <c r="GE59" s="173"/>
      <c r="GF59" s="173"/>
      <c r="GG59" s="173"/>
      <c r="GH59" s="173"/>
      <c r="GI59" s="173"/>
      <c r="GJ59" s="173"/>
      <c r="GK59" s="173"/>
      <c r="GL59" s="173"/>
      <c r="GM59" s="173"/>
      <c r="GN59" s="173"/>
      <c r="GO59" s="173"/>
      <c r="GP59" s="173"/>
      <c r="GQ59" s="173"/>
      <c r="GR59" s="173"/>
      <c r="GS59" s="173"/>
      <c r="GT59" s="173"/>
      <c r="GU59" s="173"/>
      <c r="GV59" s="173"/>
      <c r="GW59" s="173"/>
      <c r="GX59" s="173"/>
      <c r="GY59" s="173"/>
      <c r="GZ59" s="173"/>
      <c r="HA59" s="173"/>
      <c r="HB59" s="173"/>
      <c r="HC59" s="173"/>
      <c r="HD59" s="173"/>
      <c r="HE59" s="173"/>
      <c r="HF59" s="173"/>
      <c r="HG59" s="173"/>
      <c r="HH59" s="173"/>
      <c r="HI59" s="173"/>
      <c r="HJ59" s="173"/>
      <c r="HK59" s="173"/>
      <c r="HL59" s="173"/>
      <c r="HM59" s="173"/>
      <c r="HN59" s="173"/>
      <c r="HO59" s="173"/>
      <c r="HP59" s="173"/>
      <c r="HQ59" s="173"/>
      <c r="HR59" s="173"/>
      <c r="HS59" s="173"/>
      <c r="HT59" s="173"/>
      <c r="HU59" s="173"/>
      <c r="HV59" s="173"/>
      <c r="HW59" s="173"/>
      <c r="HX59" s="173"/>
      <c r="HY59" s="173"/>
      <c r="HZ59" s="173"/>
      <c r="IA59" s="173"/>
      <c r="IB59" s="173"/>
      <c r="IC59" s="173"/>
      <c r="ID59" s="173"/>
      <c r="IE59" s="173"/>
      <c r="IF59" s="173"/>
      <c r="IG59" s="173"/>
      <c r="IH59" s="173"/>
      <c r="II59" s="173"/>
      <c r="IJ59" s="173"/>
      <c r="IK59" s="173"/>
      <c r="IL59" s="173"/>
      <c r="IM59" s="173"/>
      <c r="IN59" s="173"/>
      <c r="IO59" s="173"/>
      <c r="IP59" s="173"/>
      <c r="IQ59" s="173"/>
      <c r="IR59" s="173"/>
      <c r="IS59" s="173"/>
      <c r="IT59" s="173"/>
      <c r="IU59" s="173"/>
      <c r="IV59" s="173"/>
    </row>
    <row r="60" spans="1:256" ht="36">
      <c r="A60" s="10" t="s">
        <v>76</v>
      </c>
      <c r="B60" s="9" t="s">
        <v>59</v>
      </c>
      <c r="C60" s="32">
        <v>1</v>
      </c>
      <c r="D60" s="32">
        <v>2</v>
      </c>
      <c r="E60" s="32">
        <v>4</v>
      </c>
      <c r="F60" s="32">
        <v>3</v>
      </c>
      <c r="G60" s="32">
        <v>3</v>
      </c>
      <c r="H60" s="32">
        <v>8</v>
      </c>
      <c r="I60" s="32">
        <v>4</v>
      </c>
      <c r="J60" s="32">
        <v>1</v>
      </c>
      <c r="K60" s="10">
        <f t="shared" si="37"/>
        <v>26</v>
      </c>
      <c r="L60" s="11">
        <f>K60/K62</f>
        <v>0.3611111111111111</v>
      </c>
      <c r="M60" s="35">
        <f>K60/K65</f>
        <v>0.34210526315789475</v>
      </c>
      <c r="N60" s="37"/>
      <c r="O60" s="35"/>
      <c r="P60" s="13"/>
      <c r="Q60" s="38"/>
      <c r="R60" s="38"/>
      <c r="S60" s="38"/>
      <c r="T60" s="38"/>
      <c r="U60" s="40"/>
      <c r="V60" s="13"/>
      <c r="W60" s="38"/>
      <c r="X60" s="38"/>
      <c r="Y60" s="38"/>
      <c r="Z60" s="38"/>
      <c r="AA60" s="38"/>
      <c r="AB60" s="38"/>
      <c r="AC60" s="38"/>
      <c r="AD60" s="40"/>
      <c r="AE60" s="13"/>
      <c r="AF60" s="38"/>
      <c r="AG60" s="38"/>
      <c r="AH60" s="38"/>
      <c r="AI60" s="38"/>
      <c r="AJ60" s="38"/>
      <c r="AK60" s="38"/>
      <c r="AL60" s="38"/>
      <c r="AM60" s="41"/>
      <c r="AN60" s="13"/>
      <c r="AO60" s="38"/>
      <c r="AP60" s="38"/>
      <c r="AQ60" s="38"/>
      <c r="AR60" s="38"/>
      <c r="AS60" s="38"/>
      <c r="AT60" s="38"/>
      <c r="AU60" s="38"/>
      <c r="AV60" s="40"/>
      <c r="AW60" s="13"/>
      <c r="AX60" s="38"/>
      <c r="AY60" s="38"/>
      <c r="AZ60" s="38"/>
      <c r="BA60" s="38"/>
      <c r="BB60" s="38"/>
      <c r="BC60" s="38"/>
      <c r="BD60" s="40"/>
      <c r="BE60" s="13"/>
      <c r="BF60" s="38"/>
      <c r="BG60" s="42"/>
      <c r="BH60" s="42"/>
      <c r="BI60" s="42"/>
      <c r="BJ60" s="173"/>
      <c r="BK60" s="173"/>
      <c r="BL60" s="173"/>
      <c r="BM60" s="173"/>
      <c r="BN60" s="173"/>
      <c r="BO60" s="173"/>
      <c r="BP60" s="173"/>
      <c r="BQ60" s="173"/>
      <c r="BR60" s="173"/>
      <c r="BS60" s="173"/>
      <c r="BT60" s="173"/>
      <c r="BU60" s="173"/>
      <c r="BV60" s="173"/>
      <c r="BW60" s="173"/>
      <c r="BX60" s="173"/>
      <c r="BY60" s="173"/>
      <c r="BZ60" s="173"/>
      <c r="CA60" s="173"/>
      <c r="CB60" s="173"/>
      <c r="CC60" s="173"/>
      <c r="CD60" s="173"/>
      <c r="CE60" s="173"/>
      <c r="CF60" s="173"/>
      <c r="CG60" s="173"/>
      <c r="CH60" s="173"/>
      <c r="CI60" s="173"/>
      <c r="CJ60" s="173"/>
      <c r="CK60" s="173"/>
      <c r="CL60" s="173"/>
      <c r="CM60" s="173"/>
      <c r="CN60" s="173"/>
      <c r="CO60" s="173"/>
      <c r="CP60" s="173"/>
      <c r="CQ60" s="173"/>
      <c r="CR60" s="173"/>
      <c r="CS60" s="173"/>
      <c r="CT60" s="173"/>
      <c r="CU60" s="173"/>
      <c r="CV60" s="173"/>
      <c r="CW60" s="173"/>
      <c r="CX60" s="173"/>
      <c r="CY60" s="173"/>
      <c r="CZ60" s="173"/>
      <c r="DA60" s="173"/>
      <c r="DB60" s="173"/>
      <c r="DC60" s="173"/>
      <c r="DD60" s="173"/>
      <c r="DE60" s="173"/>
      <c r="DF60" s="173"/>
      <c r="DG60" s="173"/>
      <c r="DH60" s="173"/>
      <c r="DI60" s="173"/>
      <c r="DJ60" s="173"/>
      <c r="DK60" s="173"/>
      <c r="DL60" s="173"/>
      <c r="DM60" s="173"/>
      <c r="DN60" s="173"/>
      <c r="DO60" s="173"/>
      <c r="DP60" s="173"/>
      <c r="DQ60" s="173"/>
      <c r="DR60" s="173"/>
      <c r="DS60" s="173"/>
      <c r="DT60" s="173"/>
      <c r="DU60" s="173"/>
      <c r="DV60" s="173"/>
      <c r="DW60" s="173"/>
      <c r="DX60" s="173"/>
      <c r="DY60" s="173"/>
      <c r="DZ60" s="173"/>
      <c r="EA60" s="173"/>
      <c r="EB60" s="173"/>
      <c r="EC60" s="173"/>
      <c r="ED60" s="173"/>
      <c r="EE60" s="173"/>
      <c r="EF60" s="173"/>
      <c r="EG60" s="173"/>
      <c r="EH60" s="173"/>
      <c r="EI60" s="173"/>
      <c r="EJ60" s="173"/>
      <c r="EK60" s="173"/>
      <c r="EL60" s="173"/>
      <c r="EM60" s="173"/>
      <c r="EN60" s="173"/>
      <c r="EO60" s="173"/>
      <c r="EP60" s="173"/>
      <c r="EQ60" s="173"/>
      <c r="ER60" s="173"/>
      <c r="ES60" s="173"/>
      <c r="ET60" s="173"/>
      <c r="EU60" s="173"/>
      <c r="EV60" s="173"/>
      <c r="EW60" s="173"/>
      <c r="EX60" s="173"/>
      <c r="EY60" s="173"/>
      <c r="EZ60" s="173"/>
      <c r="FA60" s="173"/>
      <c r="FB60" s="173"/>
      <c r="FC60" s="173"/>
      <c r="FD60" s="173"/>
      <c r="FE60" s="173"/>
      <c r="FF60" s="173"/>
      <c r="FG60" s="173"/>
      <c r="FH60" s="173"/>
      <c r="FI60" s="173"/>
      <c r="FJ60" s="173"/>
      <c r="FK60" s="173"/>
      <c r="FL60" s="173"/>
      <c r="FM60" s="173"/>
      <c r="FN60" s="173"/>
      <c r="FO60" s="173"/>
      <c r="FP60" s="173"/>
      <c r="FQ60" s="173"/>
      <c r="FR60" s="173"/>
      <c r="FS60" s="173"/>
      <c r="FT60" s="173"/>
      <c r="FU60" s="173"/>
      <c r="FV60" s="173"/>
      <c r="FW60" s="173"/>
      <c r="FX60" s="173"/>
      <c r="FY60" s="173"/>
      <c r="FZ60" s="173"/>
      <c r="GA60" s="173"/>
      <c r="GB60" s="173"/>
      <c r="GC60" s="173"/>
      <c r="GD60" s="173"/>
      <c r="GE60" s="173"/>
      <c r="GF60" s="173"/>
      <c r="GG60" s="173"/>
      <c r="GH60" s="173"/>
      <c r="GI60" s="173"/>
      <c r="GJ60" s="173"/>
      <c r="GK60" s="173"/>
      <c r="GL60" s="173"/>
      <c r="GM60" s="173"/>
      <c r="GN60" s="173"/>
      <c r="GO60" s="173"/>
      <c r="GP60" s="173"/>
      <c r="GQ60" s="173"/>
      <c r="GR60" s="173"/>
      <c r="GS60" s="173"/>
      <c r="GT60" s="173"/>
      <c r="GU60" s="173"/>
      <c r="GV60" s="173"/>
      <c r="GW60" s="173"/>
      <c r="GX60" s="173"/>
      <c r="GY60" s="173"/>
      <c r="GZ60" s="173"/>
      <c r="HA60" s="173"/>
      <c r="HB60" s="173"/>
      <c r="HC60" s="173"/>
      <c r="HD60" s="173"/>
      <c r="HE60" s="173"/>
      <c r="HF60" s="173"/>
      <c r="HG60" s="173"/>
      <c r="HH60" s="173"/>
      <c r="HI60" s="173"/>
      <c r="HJ60" s="173"/>
      <c r="HK60" s="173"/>
      <c r="HL60" s="173"/>
      <c r="HM60" s="173"/>
      <c r="HN60" s="173"/>
      <c r="HO60" s="173"/>
      <c r="HP60" s="173"/>
      <c r="HQ60" s="173"/>
      <c r="HR60" s="173"/>
      <c r="HS60" s="173"/>
      <c r="HT60" s="173"/>
      <c r="HU60" s="173"/>
      <c r="HV60" s="173"/>
      <c r="HW60" s="173"/>
      <c r="HX60" s="173"/>
      <c r="HY60" s="173"/>
      <c r="HZ60" s="173"/>
      <c r="IA60" s="173"/>
      <c r="IB60" s="173"/>
      <c r="IC60" s="173"/>
      <c r="ID60" s="173"/>
      <c r="IE60" s="173"/>
      <c r="IF60" s="173"/>
      <c r="IG60" s="173"/>
      <c r="IH60" s="173"/>
      <c r="II60" s="173"/>
      <c r="IJ60" s="173"/>
      <c r="IK60" s="173"/>
      <c r="IL60" s="173"/>
      <c r="IM60" s="173"/>
      <c r="IN60" s="173"/>
      <c r="IO60" s="173"/>
      <c r="IP60" s="173"/>
      <c r="IQ60" s="173"/>
      <c r="IR60" s="173"/>
      <c r="IS60" s="173"/>
      <c r="IT60" s="173"/>
      <c r="IU60" s="173"/>
      <c r="IV60" s="173"/>
    </row>
    <row r="61" spans="1:256" ht="36">
      <c r="A61" s="10" t="s">
        <v>77</v>
      </c>
      <c r="B61" s="9" t="s">
        <v>59</v>
      </c>
      <c r="C61" s="32">
        <v>1</v>
      </c>
      <c r="D61" s="32">
        <v>2</v>
      </c>
      <c r="E61" s="32">
        <v>1</v>
      </c>
      <c r="F61" s="32">
        <v>1</v>
      </c>
      <c r="G61" s="32">
        <v>0</v>
      </c>
      <c r="H61" s="32">
        <v>0</v>
      </c>
      <c r="I61" s="32">
        <v>0</v>
      </c>
      <c r="J61" s="32">
        <v>7</v>
      </c>
      <c r="K61" s="10">
        <f t="shared" si="37"/>
        <v>12</v>
      </c>
      <c r="L61" s="11">
        <f>K61/K62</f>
        <v>0.16666666666666666</v>
      </c>
      <c r="M61" s="35">
        <f>K61/K65</f>
        <v>0.15789473684210525</v>
      </c>
      <c r="N61" s="37"/>
      <c r="O61" s="35"/>
      <c r="P61" s="13"/>
      <c r="Q61" s="38"/>
      <c r="R61" s="38"/>
      <c r="S61" s="38"/>
      <c r="T61" s="38"/>
      <c r="U61" s="40"/>
      <c r="V61" s="13"/>
      <c r="W61" s="38"/>
      <c r="X61" s="38"/>
      <c r="Y61" s="38"/>
      <c r="Z61" s="38"/>
      <c r="AA61" s="38"/>
      <c r="AB61" s="38"/>
      <c r="AC61" s="38"/>
      <c r="AD61" s="40"/>
      <c r="AE61" s="13"/>
      <c r="AF61" s="38"/>
      <c r="AG61" s="38"/>
      <c r="AH61" s="38"/>
      <c r="AI61" s="38"/>
      <c r="AJ61" s="38"/>
      <c r="AK61" s="38"/>
      <c r="AL61" s="38"/>
      <c r="AM61" s="41"/>
      <c r="AN61" s="13"/>
      <c r="AO61" s="38"/>
      <c r="AP61" s="38"/>
      <c r="AQ61" s="38"/>
      <c r="AR61" s="38"/>
      <c r="AS61" s="38"/>
      <c r="AT61" s="38"/>
      <c r="AU61" s="38"/>
      <c r="AV61" s="40"/>
      <c r="AW61" s="13"/>
      <c r="AX61" s="38"/>
      <c r="AY61" s="38"/>
      <c r="AZ61" s="38"/>
      <c r="BA61" s="38"/>
      <c r="BB61" s="38"/>
      <c r="BC61" s="38"/>
      <c r="BD61" s="40"/>
      <c r="BE61" s="13"/>
      <c r="BF61" s="38"/>
      <c r="BG61" s="42"/>
      <c r="BH61" s="42"/>
      <c r="BI61" s="42"/>
      <c r="BJ61" s="173"/>
      <c r="BK61" s="173"/>
      <c r="BL61" s="173"/>
      <c r="BM61" s="173"/>
      <c r="BN61" s="173"/>
      <c r="BO61" s="173"/>
      <c r="BP61" s="173"/>
      <c r="BQ61" s="173"/>
      <c r="BR61" s="173"/>
      <c r="BS61" s="173"/>
      <c r="BT61" s="173"/>
      <c r="BU61" s="173"/>
      <c r="BV61" s="173"/>
      <c r="BW61" s="173"/>
      <c r="BX61" s="173"/>
      <c r="BY61" s="173"/>
      <c r="BZ61" s="173"/>
      <c r="CA61" s="173"/>
      <c r="CB61" s="173"/>
      <c r="CC61" s="173"/>
      <c r="CD61" s="173"/>
      <c r="CE61" s="173"/>
      <c r="CF61" s="173"/>
      <c r="CG61" s="173"/>
      <c r="CH61" s="173"/>
      <c r="CI61" s="173"/>
      <c r="CJ61" s="173"/>
      <c r="CK61" s="173"/>
      <c r="CL61" s="173"/>
      <c r="CM61" s="173"/>
      <c r="CN61" s="173"/>
      <c r="CO61" s="173"/>
      <c r="CP61" s="173"/>
      <c r="CQ61" s="173"/>
      <c r="CR61" s="173"/>
      <c r="CS61" s="173"/>
      <c r="CT61" s="173"/>
      <c r="CU61" s="173"/>
      <c r="CV61" s="173"/>
      <c r="CW61" s="173"/>
      <c r="CX61" s="173"/>
      <c r="CY61" s="173"/>
      <c r="CZ61" s="173"/>
      <c r="DA61" s="173"/>
      <c r="DB61" s="173"/>
      <c r="DC61" s="173"/>
      <c r="DD61" s="173"/>
      <c r="DE61" s="173"/>
      <c r="DF61" s="173"/>
      <c r="DG61" s="173"/>
      <c r="DH61" s="173"/>
      <c r="DI61" s="173"/>
      <c r="DJ61" s="173"/>
      <c r="DK61" s="173"/>
      <c r="DL61" s="173"/>
      <c r="DM61" s="173"/>
      <c r="DN61" s="173"/>
      <c r="DO61" s="173"/>
      <c r="DP61" s="173"/>
      <c r="DQ61" s="173"/>
      <c r="DR61" s="173"/>
      <c r="DS61" s="173"/>
      <c r="DT61" s="173"/>
      <c r="DU61" s="173"/>
      <c r="DV61" s="173"/>
      <c r="DW61" s="173"/>
      <c r="DX61" s="173"/>
      <c r="DY61" s="173"/>
      <c r="DZ61" s="173"/>
      <c r="EA61" s="173"/>
      <c r="EB61" s="173"/>
      <c r="EC61" s="173"/>
      <c r="ED61" s="173"/>
      <c r="EE61" s="173"/>
      <c r="EF61" s="173"/>
      <c r="EG61" s="173"/>
      <c r="EH61" s="173"/>
      <c r="EI61" s="173"/>
      <c r="EJ61" s="173"/>
      <c r="EK61" s="173"/>
      <c r="EL61" s="173"/>
      <c r="EM61" s="173"/>
      <c r="EN61" s="173"/>
      <c r="EO61" s="173"/>
      <c r="EP61" s="173"/>
      <c r="EQ61" s="173"/>
      <c r="ER61" s="173"/>
      <c r="ES61" s="173"/>
      <c r="ET61" s="173"/>
      <c r="EU61" s="173"/>
      <c r="EV61" s="173"/>
      <c r="EW61" s="173"/>
      <c r="EX61" s="173"/>
      <c r="EY61" s="173"/>
      <c r="EZ61" s="173"/>
      <c r="FA61" s="173"/>
      <c r="FB61" s="173"/>
      <c r="FC61" s="173"/>
      <c r="FD61" s="173"/>
      <c r="FE61" s="173"/>
      <c r="FF61" s="173"/>
      <c r="FG61" s="173"/>
      <c r="FH61" s="173"/>
      <c r="FI61" s="173"/>
      <c r="FJ61" s="173"/>
      <c r="FK61" s="173"/>
      <c r="FL61" s="173"/>
      <c r="FM61" s="173"/>
      <c r="FN61" s="173"/>
      <c r="FO61" s="173"/>
      <c r="FP61" s="173"/>
      <c r="FQ61" s="173"/>
      <c r="FR61" s="173"/>
      <c r="FS61" s="173"/>
      <c r="FT61" s="173"/>
      <c r="FU61" s="173"/>
      <c r="FV61" s="173"/>
      <c r="FW61" s="173"/>
      <c r="FX61" s="173"/>
      <c r="FY61" s="173"/>
      <c r="FZ61" s="173"/>
      <c r="GA61" s="173"/>
      <c r="GB61" s="173"/>
      <c r="GC61" s="173"/>
      <c r="GD61" s="173"/>
      <c r="GE61" s="173"/>
      <c r="GF61" s="173"/>
      <c r="GG61" s="173"/>
      <c r="GH61" s="173"/>
      <c r="GI61" s="173"/>
      <c r="GJ61" s="173"/>
      <c r="GK61" s="173"/>
      <c r="GL61" s="173"/>
      <c r="GM61" s="173"/>
      <c r="GN61" s="173"/>
      <c r="GO61" s="173"/>
      <c r="GP61" s="173"/>
      <c r="GQ61" s="173"/>
      <c r="GR61" s="173"/>
      <c r="GS61" s="173"/>
      <c r="GT61" s="173"/>
      <c r="GU61" s="173"/>
      <c r="GV61" s="173"/>
      <c r="GW61" s="173"/>
      <c r="GX61" s="173"/>
      <c r="GY61" s="173"/>
      <c r="GZ61" s="173"/>
      <c r="HA61" s="173"/>
      <c r="HB61" s="173"/>
      <c r="HC61" s="173"/>
      <c r="HD61" s="173"/>
      <c r="HE61" s="173"/>
      <c r="HF61" s="173"/>
      <c r="HG61" s="173"/>
      <c r="HH61" s="173"/>
      <c r="HI61" s="173"/>
      <c r="HJ61" s="173"/>
      <c r="HK61" s="173"/>
      <c r="HL61" s="173"/>
      <c r="HM61" s="173"/>
      <c r="HN61" s="173"/>
      <c r="HO61" s="173"/>
      <c r="HP61" s="173"/>
      <c r="HQ61" s="173"/>
      <c r="HR61" s="173"/>
      <c r="HS61" s="173"/>
      <c r="HT61" s="173"/>
      <c r="HU61" s="173"/>
      <c r="HV61" s="173"/>
      <c r="HW61" s="173"/>
      <c r="HX61" s="173"/>
      <c r="HY61" s="173"/>
      <c r="HZ61" s="173"/>
      <c r="IA61" s="173"/>
      <c r="IB61" s="173"/>
      <c r="IC61" s="173"/>
      <c r="ID61" s="173"/>
      <c r="IE61" s="173"/>
      <c r="IF61" s="173"/>
      <c r="IG61" s="173"/>
      <c r="IH61" s="173"/>
      <c r="II61" s="173"/>
      <c r="IJ61" s="173"/>
      <c r="IK61" s="173"/>
      <c r="IL61" s="173"/>
      <c r="IM61" s="173"/>
      <c r="IN61" s="173"/>
      <c r="IO61" s="173"/>
      <c r="IP61" s="173"/>
      <c r="IQ61" s="173"/>
      <c r="IR61" s="173"/>
      <c r="IS61" s="173"/>
      <c r="IT61" s="173"/>
      <c r="IU61" s="173"/>
      <c r="IV61" s="173"/>
    </row>
    <row r="62" spans="1:256" ht="20.25" customHeight="1">
      <c r="A62" s="10" t="s">
        <v>9</v>
      </c>
      <c r="B62" s="9" t="s">
        <v>59</v>
      </c>
      <c r="C62" s="9">
        <f t="shared" ref="C62:J62" si="38">SUM(C59:C61)</f>
        <v>3</v>
      </c>
      <c r="D62" s="9">
        <f t="shared" si="38"/>
        <v>14</v>
      </c>
      <c r="E62" s="9">
        <f t="shared" si="38"/>
        <v>6</v>
      </c>
      <c r="F62" s="9">
        <f t="shared" si="38"/>
        <v>10</v>
      </c>
      <c r="G62" s="9">
        <f t="shared" si="38"/>
        <v>10</v>
      </c>
      <c r="H62" s="9">
        <f t="shared" si="38"/>
        <v>10</v>
      </c>
      <c r="I62" s="9">
        <f t="shared" si="38"/>
        <v>9</v>
      </c>
      <c r="J62" s="9">
        <f t="shared" si="38"/>
        <v>10</v>
      </c>
      <c r="K62" s="10">
        <f t="shared" si="37"/>
        <v>72</v>
      </c>
      <c r="L62" s="11">
        <f>SUM(L57:L61)</f>
        <v>0.99999999999999989</v>
      </c>
      <c r="M62" s="35">
        <f>K62/K65</f>
        <v>0.94736842105263153</v>
      </c>
      <c r="N62" s="37"/>
      <c r="O62" s="35"/>
      <c r="P62" s="13"/>
      <c r="Q62" s="38"/>
      <c r="R62" s="38"/>
      <c r="S62" s="38"/>
      <c r="T62" s="38"/>
      <c r="U62" s="40"/>
      <c r="V62" s="13"/>
      <c r="W62" s="38"/>
      <c r="X62" s="38"/>
      <c r="Y62" s="38"/>
      <c r="Z62" s="38"/>
      <c r="AA62" s="38"/>
      <c r="AB62" s="38"/>
      <c r="AC62" s="38"/>
      <c r="AD62" s="40"/>
      <c r="AE62" s="13"/>
      <c r="AF62" s="38"/>
      <c r="AG62" s="38"/>
      <c r="AH62" s="38"/>
      <c r="AI62" s="38"/>
      <c r="AJ62" s="38"/>
      <c r="AK62" s="38"/>
      <c r="AL62" s="38"/>
      <c r="AM62" s="41"/>
      <c r="AN62" s="13"/>
      <c r="AO62" s="38"/>
      <c r="AP62" s="38"/>
      <c r="AQ62" s="38"/>
      <c r="AR62" s="38"/>
      <c r="AS62" s="38"/>
      <c r="AT62" s="38"/>
      <c r="AU62" s="38"/>
      <c r="AV62" s="40"/>
      <c r="AW62" s="13"/>
      <c r="AX62" s="38"/>
      <c r="AY62" s="38"/>
      <c r="AZ62" s="38"/>
      <c r="BA62" s="38"/>
      <c r="BB62" s="38"/>
      <c r="BC62" s="38"/>
      <c r="BD62" s="40"/>
      <c r="BE62" s="13"/>
      <c r="BF62" s="38"/>
      <c r="BG62" s="42"/>
      <c r="BH62" s="42"/>
      <c r="BI62" s="42"/>
      <c r="BJ62" s="173"/>
      <c r="BK62" s="173"/>
      <c r="BL62" s="173"/>
      <c r="BM62" s="173"/>
      <c r="BN62" s="173"/>
      <c r="BO62" s="173"/>
      <c r="BP62" s="173"/>
      <c r="BQ62" s="173"/>
      <c r="BR62" s="173"/>
      <c r="BS62" s="173"/>
      <c r="BT62" s="173"/>
      <c r="BU62" s="173"/>
      <c r="BV62" s="173"/>
      <c r="BW62" s="173"/>
      <c r="BX62" s="173"/>
      <c r="BY62" s="173"/>
      <c r="BZ62" s="173"/>
      <c r="CA62" s="173"/>
      <c r="CB62" s="173"/>
      <c r="CC62" s="173"/>
      <c r="CD62" s="173"/>
      <c r="CE62" s="173"/>
      <c r="CF62" s="173"/>
      <c r="CG62" s="173"/>
      <c r="CH62" s="173"/>
      <c r="CI62" s="173"/>
      <c r="CJ62" s="173"/>
      <c r="CK62" s="173"/>
      <c r="CL62" s="173"/>
      <c r="CM62" s="173"/>
      <c r="CN62" s="173"/>
      <c r="CO62" s="173"/>
      <c r="CP62" s="173"/>
      <c r="CQ62" s="173"/>
      <c r="CR62" s="173"/>
      <c r="CS62" s="173"/>
      <c r="CT62" s="173"/>
      <c r="CU62" s="173"/>
      <c r="CV62" s="173"/>
      <c r="CW62" s="173"/>
      <c r="CX62" s="173"/>
      <c r="CY62" s="173"/>
      <c r="CZ62" s="173"/>
      <c r="DA62" s="173"/>
      <c r="DB62" s="173"/>
      <c r="DC62" s="173"/>
      <c r="DD62" s="173"/>
      <c r="DE62" s="173"/>
      <c r="DF62" s="173"/>
      <c r="DG62" s="173"/>
      <c r="DH62" s="173"/>
      <c r="DI62" s="173"/>
      <c r="DJ62" s="173"/>
      <c r="DK62" s="173"/>
      <c r="DL62" s="173"/>
      <c r="DM62" s="173"/>
      <c r="DN62" s="173"/>
      <c r="DO62" s="173"/>
      <c r="DP62" s="173"/>
      <c r="DQ62" s="173"/>
      <c r="DR62" s="173"/>
      <c r="DS62" s="173"/>
      <c r="DT62" s="173"/>
      <c r="DU62" s="173"/>
      <c r="DV62" s="173"/>
      <c r="DW62" s="173"/>
      <c r="DX62" s="173"/>
      <c r="DY62" s="173"/>
      <c r="DZ62" s="173"/>
      <c r="EA62" s="173"/>
      <c r="EB62" s="173"/>
      <c r="EC62" s="173"/>
      <c r="ED62" s="173"/>
      <c r="EE62" s="173"/>
      <c r="EF62" s="173"/>
      <c r="EG62" s="173"/>
      <c r="EH62" s="173"/>
      <c r="EI62" s="173"/>
      <c r="EJ62" s="173"/>
      <c r="EK62" s="173"/>
      <c r="EL62" s="173"/>
      <c r="EM62" s="173"/>
      <c r="EN62" s="173"/>
      <c r="EO62" s="173"/>
      <c r="EP62" s="173"/>
      <c r="EQ62" s="173"/>
      <c r="ER62" s="173"/>
      <c r="ES62" s="173"/>
      <c r="ET62" s="173"/>
      <c r="EU62" s="173"/>
      <c r="EV62" s="173"/>
      <c r="EW62" s="173"/>
      <c r="EX62" s="173"/>
      <c r="EY62" s="173"/>
      <c r="EZ62" s="173"/>
      <c r="FA62" s="173"/>
      <c r="FB62" s="173"/>
      <c r="FC62" s="173"/>
      <c r="FD62" s="173"/>
      <c r="FE62" s="173"/>
      <c r="FF62" s="173"/>
      <c r="FG62" s="173"/>
      <c r="FH62" s="173"/>
      <c r="FI62" s="173"/>
      <c r="FJ62" s="173"/>
      <c r="FK62" s="173"/>
      <c r="FL62" s="173"/>
      <c r="FM62" s="173"/>
      <c r="FN62" s="173"/>
      <c r="FO62" s="173"/>
      <c r="FP62" s="173"/>
      <c r="FQ62" s="173"/>
      <c r="FR62" s="173"/>
      <c r="FS62" s="173"/>
      <c r="FT62" s="173"/>
      <c r="FU62" s="173"/>
      <c r="FV62" s="173"/>
      <c r="FW62" s="173"/>
      <c r="FX62" s="173"/>
      <c r="FY62" s="173"/>
      <c r="FZ62" s="173"/>
      <c r="GA62" s="173"/>
      <c r="GB62" s="173"/>
      <c r="GC62" s="173"/>
      <c r="GD62" s="173"/>
      <c r="GE62" s="173"/>
      <c r="GF62" s="173"/>
      <c r="GG62" s="173"/>
      <c r="GH62" s="173"/>
      <c r="GI62" s="173"/>
      <c r="GJ62" s="173"/>
      <c r="GK62" s="173"/>
      <c r="GL62" s="173"/>
      <c r="GM62" s="173"/>
      <c r="GN62" s="173"/>
      <c r="GO62" s="173"/>
      <c r="GP62" s="173"/>
      <c r="GQ62" s="173"/>
      <c r="GR62" s="173"/>
      <c r="GS62" s="173"/>
      <c r="GT62" s="173"/>
      <c r="GU62" s="173"/>
      <c r="GV62" s="173"/>
      <c r="GW62" s="173"/>
      <c r="GX62" s="173"/>
      <c r="GY62" s="173"/>
      <c r="GZ62" s="173"/>
      <c r="HA62" s="173"/>
      <c r="HB62" s="173"/>
      <c r="HC62" s="173"/>
      <c r="HD62" s="173"/>
      <c r="HE62" s="173"/>
      <c r="HF62" s="173"/>
      <c r="HG62" s="173"/>
      <c r="HH62" s="173"/>
      <c r="HI62" s="173"/>
      <c r="HJ62" s="173"/>
      <c r="HK62" s="173"/>
      <c r="HL62" s="173"/>
      <c r="HM62" s="173"/>
      <c r="HN62" s="173"/>
      <c r="HO62" s="173"/>
      <c r="HP62" s="173"/>
      <c r="HQ62" s="173"/>
      <c r="HR62" s="173"/>
      <c r="HS62" s="173"/>
      <c r="HT62" s="173"/>
      <c r="HU62" s="173"/>
      <c r="HV62" s="173"/>
      <c r="HW62" s="173"/>
      <c r="HX62" s="173"/>
      <c r="HY62" s="173"/>
      <c r="HZ62" s="173"/>
      <c r="IA62" s="173"/>
      <c r="IB62" s="173"/>
      <c r="IC62" s="173"/>
      <c r="ID62" s="173"/>
      <c r="IE62" s="173"/>
      <c r="IF62" s="173"/>
      <c r="IG62" s="173"/>
      <c r="IH62" s="173"/>
      <c r="II62" s="173"/>
      <c r="IJ62" s="173"/>
      <c r="IK62" s="173"/>
      <c r="IL62" s="173"/>
      <c r="IM62" s="173"/>
      <c r="IN62" s="173"/>
      <c r="IO62" s="173"/>
      <c r="IP62" s="173"/>
      <c r="IQ62" s="173"/>
      <c r="IR62" s="173"/>
      <c r="IS62" s="173"/>
      <c r="IT62" s="173"/>
      <c r="IU62" s="173"/>
      <c r="IV62" s="173"/>
    </row>
    <row r="63" spans="1:256" ht="20.25" customHeight="1">
      <c r="A63" s="8" t="s">
        <v>64</v>
      </c>
      <c r="B63" s="9" t="s">
        <v>59</v>
      </c>
      <c r="C63" s="32"/>
      <c r="D63" s="32">
        <v>2</v>
      </c>
      <c r="E63" s="32">
        <v>0</v>
      </c>
      <c r="F63" s="32"/>
      <c r="G63" s="32">
        <v>0</v>
      </c>
      <c r="H63" s="32"/>
      <c r="I63" s="32"/>
      <c r="J63" s="32">
        <v>1</v>
      </c>
      <c r="K63" s="10">
        <f t="shared" si="37"/>
        <v>3</v>
      </c>
      <c r="L63" s="11"/>
      <c r="M63" s="35">
        <f>K63/(K65)</f>
        <v>3.9473684210526314E-2</v>
      </c>
      <c r="N63" s="37"/>
      <c r="O63" s="35"/>
      <c r="P63" s="13"/>
      <c r="Q63" s="38"/>
      <c r="R63" s="38"/>
      <c r="S63" s="38"/>
      <c r="T63" s="38"/>
      <c r="U63" s="40"/>
      <c r="V63" s="13"/>
      <c r="W63" s="38"/>
      <c r="X63" s="38"/>
      <c r="Y63" s="38"/>
      <c r="Z63" s="38"/>
      <c r="AA63" s="38"/>
      <c r="AB63" s="38"/>
      <c r="AC63" s="38"/>
      <c r="AD63" s="40"/>
      <c r="AE63" s="13"/>
      <c r="AF63" s="38"/>
      <c r="AG63" s="38"/>
      <c r="AH63" s="38"/>
      <c r="AI63" s="38"/>
      <c r="AJ63" s="38"/>
      <c r="AK63" s="38"/>
      <c r="AL63" s="38"/>
      <c r="AM63" s="41"/>
      <c r="AN63" s="13"/>
      <c r="AO63" s="38"/>
      <c r="AP63" s="38"/>
      <c r="AQ63" s="38"/>
      <c r="AR63" s="38"/>
      <c r="AS63" s="38"/>
      <c r="AT63" s="38"/>
      <c r="AU63" s="38"/>
      <c r="AV63" s="40"/>
      <c r="AW63" s="13"/>
      <c r="AX63" s="38"/>
      <c r="AY63" s="38"/>
      <c r="AZ63" s="38"/>
      <c r="BA63" s="38"/>
      <c r="BB63" s="38"/>
      <c r="BC63" s="38"/>
      <c r="BD63" s="40"/>
      <c r="BE63" s="13"/>
      <c r="BF63" s="38"/>
      <c r="BG63" s="42"/>
      <c r="BH63" s="42"/>
      <c r="BI63" s="42"/>
      <c r="BJ63" s="173"/>
      <c r="BK63" s="173"/>
      <c r="BL63" s="173"/>
      <c r="BM63" s="173"/>
      <c r="BN63" s="173"/>
      <c r="BO63" s="173"/>
      <c r="BP63" s="173"/>
      <c r="BQ63" s="173"/>
      <c r="BR63" s="173"/>
      <c r="BS63" s="173"/>
      <c r="BT63" s="173"/>
      <c r="BU63" s="173"/>
      <c r="BV63" s="173"/>
      <c r="BW63" s="173"/>
      <c r="BX63" s="173"/>
      <c r="BY63" s="173"/>
      <c r="BZ63" s="173"/>
      <c r="CA63" s="173"/>
      <c r="CB63" s="173"/>
      <c r="CC63" s="173"/>
      <c r="CD63" s="173"/>
      <c r="CE63" s="173"/>
      <c r="CF63" s="173"/>
      <c r="CG63" s="173"/>
      <c r="CH63" s="173"/>
      <c r="CI63" s="173"/>
      <c r="CJ63" s="173"/>
      <c r="CK63" s="173"/>
      <c r="CL63" s="173"/>
      <c r="CM63" s="173"/>
      <c r="CN63" s="173"/>
      <c r="CO63" s="173"/>
      <c r="CP63" s="173"/>
      <c r="CQ63" s="173"/>
      <c r="CR63" s="173"/>
      <c r="CS63" s="173"/>
      <c r="CT63" s="173"/>
      <c r="CU63" s="173"/>
      <c r="CV63" s="173"/>
      <c r="CW63" s="173"/>
      <c r="CX63" s="173"/>
      <c r="CY63" s="173"/>
      <c r="CZ63" s="173"/>
      <c r="DA63" s="173"/>
      <c r="DB63" s="173"/>
      <c r="DC63" s="173"/>
      <c r="DD63" s="173"/>
      <c r="DE63" s="173"/>
      <c r="DF63" s="173"/>
      <c r="DG63" s="173"/>
      <c r="DH63" s="173"/>
      <c r="DI63" s="173"/>
      <c r="DJ63" s="173"/>
      <c r="DK63" s="173"/>
      <c r="DL63" s="173"/>
      <c r="DM63" s="173"/>
      <c r="DN63" s="173"/>
      <c r="DO63" s="173"/>
      <c r="DP63" s="173"/>
      <c r="DQ63" s="173"/>
      <c r="DR63" s="173"/>
      <c r="DS63" s="173"/>
      <c r="DT63" s="173"/>
      <c r="DU63" s="173"/>
      <c r="DV63" s="173"/>
      <c r="DW63" s="173"/>
      <c r="DX63" s="173"/>
      <c r="DY63" s="173"/>
      <c r="DZ63" s="173"/>
      <c r="EA63" s="173"/>
      <c r="EB63" s="173"/>
      <c r="EC63" s="173"/>
      <c r="ED63" s="173"/>
      <c r="EE63" s="173"/>
      <c r="EF63" s="173"/>
      <c r="EG63" s="173"/>
      <c r="EH63" s="173"/>
      <c r="EI63" s="173"/>
      <c r="EJ63" s="173"/>
      <c r="EK63" s="173"/>
      <c r="EL63" s="173"/>
      <c r="EM63" s="173"/>
      <c r="EN63" s="173"/>
      <c r="EO63" s="173"/>
      <c r="EP63" s="173"/>
      <c r="EQ63" s="173"/>
      <c r="ER63" s="173"/>
      <c r="ES63" s="173"/>
      <c r="ET63" s="173"/>
      <c r="EU63" s="173"/>
      <c r="EV63" s="173"/>
      <c r="EW63" s="173"/>
      <c r="EX63" s="173"/>
      <c r="EY63" s="173"/>
      <c r="EZ63" s="173"/>
      <c r="FA63" s="173"/>
      <c r="FB63" s="173"/>
      <c r="FC63" s="173"/>
      <c r="FD63" s="173"/>
      <c r="FE63" s="173"/>
      <c r="FF63" s="173"/>
      <c r="FG63" s="173"/>
      <c r="FH63" s="173"/>
      <c r="FI63" s="173"/>
      <c r="FJ63" s="173"/>
      <c r="FK63" s="173"/>
      <c r="FL63" s="173"/>
      <c r="FM63" s="173"/>
      <c r="FN63" s="173"/>
      <c r="FO63" s="173"/>
      <c r="FP63" s="173"/>
      <c r="FQ63" s="173"/>
      <c r="FR63" s="173"/>
      <c r="FS63" s="173"/>
      <c r="FT63" s="173"/>
      <c r="FU63" s="173"/>
      <c r="FV63" s="173"/>
      <c r="FW63" s="173"/>
      <c r="FX63" s="173"/>
      <c r="FY63" s="173"/>
      <c r="FZ63" s="173"/>
      <c r="GA63" s="173"/>
      <c r="GB63" s="173"/>
      <c r="GC63" s="173"/>
      <c r="GD63" s="173"/>
      <c r="GE63" s="173"/>
      <c r="GF63" s="173"/>
      <c r="GG63" s="173"/>
      <c r="GH63" s="173"/>
      <c r="GI63" s="173"/>
      <c r="GJ63" s="173"/>
      <c r="GK63" s="173"/>
      <c r="GL63" s="173"/>
      <c r="GM63" s="173"/>
      <c r="GN63" s="173"/>
      <c r="GO63" s="173"/>
      <c r="GP63" s="173"/>
      <c r="GQ63" s="173"/>
      <c r="GR63" s="173"/>
      <c r="GS63" s="173"/>
      <c r="GT63" s="173"/>
      <c r="GU63" s="173"/>
      <c r="GV63" s="173"/>
      <c r="GW63" s="173"/>
      <c r="GX63" s="173"/>
      <c r="GY63" s="173"/>
      <c r="GZ63" s="173"/>
      <c r="HA63" s="173"/>
      <c r="HB63" s="173"/>
      <c r="HC63" s="173"/>
      <c r="HD63" s="173"/>
      <c r="HE63" s="173"/>
      <c r="HF63" s="173"/>
      <c r="HG63" s="173"/>
      <c r="HH63" s="173"/>
      <c r="HI63" s="173"/>
      <c r="HJ63" s="173"/>
      <c r="HK63" s="173"/>
      <c r="HL63" s="173"/>
      <c r="HM63" s="173"/>
      <c r="HN63" s="173"/>
      <c r="HO63" s="173"/>
      <c r="HP63" s="173"/>
      <c r="HQ63" s="173"/>
      <c r="HR63" s="173"/>
      <c r="HS63" s="173"/>
      <c r="HT63" s="173"/>
      <c r="HU63" s="173"/>
      <c r="HV63" s="173"/>
      <c r="HW63" s="173"/>
      <c r="HX63" s="173"/>
      <c r="HY63" s="173"/>
      <c r="HZ63" s="173"/>
      <c r="IA63" s="173"/>
      <c r="IB63" s="173"/>
      <c r="IC63" s="173"/>
      <c r="ID63" s="173"/>
      <c r="IE63" s="173"/>
      <c r="IF63" s="173"/>
      <c r="IG63" s="173"/>
      <c r="IH63" s="173"/>
      <c r="II63" s="173"/>
      <c r="IJ63" s="173"/>
      <c r="IK63" s="173"/>
      <c r="IL63" s="173"/>
      <c r="IM63" s="173"/>
      <c r="IN63" s="173"/>
      <c r="IO63" s="173"/>
      <c r="IP63" s="173"/>
      <c r="IQ63" s="173"/>
      <c r="IR63" s="173"/>
      <c r="IS63" s="173"/>
      <c r="IT63" s="173"/>
      <c r="IU63" s="173"/>
      <c r="IV63" s="173"/>
    </row>
    <row r="64" spans="1:256" ht="20.25" customHeight="1">
      <c r="A64" s="8" t="s">
        <v>65</v>
      </c>
      <c r="B64" s="9" t="s">
        <v>59</v>
      </c>
      <c r="C64" s="32"/>
      <c r="D64" s="32">
        <v>0</v>
      </c>
      <c r="E64" s="32">
        <v>0</v>
      </c>
      <c r="F64" s="32">
        <v>1</v>
      </c>
      <c r="G64" s="32">
        <v>0</v>
      </c>
      <c r="H64" s="32"/>
      <c r="I64" s="32"/>
      <c r="J64" s="32"/>
      <c r="K64" s="10">
        <f t="shared" si="37"/>
        <v>1</v>
      </c>
      <c r="L64" s="11"/>
      <c r="M64" s="35">
        <f>K64/(K65)</f>
        <v>1.3157894736842105E-2</v>
      </c>
      <c r="N64" s="37"/>
      <c r="O64" s="35"/>
      <c r="P64" s="13"/>
      <c r="Q64" s="38"/>
      <c r="R64" s="38"/>
      <c r="S64" s="38"/>
      <c r="T64" s="38"/>
      <c r="U64" s="40"/>
      <c r="V64" s="13"/>
      <c r="W64" s="38"/>
      <c r="X64" s="38"/>
      <c r="Y64" s="38"/>
      <c r="Z64" s="38"/>
      <c r="AA64" s="38"/>
      <c r="AB64" s="38"/>
      <c r="AC64" s="38"/>
      <c r="AD64" s="40"/>
      <c r="AE64" s="13"/>
      <c r="AF64" s="38"/>
      <c r="AG64" s="38"/>
      <c r="AH64" s="38"/>
      <c r="AI64" s="38"/>
      <c r="AJ64" s="38"/>
      <c r="AK64" s="38"/>
      <c r="AL64" s="38"/>
      <c r="AM64" s="41"/>
      <c r="AN64" s="13"/>
      <c r="AO64" s="38"/>
      <c r="AP64" s="38"/>
      <c r="AQ64" s="38"/>
      <c r="AR64" s="38"/>
      <c r="AS64" s="38"/>
      <c r="AT64" s="38"/>
      <c r="AU64" s="38"/>
      <c r="AV64" s="40"/>
      <c r="AW64" s="13"/>
      <c r="AX64" s="38"/>
      <c r="AY64" s="38"/>
      <c r="AZ64" s="38"/>
      <c r="BA64" s="38"/>
      <c r="BB64" s="38"/>
      <c r="BC64" s="38"/>
      <c r="BD64" s="40"/>
      <c r="BE64" s="13"/>
      <c r="BF64" s="38"/>
      <c r="BG64" s="42"/>
      <c r="BH64" s="42"/>
      <c r="BI64" s="42"/>
      <c r="BJ64" s="173"/>
      <c r="BK64" s="173"/>
      <c r="BL64" s="173"/>
      <c r="BM64" s="173"/>
      <c r="BN64" s="173"/>
      <c r="BO64" s="173"/>
      <c r="BP64" s="173"/>
      <c r="BQ64" s="173"/>
      <c r="BR64" s="173"/>
      <c r="BS64" s="173"/>
      <c r="BT64" s="173"/>
      <c r="BU64" s="173"/>
      <c r="BV64" s="173"/>
      <c r="BW64" s="173"/>
      <c r="BX64" s="173"/>
      <c r="BY64" s="173"/>
      <c r="BZ64" s="173"/>
      <c r="CA64" s="173"/>
      <c r="CB64" s="173"/>
      <c r="CC64" s="173"/>
      <c r="CD64" s="173"/>
      <c r="CE64" s="173"/>
      <c r="CF64" s="173"/>
      <c r="CG64" s="173"/>
      <c r="CH64" s="173"/>
      <c r="CI64" s="173"/>
      <c r="CJ64" s="173"/>
      <c r="CK64" s="173"/>
      <c r="CL64" s="173"/>
      <c r="CM64" s="173"/>
      <c r="CN64" s="173"/>
      <c r="CO64" s="173"/>
      <c r="CP64" s="173"/>
      <c r="CQ64" s="173"/>
      <c r="CR64" s="173"/>
      <c r="CS64" s="173"/>
      <c r="CT64" s="173"/>
      <c r="CU64" s="173"/>
      <c r="CV64" s="173"/>
      <c r="CW64" s="173"/>
      <c r="CX64" s="173"/>
      <c r="CY64" s="173"/>
      <c r="CZ64" s="173"/>
      <c r="DA64" s="173"/>
      <c r="DB64" s="173"/>
      <c r="DC64" s="173"/>
      <c r="DD64" s="173"/>
      <c r="DE64" s="173"/>
      <c r="DF64" s="173"/>
      <c r="DG64" s="173"/>
      <c r="DH64" s="173"/>
      <c r="DI64" s="173"/>
      <c r="DJ64" s="173"/>
      <c r="DK64" s="173"/>
      <c r="DL64" s="173"/>
      <c r="DM64" s="173"/>
      <c r="DN64" s="173"/>
      <c r="DO64" s="173"/>
      <c r="DP64" s="173"/>
      <c r="DQ64" s="173"/>
      <c r="DR64" s="173"/>
      <c r="DS64" s="173"/>
      <c r="DT64" s="173"/>
      <c r="DU64" s="173"/>
      <c r="DV64" s="173"/>
      <c r="DW64" s="173"/>
      <c r="DX64" s="173"/>
      <c r="DY64" s="173"/>
      <c r="DZ64" s="173"/>
      <c r="EA64" s="173"/>
      <c r="EB64" s="173"/>
      <c r="EC64" s="173"/>
      <c r="ED64" s="173"/>
      <c r="EE64" s="173"/>
      <c r="EF64" s="173"/>
      <c r="EG64" s="173"/>
      <c r="EH64" s="173"/>
      <c r="EI64" s="173"/>
      <c r="EJ64" s="173"/>
      <c r="EK64" s="173"/>
      <c r="EL64" s="173"/>
      <c r="EM64" s="173"/>
      <c r="EN64" s="173"/>
      <c r="EO64" s="173"/>
      <c r="EP64" s="173"/>
      <c r="EQ64" s="173"/>
      <c r="ER64" s="173"/>
      <c r="ES64" s="173"/>
      <c r="ET64" s="173"/>
      <c r="EU64" s="173"/>
      <c r="EV64" s="173"/>
      <c r="EW64" s="173"/>
      <c r="EX64" s="173"/>
      <c r="EY64" s="173"/>
      <c r="EZ64" s="173"/>
      <c r="FA64" s="173"/>
      <c r="FB64" s="173"/>
      <c r="FC64" s="173"/>
      <c r="FD64" s="173"/>
      <c r="FE64" s="173"/>
      <c r="FF64" s="173"/>
      <c r="FG64" s="173"/>
      <c r="FH64" s="173"/>
      <c r="FI64" s="173"/>
      <c r="FJ64" s="173"/>
      <c r="FK64" s="173"/>
      <c r="FL64" s="173"/>
      <c r="FM64" s="173"/>
      <c r="FN64" s="173"/>
      <c r="FO64" s="173"/>
      <c r="FP64" s="173"/>
      <c r="FQ64" s="173"/>
      <c r="FR64" s="173"/>
      <c r="FS64" s="173"/>
      <c r="FT64" s="173"/>
      <c r="FU64" s="173"/>
      <c r="FV64" s="173"/>
      <c r="FW64" s="173"/>
      <c r="FX64" s="173"/>
      <c r="FY64" s="173"/>
      <c r="FZ64" s="173"/>
      <c r="GA64" s="173"/>
      <c r="GB64" s="173"/>
      <c r="GC64" s="173"/>
      <c r="GD64" s="173"/>
      <c r="GE64" s="173"/>
      <c r="GF64" s="173"/>
      <c r="GG64" s="173"/>
      <c r="GH64" s="173"/>
      <c r="GI64" s="173"/>
      <c r="GJ64" s="173"/>
      <c r="GK64" s="173"/>
      <c r="GL64" s="173"/>
      <c r="GM64" s="173"/>
      <c r="GN64" s="173"/>
      <c r="GO64" s="173"/>
      <c r="GP64" s="173"/>
      <c r="GQ64" s="173"/>
      <c r="GR64" s="173"/>
      <c r="GS64" s="173"/>
      <c r="GT64" s="173"/>
      <c r="GU64" s="173"/>
      <c r="GV64" s="173"/>
      <c r="GW64" s="173"/>
      <c r="GX64" s="173"/>
      <c r="GY64" s="173"/>
      <c r="GZ64" s="173"/>
      <c r="HA64" s="173"/>
      <c r="HB64" s="173"/>
      <c r="HC64" s="173"/>
      <c r="HD64" s="173"/>
      <c r="HE64" s="173"/>
      <c r="HF64" s="173"/>
      <c r="HG64" s="173"/>
      <c r="HH64" s="173"/>
      <c r="HI64" s="173"/>
      <c r="HJ64" s="173"/>
      <c r="HK64" s="173"/>
      <c r="HL64" s="173"/>
      <c r="HM64" s="173"/>
      <c r="HN64" s="173"/>
      <c r="HO64" s="173"/>
      <c r="HP64" s="173"/>
      <c r="HQ64" s="173"/>
      <c r="HR64" s="173"/>
      <c r="HS64" s="173"/>
      <c r="HT64" s="173"/>
      <c r="HU64" s="173"/>
      <c r="HV64" s="173"/>
      <c r="HW64" s="173"/>
      <c r="HX64" s="173"/>
      <c r="HY64" s="173"/>
      <c r="HZ64" s="173"/>
      <c r="IA64" s="173"/>
      <c r="IB64" s="173"/>
      <c r="IC64" s="173"/>
      <c r="ID64" s="173"/>
      <c r="IE64" s="173"/>
      <c r="IF64" s="173"/>
      <c r="IG64" s="173"/>
      <c r="IH64" s="173"/>
      <c r="II64" s="173"/>
      <c r="IJ64" s="173"/>
      <c r="IK64" s="173"/>
      <c r="IL64" s="173"/>
      <c r="IM64" s="173"/>
      <c r="IN64" s="173"/>
      <c r="IO64" s="173"/>
      <c r="IP64" s="173"/>
      <c r="IQ64" s="173"/>
      <c r="IR64" s="173"/>
      <c r="IS64" s="173"/>
      <c r="IT64" s="173"/>
      <c r="IU64" s="173"/>
      <c r="IV64" s="173"/>
    </row>
    <row r="65" spans="1:256" ht="20.25" customHeight="1">
      <c r="A65" s="39" t="s">
        <v>66</v>
      </c>
      <c r="B65" s="9" t="s">
        <v>59</v>
      </c>
      <c r="C65" s="32">
        <f t="shared" ref="C65:J65" si="39">SUM(C62:C64)</f>
        <v>3</v>
      </c>
      <c r="D65" s="32">
        <f t="shared" si="39"/>
        <v>16</v>
      </c>
      <c r="E65" s="32">
        <f t="shared" si="39"/>
        <v>6</v>
      </c>
      <c r="F65" s="32">
        <f t="shared" si="39"/>
        <v>11</v>
      </c>
      <c r="G65" s="32">
        <f t="shared" si="39"/>
        <v>10</v>
      </c>
      <c r="H65" s="32">
        <f t="shared" si="39"/>
        <v>10</v>
      </c>
      <c r="I65" s="32">
        <f t="shared" si="39"/>
        <v>9</v>
      </c>
      <c r="J65" s="32">
        <f t="shared" si="39"/>
        <v>11</v>
      </c>
      <c r="K65" s="178">
        <f t="shared" ref="K65" si="40">SUM(B65:J65)</f>
        <v>76</v>
      </c>
      <c r="L65" s="35">
        <f>K65/(K64+K63+K62)</f>
        <v>1</v>
      </c>
      <c r="M65" s="35">
        <f>K65/(K62+K63+K64)</f>
        <v>1</v>
      </c>
      <c r="N65" s="37"/>
      <c r="O65" s="35"/>
      <c r="P65" s="13"/>
      <c r="Q65" s="38"/>
      <c r="R65" s="38"/>
      <c r="S65" s="38"/>
      <c r="T65" s="38"/>
      <c r="U65" s="40"/>
      <c r="V65" s="13"/>
      <c r="W65" s="38"/>
      <c r="X65" s="38"/>
      <c r="Y65" s="38"/>
      <c r="Z65" s="38"/>
      <c r="AA65" s="38"/>
      <c r="AB65" s="38"/>
      <c r="AC65" s="38"/>
      <c r="AD65" s="40"/>
      <c r="AE65" s="13"/>
      <c r="AF65" s="38"/>
      <c r="AG65" s="38"/>
      <c r="AH65" s="38"/>
      <c r="AI65" s="38"/>
      <c r="AJ65" s="38"/>
      <c r="AK65" s="38"/>
      <c r="AL65" s="38"/>
      <c r="AM65" s="41"/>
      <c r="AN65" s="13"/>
      <c r="AO65" s="38"/>
      <c r="AP65" s="38"/>
      <c r="AQ65" s="38"/>
      <c r="AR65" s="38"/>
      <c r="AS65" s="38"/>
      <c r="AT65" s="38"/>
      <c r="AU65" s="38"/>
      <c r="AV65" s="40"/>
      <c r="AW65" s="13"/>
      <c r="AX65" s="38"/>
      <c r="AY65" s="38"/>
      <c r="AZ65" s="38"/>
      <c r="BA65" s="38"/>
      <c r="BB65" s="38"/>
      <c r="BC65" s="38"/>
      <c r="BD65" s="40"/>
      <c r="BE65" s="13"/>
      <c r="BF65" s="38"/>
      <c r="BG65" s="42"/>
      <c r="BH65" s="42"/>
      <c r="BI65" s="42"/>
      <c r="BJ65" s="173"/>
      <c r="BK65" s="173"/>
      <c r="BL65" s="173"/>
      <c r="BM65" s="173"/>
      <c r="BN65" s="173"/>
      <c r="BO65" s="173"/>
      <c r="BP65" s="173"/>
      <c r="BQ65" s="173"/>
      <c r="BR65" s="173"/>
      <c r="BS65" s="173"/>
      <c r="BT65" s="173"/>
      <c r="BU65" s="173"/>
      <c r="BV65" s="173"/>
      <c r="BW65" s="173"/>
      <c r="BX65" s="173"/>
      <c r="BY65" s="173"/>
      <c r="BZ65" s="173"/>
      <c r="CA65" s="173"/>
      <c r="CB65" s="173"/>
      <c r="CC65" s="173"/>
      <c r="CD65" s="173"/>
      <c r="CE65" s="173"/>
      <c r="CF65" s="173"/>
      <c r="CG65" s="173"/>
      <c r="CH65" s="173"/>
      <c r="CI65" s="173"/>
      <c r="CJ65" s="173"/>
      <c r="CK65" s="173"/>
      <c r="CL65" s="173"/>
      <c r="CM65" s="173"/>
      <c r="CN65" s="173"/>
      <c r="CO65" s="173"/>
      <c r="CP65" s="173"/>
      <c r="CQ65" s="173"/>
      <c r="CR65" s="173"/>
      <c r="CS65" s="173"/>
      <c r="CT65" s="173"/>
      <c r="CU65" s="173"/>
      <c r="CV65" s="173"/>
      <c r="CW65" s="173"/>
      <c r="CX65" s="173"/>
      <c r="CY65" s="173"/>
      <c r="CZ65" s="173"/>
      <c r="DA65" s="173"/>
      <c r="DB65" s="173"/>
      <c r="DC65" s="173"/>
      <c r="DD65" s="173"/>
      <c r="DE65" s="173"/>
      <c r="DF65" s="173"/>
      <c r="DG65" s="173"/>
      <c r="DH65" s="173"/>
      <c r="DI65" s="173"/>
      <c r="DJ65" s="173"/>
      <c r="DK65" s="173"/>
      <c r="DL65" s="173"/>
      <c r="DM65" s="173"/>
      <c r="DN65" s="173"/>
      <c r="DO65" s="173"/>
      <c r="DP65" s="173"/>
      <c r="DQ65" s="173"/>
      <c r="DR65" s="173"/>
      <c r="DS65" s="173"/>
      <c r="DT65" s="173"/>
      <c r="DU65" s="173"/>
      <c r="DV65" s="173"/>
      <c r="DW65" s="173"/>
      <c r="DX65" s="173"/>
      <c r="DY65" s="173"/>
      <c r="DZ65" s="173"/>
      <c r="EA65" s="173"/>
      <c r="EB65" s="173"/>
      <c r="EC65" s="173"/>
      <c r="ED65" s="173"/>
      <c r="EE65" s="173"/>
      <c r="EF65" s="173"/>
      <c r="EG65" s="173"/>
      <c r="EH65" s="173"/>
      <c r="EI65" s="173"/>
      <c r="EJ65" s="173"/>
      <c r="EK65" s="173"/>
      <c r="EL65" s="173"/>
      <c r="EM65" s="173"/>
      <c r="EN65" s="173"/>
      <c r="EO65" s="173"/>
      <c r="EP65" s="173"/>
      <c r="EQ65" s="173"/>
      <c r="ER65" s="173"/>
      <c r="ES65" s="173"/>
      <c r="ET65" s="173"/>
      <c r="EU65" s="173"/>
      <c r="EV65" s="173"/>
      <c r="EW65" s="173"/>
      <c r="EX65" s="173"/>
      <c r="EY65" s="173"/>
      <c r="EZ65" s="173"/>
      <c r="FA65" s="173"/>
      <c r="FB65" s="173"/>
      <c r="FC65" s="173"/>
      <c r="FD65" s="173"/>
      <c r="FE65" s="173"/>
      <c r="FF65" s="173"/>
      <c r="FG65" s="173"/>
      <c r="FH65" s="173"/>
      <c r="FI65" s="173"/>
      <c r="FJ65" s="173"/>
      <c r="FK65" s="173"/>
      <c r="FL65" s="173"/>
      <c r="FM65" s="173"/>
      <c r="FN65" s="173"/>
      <c r="FO65" s="173"/>
      <c r="FP65" s="173"/>
      <c r="FQ65" s="173"/>
      <c r="FR65" s="173"/>
      <c r="FS65" s="173"/>
      <c r="FT65" s="173"/>
      <c r="FU65" s="173"/>
      <c r="FV65" s="173"/>
      <c r="FW65" s="173"/>
      <c r="FX65" s="173"/>
      <c r="FY65" s="173"/>
      <c r="FZ65" s="173"/>
      <c r="GA65" s="173"/>
      <c r="GB65" s="173"/>
      <c r="GC65" s="173"/>
      <c r="GD65" s="173"/>
      <c r="GE65" s="173"/>
      <c r="GF65" s="173"/>
      <c r="GG65" s="173"/>
      <c r="GH65" s="173"/>
      <c r="GI65" s="173"/>
      <c r="GJ65" s="173"/>
      <c r="GK65" s="173"/>
      <c r="GL65" s="173"/>
      <c r="GM65" s="173"/>
      <c r="GN65" s="173"/>
      <c r="GO65" s="173"/>
      <c r="GP65" s="173"/>
      <c r="GQ65" s="173"/>
      <c r="GR65" s="173"/>
      <c r="GS65" s="173"/>
      <c r="GT65" s="173"/>
      <c r="GU65" s="173"/>
      <c r="GV65" s="173"/>
      <c r="GW65" s="173"/>
      <c r="GX65" s="173"/>
      <c r="GY65" s="173"/>
      <c r="GZ65" s="173"/>
      <c r="HA65" s="173"/>
      <c r="HB65" s="173"/>
      <c r="HC65" s="173"/>
      <c r="HD65" s="173"/>
      <c r="HE65" s="173"/>
      <c r="HF65" s="173"/>
      <c r="HG65" s="173"/>
      <c r="HH65" s="173"/>
      <c r="HI65" s="173"/>
      <c r="HJ65" s="173"/>
      <c r="HK65" s="173"/>
      <c r="HL65" s="173"/>
      <c r="HM65" s="173"/>
      <c r="HN65" s="173"/>
      <c r="HO65" s="173"/>
      <c r="HP65" s="173"/>
      <c r="HQ65" s="173"/>
      <c r="HR65" s="173"/>
      <c r="HS65" s="173"/>
      <c r="HT65" s="173"/>
      <c r="HU65" s="173"/>
      <c r="HV65" s="173"/>
      <c r="HW65" s="173"/>
      <c r="HX65" s="173"/>
      <c r="HY65" s="173"/>
      <c r="HZ65" s="173"/>
      <c r="IA65" s="173"/>
      <c r="IB65" s="173"/>
      <c r="IC65" s="173"/>
      <c r="ID65" s="173"/>
      <c r="IE65" s="173"/>
      <c r="IF65" s="173"/>
      <c r="IG65" s="173"/>
      <c r="IH65" s="173"/>
      <c r="II65" s="173"/>
      <c r="IJ65" s="173"/>
      <c r="IK65" s="173"/>
      <c r="IL65" s="173"/>
      <c r="IM65" s="173"/>
      <c r="IN65" s="173"/>
      <c r="IO65" s="173"/>
      <c r="IP65" s="173"/>
      <c r="IQ65" s="173"/>
      <c r="IR65" s="173"/>
      <c r="IS65" s="173"/>
      <c r="IT65" s="173"/>
      <c r="IU65" s="173"/>
      <c r="IV65" s="173"/>
    </row>
    <row r="66" spans="1:256" ht="32.25" customHeight="1">
      <c r="A66" s="53" t="s">
        <v>78</v>
      </c>
      <c r="B66" s="181" t="s">
        <v>79</v>
      </c>
      <c r="C66" s="182"/>
      <c r="D66" s="182"/>
      <c r="E66" s="182"/>
      <c r="F66" s="182"/>
      <c r="G66" s="22"/>
      <c r="H66" s="22"/>
      <c r="I66" s="22"/>
      <c r="J66" s="22"/>
      <c r="K66" s="21"/>
      <c r="L66" s="24"/>
      <c r="M66" s="24"/>
      <c r="N66" s="26"/>
      <c r="O66" s="24"/>
      <c r="P66" s="27"/>
      <c r="Q66" s="28"/>
      <c r="R66" s="28"/>
      <c r="S66" s="28"/>
      <c r="T66" s="26"/>
      <c r="U66" s="24"/>
      <c r="V66" s="27"/>
      <c r="W66" s="28"/>
      <c r="X66" s="28"/>
      <c r="Y66" s="28"/>
      <c r="Z66" s="28"/>
      <c r="AA66" s="28"/>
      <c r="AB66" s="28"/>
      <c r="AC66" s="26"/>
      <c r="AD66" s="24"/>
      <c r="AE66" s="27"/>
      <c r="AF66" s="28"/>
      <c r="AG66" s="28"/>
      <c r="AH66" s="28"/>
      <c r="AI66" s="28"/>
      <c r="AJ66" s="28"/>
      <c r="AK66" s="28"/>
      <c r="AL66" s="26"/>
      <c r="AM66" s="29"/>
      <c r="AN66" s="27"/>
      <c r="AO66" s="26"/>
      <c r="AP66" s="26"/>
      <c r="AQ66" s="26"/>
      <c r="AR66" s="26"/>
      <c r="AS66" s="26"/>
      <c r="AT66" s="26"/>
      <c r="AU66" s="26"/>
      <c r="AV66" s="24"/>
      <c r="AW66" s="27"/>
      <c r="AX66" s="26"/>
      <c r="AY66" s="26"/>
      <c r="AZ66" s="26"/>
      <c r="BA66" s="26"/>
      <c r="BB66" s="26"/>
      <c r="BC66" s="26"/>
      <c r="BD66" s="24"/>
      <c r="BE66" s="27"/>
      <c r="BF66" s="26"/>
      <c r="BG66" s="22"/>
      <c r="BH66" s="21"/>
      <c r="BI66" s="22"/>
    </row>
    <row r="67" spans="1:256" ht="32.25" customHeight="1">
      <c r="A67" s="10"/>
      <c r="B67" s="30" t="s">
        <v>0</v>
      </c>
      <c r="C67" s="30" t="s">
        <v>1</v>
      </c>
      <c r="D67" s="30" t="s">
        <v>2</v>
      </c>
      <c r="E67" s="30" t="s">
        <v>3</v>
      </c>
      <c r="F67" s="30" t="s">
        <v>4</v>
      </c>
      <c r="G67" s="30" t="s">
        <v>5</v>
      </c>
      <c r="H67" s="30" t="s">
        <v>68</v>
      </c>
      <c r="I67" s="30" t="s">
        <v>7</v>
      </c>
      <c r="J67" s="30" t="s">
        <v>8</v>
      </c>
      <c r="K67" s="10" t="s">
        <v>9</v>
      </c>
      <c r="L67" s="10" t="s">
        <v>56</v>
      </c>
      <c r="M67" s="20"/>
      <c r="N67" s="12"/>
      <c r="O67" s="20"/>
      <c r="P67" s="27"/>
      <c r="Q67" s="30" t="s">
        <v>15</v>
      </c>
      <c r="R67" s="30" t="s">
        <v>16</v>
      </c>
      <c r="S67" s="30" t="s">
        <v>28</v>
      </c>
      <c r="T67" s="20"/>
      <c r="U67" s="11"/>
      <c r="V67" s="27"/>
      <c r="W67" s="30" t="s">
        <v>15</v>
      </c>
      <c r="X67" s="30" t="s">
        <v>20</v>
      </c>
      <c r="Y67" s="30" t="s">
        <v>21</v>
      </c>
      <c r="Z67" s="30" t="s">
        <v>22</v>
      </c>
      <c r="AA67" s="30" t="s">
        <v>23</v>
      </c>
      <c r="AB67" s="30" t="s">
        <v>24</v>
      </c>
      <c r="AC67" s="20"/>
      <c r="AD67" s="11"/>
      <c r="AE67" s="27"/>
      <c r="AF67" s="30" t="s">
        <v>20</v>
      </c>
      <c r="AG67" s="30" t="s">
        <v>21</v>
      </c>
      <c r="AH67" s="30" t="s">
        <v>22</v>
      </c>
      <c r="AI67" s="30" t="s">
        <v>23</v>
      </c>
      <c r="AJ67" s="30" t="s">
        <v>24</v>
      </c>
      <c r="AK67" s="54"/>
      <c r="AL67" s="20"/>
      <c r="AM67" s="44"/>
      <c r="AN67" s="27"/>
      <c r="AO67" s="30" t="s">
        <v>15</v>
      </c>
      <c r="AP67" s="30" t="s">
        <v>20</v>
      </c>
      <c r="AQ67" s="30" t="s">
        <v>21</v>
      </c>
      <c r="AR67" s="30" t="s">
        <v>16</v>
      </c>
      <c r="AS67" s="30" t="s">
        <v>22</v>
      </c>
      <c r="AT67" s="30" t="s">
        <v>24</v>
      </c>
      <c r="AU67" s="20"/>
      <c r="AV67" s="11"/>
      <c r="AW67" s="27"/>
      <c r="AX67" s="30" t="s">
        <v>15</v>
      </c>
      <c r="AY67" s="30" t="s">
        <v>20</v>
      </c>
      <c r="AZ67" s="30" t="s">
        <v>22</v>
      </c>
      <c r="BA67" s="30" t="s">
        <v>24</v>
      </c>
      <c r="BB67" s="54"/>
      <c r="BC67" s="20"/>
      <c r="BD67" s="11"/>
      <c r="BE67" s="27"/>
      <c r="BF67" s="9" t="s">
        <v>80</v>
      </c>
      <c r="BG67" s="16"/>
      <c r="BH67" s="16"/>
      <c r="BI67" s="16"/>
    </row>
    <row r="68" spans="1:256" ht="32.25" customHeight="1">
      <c r="A68" s="10" t="s">
        <v>81</v>
      </c>
      <c r="B68" s="9">
        <v>11</v>
      </c>
      <c r="C68" s="9" t="s">
        <v>59</v>
      </c>
      <c r="D68" s="9" t="s">
        <v>59</v>
      </c>
      <c r="E68" s="9" t="s">
        <v>59</v>
      </c>
      <c r="F68" s="9" t="s">
        <v>59</v>
      </c>
      <c r="G68" s="9" t="s">
        <v>59</v>
      </c>
      <c r="H68" s="9" t="s">
        <v>59</v>
      </c>
      <c r="I68" s="9" t="s">
        <v>59</v>
      </c>
      <c r="J68" s="9" t="s">
        <v>59</v>
      </c>
      <c r="K68" s="10">
        <f t="shared" ref="K68:K75" si="41">SUM(B68:J68)</f>
        <v>11</v>
      </c>
      <c r="L68" s="11">
        <f>K68/K72</f>
        <v>0.40740740740740738</v>
      </c>
      <c r="M68" s="35">
        <f>K68/K75</f>
        <v>0.40740740740740738</v>
      </c>
      <c r="N68" s="12"/>
      <c r="O68" s="11"/>
      <c r="P68" s="13"/>
      <c r="Q68" s="9" t="s">
        <v>82</v>
      </c>
      <c r="R68" s="9" t="s">
        <v>82</v>
      </c>
      <c r="S68" s="9" t="s">
        <v>82</v>
      </c>
      <c r="T68" s="14">
        <f>SUM(Q68:S68)</f>
        <v>0</v>
      </c>
      <c r="U68" s="15"/>
      <c r="V68" s="13"/>
      <c r="W68" s="9" t="s">
        <v>82</v>
      </c>
      <c r="X68" s="9" t="s">
        <v>82</v>
      </c>
      <c r="Y68" s="9" t="s">
        <v>82</v>
      </c>
      <c r="Z68" s="9" t="s">
        <v>82</v>
      </c>
      <c r="AA68" s="9" t="s">
        <v>82</v>
      </c>
      <c r="AB68" s="9" t="s">
        <v>82</v>
      </c>
      <c r="AC68" s="14">
        <f>SUM(W68:AB68)</f>
        <v>0</v>
      </c>
      <c r="AD68" s="15"/>
      <c r="AE68" s="13"/>
      <c r="AF68" s="9" t="s">
        <v>82</v>
      </c>
      <c r="AG68" s="9" t="s">
        <v>82</v>
      </c>
      <c r="AH68" s="9" t="s">
        <v>82</v>
      </c>
      <c r="AI68" s="9" t="s">
        <v>82</v>
      </c>
      <c r="AJ68" s="9" t="s">
        <v>82</v>
      </c>
      <c r="AK68" s="16"/>
      <c r="AL68" s="14">
        <f>SUM(AF68:AK68)</f>
        <v>0</v>
      </c>
      <c r="AM68" s="15"/>
      <c r="AN68" s="13"/>
      <c r="AO68" s="9" t="s">
        <v>82</v>
      </c>
      <c r="AP68" s="9" t="s">
        <v>82</v>
      </c>
      <c r="AQ68" s="9" t="s">
        <v>82</v>
      </c>
      <c r="AR68" s="9" t="s">
        <v>82</v>
      </c>
      <c r="AS68" s="9" t="s">
        <v>82</v>
      </c>
      <c r="AT68" s="9" t="s">
        <v>82</v>
      </c>
      <c r="AU68" s="14">
        <f>SUM(AO68:AT68)</f>
        <v>0</v>
      </c>
      <c r="AV68" s="15"/>
      <c r="AW68" s="13"/>
      <c r="AX68" s="9" t="s">
        <v>82</v>
      </c>
      <c r="AY68" s="9" t="s">
        <v>82</v>
      </c>
      <c r="AZ68" s="9" t="s">
        <v>82</v>
      </c>
      <c r="BA68" s="9" t="s">
        <v>82</v>
      </c>
      <c r="BB68" s="16"/>
      <c r="BC68" s="14">
        <f>SUM(AX68:BB68)</f>
        <v>0</v>
      </c>
      <c r="BD68" s="15"/>
      <c r="BE68" s="13"/>
      <c r="BF68" s="9" t="s">
        <v>59</v>
      </c>
      <c r="BG68" s="15"/>
      <c r="BH68" s="16"/>
      <c r="BI68" s="15"/>
    </row>
    <row r="69" spans="1:256" ht="20.25" customHeight="1">
      <c r="A69" s="10" t="s">
        <v>83</v>
      </c>
      <c r="B69" s="9">
        <v>4</v>
      </c>
      <c r="C69" s="9" t="s">
        <v>59</v>
      </c>
      <c r="D69" s="9" t="s">
        <v>59</v>
      </c>
      <c r="E69" s="9" t="s">
        <v>59</v>
      </c>
      <c r="F69" s="9" t="s">
        <v>59</v>
      </c>
      <c r="G69" s="9" t="s">
        <v>59</v>
      </c>
      <c r="H69" s="9" t="s">
        <v>59</v>
      </c>
      <c r="I69" s="9" t="s">
        <v>59</v>
      </c>
      <c r="J69" s="9" t="s">
        <v>59</v>
      </c>
      <c r="K69" s="10">
        <f t="shared" si="41"/>
        <v>4</v>
      </c>
      <c r="L69" s="11">
        <f>K69/K72</f>
        <v>0.14814814814814814</v>
      </c>
      <c r="M69" s="35">
        <f>K69/K75</f>
        <v>0.14814814814814814</v>
      </c>
      <c r="N69" s="12"/>
      <c r="O69" s="11"/>
      <c r="P69" s="13"/>
      <c r="Q69" s="9" t="s">
        <v>82</v>
      </c>
      <c r="R69" s="9" t="s">
        <v>82</v>
      </c>
      <c r="S69" s="9" t="s">
        <v>82</v>
      </c>
      <c r="T69" s="14">
        <f>SUM(Q69:S69)</f>
        <v>0</v>
      </c>
      <c r="U69" s="15"/>
      <c r="V69" s="13"/>
      <c r="W69" s="9" t="s">
        <v>82</v>
      </c>
      <c r="X69" s="9" t="s">
        <v>82</v>
      </c>
      <c r="Y69" s="9" t="s">
        <v>82</v>
      </c>
      <c r="Z69" s="9" t="s">
        <v>82</v>
      </c>
      <c r="AA69" s="9" t="s">
        <v>82</v>
      </c>
      <c r="AB69" s="9" t="s">
        <v>82</v>
      </c>
      <c r="AC69" s="14">
        <f>SUM(W69:AB69)</f>
        <v>0</v>
      </c>
      <c r="AD69" s="15"/>
      <c r="AE69" s="13"/>
      <c r="AF69" s="9" t="s">
        <v>82</v>
      </c>
      <c r="AG69" s="9" t="s">
        <v>82</v>
      </c>
      <c r="AH69" s="9" t="s">
        <v>82</v>
      </c>
      <c r="AI69" s="9" t="s">
        <v>82</v>
      </c>
      <c r="AJ69" s="9" t="s">
        <v>82</v>
      </c>
      <c r="AK69" s="16"/>
      <c r="AL69" s="14">
        <f>SUM(AF69:AK69)</f>
        <v>0</v>
      </c>
      <c r="AM69" s="15"/>
      <c r="AN69" s="13"/>
      <c r="AO69" s="9" t="s">
        <v>82</v>
      </c>
      <c r="AP69" s="9" t="s">
        <v>82</v>
      </c>
      <c r="AQ69" s="9" t="s">
        <v>82</v>
      </c>
      <c r="AR69" s="9" t="s">
        <v>82</v>
      </c>
      <c r="AS69" s="9" t="s">
        <v>82</v>
      </c>
      <c r="AT69" s="9" t="s">
        <v>82</v>
      </c>
      <c r="AU69" s="14">
        <f>SUM(AO69:AT69)</f>
        <v>0</v>
      </c>
      <c r="AV69" s="15"/>
      <c r="AW69" s="13"/>
      <c r="AX69" s="9" t="s">
        <v>82</v>
      </c>
      <c r="AY69" s="9" t="s">
        <v>82</v>
      </c>
      <c r="AZ69" s="9" t="s">
        <v>82</v>
      </c>
      <c r="BA69" s="9" t="s">
        <v>82</v>
      </c>
      <c r="BB69" s="16"/>
      <c r="BC69" s="14">
        <f>SUM(AX69:BB69)</f>
        <v>0</v>
      </c>
      <c r="BD69" s="15"/>
      <c r="BE69" s="13"/>
      <c r="BF69" s="9" t="s">
        <v>59</v>
      </c>
      <c r="BG69" s="15"/>
      <c r="BH69" s="16"/>
      <c r="BI69" s="15"/>
    </row>
    <row r="70" spans="1:256" ht="20.25" customHeight="1">
      <c r="A70" s="10" t="s">
        <v>84</v>
      </c>
      <c r="B70" s="9">
        <v>10</v>
      </c>
      <c r="C70" s="9" t="s">
        <v>59</v>
      </c>
      <c r="D70" s="9" t="s">
        <v>59</v>
      </c>
      <c r="E70" s="9" t="s">
        <v>59</v>
      </c>
      <c r="F70" s="9" t="s">
        <v>59</v>
      </c>
      <c r="G70" s="9" t="s">
        <v>59</v>
      </c>
      <c r="H70" s="9" t="s">
        <v>59</v>
      </c>
      <c r="I70" s="9" t="s">
        <v>59</v>
      </c>
      <c r="J70" s="9" t="s">
        <v>59</v>
      </c>
      <c r="K70" s="10">
        <f t="shared" si="41"/>
        <v>10</v>
      </c>
      <c r="L70" s="11">
        <f>K70/K72</f>
        <v>0.37037037037037035</v>
      </c>
      <c r="M70" s="35">
        <f>K70/K75</f>
        <v>0.37037037037037035</v>
      </c>
      <c r="N70" s="12"/>
      <c r="O70" s="11"/>
      <c r="P70" s="13"/>
      <c r="Q70" s="9" t="s">
        <v>82</v>
      </c>
      <c r="R70" s="9" t="s">
        <v>82</v>
      </c>
      <c r="S70" s="9" t="s">
        <v>82</v>
      </c>
      <c r="T70" s="14">
        <f>SUM(Q70:S70)</f>
        <v>0</v>
      </c>
      <c r="U70" s="15"/>
      <c r="V70" s="13"/>
      <c r="W70" s="9" t="s">
        <v>82</v>
      </c>
      <c r="X70" s="9" t="s">
        <v>82</v>
      </c>
      <c r="Y70" s="9" t="s">
        <v>82</v>
      </c>
      <c r="Z70" s="9" t="s">
        <v>82</v>
      </c>
      <c r="AA70" s="9" t="s">
        <v>82</v>
      </c>
      <c r="AB70" s="9" t="s">
        <v>82</v>
      </c>
      <c r="AC70" s="14">
        <f>SUM(W70:AB70)</f>
        <v>0</v>
      </c>
      <c r="AD70" s="15"/>
      <c r="AE70" s="13"/>
      <c r="AF70" s="9" t="s">
        <v>82</v>
      </c>
      <c r="AG70" s="9" t="s">
        <v>82</v>
      </c>
      <c r="AH70" s="9" t="s">
        <v>82</v>
      </c>
      <c r="AI70" s="9" t="s">
        <v>82</v>
      </c>
      <c r="AJ70" s="9" t="s">
        <v>82</v>
      </c>
      <c r="AK70" s="16"/>
      <c r="AL70" s="14">
        <f>SUM(AF70:AK70)</f>
        <v>0</v>
      </c>
      <c r="AM70" s="15"/>
      <c r="AN70" s="13"/>
      <c r="AO70" s="9" t="s">
        <v>82</v>
      </c>
      <c r="AP70" s="9" t="s">
        <v>82</v>
      </c>
      <c r="AQ70" s="9" t="s">
        <v>82</v>
      </c>
      <c r="AR70" s="9" t="s">
        <v>82</v>
      </c>
      <c r="AS70" s="9" t="s">
        <v>82</v>
      </c>
      <c r="AT70" s="9" t="s">
        <v>82</v>
      </c>
      <c r="AU70" s="14">
        <f>SUM(AO70:AT70)</f>
        <v>0</v>
      </c>
      <c r="AV70" s="15"/>
      <c r="AW70" s="13"/>
      <c r="AX70" s="9" t="s">
        <v>82</v>
      </c>
      <c r="AY70" s="9" t="s">
        <v>82</v>
      </c>
      <c r="AZ70" s="9" t="s">
        <v>82</v>
      </c>
      <c r="BA70" s="9" t="s">
        <v>82</v>
      </c>
      <c r="BB70" s="16"/>
      <c r="BC70" s="14">
        <f>SUM(AX70:BB70)</f>
        <v>0</v>
      </c>
      <c r="BD70" s="15"/>
      <c r="BE70" s="13"/>
      <c r="BF70" s="9" t="s">
        <v>59</v>
      </c>
      <c r="BG70" s="15"/>
      <c r="BH70" s="16"/>
      <c r="BI70" s="15"/>
    </row>
    <row r="71" spans="1:256" ht="21.75" customHeight="1">
      <c r="A71" s="10" t="s">
        <v>85</v>
      </c>
      <c r="B71" s="9">
        <v>2</v>
      </c>
      <c r="C71" s="9" t="s">
        <v>59</v>
      </c>
      <c r="D71" s="9" t="s">
        <v>59</v>
      </c>
      <c r="E71" s="9" t="s">
        <v>59</v>
      </c>
      <c r="F71" s="9" t="s">
        <v>59</v>
      </c>
      <c r="G71" s="9" t="s">
        <v>59</v>
      </c>
      <c r="H71" s="9" t="s">
        <v>59</v>
      </c>
      <c r="I71" s="9" t="s">
        <v>59</v>
      </c>
      <c r="J71" s="9" t="s">
        <v>59</v>
      </c>
      <c r="K71" s="10">
        <f t="shared" si="41"/>
        <v>2</v>
      </c>
      <c r="L71" s="11">
        <f>K71/K72</f>
        <v>7.407407407407407E-2</v>
      </c>
      <c r="M71" s="35">
        <f>K71/K75</f>
        <v>7.407407407407407E-2</v>
      </c>
      <c r="N71" s="12"/>
      <c r="O71" s="11"/>
      <c r="P71" s="13"/>
      <c r="Q71" s="9" t="s">
        <v>82</v>
      </c>
      <c r="R71" s="9" t="s">
        <v>82</v>
      </c>
      <c r="S71" s="9" t="s">
        <v>82</v>
      </c>
      <c r="T71" s="14">
        <f>SUM(Q71:S71)</f>
        <v>0</v>
      </c>
      <c r="U71" s="15"/>
      <c r="V71" s="13"/>
      <c r="W71" s="9" t="s">
        <v>82</v>
      </c>
      <c r="X71" s="9" t="s">
        <v>82</v>
      </c>
      <c r="Y71" s="9" t="s">
        <v>82</v>
      </c>
      <c r="Z71" s="9" t="s">
        <v>82</v>
      </c>
      <c r="AA71" s="9" t="s">
        <v>82</v>
      </c>
      <c r="AB71" s="9" t="s">
        <v>82</v>
      </c>
      <c r="AC71" s="14">
        <f>SUM(W71:AB71)</f>
        <v>0</v>
      </c>
      <c r="AD71" s="15"/>
      <c r="AE71" s="13"/>
      <c r="AF71" s="55" t="s">
        <v>82</v>
      </c>
      <c r="AG71" s="9" t="s">
        <v>82</v>
      </c>
      <c r="AH71" s="55" t="s">
        <v>82</v>
      </c>
      <c r="AI71" s="55" t="s">
        <v>82</v>
      </c>
      <c r="AJ71" s="55" t="s">
        <v>82</v>
      </c>
      <c r="AK71" s="56"/>
      <c r="AL71" s="14">
        <f>SUM(AF71:AK71)</f>
        <v>0</v>
      </c>
      <c r="AM71" s="15"/>
      <c r="AN71" s="13"/>
      <c r="AO71" s="9" t="s">
        <v>82</v>
      </c>
      <c r="AP71" s="9" t="s">
        <v>82</v>
      </c>
      <c r="AQ71" s="9" t="s">
        <v>82</v>
      </c>
      <c r="AR71" s="9" t="s">
        <v>82</v>
      </c>
      <c r="AS71" s="9" t="s">
        <v>82</v>
      </c>
      <c r="AT71" s="9" t="s">
        <v>82</v>
      </c>
      <c r="AU71" s="14">
        <f>SUM(AO71:AT71)</f>
        <v>0</v>
      </c>
      <c r="AV71" s="15"/>
      <c r="AW71" s="13"/>
      <c r="AX71" s="9" t="s">
        <v>82</v>
      </c>
      <c r="AY71" s="9" t="s">
        <v>82</v>
      </c>
      <c r="AZ71" s="9" t="s">
        <v>82</v>
      </c>
      <c r="BA71" s="9" t="s">
        <v>82</v>
      </c>
      <c r="BB71" s="16"/>
      <c r="BC71" s="14">
        <f>SUM(AX71:BB71)</f>
        <v>0</v>
      </c>
      <c r="BD71" s="15"/>
      <c r="BE71" s="13"/>
      <c r="BF71" s="9" t="s">
        <v>59</v>
      </c>
      <c r="BG71" s="15"/>
      <c r="BH71" s="16"/>
      <c r="BI71" s="15"/>
    </row>
    <row r="72" spans="1:256" ht="23" customHeight="1">
      <c r="A72" s="10" t="s">
        <v>9</v>
      </c>
      <c r="B72" s="9">
        <f>SUM(B68:B71)</f>
        <v>27</v>
      </c>
      <c r="C72" s="9" t="s">
        <v>59</v>
      </c>
      <c r="D72" s="9" t="s">
        <v>59</v>
      </c>
      <c r="E72" s="9" t="s">
        <v>59</v>
      </c>
      <c r="F72" s="9" t="s">
        <v>59</v>
      </c>
      <c r="G72" s="9" t="s">
        <v>59</v>
      </c>
      <c r="H72" s="9" t="s">
        <v>59</v>
      </c>
      <c r="I72" s="9" t="s">
        <v>59</v>
      </c>
      <c r="J72" s="9" t="s">
        <v>59</v>
      </c>
      <c r="K72" s="10">
        <f t="shared" si="41"/>
        <v>27</v>
      </c>
      <c r="L72" s="11">
        <f>SUM(L68:L71)</f>
        <v>1</v>
      </c>
      <c r="M72" s="35">
        <f>K72/K75</f>
        <v>1</v>
      </c>
      <c r="N72" s="37">
        <f>T72+AC72+AL72+AU72</f>
        <v>0</v>
      </c>
      <c r="O72" s="35">
        <f>N72/K72</f>
        <v>0</v>
      </c>
      <c r="P72" s="13"/>
      <c r="Q72" s="45">
        <f>SUM(Q67:Q71)</f>
        <v>0</v>
      </c>
      <c r="R72" s="46">
        <f>SUM(R67:R71)</f>
        <v>0</v>
      </c>
      <c r="S72" s="46">
        <f>SUM(S67:S71)</f>
        <v>0</v>
      </c>
      <c r="T72" s="14">
        <f>SUM(T67:T71)</f>
        <v>0</v>
      </c>
      <c r="U72" s="15"/>
      <c r="V72" s="13"/>
      <c r="W72" s="45">
        <f t="shared" ref="W72:AC72" si="42">SUM(W67:W71)</f>
        <v>0</v>
      </c>
      <c r="X72" s="45">
        <f t="shared" si="42"/>
        <v>0</v>
      </c>
      <c r="Y72" s="45">
        <f t="shared" si="42"/>
        <v>0</v>
      </c>
      <c r="Z72" s="45">
        <f t="shared" si="42"/>
        <v>0</v>
      </c>
      <c r="AA72" s="45">
        <f t="shared" si="42"/>
        <v>0</v>
      </c>
      <c r="AB72" s="45">
        <f t="shared" si="42"/>
        <v>0</v>
      </c>
      <c r="AC72" s="45">
        <f t="shared" si="42"/>
        <v>0</v>
      </c>
      <c r="AD72" s="15"/>
      <c r="AE72" s="13"/>
      <c r="AF72" s="57">
        <f t="shared" ref="AF72:AL72" si="43">SUM(AF67:AF71)</f>
        <v>0</v>
      </c>
      <c r="AG72" s="45">
        <f t="shared" si="43"/>
        <v>0</v>
      </c>
      <c r="AH72" s="57">
        <f t="shared" si="43"/>
        <v>0</v>
      </c>
      <c r="AI72" s="57">
        <f t="shared" si="43"/>
        <v>0</v>
      </c>
      <c r="AJ72" s="57">
        <f t="shared" si="43"/>
        <v>0</v>
      </c>
      <c r="AK72" s="57">
        <f t="shared" si="43"/>
        <v>0</v>
      </c>
      <c r="AL72" s="45">
        <f t="shared" si="43"/>
        <v>0</v>
      </c>
      <c r="AM72" s="48"/>
      <c r="AN72" s="13"/>
      <c r="AO72" s="45">
        <f t="shared" ref="AO72:AU72" si="44">SUM(AO67:AO71)</f>
        <v>0</v>
      </c>
      <c r="AP72" s="45">
        <f t="shared" si="44"/>
        <v>0</v>
      </c>
      <c r="AQ72" s="45">
        <f t="shared" si="44"/>
        <v>0</v>
      </c>
      <c r="AR72" s="45">
        <f t="shared" si="44"/>
        <v>0</v>
      </c>
      <c r="AS72" s="45">
        <f t="shared" si="44"/>
        <v>0</v>
      </c>
      <c r="AT72" s="45">
        <f t="shared" si="44"/>
        <v>0</v>
      </c>
      <c r="AU72" s="45">
        <f t="shared" si="44"/>
        <v>0</v>
      </c>
      <c r="AV72" s="15"/>
      <c r="AW72" s="13"/>
      <c r="AX72" s="45">
        <f t="shared" ref="AX72:BC72" si="45">SUM(AX67:AX71)</f>
        <v>0</v>
      </c>
      <c r="AY72" s="45">
        <f t="shared" si="45"/>
        <v>0</v>
      </c>
      <c r="AZ72" s="45">
        <f t="shared" si="45"/>
        <v>0</v>
      </c>
      <c r="BA72" s="45">
        <f t="shared" si="45"/>
        <v>0</v>
      </c>
      <c r="BB72" s="45">
        <f t="shared" si="45"/>
        <v>0</v>
      </c>
      <c r="BC72" s="45">
        <f t="shared" si="45"/>
        <v>0</v>
      </c>
      <c r="BD72" s="15"/>
      <c r="BE72" s="13"/>
      <c r="BF72" s="14"/>
      <c r="BG72" s="16"/>
      <c r="BH72" s="16"/>
      <c r="BI72" s="16"/>
    </row>
    <row r="73" spans="1:256" ht="21.75" customHeight="1">
      <c r="A73" s="8" t="s">
        <v>64</v>
      </c>
      <c r="B73" s="9">
        <v>0</v>
      </c>
      <c r="C73" s="9" t="s">
        <v>59</v>
      </c>
      <c r="D73" s="9" t="s">
        <v>59</v>
      </c>
      <c r="E73" s="9" t="s">
        <v>59</v>
      </c>
      <c r="F73" s="9" t="s">
        <v>59</v>
      </c>
      <c r="G73" s="9" t="s">
        <v>59</v>
      </c>
      <c r="H73" s="9" t="s">
        <v>59</v>
      </c>
      <c r="I73" s="9" t="s">
        <v>59</v>
      </c>
      <c r="J73" s="9" t="s">
        <v>59</v>
      </c>
      <c r="K73" s="10">
        <f t="shared" si="41"/>
        <v>0</v>
      </c>
      <c r="L73" s="11"/>
      <c r="M73" s="35">
        <f>K73/(K75)</f>
        <v>0</v>
      </c>
      <c r="N73" s="12"/>
      <c r="O73" s="11"/>
      <c r="P73" s="13"/>
      <c r="Q73" s="58" t="s">
        <v>82</v>
      </c>
      <c r="R73" s="59" t="s">
        <v>82</v>
      </c>
      <c r="S73" s="60"/>
      <c r="T73" s="38">
        <f>SUM(Q73:S73)</f>
        <v>0</v>
      </c>
      <c r="U73" s="15" t="e">
        <f>T73/T75</f>
        <v>#DIV/0!</v>
      </c>
      <c r="V73" s="13"/>
      <c r="W73" s="58" t="s">
        <v>82</v>
      </c>
      <c r="X73" s="58" t="s">
        <v>82</v>
      </c>
      <c r="Y73" s="58" t="s">
        <v>82</v>
      </c>
      <c r="Z73" s="58" t="s">
        <v>82</v>
      </c>
      <c r="AA73" s="58" t="s">
        <v>82</v>
      </c>
      <c r="AB73" s="58" t="s">
        <v>82</v>
      </c>
      <c r="AC73" s="51">
        <f>SUM(W73:AB73)</f>
        <v>0</v>
      </c>
      <c r="AD73" s="15" t="e">
        <f>AC73/AC75</f>
        <v>#DIV/0!</v>
      </c>
      <c r="AE73" s="13"/>
      <c r="AF73" s="58" t="s">
        <v>82</v>
      </c>
      <c r="AG73" s="58" t="s">
        <v>82</v>
      </c>
      <c r="AH73" s="58" t="s">
        <v>82</v>
      </c>
      <c r="AI73" s="58" t="s">
        <v>82</v>
      </c>
      <c r="AJ73" s="58" t="s">
        <v>82</v>
      </c>
      <c r="AK73" s="61"/>
      <c r="AL73" s="49">
        <f>SUM(AF73:AK73)</f>
        <v>0</v>
      </c>
      <c r="AM73" s="15" t="e">
        <f>AL73/AL75</f>
        <v>#DIV/0!</v>
      </c>
      <c r="AN73" s="13"/>
      <c r="AO73" s="58" t="s">
        <v>82</v>
      </c>
      <c r="AP73" s="58" t="s">
        <v>82</v>
      </c>
      <c r="AQ73" s="58" t="s">
        <v>82</v>
      </c>
      <c r="AR73" s="58" t="s">
        <v>82</v>
      </c>
      <c r="AS73" s="58" t="s">
        <v>82</v>
      </c>
      <c r="AT73" s="58" t="s">
        <v>82</v>
      </c>
      <c r="AU73" s="51">
        <f>SUM(AO73:AT73)</f>
        <v>0</v>
      </c>
      <c r="AV73" s="15" t="e">
        <f>AU73/AU75</f>
        <v>#DIV/0!</v>
      </c>
      <c r="AW73" s="13"/>
      <c r="AX73" s="58" t="s">
        <v>82</v>
      </c>
      <c r="AY73" s="58" t="s">
        <v>82</v>
      </c>
      <c r="AZ73" s="58" t="s">
        <v>82</v>
      </c>
      <c r="BA73" s="58" t="s">
        <v>82</v>
      </c>
      <c r="BB73" s="61"/>
      <c r="BC73" s="51">
        <f>SUM(AX73:BB73)</f>
        <v>0</v>
      </c>
      <c r="BD73" s="15" t="e">
        <f>BC73/BC75</f>
        <v>#DIV/0!</v>
      </c>
      <c r="BE73" s="13"/>
      <c r="BF73" s="14"/>
      <c r="BG73" s="16"/>
      <c r="BH73" s="16"/>
      <c r="BI73" s="16"/>
    </row>
    <row r="74" spans="1:256" ht="20.25" customHeight="1">
      <c r="A74" s="8" t="s">
        <v>65</v>
      </c>
      <c r="B74" s="9">
        <v>0</v>
      </c>
      <c r="C74" s="9" t="s">
        <v>59</v>
      </c>
      <c r="D74" s="9" t="s">
        <v>59</v>
      </c>
      <c r="E74" s="9" t="s">
        <v>59</v>
      </c>
      <c r="F74" s="9" t="s">
        <v>59</v>
      </c>
      <c r="G74" s="9" t="s">
        <v>59</v>
      </c>
      <c r="H74" s="9" t="s">
        <v>59</v>
      </c>
      <c r="I74" s="9" t="s">
        <v>59</v>
      </c>
      <c r="J74" s="9" t="s">
        <v>59</v>
      </c>
      <c r="K74" s="10">
        <f t="shared" si="41"/>
        <v>0</v>
      </c>
      <c r="L74" s="11"/>
      <c r="M74" s="35">
        <f>K74/(K75)</f>
        <v>0</v>
      </c>
      <c r="N74" s="12"/>
      <c r="O74" s="11"/>
      <c r="P74" s="13"/>
      <c r="Q74" s="9" t="s">
        <v>82</v>
      </c>
      <c r="R74" s="9" t="s">
        <v>82</v>
      </c>
      <c r="S74" s="16"/>
      <c r="T74" s="38">
        <f>SUM(Q74:S74)</f>
        <v>0</v>
      </c>
      <c r="U74" s="15" t="e">
        <f>T74/T75</f>
        <v>#DIV/0!</v>
      </c>
      <c r="V74" s="13"/>
      <c r="W74" s="9" t="s">
        <v>82</v>
      </c>
      <c r="X74" s="9" t="s">
        <v>82</v>
      </c>
      <c r="Y74" s="9" t="s">
        <v>82</v>
      </c>
      <c r="Z74" s="9" t="s">
        <v>82</v>
      </c>
      <c r="AA74" s="9" t="s">
        <v>82</v>
      </c>
      <c r="AB74" s="9" t="s">
        <v>82</v>
      </c>
      <c r="AC74" s="38">
        <f>SUM(W74:AB74)</f>
        <v>0</v>
      </c>
      <c r="AD74" s="15" t="e">
        <f>AC74/AC75</f>
        <v>#DIV/0!</v>
      </c>
      <c r="AE74" s="13"/>
      <c r="AF74" s="9" t="s">
        <v>82</v>
      </c>
      <c r="AG74" s="9" t="s">
        <v>82</v>
      </c>
      <c r="AH74" s="9" t="s">
        <v>82</v>
      </c>
      <c r="AI74" s="9" t="s">
        <v>82</v>
      </c>
      <c r="AJ74" s="9" t="s">
        <v>82</v>
      </c>
      <c r="AK74" s="16"/>
      <c r="AL74" s="14">
        <f>SUM(AF74:AK74)</f>
        <v>0</v>
      </c>
      <c r="AM74" s="15" t="e">
        <f>AL74/AL75</f>
        <v>#DIV/0!</v>
      </c>
      <c r="AN74" s="13"/>
      <c r="AO74" s="9" t="s">
        <v>82</v>
      </c>
      <c r="AP74" s="9" t="s">
        <v>82</v>
      </c>
      <c r="AQ74" s="9" t="s">
        <v>82</v>
      </c>
      <c r="AR74" s="9" t="s">
        <v>82</v>
      </c>
      <c r="AS74" s="9" t="s">
        <v>82</v>
      </c>
      <c r="AT74" s="9" t="s">
        <v>82</v>
      </c>
      <c r="AU74" s="38">
        <f>SUM(AO74:AT74)</f>
        <v>0</v>
      </c>
      <c r="AV74" s="15" t="e">
        <f>AU74/AU75</f>
        <v>#DIV/0!</v>
      </c>
      <c r="AW74" s="13"/>
      <c r="AX74" s="9" t="s">
        <v>82</v>
      </c>
      <c r="AY74" s="9" t="s">
        <v>82</v>
      </c>
      <c r="AZ74" s="9" t="s">
        <v>82</v>
      </c>
      <c r="BA74" s="9" t="s">
        <v>82</v>
      </c>
      <c r="BB74" s="16"/>
      <c r="BC74" s="38">
        <f>SUM(AX74:BB74)</f>
        <v>0</v>
      </c>
      <c r="BD74" s="15" t="e">
        <f>BC74/BC75</f>
        <v>#DIV/0!</v>
      </c>
      <c r="BE74" s="13"/>
      <c r="BF74" s="14"/>
      <c r="BG74" s="16"/>
      <c r="BH74" s="16"/>
      <c r="BI74" s="16"/>
    </row>
    <row r="75" spans="1:256" ht="20.25" customHeight="1">
      <c r="A75" s="39" t="s">
        <v>66</v>
      </c>
      <c r="B75" s="32">
        <f>SUM(B72:B74)</f>
        <v>27</v>
      </c>
      <c r="C75" s="9" t="s">
        <v>59</v>
      </c>
      <c r="D75" s="9" t="s">
        <v>59</v>
      </c>
      <c r="E75" s="9" t="s">
        <v>59</v>
      </c>
      <c r="F75" s="9" t="s">
        <v>59</v>
      </c>
      <c r="G75" s="9" t="s">
        <v>59</v>
      </c>
      <c r="H75" s="9" t="s">
        <v>59</v>
      </c>
      <c r="I75" s="9" t="s">
        <v>59</v>
      </c>
      <c r="J75" s="9" t="s">
        <v>59</v>
      </c>
      <c r="K75" s="23">
        <f t="shared" si="41"/>
        <v>27</v>
      </c>
      <c r="L75" s="35">
        <f>K75/(K74+K73+K72)</f>
        <v>1</v>
      </c>
      <c r="M75" s="35">
        <f>K75/(K72+K73+K74)</f>
        <v>1</v>
      </c>
      <c r="N75" s="37">
        <f>T75+AC75+AL75+AU75+S76</f>
        <v>0</v>
      </c>
      <c r="O75" s="35">
        <f>N75/K75</f>
        <v>0</v>
      </c>
      <c r="P75" s="13"/>
      <c r="Q75" s="38">
        <f>SUM(Q72:Q74)</f>
        <v>0</v>
      </c>
      <c r="R75" s="38">
        <f>SUM(R72:R74)</f>
        <v>0</v>
      </c>
      <c r="S75" s="38">
        <f>SUM(S72:S74)</f>
        <v>0</v>
      </c>
      <c r="T75" s="38">
        <f>SUM(Q75:S75)</f>
        <v>0</v>
      </c>
      <c r="U75" s="40" t="e">
        <f>T75/(T72+T73+T74)</f>
        <v>#DIV/0!</v>
      </c>
      <c r="V75" s="13"/>
      <c r="W75" s="38">
        <f t="shared" ref="W75:AB75" si="46">SUM(W72:W74)</f>
        <v>0</v>
      </c>
      <c r="X75" s="38">
        <f t="shared" si="46"/>
        <v>0</v>
      </c>
      <c r="Y75" s="38">
        <f t="shared" si="46"/>
        <v>0</v>
      </c>
      <c r="Z75" s="38">
        <f t="shared" si="46"/>
        <v>0</v>
      </c>
      <c r="AA75" s="38">
        <f t="shared" si="46"/>
        <v>0</v>
      </c>
      <c r="AB75" s="38">
        <f t="shared" si="46"/>
        <v>0</v>
      </c>
      <c r="AC75" s="38">
        <f>SUM(W75:AB75)</f>
        <v>0</v>
      </c>
      <c r="AD75" s="40" t="e">
        <f>AC75/(AC72+AC73+AC74)</f>
        <v>#DIV/0!</v>
      </c>
      <c r="AE75" s="13"/>
      <c r="AF75" s="38">
        <f t="shared" ref="AF75:AK75" si="47">SUM(AF72:AF74)</f>
        <v>0</v>
      </c>
      <c r="AG75" s="38">
        <f t="shared" si="47"/>
        <v>0</v>
      </c>
      <c r="AH75" s="38">
        <f t="shared" si="47"/>
        <v>0</v>
      </c>
      <c r="AI75" s="38">
        <f t="shared" si="47"/>
        <v>0</v>
      </c>
      <c r="AJ75" s="38">
        <f t="shared" si="47"/>
        <v>0</v>
      </c>
      <c r="AK75" s="38">
        <f t="shared" si="47"/>
        <v>0</v>
      </c>
      <c r="AL75" s="38">
        <f>SUM(AF75:AK75)</f>
        <v>0</v>
      </c>
      <c r="AM75" s="41" t="e">
        <f>AL75/(AL72+AL73+AL74)</f>
        <v>#DIV/0!</v>
      </c>
      <c r="AN75" s="13"/>
      <c r="AO75" s="38">
        <f t="shared" ref="AO75:AT75" si="48">SUM(AO72:AO74)</f>
        <v>0</v>
      </c>
      <c r="AP75" s="38">
        <f t="shared" si="48"/>
        <v>0</v>
      </c>
      <c r="AQ75" s="38">
        <f t="shared" si="48"/>
        <v>0</v>
      </c>
      <c r="AR75" s="38">
        <f t="shared" si="48"/>
        <v>0</v>
      </c>
      <c r="AS75" s="38">
        <f t="shared" si="48"/>
        <v>0</v>
      </c>
      <c r="AT75" s="38">
        <f t="shared" si="48"/>
        <v>0</v>
      </c>
      <c r="AU75" s="38">
        <f>SUM(AO75:AT75)</f>
        <v>0</v>
      </c>
      <c r="AV75" s="40" t="e">
        <f>AU75/(AU72+AU73+AU74)</f>
        <v>#DIV/0!</v>
      </c>
      <c r="AW75" s="13"/>
      <c r="AX75" s="38">
        <f>SUM(AX72:AX74)</f>
        <v>0</v>
      </c>
      <c r="AY75" s="38">
        <f>SUM(AY72:AY74)</f>
        <v>0</v>
      </c>
      <c r="AZ75" s="38">
        <f>SUM(AZ72:AZ74)</f>
        <v>0</v>
      </c>
      <c r="BA75" s="38">
        <f>SUM(BA72:BA74)</f>
        <v>0</v>
      </c>
      <c r="BB75" s="38">
        <f>SUM(BB72:BB74)</f>
        <v>0</v>
      </c>
      <c r="BC75" s="38">
        <f>SUM(AX75:BB75)</f>
        <v>0</v>
      </c>
      <c r="BD75" s="40" t="e">
        <f>BC75/(BC72+BC73+BC74)</f>
        <v>#DIV/0!</v>
      </c>
      <c r="BE75" s="13"/>
      <c r="BF75" s="38"/>
      <c r="BG75" s="42"/>
      <c r="BH75" s="42"/>
      <c r="BI75" s="42"/>
    </row>
    <row r="76" spans="1:256" ht="44.25" customHeight="1">
      <c r="A76" s="43" t="s">
        <v>86</v>
      </c>
      <c r="B76" s="181" t="s">
        <v>87</v>
      </c>
      <c r="C76" s="182"/>
      <c r="D76" s="182"/>
      <c r="E76" s="182"/>
      <c r="F76" s="182"/>
      <c r="G76" s="22"/>
      <c r="H76" s="22"/>
      <c r="I76" s="22"/>
      <c r="J76" s="22"/>
      <c r="K76" s="21"/>
      <c r="L76" s="24"/>
      <c r="M76" s="24"/>
      <c r="N76" s="26"/>
      <c r="O76" s="24"/>
      <c r="P76" s="27"/>
      <c r="Q76" s="28"/>
      <c r="R76" s="28"/>
      <c r="S76" s="28"/>
      <c r="T76" s="26"/>
      <c r="U76" s="24"/>
      <c r="V76" s="27"/>
      <c r="W76" s="28"/>
      <c r="X76" s="28"/>
      <c r="Y76" s="28"/>
      <c r="Z76" s="28"/>
      <c r="AA76" s="28"/>
      <c r="AB76" s="28"/>
      <c r="AC76" s="26"/>
      <c r="AD76" s="24"/>
      <c r="AE76" s="27"/>
      <c r="AF76" s="28"/>
      <c r="AG76" s="28"/>
      <c r="AH76" s="28"/>
      <c r="AI76" s="28"/>
      <c r="AJ76" s="28"/>
      <c r="AK76" s="28"/>
      <c r="AL76" s="26"/>
      <c r="AM76" s="29"/>
      <c r="AN76" s="27"/>
      <c r="AO76" s="26"/>
      <c r="AP76" s="26"/>
      <c r="AQ76" s="26"/>
      <c r="AR76" s="26"/>
      <c r="AS76" s="26"/>
      <c r="AT76" s="26"/>
      <c r="AU76" s="26"/>
      <c r="AV76" s="24"/>
      <c r="AW76" s="27"/>
      <c r="AX76" s="26"/>
      <c r="AY76" s="26"/>
      <c r="AZ76" s="26"/>
      <c r="BA76" s="26"/>
      <c r="BB76" s="26"/>
      <c r="BC76" s="26"/>
      <c r="BD76" s="24"/>
      <c r="BE76" s="27"/>
      <c r="BF76" s="26"/>
      <c r="BG76" s="22"/>
      <c r="BH76" s="21"/>
      <c r="BI76" s="22"/>
    </row>
    <row r="77" spans="1:256" ht="32.25" customHeight="1">
      <c r="A77" s="10"/>
      <c r="B77" s="30" t="s">
        <v>0</v>
      </c>
      <c r="C77" s="30" t="s">
        <v>1</v>
      </c>
      <c r="D77" s="30" t="s">
        <v>2</v>
      </c>
      <c r="E77" s="30" t="s">
        <v>3</v>
      </c>
      <c r="F77" s="30" t="s">
        <v>4</v>
      </c>
      <c r="G77" s="30" t="s">
        <v>5</v>
      </c>
      <c r="H77" s="30" t="s">
        <v>68</v>
      </c>
      <c r="I77" s="30" t="s">
        <v>7</v>
      </c>
      <c r="J77" s="30" t="s">
        <v>8</v>
      </c>
      <c r="K77" s="10" t="s">
        <v>9</v>
      </c>
      <c r="L77" s="10" t="s">
        <v>56</v>
      </c>
      <c r="M77" s="20"/>
      <c r="N77" s="12"/>
      <c r="O77" s="20"/>
      <c r="P77" s="27"/>
      <c r="Q77" s="30" t="s">
        <v>15</v>
      </c>
      <c r="R77" s="30" t="s">
        <v>16</v>
      </c>
      <c r="S77" s="30" t="s">
        <v>28</v>
      </c>
      <c r="T77" s="20"/>
      <c r="U77" s="11"/>
      <c r="V77" s="27"/>
      <c r="W77" s="30" t="s">
        <v>15</v>
      </c>
      <c r="X77" s="30" t="s">
        <v>20</v>
      </c>
      <c r="Y77" s="30" t="s">
        <v>21</v>
      </c>
      <c r="Z77" s="30" t="s">
        <v>22</v>
      </c>
      <c r="AA77" s="30" t="s">
        <v>23</v>
      </c>
      <c r="AB77" s="30" t="s">
        <v>24</v>
      </c>
      <c r="AC77" s="20"/>
      <c r="AD77" s="11"/>
      <c r="AE77" s="27"/>
      <c r="AF77" s="30" t="s">
        <v>20</v>
      </c>
      <c r="AG77" s="30" t="s">
        <v>21</v>
      </c>
      <c r="AH77" s="30" t="s">
        <v>22</v>
      </c>
      <c r="AI77" s="30" t="s">
        <v>23</v>
      </c>
      <c r="AJ77" s="30" t="s">
        <v>24</v>
      </c>
      <c r="AK77" s="30" t="s">
        <v>28</v>
      </c>
      <c r="AL77" s="20"/>
      <c r="AM77" s="44"/>
      <c r="AN77" s="27"/>
      <c r="AO77" s="30" t="s">
        <v>15</v>
      </c>
      <c r="AP77" s="30" t="s">
        <v>20</v>
      </c>
      <c r="AQ77" s="30" t="s">
        <v>21</v>
      </c>
      <c r="AR77" s="30" t="s">
        <v>16</v>
      </c>
      <c r="AS77" s="30" t="s">
        <v>22</v>
      </c>
      <c r="AT77" s="30" t="s">
        <v>24</v>
      </c>
      <c r="AU77" s="20"/>
      <c r="AV77" s="11"/>
      <c r="AW77" s="27"/>
      <c r="AX77" s="30" t="s">
        <v>15</v>
      </c>
      <c r="AY77" s="30" t="s">
        <v>20</v>
      </c>
      <c r="AZ77" s="30" t="s">
        <v>22</v>
      </c>
      <c r="BA77" s="30" t="s">
        <v>23</v>
      </c>
      <c r="BB77" s="30" t="s">
        <v>28</v>
      </c>
      <c r="BC77" s="20"/>
      <c r="BD77" s="11"/>
      <c r="BE77" s="27"/>
      <c r="BF77" s="9" t="s">
        <v>80</v>
      </c>
      <c r="BG77" s="9" t="s">
        <v>88</v>
      </c>
      <c r="BH77" s="9" t="s">
        <v>40</v>
      </c>
      <c r="BI77" s="9" t="s">
        <v>41</v>
      </c>
    </row>
    <row r="78" spans="1:256" ht="20.25" customHeight="1">
      <c r="A78" s="10" t="s">
        <v>89</v>
      </c>
      <c r="B78" s="32">
        <v>2</v>
      </c>
      <c r="C78" s="32">
        <v>0</v>
      </c>
      <c r="D78" s="32">
        <v>7</v>
      </c>
      <c r="E78" s="32">
        <v>3</v>
      </c>
      <c r="F78" s="32">
        <v>13</v>
      </c>
      <c r="G78" s="33">
        <v>3</v>
      </c>
      <c r="H78" s="33">
        <v>2</v>
      </c>
      <c r="I78" s="33">
        <v>6</v>
      </c>
      <c r="J78" s="33">
        <v>0</v>
      </c>
      <c r="K78" s="23">
        <f t="shared" ref="K78:K83" si="49">SUM(B78:J78)</f>
        <v>36</v>
      </c>
      <c r="L78" s="35">
        <f>K78/K84</f>
        <v>0.21052631578947367</v>
      </c>
      <c r="M78" s="35">
        <f>K78/K87</f>
        <v>0.2011173184357542</v>
      </c>
      <c r="N78" s="37"/>
      <c r="O78" s="35"/>
      <c r="P78" s="13"/>
      <c r="Q78" s="33">
        <v>4</v>
      </c>
      <c r="R78" s="33">
        <v>2</v>
      </c>
      <c r="S78" s="33">
        <v>0</v>
      </c>
      <c r="T78" s="14">
        <f t="shared" ref="T78:T83" si="50">SUM(Q78:S78)</f>
        <v>6</v>
      </c>
      <c r="U78" s="40">
        <f>T78/T84</f>
        <v>0.24</v>
      </c>
      <c r="V78" s="13"/>
      <c r="W78" s="33">
        <v>2</v>
      </c>
      <c r="X78" s="33">
        <v>5</v>
      </c>
      <c r="Y78" s="33">
        <v>3</v>
      </c>
      <c r="Z78" s="33">
        <v>0</v>
      </c>
      <c r="AA78" s="33">
        <v>2</v>
      </c>
      <c r="AB78" s="33">
        <v>0</v>
      </c>
      <c r="AC78" s="14">
        <f t="shared" ref="AC78:AC83" si="51">SUM(W78:AB78)</f>
        <v>12</v>
      </c>
      <c r="AD78" s="40">
        <f>AC78/AC84</f>
        <v>0.27906976744186046</v>
      </c>
      <c r="AE78" s="13"/>
      <c r="AF78" s="33">
        <v>7</v>
      </c>
      <c r="AG78" s="33">
        <v>2</v>
      </c>
      <c r="AH78" s="33">
        <v>1</v>
      </c>
      <c r="AI78" s="33">
        <v>1</v>
      </c>
      <c r="AJ78" s="33">
        <v>0</v>
      </c>
      <c r="AK78" s="33">
        <v>0</v>
      </c>
      <c r="AL78" s="14">
        <f t="shared" ref="AL78:AL83" si="52">SUM(AF78:AK78)</f>
        <v>11</v>
      </c>
      <c r="AM78" s="40">
        <f>AL78/AL84</f>
        <v>0.22448979591836735</v>
      </c>
      <c r="AN78" s="13"/>
      <c r="AO78" s="33">
        <v>0</v>
      </c>
      <c r="AP78" s="33">
        <v>1</v>
      </c>
      <c r="AQ78" s="33">
        <v>2</v>
      </c>
      <c r="AR78" s="33">
        <v>0</v>
      </c>
      <c r="AS78" s="33">
        <v>1</v>
      </c>
      <c r="AT78" s="33">
        <v>0</v>
      </c>
      <c r="AU78" s="14">
        <f t="shared" ref="AU78:AU83" si="53">SUM(AO78:AT78)</f>
        <v>4</v>
      </c>
      <c r="AV78" s="40">
        <f>AU78/AU84</f>
        <v>0.19047619047619047</v>
      </c>
      <c r="AW78" s="13"/>
      <c r="AX78" s="33">
        <v>0</v>
      </c>
      <c r="AY78" s="33">
        <v>0</v>
      </c>
      <c r="AZ78" s="33">
        <v>1</v>
      </c>
      <c r="BA78" s="33">
        <v>0</v>
      </c>
      <c r="BB78" s="33">
        <v>0</v>
      </c>
      <c r="BC78" s="14">
        <f t="shared" ref="BC78:BC83" si="54">SUM(AX78:BB78)</f>
        <v>1</v>
      </c>
      <c r="BD78" s="40">
        <f>BC78/BC84</f>
        <v>0.125</v>
      </c>
      <c r="BE78" s="13"/>
      <c r="BF78" s="14"/>
      <c r="BG78" s="15" t="e">
        <f>BF78/BF84</f>
        <v>#DIV/0!</v>
      </c>
      <c r="BH78" s="16"/>
      <c r="BI78" s="15"/>
    </row>
    <row r="79" spans="1:256" ht="20.25" customHeight="1">
      <c r="A79" s="10" t="s">
        <v>90</v>
      </c>
      <c r="B79" s="32">
        <v>0</v>
      </c>
      <c r="C79" s="32">
        <v>0</v>
      </c>
      <c r="D79" s="32">
        <v>1</v>
      </c>
      <c r="E79" s="32">
        <v>0</v>
      </c>
      <c r="F79" s="32">
        <v>0</v>
      </c>
      <c r="G79" s="33">
        <v>1</v>
      </c>
      <c r="H79" s="33">
        <v>0</v>
      </c>
      <c r="I79" s="33">
        <v>1</v>
      </c>
      <c r="J79" s="33">
        <v>1</v>
      </c>
      <c r="K79" s="23">
        <f t="shared" si="49"/>
        <v>4</v>
      </c>
      <c r="L79" s="35">
        <f>K79/K84</f>
        <v>2.3391812865497075E-2</v>
      </c>
      <c r="M79" s="35">
        <f>K79/K87</f>
        <v>2.23463687150838E-2</v>
      </c>
      <c r="N79" s="37"/>
      <c r="O79" s="35"/>
      <c r="P79" s="13"/>
      <c r="Q79" s="33">
        <v>0</v>
      </c>
      <c r="R79" s="33">
        <v>0</v>
      </c>
      <c r="S79" s="33">
        <v>1</v>
      </c>
      <c r="T79" s="14">
        <f t="shared" si="50"/>
        <v>1</v>
      </c>
      <c r="U79" s="40">
        <f>T79/T84</f>
        <v>0.04</v>
      </c>
      <c r="V79" s="13"/>
      <c r="W79" s="33">
        <v>1</v>
      </c>
      <c r="X79" s="33">
        <v>0</v>
      </c>
      <c r="Y79" s="33">
        <v>1</v>
      </c>
      <c r="Z79" s="33">
        <v>0</v>
      </c>
      <c r="AA79" s="33">
        <v>0</v>
      </c>
      <c r="AB79" s="33">
        <v>0</v>
      </c>
      <c r="AC79" s="14">
        <f t="shared" si="51"/>
        <v>2</v>
      </c>
      <c r="AD79" s="40">
        <f>AC79/AC84</f>
        <v>4.6511627906976744E-2</v>
      </c>
      <c r="AE79" s="13"/>
      <c r="AF79" s="33">
        <v>0</v>
      </c>
      <c r="AG79" s="33">
        <v>0</v>
      </c>
      <c r="AH79" s="33">
        <v>1</v>
      </c>
      <c r="AI79" s="33">
        <v>0</v>
      </c>
      <c r="AJ79" s="33">
        <v>0</v>
      </c>
      <c r="AK79" s="33">
        <v>0</v>
      </c>
      <c r="AL79" s="14">
        <f t="shared" si="52"/>
        <v>1</v>
      </c>
      <c r="AM79" s="40">
        <f>AL79/AL84</f>
        <v>2.0408163265306121E-2</v>
      </c>
      <c r="AN79" s="13"/>
      <c r="AO79" s="33">
        <v>0</v>
      </c>
      <c r="AP79" s="33">
        <v>0</v>
      </c>
      <c r="AQ79" s="33">
        <v>0</v>
      </c>
      <c r="AR79" s="33">
        <v>0</v>
      </c>
      <c r="AS79" s="33">
        <v>0</v>
      </c>
      <c r="AT79" s="33">
        <v>0</v>
      </c>
      <c r="AU79" s="14">
        <f t="shared" si="53"/>
        <v>0</v>
      </c>
      <c r="AV79" s="40">
        <f>AU79/AU84</f>
        <v>0</v>
      </c>
      <c r="AW79" s="13"/>
      <c r="AX79" s="33">
        <v>0</v>
      </c>
      <c r="AY79" s="33">
        <v>0</v>
      </c>
      <c r="AZ79" s="33">
        <v>0</v>
      </c>
      <c r="BA79" s="33">
        <v>0</v>
      </c>
      <c r="BB79" s="33">
        <v>0</v>
      </c>
      <c r="BC79" s="14">
        <f t="shared" si="54"/>
        <v>0</v>
      </c>
      <c r="BD79" s="40">
        <f>BC79/BC84</f>
        <v>0</v>
      </c>
      <c r="BE79" s="13"/>
      <c r="BF79" s="14"/>
      <c r="BG79" s="15" t="e">
        <f>BF79/BF84</f>
        <v>#DIV/0!</v>
      </c>
      <c r="BH79" s="16"/>
      <c r="BI79" s="15"/>
    </row>
    <row r="80" spans="1:256" ht="20.25" customHeight="1">
      <c r="A80" s="10" t="s">
        <v>91</v>
      </c>
      <c r="B80" s="32">
        <v>6</v>
      </c>
      <c r="C80" s="32">
        <v>1</v>
      </c>
      <c r="D80" s="32">
        <v>3</v>
      </c>
      <c r="E80" s="32">
        <v>2</v>
      </c>
      <c r="F80" s="32">
        <v>1</v>
      </c>
      <c r="G80" s="33">
        <v>1</v>
      </c>
      <c r="H80" s="33">
        <v>3</v>
      </c>
      <c r="I80" s="33">
        <v>2</v>
      </c>
      <c r="J80" s="33">
        <v>11</v>
      </c>
      <c r="K80" s="23">
        <f t="shared" si="49"/>
        <v>30</v>
      </c>
      <c r="L80" s="35">
        <f>K80/K84</f>
        <v>0.17543859649122806</v>
      </c>
      <c r="M80" s="35">
        <f>K80/K87</f>
        <v>0.16759776536312848</v>
      </c>
      <c r="N80" s="37"/>
      <c r="O80" s="35"/>
      <c r="P80" s="13"/>
      <c r="Q80" s="33">
        <v>0</v>
      </c>
      <c r="R80" s="33">
        <v>3</v>
      </c>
      <c r="S80" s="33">
        <v>1</v>
      </c>
      <c r="T80" s="14">
        <f t="shared" si="50"/>
        <v>4</v>
      </c>
      <c r="U80" s="40">
        <f>T80/T84</f>
        <v>0.16</v>
      </c>
      <c r="V80" s="13"/>
      <c r="W80" s="33">
        <v>2</v>
      </c>
      <c r="X80" s="33">
        <v>0</v>
      </c>
      <c r="Y80" s="33">
        <v>1</v>
      </c>
      <c r="Z80" s="33">
        <v>0</v>
      </c>
      <c r="AA80" s="33">
        <v>0</v>
      </c>
      <c r="AB80" s="33">
        <v>0</v>
      </c>
      <c r="AC80" s="14">
        <f t="shared" si="51"/>
        <v>3</v>
      </c>
      <c r="AD80" s="40">
        <f>AC80/AC84</f>
        <v>6.9767441860465115E-2</v>
      </c>
      <c r="AE80" s="13"/>
      <c r="AF80" s="33">
        <v>1</v>
      </c>
      <c r="AG80" s="33">
        <v>1</v>
      </c>
      <c r="AH80" s="33">
        <v>0</v>
      </c>
      <c r="AI80" s="33">
        <v>2</v>
      </c>
      <c r="AJ80" s="33">
        <v>0</v>
      </c>
      <c r="AK80" s="33">
        <v>9</v>
      </c>
      <c r="AL80" s="14">
        <f t="shared" si="52"/>
        <v>13</v>
      </c>
      <c r="AM80" s="40">
        <f>AL80/AL84</f>
        <v>0.26530612244897961</v>
      </c>
      <c r="AN80" s="13"/>
      <c r="AO80" s="33">
        <v>0</v>
      </c>
      <c r="AP80" s="33">
        <v>0</v>
      </c>
      <c r="AQ80" s="33">
        <v>1</v>
      </c>
      <c r="AR80" s="33">
        <v>0</v>
      </c>
      <c r="AS80" s="33">
        <v>1</v>
      </c>
      <c r="AT80" s="33">
        <v>1</v>
      </c>
      <c r="AU80" s="14">
        <f t="shared" si="53"/>
        <v>3</v>
      </c>
      <c r="AV80" s="40">
        <f>AU80/AU84</f>
        <v>0.14285714285714285</v>
      </c>
      <c r="AW80" s="13"/>
      <c r="AX80" s="33">
        <v>0</v>
      </c>
      <c r="AY80" s="33">
        <v>0</v>
      </c>
      <c r="AZ80" s="33">
        <v>0</v>
      </c>
      <c r="BA80" s="33">
        <v>0</v>
      </c>
      <c r="BB80" s="33">
        <v>1</v>
      </c>
      <c r="BC80" s="14">
        <f t="shared" si="54"/>
        <v>1</v>
      </c>
      <c r="BD80" s="40">
        <f>BC80/BC84</f>
        <v>0.125</v>
      </c>
      <c r="BE80" s="13"/>
      <c r="BF80" s="14"/>
      <c r="BG80" s="15" t="e">
        <f>BF80/BF84</f>
        <v>#DIV/0!</v>
      </c>
      <c r="BH80" s="16"/>
      <c r="BI80" s="15"/>
    </row>
    <row r="81" spans="1:256" ht="20.25" customHeight="1">
      <c r="A81" s="10" t="s">
        <v>92</v>
      </c>
      <c r="B81" s="32">
        <v>11</v>
      </c>
      <c r="C81" s="32">
        <v>3</v>
      </c>
      <c r="D81" s="32">
        <v>12</v>
      </c>
      <c r="E81" s="32">
        <v>7</v>
      </c>
      <c r="F81" s="32">
        <v>6</v>
      </c>
      <c r="G81" s="33">
        <v>4</v>
      </c>
      <c r="H81" s="33">
        <v>9</v>
      </c>
      <c r="I81" s="33">
        <v>10</v>
      </c>
      <c r="J81" s="33">
        <v>8</v>
      </c>
      <c r="K81" s="23">
        <f t="shared" si="49"/>
        <v>70</v>
      </c>
      <c r="L81" s="35">
        <f>K81/K84</f>
        <v>0.40935672514619881</v>
      </c>
      <c r="M81" s="35">
        <f>K81/K87</f>
        <v>0.39106145251396646</v>
      </c>
      <c r="N81" s="37"/>
      <c r="O81" s="35"/>
      <c r="P81" s="13"/>
      <c r="Q81" s="33">
        <v>5</v>
      </c>
      <c r="R81" s="33">
        <v>9</v>
      </c>
      <c r="S81" s="33">
        <v>0</v>
      </c>
      <c r="T81" s="14">
        <f t="shared" si="50"/>
        <v>14</v>
      </c>
      <c r="U81" s="40">
        <f>T81/T84</f>
        <v>0.56000000000000005</v>
      </c>
      <c r="V81" s="13"/>
      <c r="W81" s="33">
        <v>3</v>
      </c>
      <c r="X81" s="33">
        <v>1</v>
      </c>
      <c r="Y81" s="33">
        <v>5</v>
      </c>
      <c r="Z81" s="33">
        <v>2</v>
      </c>
      <c r="AA81" s="33">
        <v>5</v>
      </c>
      <c r="AB81" s="33">
        <v>1</v>
      </c>
      <c r="AC81" s="14">
        <f t="shared" si="51"/>
        <v>17</v>
      </c>
      <c r="AD81" s="40">
        <f>AC81/AC84</f>
        <v>0.39534883720930231</v>
      </c>
      <c r="AE81" s="13"/>
      <c r="AF81" s="33">
        <v>2</v>
      </c>
      <c r="AG81" s="33">
        <v>7</v>
      </c>
      <c r="AH81" s="33">
        <v>1</v>
      </c>
      <c r="AI81" s="33">
        <v>1</v>
      </c>
      <c r="AJ81" s="33">
        <v>0</v>
      </c>
      <c r="AK81" s="33">
        <v>6</v>
      </c>
      <c r="AL81" s="14">
        <f t="shared" si="52"/>
        <v>17</v>
      </c>
      <c r="AM81" s="40">
        <f>AL81/AL84</f>
        <v>0.34693877551020408</v>
      </c>
      <c r="AN81" s="13"/>
      <c r="AO81" s="33">
        <v>1</v>
      </c>
      <c r="AP81" s="33">
        <v>2</v>
      </c>
      <c r="AQ81" s="33">
        <v>0</v>
      </c>
      <c r="AR81" s="33">
        <v>0</v>
      </c>
      <c r="AS81" s="33">
        <v>1</v>
      </c>
      <c r="AT81" s="33">
        <v>2</v>
      </c>
      <c r="AU81" s="14">
        <f t="shared" si="53"/>
        <v>6</v>
      </c>
      <c r="AV81" s="40">
        <f>AU81/AU84</f>
        <v>0.2857142857142857</v>
      </c>
      <c r="AW81" s="13"/>
      <c r="AX81" s="33">
        <v>1</v>
      </c>
      <c r="AY81" s="33">
        <v>1</v>
      </c>
      <c r="AZ81" s="33">
        <v>0</v>
      </c>
      <c r="BA81" s="33">
        <v>1</v>
      </c>
      <c r="BB81" s="33">
        <v>2</v>
      </c>
      <c r="BC81" s="14">
        <f t="shared" si="54"/>
        <v>5</v>
      </c>
      <c r="BD81" s="40">
        <f>BC81/BC84</f>
        <v>0.625</v>
      </c>
      <c r="BE81" s="13"/>
      <c r="BF81" s="14"/>
      <c r="BG81" s="15" t="e">
        <f>BF81/BF84</f>
        <v>#DIV/0!</v>
      </c>
      <c r="BH81" s="16"/>
      <c r="BI81" s="15"/>
    </row>
    <row r="82" spans="1:256" ht="20.25" customHeight="1">
      <c r="A82" s="10" t="s">
        <v>93</v>
      </c>
      <c r="B82" s="32">
        <v>6</v>
      </c>
      <c r="C82" s="32">
        <v>3</v>
      </c>
      <c r="D82" s="32">
        <v>6</v>
      </c>
      <c r="E82" s="32">
        <v>4</v>
      </c>
      <c r="F82" s="32">
        <v>0</v>
      </c>
      <c r="G82" s="33">
        <v>9</v>
      </c>
      <c r="H82" s="33">
        <v>1</v>
      </c>
      <c r="I82" s="33">
        <v>1</v>
      </c>
      <c r="J82" s="33">
        <v>1</v>
      </c>
      <c r="K82" s="23">
        <f t="shared" si="49"/>
        <v>31</v>
      </c>
      <c r="L82" s="35">
        <f>K82/K84</f>
        <v>0.18128654970760233</v>
      </c>
      <c r="M82" s="35">
        <f>K82/K87</f>
        <v>0.17318435754189945</v>
      </c>
      <c r="N82" s="37"/>
      <c r="O82" s="35"/>
      <c r="P82" s="13"/>
      <c r="Q82" s="33">
        <v>0</v>
      </c>
      <c r="R82" s="33">
        <v>0</v>
      </c>
      <c r="S82" s="33">
        <v>0</v>
      </c>
      <c r="T82" s="14">
        <f t="shared" si="50"/>
        <v>0</v>
      </c>
      <c r="U82" s="40">
        <f>T82/T84</f>
        <v>0</v>
      </c>
      <c r="V82" s="13"/>
      <c r="W82" s="33">
        <v>1</v>
      </c>
      <c r="X82" s="33">
        <v>0</v>
      </c>
      <c r="Y82" s="33">
        <v>4</v>
      </c>
      <c r="Z82" s="33">
        <v>1</v>
      </c>
      <c r="AA82" s="33">
        <v>2</v>
      </c>
      <c r="AB82" s="33">
        <v>1</v>
      </c>
      <c r="AC82" s="14">
        <f t="shared" si="51"/>
        <v>9</v>
      </c>
      <c r="AD82" s="40">
        <f>AC82/AC84</f>
        <v>0.20930232558139536</v>
      </c>
      <c r="AE82" s="13"/>
      <c r="AF82" s="33">
        <v>0</v>
      </c>
      <c r="AG82" s="33">
        <v>1</v>
      </c>
      <c r="AH82" s="33">
        <v>2</v>
      </c>
      <c r="AI82" s="33">
        <v>2</v>
      </c>
      <c r="AJ82" s="33">
        <v>1</v>
      </c>
      <c r="AK82" s="33">
        <v>1</v>
      </c>
      <c r="AL82" s="14">
        <f t="shared" si="52"/>
        <v>7</v>
      </c>
      <c r="AM82" s="40">
        <f>AL82/AL84</f>
        <v>0.14285714285714285</v>
      </c>
      <c r="AN82" s="13"/>
      <c r="AO82" s="33">
        <v>0</v>
      </c>
      <c r="AP82" s="33">
        <v>0</v>
      </c>
      <c r="AQ82" s="33">
        <v>1</v>
      </c>
      <c r="AR82" s="33">
        <v>1</v>
      </c>
      <c r="AS82" s="33">
        <v>5</v>
      </c>
      <c r="AT82" s="33">
        <v>1</v>
      </c>
      <c r="AU82" s="14">
        <f t="shared" si="53"/>
        <v>8</v>
      </c>
      <c r="AV82" s="40">
        <f>AU82/AU84</f>
        <v>0.38095238095238093</v>
      </c>
      <c r="AW82" s="13"/>
      <c r="AX82" s="33">
        <v>0</v>
      </c>
      <c r="AY82" s="33">
        <v>0</v>
      </c>
      <c r="AZ82" s="33">
        <v>1</v>
      </c>
      <c r="BA82" s="33">
        <v>0</v>
      </c>
      <c r="BB82" s="33">
        <v>0</v>
      </c>
      <c r="BC82" s="14">
        <f t="shared" si="54"/>
        <v>1</v>
      </c>
      <c r="BD82" s="40">
        <f>BC82/BC84</f>
        <v>0.125</v>
      </c>
      <c r="BE82" s="13"/>
      <c r="BF82" s="14"/>
      <c r="BG82" s="15" t="e">
        <f>BF82/BF84</f>
        <v>#DIV/0!</v>
      </c>
      <c r="BH82" s="16"/>
      <c r="BI82" s="15"/>
    </row>
    <row r="83" spans="1:256" ht="20.25" customHeight="1">
      <c r="A83" s="10" t="s">
        <v>94</v>
      </c>
      <c r="B83" s="32">
        <v>0</v>
      </c>
      <c r="C83" s="32">
        <v>0</v>
      </c>
      <c r="D83" s="32">
        <v>0</v>
      </c>
      <c r="E83" s="32">
        <v>0</v>
      </c>
      <c r="F83" s="32">
        <v>0</v>
      </c>
      <c r="G83" s="33">
        <v>0</v>
      </c>
      <c r="H83" s="33">
        <v>0</v>
      </c>
      <c r="I83" s="33">
        <v>0</v>
      </c>
      <c r="J83" s="33">
        <v>0</v>
      </c>
      <c r="K83" s="23">
        <f t="shared" si="49"/>
        <v>0</v>
      </c>
      <c r="L83" s="35">
        <f>K83/K84</f>
        <v>0</v>
      </c>
      <c r="M83" s="35">
        <f>K83/K87</f>
        <v>0</v>
      </c>
      <c r="N83" s="37"/>
      <c r="O83" s="35"/>
      <c r="P83" s="13"/>
      <c r="Q83" s="33">
        <v>0</v>
      </c>
      <c r="R83" s="33">
        <v>0</v>
      </c>
      <c r="S83" s="33">
        <v>0</v>
      </c>
      <c r="T83" s="14">
        <f t="shared" si="50"/>
        <v>0</v>
      </c>
      <c r="U83" s="40">
        <f>T83/T84</f>
        <v>0</v>
      </c>
      <c r="V83" s="13"/>
      <c r="W83" s="33">
        <v>0</v>
      </c>
      <c r="X83" s="33">
        <v>0</v>
      </c>
      <c r="Y83" s="33">
        <v>0</v>
      </c>
      <c r="Z83" s="33">
        <v>0</v>
      </c>
      <c r="AA83" s="33">
        <v>0</v>
      </c>
      <c r="AB83" s="33">
        <v>0</v>
      </c>
      <c r="AC83" s="14">
        <f t="shared" si="51"/>
        <v>0</v>
      </c>
      <c r="AD83" s="40">
        <f>AC83/AC84</f>
        <v>0</v>
      </c>
      <c r="AE83" s="13"/>
      <c r="AF83" s="33">
        <v>0</v>
      </c>
      <c r="AG83" s="33">
        <v>0</v>
      </c>
      <c r="AH83" s="33">
        <v>0</v>
      </c>
      <c r="AI83" s="33">
        <v>0</v>
      </c>
      <c r="AJ83" s="33">
        <v>0</v>
      </c>
      <c r="AK83" s="33">
        <v>0</v>
      </c>
      <c r="AL83" s="14">
        <f t="shared" si="52"/>
        <v>0</v>
      </c>
      <c r="AM83" s="40">
        <f>AL83/AL84</f>
        <v>0</v>
      </c>
      <c r="AN83" s="13"/>
      <c r="AO83" s="33">
        <v>0</v>
      </c>
      <c r="AP83" s="33">
        <v>0</v>
      </c>
      <c r="AQ83" s="33">
        <v>0</v>
      </c>
      <c r="AR83" s="33">
        <v>0</v>
      </c>
      <c r="AS83" s="33">
        <v>0</v>
      </c>
      <c r="AT83" s="33">
        <v>0</v>
      </c>
      <c r="AU83" s="14">
        <f t="shared" si="53"/>
        <v>0</v>
      </c>
      <c r="AV83" s="40">
        <f>AU83/AU84</f>
        <v>0</v>
      </c>
      <c r="AW83" s="13"/>
      <c r="AX83" s="33">
        <v>0</v>
      </c>
      <c r="AY83" s="33">
        <v>0</v>
      </c>
      <c r="AZ83" s="33">
        <v>0</v>
      </c>
      <c r="BA83" s="33">
        <v>0</v>
      </c>
      <c r="BB83" s="33">
        <v>0</v>
      </c>
      <c r="BC83" s="14">
        <f t="shared" si="54"/>
        <v>0</v>
      </c>
      <c r="BD83" s="40">
        <f>BC83/BC84</f>
        <v>0</v>
      </c>
      <c r="BE83" s="13"/>
      <c r="BF83" s="38"/>
      <c r="BG83" s="40" t="e">
        <f>BF83/BF84</f>
        <v>#DIV/0!</v>
      </c>
      <c r="BH83" s="32"/>
      <c r="BI83" s="40"/>
    </row>
    <row r="84" spans="1:256" ht="21.75" customHeight="1">
      <c r="A84" s="10" t="s">
        <v>9</v>
      </c>
      <c r="B84" s="32">
        <f t="shared" ref="B84:L84" si="55">SUM(B78:B83)</f>
        <v>25</v>
      </c>
      <c r="C84" s="32">
        <f t="shared" si="55"/>
        <v>7</v>
      </c>
      <c r="D84" s="32">
        <f t="shared" si="55"/>
        <v>29</v>
      </c>
      <c r="E84" s="32">
        <f t="shared" si="55"/>
        <v>16</v>
      </c>
      <c r="F84" s="32">
        <f t="shared" si="55"/>
        <v>20</v>
      </c>
      <c r="G84" s="32">
        <f t="shared" si="55"/>
        <v>18</v>
      </c>
      <c r="H84" s="32">
        <f t="shared" si="55"/>
        <v>15</v>
      </c>
      <c r="I84" s="32">
        <f t="shared" si="55"/>
        <v>20</v>
      </c>
      <c r="J84" s="32">
        <f t="shared" si="55"/>
        <v>21</v>
      </c>
      <c r="K84" s="23">
        <f t="shared" si="55"/>
        <v>171</v>
      </c>
      <c r="L84" s="35">
        <f t="shared" si="55"/>
        <v>1</v>
      </c>
      <c r="M84" s="35">
        <f>K84/K87</f>
        <v>0.95530726256983245</v>
      </c>
      <c r="N84" s="37">
        <f>T84+AC84+AL84+AU84</f>
        <v>138</v>
      </c>
      <c r="O84" s="35">
        <f>N84/K84</f>
        <v>0.80701754385964908</v>
      </c>
      <c r="P84" s="13">
        <f t="shared" ref="P84:BG84" si="56">SUM(P78:P83)</f>
        <v>0</v>
      </c>
      <c r="Q84" s="45">
        <f t="shared" si="56"/>
        <v>9</v>
      </c>
      <c r="R84" s="46">
        <f t="shared" si="56"/>
        <v>14</v>
      </c>
      <c r="S84" s="46">
        <f t="shared" si="56"/>
        <v>2</v>
      </c>
      <c r="T84" s="14">
        <f t="shared" si="56"/>
        <v>25</v>
      </c>
      <c r="U84" s="40">
        <f t="shared" si="56"/>
        <v>1</v>
      </c>
      <c r="V84" s="13">
        <f t="shared" si="56"/>
        <v>0</v>
      </c>
      <c r="W84" s="45">
        <f t="shared" si="56"/>
        <v>9</v>
      </c>
      <c r="X84" s="45">
        <f t="shared" si="56"/>
        <v>6</v>
      </c>
      <c r="Y84" s="45">
        <f t="shared" si="56"/>
        <v>14</v>
      </c>
      <c r="Z84" s="45">
        <f t="shared" si="56"/>
        <v>3</v>
      </c>
      <c r="AA84" s="45">
        <f t="shared" si="56"/>
        <v>9</v>
      </c>
      <c r="AB84" s="45">
        <f t="shared" si="56"/>
        <v>2</v>
      </c>
      <c r="AC84" s="45">
        <f t="shared" si="56"/>
        <v>43</v>
      </c>
      <c r="AD84" s="40">
        <f t="shared" si="56"/>
        <v>1</v>
      </c>
      <c r="AE84" s="13">
        <f t="shared" si="56"/>
        <v>0</v>
      </c>
      <c r="AF84" s="47">
        <f t="shared" si="56"/>
        <v>10</v>
      </c>
      <c r="AG84" s="14">
        <f t="shared" si="56"/>
        <v>11</v>
      </c>
      <c r="AH84" s="47">
        <f t="shared" si="56"/>
        <v>5</v>
      </c>
      <c r="AI84" s="47">
        <f t="shared" si="56"/>
        <v>6</v>
      </c>
      <c r="AJ84" s="47">
        <f t="shared" si="56"/>
        <v>1</v>
      </c>
      <c r="AK84" s="47">
        <f t="shared" si="56"/>
        <v>16</v>
      </c>
      <c r="AL84" s="45">
        <f t="shared" si="56"/>
        <v>49</v>
      </c>
      <c r="AM84" s="40">
        <f t="shared" si="56"/>
        <v>1</v>
      </c>
      <c r="AN84" s="13">
        <f t="shared" si="56"/>
        <v>0</v>
      </c>
      <c r="AO84" s="47">
        <f t="shared" si="56"/>
        <v>1</v>
      </c>
      <c r="AP84" s="47">
        <f t="shared" si="56"/>
        <v>3</v>
      </c>
      <c r="AQ84" s="14">
        <f t="shared" si="56"/>
        <v>4</v>
      </c>
      <c r="AR84" s="47">
        <f t="shared" si="56"/>
        <v>1</v>
      </c>
      <c r="AS84" s="47">
        <f t="shared" si="56"/>
        <v>8</v>
      </c>
      <c r="AT84" s="47">
        <f t="shared" si="56"/>
        <v>4</v>
      </c>
      <c r="AU84" s="45">
        <f t="shared" si="56"/>
        <v>21</v>
      </c>
      <c r="AV84" s="40">
        <f t="shared" si="56"/>
        <v>1</v>
      </c>
      <c r="AW84" s="13">
        <f t="shared" si="56"/>
        <v>0</v>
      </c>
      <c r="AX84" s="45">
        <f t="shared" si="56"/>
        <v>1</v>
      </c>
      <c r="AY84" s="45">
        <f t="shared" si="56"/>
        <v>1</v>
      </c>
      <c r="AZ84" s="45">
        <f t="shared" si="56"/>
        <v>2</v>
      </c>
      <c r="BA84" s="45">
        <f t="shared" si="56"/>
        <v>1</v>
      </c>
      <c r="BB84" s="45">
        <f t="shared" si="56"/>
        <v>3</v>
      </c>
      <c r="BC84" s="45">
        <f t="shared" si="56"/>
        <v>8</v>
      </c>
      <c r="BD84" s="40">
        <f t="shared" si="56"/>
        <v>1</v>
      </c>
      <c r="BE84" s="13">
        <f t="shared" si="56"/>
        <v>0</v>
      </c>
      <c r="BF84" s="38">
        <f t="shared" si="56"/>
        <v>0</v>
      </c>
      <c r="BG84" s="40" t="e">
        <f t="shared" si="56"/>
        <v>#DIV/0!</v>
      </c>
      <c r="BH84" s="32"/>
      <c r="BI84" s="40"/>
    </row>
    <row r="85" spans="1:256" ht="21.75" customHeight="1">
      <c r="A85" s="8" t="s">
        <v>64</v>
      </c>
      <c r="B85" s="32">
        <v>2</v>
      </c>
      <c r="C85" s="32">
        <v>0</v>
      </c>
      <c r="D85" s="32">
        <v>1</v>
      </c>
      <c r="E85" s="32">
        <v>1</v>
      </c>
      <c r="F85" s="32">
        <v>1</v>
      </c>
      <c r="G85" s="32">
        <v>0</v>
      </c>
      <c r="H85" s="32">
        <v>0</v>
      </c>
      <c r="I85" s="32">
        <v>0</v>
      </c>
      <c r="J85" s="32">
        <v>1</v>
      </c>
      <c r="K85" s="23">
        <f>SUM(B85:J85)</f>
        <v>6</v>
      </c>
      <c r="L85" s="35">
        <f>K85/(K84+K85+K86)</f>
        <v>3.3519553072625698E-2</v>
      </c>
      <c r="M85" s="35">
        <f>K85/(K87)</f>
        <v>3.3519553072625698E-2</v>
      </c>
      <c r="N85" s="12"/>
      <c r="O85" s="35"/>
      <c r="P85" s="13"/>
      <c r="Q85" s="49">
        <v>0</v>
      </c>
      <c r="R85" s="50">
        <v>0</v>
      </c>
      <c r="S85" s="50">
        <v>0</v>
      </c>
      <c r="T85" s="38">
        <f>SUM(Q85:S85)</f>
        <v>0</v>
      </c>
      <c r="U85" s="15">
        <f>T85/T87</f>
        <v>0</v>
      </c>
      <c r="V85" s="13"/>
      <c r="W85" s="49">
        <v>0</v>
      </c>
      <c r="X85" s="49">
        <v>1</v>
      </c>
      <c r="Y85" s="49">
        <v>1</v>
      </c>
      <c r="Z85" s="49">
        <v>0</v>
      </c>
      <c r="AA85" s="49">
        <v>1</v>
      </c>
      <c r="AB85" s="49">
        <v>0</v>
      </c>
      <c r="AC85" s="51">
        <f>SUM(W85:AB85)</f>
        <v>3</v>
      </c>
      <c r="AD85" s="15">
        <f>AC85/AC87</f>
        <v>6.5217391304347824E-2</v>
      </c>
      <c r="AE85" s="13"/>
      <c r="AF85" s="52">
        <v>0</v>
      </c>
      <c r="AG85" s="33">
        <v>0</v>
      </c>
      <c r="AH85" s="52">
        <v>0</v>
      </c>
      <c r="AI85" s="52">
        <v>0</v>
      </c>
      <c r="AJ85" s="52">
        <v>0</v>
      </c>
      <c r="AK85" s="52">
        <v>1</v>
      </c>
      <c r="AL85" s="49">
        <f>SUM(AF85:AK85)</f>
        <v>1</v>
      </c>
      <c r="AM85" s="15">
        <f>AL85/AL87</f>
        <v>0.02</v>
      </c>
      <c r="AN85" s="13"/>
      <c r="AO85" s="52">
        <v>0</v>
      </c>
      <c r="AP85" s="52">
        <v>0</v>
      </c>
      <c r="AQ85" s="33">
        <v>0</v>
      </c>
      <c r="AR85" s="52">
        <v>0</v>
      </c>
      <c r="AS85" s="52">
        <v>0</v>
      </c>
      <c r="AT85" s="52">
        <v>0</v>
      </c>
      <c r="AU85" s="51">
        <f>SUM(AO85:AT85)</f>
        <v>0</v>
      </c>
      <c r="AV85" s="15">
        <f>AU85/AU87</f>
        <v>0</v>
      </c>
      <c r="AW85" s="13"/>
      <c r="AX85" s="49">
        <v>0</v>
      </c>
      <c r="AY85" s="49">
        <v>1</v>
      </c>
      <c r="AZ85" s="49">
        <v>0</v>
      </c>
      <c r="BA85" s="49">
        <v>0</v>
      </c>
      <c r="BB85" s="49">
        <v>0</v>
      </c>
      <c r="BC85" s="51">
        <f>SUM(AX85:BB85)</f>
        <v>1</v>
      </c>
      <c r="BD85" s="15">
        <f>BC85/BC87</f>
        <v>0.1</v>
      </c>
      <c r="BE85" s="13"/>
      <c r="BF85" s="38"/>
      <c r="BG85" s="40"/>
      <c r="BH85" s="42"/>
      <c r="BI85" s="40"/>
    </row>
    <row r="86" spans="1:256" ht="20.25" customHeight="1">
      <c r="A86" s="8" t="s">
        <v>65</v>
      </c>
      <c r="B86" s="32">
        <v>0</v>
      </c>
      <c r="C86" s="32">
        <v>0</v>
      </c>
      <c r="D86" s="32">
        <v>0</v>
      </c>
      <c r="E86" s="32">
        <v>0</v>
      </c>
      <c r="F86" s="32">
        <v>2</v>
      </c>
      <c r="G86" s="32">
        <v>0</v>
      </c>
      <c r="H86" s="32">
        <v>0</v>
      </c>
      <c r="I86" s="32">
        <v>0</v>
      </c>
      <c r="J86" s="32">
        <v>0</v>
      </c>
      <c r="K86" s="23">
        <f>SUM(B86:J86)</f>
        <v>2</v>
      </c>
      <c r="L86" s="35">
        <f>K86/(K85+K86+K84)</f>
        <v>1.11731843575419E-2</v>
      </c>
      <c r="M86" s="35">
        <f>K86/(K87)</f>
        <v>1.11731843575419E-2</v>
      </c>
      <c r="N86" s="12"/>
      <c r="O86" s="35"/>
      <c r="P86" s="13"/>
      <c r="Q86" s="14">
        <v>0</v>
      </c>
      <c r="R86" s="14">
        <v>0</v>
      </c>
      <c r="S86" s="14">
        <v>0</v>
      </c>
      <c r="T86" s="38">
        <f>SUM(Q86:S86)</f>
        <v>0</v>
      </c>
      <c r="U86" s="15">
        <f>T86/T87</f>
        <v>0</v>
      </c>
      <c r="V86" s="13"/>
      <c r="W86" s="14">
        <v>0</v>
      </c>
      <c r="X86" s="14">
        <v>0</v>
      </c>
      <c r="Y86" s="14">
        <v>0</v>
      </c>
      <c r="Z86" s="14">
        <v>0</v>
      </c>
      <c r="AA86" s="14">
        <v>0</v>
      </c>
      <c r="AB86" s="14">
        <v>0</v>
      </c>
      <c r="AC86" s="38">
        <f>SUM(W86:AB86)</f>
        <v>0</v>
      </c>
      <c r="AD86" s="15">
        <f>AC86/AC87</f>
        <v>0</v>
      </c>
      <c r="AE86" s="13"/>
      <c r="AF86" s="14">
        <v>0</v>
      </c>
      <c r="AG86" s="33">
        <v>0</v>
      </c>
      <c r="AH86" s="14">
        <v>0</v>
      </c>
      <c r="AI86" s="14">
        <v>0</v>
      </c>
      <c r="AJ86" s="14">
        <v>0</v>
      </c>
      <c r="AK86" s="14">
        <v>0</v>
      </c>
      <c r="AL86" s="14">
        <f>SUM(AF86:AK86)</f>
        <v>0</v>
      </c>
      <c r="AM86" s="15">
        <f>AL86/AL87</f>
        <v>0</v>
      </c>
      <c r="AN86" s="13"/>
      <c r="AO86" s="14">
        <v>0</v>
      </c>
      <c r="AP86" s="14">
        <v>0</v>
      </c>
      <c r="AQ86" s="33">
        <v>0</v>
      </c>
      <c r="AR86" s="14">
        <v>0</v>
      </c>
      <c r="AS86" s="14">
        <v>0</v>
      </c>
      <c r="AT86" s="14">
        <v>0</v>
      </c>
      <c r="AU86" s="38">
        <f>SUM(AO86:AT86)</f>
        <v>0</v>
      </c>
      <c r="AV86" s="15">
        <f>AU86/AU87</f>
        <v>0</v>
      </c>
      <c r="AW86" s="13"/>
      <c r="AX86" s="14">
        <v>0</v>
      </c>
      <c r="AY86" s="14">
        <v>1</v>
      </c>
      <c r="AZ86" s="14">
        <v>0</v>
      </c>
      <c r="BA86" s="14">
        <v>0</v>
      </c>
      <c r="BB86" s="14">
        <v>0</v>
      </c>
      <c r="BC86" s="38">
        <f>SUM(AX86:BB86)</f>
        <v>1</v>
      </c>
      <c r="BD86" s="15">
        <f>BC86/BC87</f>
        <v>0.1</v>
      </c>
      <c r="BE86" s="13"/>
      <c r="BF86" s="38"/>
      <c r="BG86" s="40"/>
      <c r="BH86" s="32"/>
      <c r="BI86" s="40"/>
    </row>
    <row r="87" spans="1:256" ht="20.25" customHeight="1">
      <c r="A87" s="39" t="s">
        <v>66</v>
      </c>
      <c r="B87" s="32">
        <f t="shared" ref="B87:J87" si="57">SUM(B84:B86)</f>
        <v>27</v>
      </c>
      <c r="C87" s="32">
        <f t="shared" si="57"/>
        <v>7</v>
      </c>
      <c r="D87" s="32">
        <f t="shared" si="57"/>
        <v>30</v>
      </c>
      <c r="E87" s="32">
        <f t="shared" si="57"/>
        <v>17</v>
      </c>
      <c r="F87" s="32">
        <f t="shared" si="57"/>
        <v>23</v>
      </c>
      <c r="G87" s="32">
        <f t="shared" si="57"/>
        <v>18</v>
      </c>
      <c r="H87" s="32">
        <f t="shared" si="57"/>
        <v>15</v>
      </c>
      <c r="I87" s="32">
        <f t="shared" si="57"/>
        <v>20</v>
      </c>
      <c r="J87" s="32">
        <f t="shared" si="57"/>
        <v>22</v>
      </c>
      <c r="K87" s="23">
        <f>SUM(B87:J87)</f>
        <v>179</v>
      </c>
      <c r="L87" s="35">
        <f>K87/(K86+K85+K84)</f>
        <v>1</v>
      </c>
      <c r="M87" s="35">
        <f>K87/(K84+K85+K86)</f>
        <v>1</v>
      </c>
      <c r="N87" s="37">
        <f>T87+AC87+AL87+AU87+S112</f>
        <v>142</v>
      </c>
      <c r="O87" s="35">
        <f>N87/K87</f>
        <v>0.79329608938547491</v>
      </c>
      <c r="P87" s="13"/>
      <c r="Q87" s="38">
        <f>SUM(Q84:Q86)</f>
        <v>9</v>
      </c>
      <c r="R87" s="38">
        <f>SUM(R84:R86)</f>
        <v>14</v>
      </c>
      <c r="S87" s="38">
        <f>SUM(S84:S86)</f>
        <v>2</v>
      </c>
      <c r="T87" s="38">
        <f>SUM(Q87:S87)</f>
        <v>25</v>
      </c>
      <c r="U87" s="40">
        <f>T87/(T84+T85+T86)</f>
        <v>1</v>
      </c>
      <c r="V87" s="13"/>
      <c r="W87" s="38">
        <f t="shared" ref="W87:AB87" si="58">SUM(W84:W86)</f>
        <v>9</v>
      </c>
      <c r="X87" s="38">
        <f t="shared" si="58"/>
        <v>7</v>
      </c>
      <c r="Y87" s="38">
        <f t="shared" si="58"/>
        <v>15</v>
      </c>
      <c r="Z87" s="38">
        <f t="shared" si="58"/>
        <v>3</v>
      </c>
      <c r="AA87" s="38">
        <f t="shared" si="58"/>
        <v>10</v>
      </c>
      <c r="AB87" s="38">
        <f t="shared" si="58"/>
        <v>2</v>
      </c>
      <c r="AC87" s="38">
        <f>SUM(W87:AB87)</f>
        <v>46</v>
      </c>
      <c r="AD87" s="40">
        <f>AC87/(AC84+AC85+AC86)</f>
        <v>1</v>
      </c>
      <c r="AE87" s="13"/>
      <c r="AF87" s="38">
        <f t="shared" ref="AF87:AK87" si="59">SUM(AF84:AF86)</f>
        <v>10</v>
      </c>
      <c r="AG87" s="38">
        <f t="shared" si="59"/>
        <v>11</v>
      </c>
      <c r="AH87" s="38">
        <f t="shared" si="59"/>
        <v>5</v>
      </c>
      <c r="AI87" s="38">
        <f t="shared" si="59"/>
        <v>6</v>
      </c>
      <c r="AJ87" s="38">
        <f t="shared" si="59"/>
        <v>1</v>
      </c>
      <c r="AK87" s="38">
        <f t="shared" si="59"/>
        <v>17</v>
      </c>
      <c r="AL87" s="38">
        <f>SUM(AF87:AK87)</f>
        <v>50</v>
      </c>
      <c r="AM87" s="41">
        <f>AL87/(AL84+AL85+AL86)</f>
        <v>1</v>
      </c>
      <c r="AN87" s="13"/>
      <c r="AO87" s="38">
        <f t="shared" ref="AO87:AT87" si="60">SUM(AO84:AO86)</f>
        <v>1</v>
      </c>
      <c r="AP87" s="38">
        <f t="shared" si="60"/>
        <v>3</v>
      </c>
      <c r="AQ87" s="38">
        <f t="shared" si="60"/>
        <v>4</v>
      </c>
      <c r="AR87" s="38">
        <f t="shared" si="60"/>
        <v>1</v>
      </c>
      <c r="AS87" s="38">
        <f t="shared" si="60"/>
        <v>8</v>
      </c>
      <c r="AT87" s="38">
        <f t="shared" si="60"/>
        <v>4</v>
      </c>
      <c r="AU87" s="38">
        <f>SUM(AO87:AT87)</f>
        <v>21</v>
      </c>
      <c r="AV87" s="40">
        <f>AU87/(AU84+AU85+AU86)</f>
        <v>1</v>
      </c>
      <c r="AW87" s="13"/>
      <c r="AX87" s="38">
        <f>SUM(AX84:AX86)</f>
        <v>1</v>
      </c>
      <c r="AY87" s="38">
        <f>SUM(AY84:AY86)</f>
        <v>3</v>
      </c>
      <c r="AZ87" s="38">
        <f>SUM(AZ84:AZ86)</f>
        <v>2</v>
      </c>
      <c r="BA87" s="38">
        <f>SUM(BA84:BA86)</f>
        <v>1</v>
      </c>
      <c r="BB87" s="38">
        <f>SUM(BB84:BB86)</f>
        <v>3</v>
      </c>
      <c r="BC87" s="38">
        <f>SUM(AX87:BB87)</f>
        <v>10</v>
      </c>
      <c r="BD87" s="40">
        <f>BC87/(BC84+BC85+BC86)</f>
        <v>1</v>
      </c>
      <c r="BE87" s="13"/>
      <c r="BF87" s="38"/>
      <c r="BG87" s="42"/>
      <c r="BH87" s="42"/>
      <c r="BI87" s="42"/>
    </row>
    <row r="88" spans="1:256" ht="44.25" customHeight="1">
      <c r="A88" s="180" t="s">
        <v>240</v>
      </c>
      <c r="B88" s="181" t="s">
        <v>87</v>
      </c>
      <c r="C88" s="182"/>
      <c r="D88" s="182"/>
      <c r="E88" s="182"/>
      <c r="F88" s="182"/>
      <c r="G88" s="179"/>
      <c r="H88" s="179"/>
      <c r="I88" s="179"/>
      <c r="J88" s="179"/>
      <c r="K88" s="177"/>
      <c r="L88" s="24"/>
      <c r="M88" s="24"/>
      <c r="N88" s="26"/>
      <c r="O88" s="24"/>
      <c r="P88" s="27"/>
      <c r="Q88" s="28"/>
      <c r="R88" s="28"/>
      <c r="S88" s="28"/>
      <c r="T88" s="26"/>
      <c r="U88" s="24"/>
      <c r="V88" s="27"/>
      <c r="W88" s="28"/>
      <c r="X88" s="28"/>
      <c r="Y88" s="28"/>
      <c r="Z88" s="28"/>
      <c r="AA88" s="28"/>
      <c r="AB88" s="28"/>
      <c r="AC88" s="26"/>
      <c r="AD88" s="24"/>
      <c r="AE88" s="27"/>
      <c r="AF88" s="28"/>
      <c r="AG88" s="28"/>
      <c r="AH88" s="28"/>
      <c r="AI88" s="28"/>
      <c r="AJ88" s="28"/>
      <c r="AK88" s="28"/>
      <c r="AL88" s="26"/>
      <c r="AM88" s="29"/>
      <c r="AN88" s="27"/>
      <c r="AO88" s="26"/>
      <c r="AP88" s="26"/>
      <c r="AQ88" s="26"/>
      <c r="AR88" s="26"/>
      <c r="AS88" s="26"/>
      <c r="AT88" s="26"/>
      <c r="AU88" s="26"/>
      <c r="AV88" s="24"/>
      <c r="AW88" s="27"/>
      <c r="AX88" s="26"/>
      <c r="AY88" s="26"/>
      <c r="AZ88" s="26"/>
      <c r="BA88" s="26"/>
      <c r="BB88" s="26"/>
      <c r="BC88" s="26"/>
      <c r="BD88" s="24"/>
      <c r="BE88" s="27"/>
      <c r="BF88" s="26"/>
      <c r="BG88" s="179"/>
      <c r="BH88" s="177"/>
      <c r="BI88" s="179"/>
      <c r="BJ88" s="173"/>
      <c r="BK88" s="173"/>
      <c r="BL88" s="173"/>
      <c r="BM88" s="173"/>
      <c r="BN88" s="173"/>
      <c r="BO88" s="173"/>
      <c r="BP88" s="173"/>
      <c r="BQ88" s="173"/>
      <c r="BR88" s="173"/>
      <c r="BS88" s="173"/>
      <c r="BT88" s="173"/>
      <c r="BU88" s="173"/>
      <c r="BV88" s="173"/>
      <c r="BW88" s="173"/>
      <c r="BX88" s="173"/>
      <c r="BY88" s="173"/>
      <c r="BZ88" s="173"/>
      <c r="CA88" s="173"/>
      <c r="CB88" s="173"/>
      <c r="CC88" s="173"/>
      <c r="CD88" s="173"/>
      <c r="CE88" s="173"/>
      <c r="CF88" s="173"/>
      <c r="CG88" s="173"/>
      <c r="CH88" s="173"/>
      <c r="CI88" s="173"/>
      <c r="CJ88" s="173"/>
      <c r="CK88" s="173"/>
      <c r="CL88" s="173"/>
      <c r="CM88" s="173"/>
      <c r="CN88" s="173"/>
      <c r="CO88" s="173"/>
      <c r="CP88" s="173"/>
      <c r="CQ88" s="173"/>
      <c r="CR88" s="173"/>
      <c r="CS88" s="173"/>
      <c r="CT88" s="173"/>
      <c r="CU88" s="173"/>
      <c r="CV88" s="173"/>
      <c r="CW88" s="173"/>
      <c r="CX88" s="173"/>
      <c r="CY88" s="173"/>
      <c r="CZ88" s="173"/>
      <c r="DA88" s="173"/>
      <c r="DB88" s="173"/>
      <c r="DC88" s="173"/>
      <c r="DD88" s="173"/>
      <c r="DE88" s="173"/>
      <c r="DF88" s="173"/>
      <c r="DG88" s="173"/>
      <c r="DH88" s="173"/>
      <c r="DI88" s="173"/>
      <c r="DJ88" s="173"/>
      <c r="DK88" s="173"/>
      <c r="DL88" s="173"/>
      <c r="DM88" s="173"/>
      <c r="DN88" s="173"/>
      <c r="DO88" s="173"/>
      <c r="DP88" s="173"/>
      <c r="DQ88" s="173"/>
      <c r="DR88" s="173"/>
      <c r="DS88" s="173"/>
      <c r="DT88" s="173"/>
      <c r="DU88" s="173"/>
      <c r="DV88" s="173"/>
      <c r="DW88" s="173"/>
      <c r="DX88" s="173"/>
      <c r="DY88" s="173"/>
      <c r="DZ88" s="173"/>
      <c r="EA88" s="173"/>
      <c r="EB88" s="173"/>
      <c r="EC88" s="173"/>
      <c r="ED88" s="173"/>
      <c r="EE88" s="173"/>
      <c r="EF88" s="173"/>
      <c r="EG88" s="173"/>
      <c r="EH88" s="173"/>
      <c r="EI88" s="173"/>
      <c r="EJ88" s="173"/>
      <c r="EK88" s="173"/>
      <c r="EL88" s="173"/>
      <c r="EM88" s="173"/>
      <c r="EN88" s="173"/>
      <c r="EO88" s="173"/>
      <c r="EP88" s="173"/>
      <c r="EQ88" s="173"/>
      <c r="ER88" s="173"/>
      <c r="ES88" s="173"/>
      <c r="ET88" s="173"/>
      <c r="EU88" s="173"/>
      <c r="EV88" s="173"/>
      <c r="EW88" s="173"/>
      <c r="EX88" s="173"/>
      <c r="EY88" s="173"/>
      <c r="EZ88" s="173"/>
      <c r="FA88" s="173"/>
      <c r="FB88" s="173"/>
      <c r="FC88" s="173"/>
      <c r="FD88" s="173"/>
      <c r="FE88" s="173"/>
      <c r="FF88" s="173"/>
      <c r="FG88" s="173"/>
      <c r="FH88" s="173"/>
      <c r="FI88" s="173"/>
      <c r="FJ88" s="173"/>
      <c r="FK88" s="173"/>
      <c r="FL88" s="173"/>
      <c r="FM88" s="173"/>
      <c r="FN88" s="173"/>
      <c r="FO88" s="173"/>
      <c r="FP88" s="173"/>
      <c r="FQ88" s="173"/>
      <c r="FR88" s="173"/>
      <c r="FS88" s="173"/>
      <c r="FT88" s="173"/>
      <c r="FU88" s="173"/>
      <c r="FV88" s="173"/>
      <c r="FW88" s="173"/>
      <c r="FX88" s="173"/>
      <c r="FY88" s="173"/>
      <c r="FZ88" s="173"/>
      <c r="GA88" s="173"/>
      <c r="GB88" s="173"/>
      <c r="GC88" s="173"/>
      <c r="GD88" s="173"/>
      <c r="GE88" s="173"/>
      <c r="GF88" s="173"/>
      <c r="GG88" s="173"/>
      <c r="GH88" s="173"/>
      <c r="GI88" s="173"/>
      <c r="GJ88" s="173"/>
      <c r="GK88" s="173"/>
      <c r="GL88" s="173"/>
      <c r="GM88" s="173"/>
      <c r="GN88" s="173"/>
      <c r="GO88" s="173"/>
      <c r="GP88" s="173"/>
      <c r="GQ88" s="173"/>
      <c r="GR88" s="173"/>
      <c r="GS88" s="173"/>
      <c r="GT88" s="173"/>
      <c r="GU88" s="173"/>
      <c r="GV88" s="173"/>
      <c r="GW88" s="173"/>
      <c r="GX88" s="173"/>
      <c r="GY88" s="173"/>
      <c r="GZ88" s="173"/>
      <c r="HA88" s="173"/>
      <c r="HB88" s="173"/>
      <c r="HC88" s="173"/>
      <c r="HD88" s="173"/>
      <c r="HE88" s="173"/>
      <c r="HF88" s="173"/>
      <c r="HG88" s="173"/>
      <c r="HH88" s="173"/>
      <c r="HI88" s="173"/>
      <c r="HJ88" s="173"/>
      <c r="HK88" s="173"/>
      <c r="HL88" s="173"/>
      <c r="HM88" s="173"/>
      <c r="HN88" s="173"/>
      <c r="HO88" s="173"/>
      <c r="HP88" s="173"/>
      <c r="HQ88" s="173"/>
      <c r="HR88" s="173"/>
      <c r="HS88" s="173"/>
      <c r="HT88" s="173"/>
      <c r="HU88" s="173"/>
      <c r="HV88" s="173"/>
      <c r="HW88" s="173"/>
      <c r="HX88" s="173"/>
      <c r="HY88" s="173"/>
      <c r="HZ88" s="173"/>
      <c r="IA88" s="173"/>
      <c r="IB88" s="173"/>
      <c r="IC88" s="173"/>
      <c r="ID88" s="173"/>
      <c r="IE88" s="173"/>
      <c r="IF88" s="173"/>
      <c r="IG88" s="173"/>
      <c r="IH88" s="173"/>
      <c r="II88" s="173"/>
      <c r="IJ88" s="173"/>
      <c r="IK88" s="173"/>
      <c r="IL88" s="173"/>
      <c r="IM88" s="173"/>
      <c r="IN88" s="173"/>
      <c r="IO88" s="173"/>
      <c r="IP88" s="173"/>
      <c r="IQ88" s="173"/>
      <c r="IR88" s="173"/>
      <c r="IS88" s="173"/>
      <c r="IT88" s="173"/>
      <c r="IU88" s="173"/>
      <c r="IV88" s="173"/>
    </row>
    <row r="89" spans="1:256" ht="32.25" customHeight="1">
      <c r="A89" s="10"/>
      <c r="B89" s="30" t="s">
        <v>0</v>
      </c>
      <c r="C89" s="30" t="s">
        <v>1</v>
      </c>
      <c r="D89" s="30" t="s">
        <v>2</v>
      </c>
      <c r="E89" s="30" t="s">
        <v>3</v>
      </c>
      <c r="F89" s="30" t="s">
        <v>4</v>
      </c>
      <c r="G89" s="30" t="s">
        <v>5</v>
      </c>
      <c r="H89" s="30" t="s">
        <v>68</v>
      </c>
      <c r="I89" s="30" t="s">
        <v>7</v>
      </c>
      <c r="J89" s="30" t="s">
        <v>8</v>
      </c>
      <c r="K89" s="10" t="s">
        <v>9</v>
      </c>
      <c r="L89" s="10" t="s">
        <v>56</v>
      </c>
      <c r="M89" s="20"/>
      <c r="N89" s="12"/>
      <c r="O89" s="20"/>
      <c r="P89" s="27"/>
      <c r="Q89" s="30" t="s">
        <v>15</v>
      </c>
      <c r="R89" s="30" t="s">
        <v>16</v>
      </c>
      <c r="S89" s="30" t="s">
        <v>28</v>
      </c>
      <c r="T89" s="20"/>
      <c r="U89" s="11"/>
      <c r="V89" s="27"/>
      <c r="W89" s="30" t="s">
        <v>15</v>
      </c>
      <c r="X89" s="30" t="s">
        <v>20</v>
      </c>
      <c r="Y89" s="30" t="s">
        <v>21</v>
      </c>
      <c r="Z89" s="30" t="s">
        <v>22</v>
      </c>
      <c r="AA89" s="30" t="s">
        <v>23</v>
      </c>
      <c r="AB89" s="30" t="s">
        <v>24</v>
      </c>
      <c r="AC89" s="20"/>
      <c r="AD89" s="11"/>
      <c r="AE89" s="27"/>
      <c r="AF89" s="30" t="s">
        <v>20</v>
      </c>
      <c r="AG89" s="30" t="s">
        <v>21</v>
      </c>
      <c r="AH89" s="30" t="s">
        <v>22</v>
      </c>
      <c r="AI89" s="30" t="s">
        <v>23</v>
      </c>
      <c r="AJ89" s="30" t="s">
        <v>24</v>
      </c>
      <c r="AK89" s="30" t="s">
        <v>28</v>
      </c>
      <c r="AL89" s="20"/>
      <c r="AM89" s="44"/>
      <c r="AN89" s="27"/>
      <c r="AO89" s="30" t="s">
        <v>15</v>
      </c>
      <c r="AP89" s="30" t="s">
        <v>20</v>
      </c>
      <c r="AQ89" s="30" t="s">
        <v>21</v>
      </c>
      <c r="AR89" s="30" t="s">
        <v>16</v>
      </c>
      <c r="AS89" s="30" t="s">
        <v>22</v>
      </c>
      <c r="AT89" s="30" t="s">
        <v>24</v>
      </c>
      <c r="AU89" s="20"/>
      <c r="AV89" s="11"/>
      <c r="AW89" s="27"/>
      <c r="AX89" s="30" t="s">
        <v>15</v>
      </c>
      <c r="AY89" s="30" t="s">
        <v>20</v>
      </c>
      <c r="AZ89" s="30" t="s">
        <v>22</v>
      </c>
      <c r="BA89" s="30" t="s">
        <v>23</v>
      </c>
      <c r="BB89" s="30" t="s">
        <v>28</v>
      </c>
      <c r="BC89" s="20"/>
      <c r="BD89" s="11"/>
      <c r="BE89" s="27"/>
      <c r="BF89" s="9" t="s">
        <v>80</v>
      </c>
      <c r="BG89" s="9" t="s">
        <v>88</v>
      </c>
      <c r="BH89" s="9" t="s">
        <v>40</v>
      </c>
      <c r="BI89" s="9" t="s">
        <v>41</v>
      </c>
      <c r="BJ89" s="173"/>
      <c r="BK89" s="173"/>
      <c r="BL89" s="173"/>
      <c r="BM89" s="173"/>
      <c r="BN89" s="173"/>
      <c r="BO89" s="173"/>
      <c r="BP89" s="173"/>
      <c r="BQ89" s="173"/>
      <c r="BR89" s="173"/>
      <c r="BS89" s="173"/>
      <c r="BT89" s="173"/>
      <c r="BU89" s="173"/>
      <c r="BV89" s="173"/>
      <c r="BW89" s="173"/>
      <c r="BX89" s="173"/>
      <c r="BY89" s="173"/>
      <c r="BZ89" s="173"/>
      <c r="CA89" s="173"/>
      <c r="CB89" s="173"/>
      <c r="CC89" s="173"/>
      <c r="CD89" s="173"/>
      <c r="CE89" s="173"/>
      <c r="CF89" s="173"/>
      <c r="CG89" s="173"/>
      <c r="CH89" s="173"/>
      <c r="CI89" s="173"/>
      <c r="CJ89" s="173"/>
      <c r="CK89" s="173"/>
      <c r="CL89" s="173"/>
      <c r="CM89" s="173"/>
      <c r="CN89" s="173"/>
      <c r="CO89" s="173"/>
      <c r="CP89" s="173"/>
      <c r="CQ89" s="173"/>
      <c r="CR89" s="173"/>
      <c r="CS89" s="173"/>
      <c r="CT89" s="173"/>
      <c r="CU89" s="173"/>
      <c r="CV89" s="173"/>
      <c r="CW89" s="173"/>
      <c r="CX89" s="173"/>
      <c r="CY89" s="173"/>
      <c r="CZ89" s="173"/>
      <c r="DA89" s="173"/>
      <c r="DB89" s="173"/>
      <c r="DC89" s="173"/>
      <c r="DD89" s="173"/>
      <c r="DE89" s="173"/>
      <c r="DF89" s="173"/>
      <c r="DG89" s="173"/>
      <c r="DH89" s="173"/>
      <c r="DI89" s="173"/>
      <c r="DJ89" s="173"/>
      <c r="DK89" s="173"/>
      <c r="DL89" s="173"/>
      <c r="DM89" s="173"/>
      <c r="DN89" s="173"/>
      <c r="DO89" s="173"/>
      <c r="DP89" s="173"/>
      <c r="DQ89" s="173"/>
      <c r="DR89" s="173"/>
      <c r="DS89" s="173"/>
      <c r="DT89" s="173"/>
      <c r="DU89" s="173"/>
      <c r="DV89" s="173"/>
      <c r="DW89" s="173"/>
      <c r="DX89" s="173"/>
      <c r="DY89" s="173"/>
      <c r="DZ89" s="173"/>
      <c r="EA89" s="173"/>
      <c r="EB89" s="173"/>
      <c r="EC89" s="173"/>
      <c r="ED89" s="173"/>
      <c r="EE89" s="173"/>
      <c r="EF89" s="173"/>
      <c r="EG89" s="173"/>
      <c r="EH89" s="173"/>
      <c r="EI89" s="173"/>
      <c r="EJ89" s="173"/>
      <c r="EK89" s="173"/>
      <c r="EL89" s="173"/>
      <c r="EM89" s="173"/>
      <c r="EN89" s="173"/>
      <c r="EO89" s="173"/>
      <c r="EP89" s="173"/>
      <c r="EQ89" s="173"/>
      <c r="ER89" s="173"/>
      <c r="ES89" s="173"/>
      <c r="ET89" s="173"/>
      <c r="EU89" s="173"/>
      <c r="EV89" s="173"/>
      <c r="EW89" s="173"/>
      <c r="EX89" s="173"/>
      <c r="EY89" s="173"/>
      <c r="EZ89" s="173"/>
      <c r="FA89" s="173"/>
      <c r="FB89" s="173"/>
      <c r="FC89" s="173"/>
      <c r="FD89" s="173"/>
      <c r="FE89" s="173"/>
      <c r="FF89" s="173"/>
      <c r="FG89" s="173"/>
      <c r="FH89" s="173"/>
      <c r="FI89" s="173"/>
      <c r="FJ89" s="173"/>
      <c r="FK89" s="173"/>
      <c r="FL89" s="173"/>
      <c r="FM89" s="173"/>
      <c r="FN89" s="173"/>
      <c r="FO89" s="173"/>
      <c r="FP89" s="173"/>
      <c r="FQ89" s="173"/>
      <c r="FR89" s="173"/>
      <c r="FS89" s="173"/>
      <c r="FT89" s="173"/>
      <c r="FU89" s="173"/>
      <c r="FV89" s="173"/>
      <c r="FW89" s="173"/>
      <c r="FX89" s="173"/>
      <c r="FY89" s="173"/>
      <c r="FZ89" s="173"/>
      <c r="GA89" s="173"/>
      <c r="GB89" s="173"/>
      <c r="GC89" s="173"/>
      <c r="GD89" s="173"/>
      <c r="GE89" s="173"/>
      <c r="GF89" s="173"/>
      <c r="GG89" s="173"/>
      <c r="GH89" s="173"/>
      <c r="GI89" s="173"/>
      <c r="GJ89" s="173"/>
      <c r="GK89" s="173"/>
      <c r="GL89" s="173"/>
      <c r="GM89" s="173"/>
      <c r="GN89" s="173"/>
      <c r="GO89" s="173"/>
      <c r="GP89" s="173"/>
      <c r="GQ89" s="173"/>
      <c r="GR89" s="173"/>
      <c r="GS89" s="173"/>
      <c r="GT89" s="173"/>
      <c r="GU89" s="173"/>
      <c r="GV89" s="173"/>
      <c r="GW89" s="173"/>
      <c r="GX89" s="173"/>
      <c r="GY89" s="173"/>
      <c r="GZ89" s="173"/>
      <c r="HA89" s="173"/>
      <c r="HB89" s="173"/>
      <c r="HC89" s="173"/>
      <c r="HD89" s="173"/>
      <c r="HE89" s="173"/>
      <c r="HF89" s="173"/>
      <c r="HG89" s="173"/>
      <c r="HH89" s="173"/>
      <c r="HI89" s="173"/>
      <c r="HJ89" s="173"/>
      <c r="HK89" s="173"/>
      <c r="HL89" s="173"/>
      <c r="HM89" s="173"/>
      <c r="HN89" s="173"/>
      <c r="HO89" s="173"/>
      <c r="HP89" s="173"/>
      <c r="HQ89" s="173"/>
      <c r="HR89" s="173"/>
      <c r="HS89" s="173"/>
      <c r="HT89" s="173"/>
      <c r="HU89" s="173"/>
      <c r="HV89" s="173"/>
      <c r="HW89" s="173"/>
      <c r="HX89" s="173"/>
      <c r="HY89" s="173"/>
      <c r="HZ89" s="173"/>
      <c r="IA89" s="173"/>
      <c r="IB89" s="173"/>
      <c r="IC89" s="173"/>
      <c r="ID89" s="173"/>
      <c r="IE89" s="173"/>
      <c r="IF89" s="173"/>
      <c r="IG89" s="173"/>
      <c r="IH89" s="173"/>
      <c r="II89" s="173"/>
      <c r="IJ89" s="173"/>
      <c r="IK89" s="173"/>
      <c r="IL89" s="173"/>
      <c r="IM89" s="173"/>
      <c r="IN89" s="173"/>
      <c r="IO89" s="173"/>
      <c r="IP89" s="173"/>
      <c r="IQ89" s="173"/>
      <c r="IR89" s="173"/>
      <c r="IS89" s="173"/>
      <c r="IT89" s="173"/>
      <c r="IU89" s="173"/>
      <c r="IV89" s="173"/>
    </row>
    <row r="90" spans="1:256" ht="20.25" customHeight="1">
      <c r="A90" s="10" t="s">
        <v>89</v>
      </c>
      <c r="B90" s="32">
        <v>0</v>
      </c>
      <c r="C90" s="32">
        <v>0</v>
      </c>
      <c r="D90" s="32">
        <v>2</v>
      </c>
      <c r="E90" s="32">
        <v>1</v>
      </c>
      <c r="F90" s="32">
        <v>6</v>
      </c>
      <c r="G90" s="32">
        <v>2</v>
      </c>
      <c r="H90" s="32">
        <v>0</v>
      </c>
      <c r="I90" s="32">
        <v>3</v>
      </c>
      <c r="J90" s="32">
        <v>0</v>
      </c>
      <c r="K90" s="178">
        <f t="shared" ref="K90:K95" si="61">SUM(B90:J90)</f>
        <v>14</v>
      </c>
      <c r="L90" s="35">
        <f>K90/K96</f>
        <v>0.17073170731707318</v>
      </c>
      <c r="M90" s="35">
        <f>K90/K99</f>
        <v>0.16666666666666666</v>
      </c>
      <c r="N90" s="37"/>
      <c r="O90" s="35"/>
      <c r="P90" s="13"/>
      <c r="Q90" s="38"/>
      <c r="R90" s="38"/>
      <c r="S90" s="38"/>
      <c r="T90" s="38"/>
      <c r="U90" s="40"/>
      <c r="V90" s="13"/>
      <c r="W90" s="38"/>
      <c r="X90" s="38"/>
      <c r="Y90" s="38"/>
      <c r="Z90" s="38"/>
      <c r="AA90" s="38"/>
      <c r="AB90" s="38"/>
      <c r="AC90" s="38"/>
      <c r="AD90" s="40"/>
      <c r="AE90" s="13"/>
      <c r="AF90" s="38"/>
      <c r="AG90" s="38"/>
      <c r="AH90" s="38"/>
      <c r="AI90" s="38"/>
      <c r="AJ90" s="38"/>
      <c r="AK90" s="38"/>
      <c r="AL90" s="38"/>
      <c r="AM90" s="41"/>
      <c r="AN90" s="13"/>
      <c r="AO90" s="38"/>
      <c r="AP90" s="38"/>
      <c r="AQ90" s="38"/>
      <c r="AR90" s="38"/>
      <c r="AS90" s="38"/>
      <c r="AT90" s="38"/>
      <c r="AU90" s="38"/>
      <c r="AV90" s="40"/>
      <c r="AW90" s="13"/>
      <c r="AX90" s="38"/>
      <c r="AY90" s="38"/>
      <c r="AZ90" s="38"/>
      <c r="BA90" s="38"/>
      <c r="BB90" s="38"/>
      <c r="BC90" s="38"/>
      <c r="BD90" s="40"/>
      <c r="BE90" s="13"/>
      <c r="BF90" s="38"/>
      <c r="BG90" s="42"/>
      <c r="BH90" s="42"/>
      <c r="BI90" s="42"/>
      <c r="BJ90" s="173"/>
      <c r="BK90" s="173"/>
      <c r="BL90" s="173"/>
      <c r="BM90" s="173"/>
      <c r="BN90" s="173"/>
      <c r="BO90" s="173"/>
      <c r="BP90" s="173"/>
      <c r="BQ90" s="173"/>
      <c r="BR90" s="173"/>
      <c r="BS90" s="173"/>
      <c r="BT90" s="173"/>
      <c r="BU90" s="173"/>
      <c r="BV90" s="173"/>
      <c r="BW90" s="173"/>
      <c r="BX90" s="173"/>
      <c r="BY90" s="173"/>
      <c r="BZ90" s="173"/>
      <c r="CA90" s="173"/>
      <c r="CB90" s="173"/>
      <c r="CC90" s="173"/>
      <c r="CD90" s="173"/>
      <c r="CE90" s="173"/>
      <c r="CF90" s="173"/>
      <c r="CG90" s="173"/>
      <c r="CH90" s="173"/>
      <c r="CI90" s="173"/>
      <c r="CJ90" s="173"/>
      <c r="CK90" s="173"/>
      <c r="CL90" s="173"/>
      <c r="CM90" s="173"/>
      <c r="CN90" s="173"/>
      <c r="CO90" s="173"/>
      <c r="CP90" s="173"/>
      <c r="CQ90" s="173"/>
      <c r="CR90" s="173"/>
      <c r="CS90" s="173"/>
      <c r="CT90" s="173"/>
      <c r="CU90" s="173"/>
      <c r="CV90" s="173"/>
      <c r="CW90" s="173"/>
      <c r="CX90" s="173"/>
      <c r="CY90" s="173"/>
      <c r="CZ90" s="173"/>
      <c r="DA90" s="173"/>
      <c r="DB90" s="173"/>
      <c r="DC90" s="173"/>
      <c r="DD90" s="173"/>
      <c r="DE90" s="173"/>
      <c r="DF90" s="173"/>
      <c r="DG90" s="173"/>
      <c r="DH90" s="173"/>
      <c r="DI90" s="173"/>
      <c r="DJ90" s="173"/>
      <c r="DK90" s="173"/>
      <c r="DL90" s="173"/>
      <c r="DM90" s="173"/>
      <c r="DN90" s="173"/>
      <c r="DO90" s="173"/>
      <c r="DP90" s="173"/>
      <c r="DQ90" s="173"/>
      <c r="DR90" s="173"/>
      <c r="DS90" s="173"/>
      <c r="DT90" s="173"/>
      <c r="DU90" s="173"/>
      <c r="DV90" s="173"/>
      <c r="DW90" s="173"/>
      <c r="DX90" s="173"/>
      <c r="DY90" s="173"/>
      <c r="DZ90" s="173"/>
      <c r="EA90" s="173"/>
      <c r="EB90" s="173"/>
      <c r="EC90" s="173"/>
      <c r="ED90" s="173"/>
      <c r="EE90" s="173"/>
      <c r="EF90" s="173"/>
      <c r="EG90" s="173"/>
      <c r="EH90" s="173"/>
      <c r="EI90" s="173"/>
      <c r="EJ90" s="173"/>
      <c r="EK90" s="173"/>
      <c r="EL90" s="173"/>
      <c r="EM90" s="173"/>
      <c r="EN90" s="173"/>
      <c r="EO90" s="173"/>
      <c r="EP90" s="173"/>
      <c r="EQ90" s="173"/>
      <c r="ER90" s="173"/>
      <c r="ES90" s="173"/>
      <c r="ET90" s="173"/>
      <c r="EU90" s="173"/>
      <c r="EV90" s="173"/>
      <c r="EW90" s="173"/>
      <c r="EX90" s="173"/>
      <c r="EY90" s="173"/>
      <c r="EZ90" s="173"/>
      <c r="FA90" s="173"/>
      <c r="FB90" s="173"/>
      <c r="FC90" s="173"/>
      <c r="FD90" s="173"/>
      <c r="FE90" s="173"/>
      <c r="FF90" s="173"/>
      <c r="FG90" s="173"/>
      <c r="FH90" s="173"/>
      <c r="FI90" s="173"/>
      <c r="FJ90" s="173"/>
      <c r="FK90" s="173"/>
      <c r="FL90" s="173"/>
      <c r="FM90" s="173"/>
      <c r="FN90" s="173"/>
      <c r="FO90" s="173"/>
      <c r="FP90" s="173"/>
      <c r="FQ90" s="173"/>
      <c r="FR90" s="173"/>
      <c r="FS90" s="173"/>
      <c r="FT90" s="173"/>
      <c r="FU90" s="173"/>
      <c r="FV90" s="173"/>
      <c r="FW90" s="173"/>
      <c r="FX90" s="173"/>
      <c r="FY90" s="173"/>
      <c r="FZ90" s="173"/>
      <c r="GA90" s="173"/>
      <c r="GB90" s="173"/>
      <c r="GC90" s="173"/>
      <c r="GD90" s="173"/>
      <c r="GE90" s="173"/>
      <c r="GF90" s="173"/>
      <c r="GG90" s="173"/>
      <c r="GH90" s="173"/>
      <c r="GI90" s="173"/>
      <c r="GJ90" s="173"/>
      <c r="GK90" s="173"/>
      <c r="GL90" s="173"/>
      <c r="GM90" s="173"/>
      <c r="GN90" s="173"/>
      <c r="GO90" s="173"/>
      <c r="GP90" s="173"/>
      <c r="GQ90" s="173"/>
      <c r="GR90" s="173"/>
      <c r="GS90" s="173"/>
      <c r="GT90" s="173"/>
      <c r="GU90" s="173"/>
      <c r="GV90" s="173"/>
      <c r="GW90" s="173"/>
      <c r="GX90" s="173"/>
      <c r="GY90" s="173"/>
      <c r="GZ90" s="173"/>
      <c r="HA90" s="173"/>
      <c r="HB90" s="173"/>
      <c r="HC90" s="173"/>
      <c r="HD90" s="173"/>
      <c r="HE90" s="173"/>
      <c r="HF90" s="173"/>
      <c r="HG90" s="173"/>
      <c r="HH90" s="173"/>
      <c r="HI90" s="173"/>
      <c r="HJ90" s="173"/>
      <c r="HK90" s="173"/>
      <c r="HL90" s="173"/>
      <c r="HM90" s="173"/>
      <c r="HN90" s="173"/>
      <c r="HO90" s="173"/>
      <c r="HP90" s="173"/>
      <c r="HQ90" s="173"/>
      <c r="HR90" s="173"/>
      <c r="HS90" s="173"/>
      <c r="HT90" s="173"/>
      <c r="HU90" s="173"/>
      <c r="HV90" s="173"/>
      <c r="HW90" s="173"/>
      <c r="HX90" s="173"/>
      <c r="HY90" s="173"/>
      <c r="HZ90" s="173"/>
      <c r="IA90" s="173"/>
      <c r="IB90" s="173"/>
      <c r="IC90" s="173"/>
      <c r="ID90" s="173"/>
      <c r="IE90" s="173"/>
      <c r="IF90" s="173"/>
      <c r="IG90" s="173"/>
      <c r="IH90" s="173"/>
      <c r="II90" s="173"/>
      <c r="IJ90" s="173"/>
      <c r="IK90" s="173"/>
      <c r="IL90" s="173"/>
      <c r="IM90" s="173"/>
      <c r="IN90" s="173"/>
      <c r="IO90" s="173"/>
      <c r="IP90" s="173"/>
      <c r="IQ90" s="173"/>
      <c r="IR90" s="173"/>
      <c r="IS90" s="173"/>
      <c r="IT90" s="173"/>
      <c r="IU90" s="173"/>
      <c r="IV90" s="173"/>
    </row>
    <row r="91" spans="1:256" ht="20.25" customHeight="1">
      <c r="A91" s="10" t="s">
        <v>90</v>
      </c>
      <c r="B91" s="32">
        <v>0</v>
      </c>
      <c r="C91" s="32">
        <v>0</v>
      </c>
      <c r="D91" s="32">
        <v>0</v>
      </c>
      <c r="E91" s="32">
        <v>0</v>
      </c>
      <c r="F91" s="32">
        <v>0</v>
      </c>
      <c r="G91" s="32">
        <v>1</v>
      </c>
      <c r="H91" s="32">
        <v>0</v>
      </c>
      <c r="I91" s="32">
        <v>1</v>
      </c>
      <c r="J91" s="32">
        <v>0</v>
      </c>
      <c r="K91" s="178">
        <f t="shared" si="61"/>
        <v>2</v>
      </c>
      <c r="L91" s="35">
        <f>K91/K96</f>
        <v>2.4390243902439025E-2</v>
      </c>
      <c r="M91" s="35">
        <f>K91/K99</f>
        <v>2.3809523809523808E-2</v>
      </c>
      <c r="N91" s="37"/>
      <c r="O91" s="35"/>
      <c r="P91" s="13"/>
      <c r="Q91" s="38"/>
      <c r="R91" s="38"/>
      <c r="S91" s="38"/>
      <c r="T91" s="38"/>
      <c r="U91" s="40"/>
      <c r="V91" s="13"/>
      <c r="W91" s="38"/>
      <c r="X91" s="38"/>
      <c r="Y91" s="38"/>
      <c r="Z91" s="38"/>
      <c r="AA91" s="38"/>
      <c r="AB91" s="38"/>
      <c r="AC91" s="38"/>
      <c r="AD91" s="40"/>
      <c r="AE91" s="13"/>
      <c r="AF91" s="38"/>
      <c r="AG91" s="38"/>
      <c r="AH91" s="38"/>
      <c r="AI91" s="38"/>
      <c r="AJ91" s="38"/>
      <c r="AK91" s="38"/>
      <c r="AL91" s="38"/>
      <c r="AM91" s="41"/>
      <c r="AN91" s="13"/>
      <c r="AO91" s="38"/>
      <c r="AP91" s="38"/>
      <c r="AQ91" s="38"/>
      <c r="AR91" s="38"/>
      <c r="AS91" s="38"/>
      <c r="AT91" s="38"/>
      <c r="AU91" s="38"/>
      <c r="AV91" s="40"/>
      <c r="AW91" s="13"/>
      <c r="AX91" s="38"/>
      <c r="AY91" s="38"/>
      <c r="AZ91" s="38"/>
      <c r="BA91" s="38"/>
      <c r="BB91" s="38"/>
      <c r="BC91" s="38"/>
      <c r="BD91" s="40"/>
      <c r="BE91" s="13"/>
      <c r="BF91" s="38"/>
      <c r="BG91" s="42"/>
      <c r="BH91" s="42"/>
      <c r="BI91" s="42"/>
      <c r="BJ91" s="173"/>
      <c r="BK91" s="173"/>
      <c r="BL91" s="173"/>
      <c r="BM91" s="173"/>
      <c r="BN91" s="173"/>
      <c r="BO91" s="173"/>
      <c r="BP91" s="173"/>
      <c r="BQ91" s="173"/>
      <c r="BR91" s="173"/>
      <c r="BS91" s="173"/>
      <c r="BT91" s="173"/>
      <c r="BU91" s="173"/>
      <c r="BV91" s="173"/>
      <c r="BW91" s="173"/>
      <c r="BX91" s="173"/>
      <c r="BY91" s="173"/>
      <c r="BZ91" s="173"/>
      <c r="CA91" s="173"/>
      <c r="CB91" s="173"/>
      <c r="CC91" s="173"/>
      <c r="CD91" s="173"/>
      <c r="CE91" s="173"/>
      <c r="CF91" s="173"/>
      <c r="CG91" s="173"/>
      <c r="CH91" s="173"/>
      <c r="CI91" s="173"/>
      <c r="CJ91" s="173"/>
      <c r="CK91" s="173"/>
      <c r="CL91" s="173"/>
      <c r="CM91" s="173"/>
      <c r="CN91" s="173"/>
      <c r="CO91" s="173"/>
      <c r="CP91" s="173"/>
      <c r="CQ91" s="173"/>
      <c r="CR91" s="173"/>
      <c r="CS91" s="173"/>
      <c r="CT91" s="173"/>
      <c r="CU91" s="173"/>
      <c r="CV91" s="173"/>
      <c r="CW91" s="173"/>
      <c r="CX91" s="173"/>
      <c r="CY91" s="173"/>
      <c r="CZ91" s="173"/>
      <c r="DA91" s="173"/>
      <c r="DB91" s="173"/>
      <c r="DC91" s="173"/>
      <c r="DD91" s="173"/>
      <c r="DE91" s="173"/>
      <c r="DF91" s="173"/>
      <c r="DG91" s="173"/>
      <c r="DH91" s="173"/>
      <c r="DI91" s="173"/>
      <c r="DJ91" s="173"/>
      <c r="DK91" s="173"/>
      <c r="DL91" s="173"/>
      <c r="DM91" s="173"/>
      <c r="DN91" s="173"/>
      <c r="DO91" s="173"/>
      <c r="DP91" s="173"/>
      <c r="DQ91" s="173"/>
      <c r="DR91" s="173"/>
      <c r="DS91" s="173"/>
      <c r="DT91" s="173"/>
      <c r="DU91" s="173"/>
      <c r="DV91" s="173"/>
      <c r="DW91" s="173"/>
      <c r="DX91" s="173"/>
      <c r="DY91" s="173"/>
      <c r="DZ91" s="173"/>
      <c r="EA91" s="173"/>
      <c r="EB91" s="173"/>
      <c r="EC91" s="173"/>
      <c r="ED91" s="173"/>
      <c r="EE91" s="173"/>
      <c r="EF91" s="173"/>
      <c r="EG91" s="173"/>
      <c r="EH91" s="173"/>
      <c r="EI91" s="173"/>
      <c r="EJ91" s="173"/>
      <c r="EK91" s="173"/>
      <c r="EL91" s="173"/>
      <c r="EM91" s="173"/>
      <c r="EN91" s="173"/>
      <c r="EO91" s="173"/>
      <c r="EP91" s="173"/>
      <c r="EQ91" s="173"/>
      <c r="ER91" s="173"/>
      <c r="ES91" s="173"/>
      <c r="ET91" s="173"/>
      <c r="EU91" s="173"/>
      <c r="EV91" s="173"/>
      <c r="EW91" s="173"/>
      <c r="EX91" s="173"/>
      <c r="EY91" s="173"/>
      <c r="EZ91" s="173"/>
      <c r="FA91" s="173"/>
      <c r="FB91" s="173"/>
      <c r="FC91" s="173"/>
      <c r="FD91" s="173"/>
      <c r="FE91" s="173"/>
      <c r="FF91" s="173"/>
      <c r="FG91" s="173"/>
      <c r="FH91" s="173"/>
      <c r="FI91" s="173"/>
      <c r="FJ91" s="173"/>
      <c r="FK91" s="173"/>
      <c r="FL91" s="173"/>
      <c r="FM91" s="173"/>
      <c r="FN91" s="173"/>
      <c r="FO91" s="173"/>
      <c r="FP91" s="173"/>
      <c r="FQ91" s="173"/>
      <c r="FR91" s="173"/>
      <c r="FS91" s="173"/>
      <c r="FT91" s="173"/>
      <c r="FU91" s="173"/>
      <c r="FV91" s="173"/>
      <c r="FW91" s="173"/>
      <c r="FX91" s="173"/>
      <c r="FY91" s="173"/>
      <c r="FZ91" s="173"/>
      <c r="GA91" s="173"/>
      <c r="GB91" s="173"/>
      <c r="GC91" s="173"/>
      <c r="GD91" s="173"/>
      <c r="GE91" s="173"/>
      <c r="GF91" s="173"/>
      <c r="GG91" s="173"/>
      <c r="GH91" s="173"/>
      <c r="GI91" s="173"/>
      <c r="GJ91" s="173"/>
      <c r="GK91" s="173"/>
      <c r="GL91" s="173"/>
      <c r="GM91" s="173"/>
      <c r="GN91" s="173"/>
      <c r="GO91" s="173"/>
      <c r="GP91" s="173"/>
      <c r="GQ91" s="173"/>
      <c r="GR91" s="173"/>
      <c r="GS91" s="173"/>
      <c r="GT91" s="173"/>
      <c r="GU91" s="173"/>
      <c r="GV91" s="173"/>
      <c r="GW91" s="173"/>
      <c r="GX91" s="173"/>
      <c r="GY91" s="173"/>
      <c r="GZ91" s="173"/>
      <c r="HA91" s="173"/>
      <c r="HB91" s="173"/>
      <c r="HC91" s="173"/>
      <c r="HD91" s="173"/>
      <c r="HE91" s="173"/>
      <c r="HF91" s="173"/>
      <c r="HG91" s="173"/>
      <c r="HH91" s="173"/>
      <c r="HI91" s="173"/>
      <c r="HJ91" s="173"/>
      <c r="HK91" s="173"/>
      <c r="HL91" s="173"/>
      <c r="HM91" s="173"/>
      <c r="HN91" s="173"/>
      <c r="HO91" s="173"/>
      <c r="HP91" s="173"/>
      <c r="HQ91" s="173"/>
      <c r="HR91" s="173"/>
      <c r="HS91" s="173"/>
      <c r="HT91" s="173"/>
      <c r="HU91" s="173"/>
      <c r="HV91" s="173"/>
      <c r="HW91" s="173"/>
      <c r="HX91" s="173"/>
      <c r="HY91" s="173"/>
      <c r="HZ91" s="173"/>
      <c r="IA91" s="173"/>
      <c r="IB91" s="173"/>
      <c r="IC91" s="173"/>
      <c r="ID91" s="173"/>
      <c r="IE91" s="173"/>
      <c r="IF91" s="173"/>
      <c r="IG91" s="173"/>
      <c r="IH91" s="173"/>
      <c r="II91" s="173"/>
      <c r="IJ91" s="173"/>
      <c r="IK91" s="173"/>
      <c r="IL91" s="173"/>
      <c r="IM91" s="173"/>
      <c r="IN91" s="173"/>
      <c r="IO91" s="173"/>
      <c r="IP91" s="173"/>
      <c r="IQ91" s="173"/>
      <c r="IR91" s="173"/>
      <c r="IS91" s="173"/>
      <c r="IT91" s="173"/>
      <c r="IU91" s="173"/>
      <c r="IV91" s="173"/>
    </row>
    <row r="92" spans="1:256" ht="20.25" customHeight="1">
      <c r="A92" s="10" t="s">
        <v>91</v>
      </c>
      <c r="B92" s="32">
        <v>1</v>
      </c>
      <c r="C92" s="32">
        <v>1</v>
      </c>
      <c r="D92" s="32">
        <v>1</v>
      </c>
      <c r="E92" s="32">
        <v>2</v>
      </c>
      <c r="F92" s="32">
        <v>0</v>
      </c>
      <c r="G92" s="32">
        <v>0</v>
      </c>
      <c r="H92" s="32">
        <v>2</v>
      </c>
      <c r="I92" s="32">
        <v>1</v>
      </c>
      <c r="J92" s="32">
        <v>5</v>
      </c>
      <c r="K92" s="178">
        <f t="shared" si="61"/>
        <v>13</v>
      </c>
      <c r="L92" s="35">
        <f>K92/K96</f>
        <v>0.15853658536585366</v>
      </c>
      <c r="M92" s="35">
        <f>K92/K99</f>
        <v>0.15476190476190477</v>
      </c>
      <c r="N92" s="37"/>
      <c r="O92" s="35"/>
      <c r="P92" s="13"/>
      <c r="Q92" s="38"/>
      <c r="R92" s="38"/>
      <c r="S92" s="38"/>
      <c r="T92" s="38"/>
      <c r="U92" s="40"/>
      <c r="V92" s="13"/>
      <c r="W92" s="38"/>
      <c r="X92" s="38"/>
      <c r="Y92" s="38"/>
      <c r="Z92" s="38"/>
      <c r="AA92" s="38"/>
      <c r="AB92" s="38"/>
      <c r="AC92" s="38"/>
      <c r="AD92" s="40"/>
      <c r="AE92" s="13"/>
      <c r="AF92" s="38"/>
      <c r="AG92" s="38"/>
      <c r="AH92" s="38"/>
      <c r="AI92" s="38"/>
      <c r="AJ92" s="38"/>
      <c r="AK92" s="38"/>
      <c r="AL92" s="38"/>
      <c r="AM92" s="41"/>
      <c r="AN92" s="13"/>
      <c r="AO92" s="38"/>
      <c r="AP92" s="38"/>
      <c r="AQ92" s="38"/>
      <c r="AR92" s="38"/>
      <c r="AS92" s="38"/>
      <c r="AT92" s="38"/>
      <c r="AU92" s="38"/>
      <c r="AV92" s="40"/>
      <c r="AW92" s="13"/>
      <c r="AX92" s="38"/>
      <c r="AY92" s="38"/>
      <c r="AZ92" s="38"/>
      <c r="BA92" s="38"/>
      <c r="BB92" s="38"/>
      <c r="BC92" s="38"/>
      <c r="BD92" s="40"/>
      <c r="BE92" s="13"/>
      <c r="BF92" s="38"/>
      <c r="BG92" s="42"/>
      <c r="BH92" s="42"/>
      <c r="BI92" s="42"/>
      <c r="BJ92" s="173"/>
      <c r="BK92" s="173"/>
      <c r="BL92" s="173"/>
      <c r="BM92" s="173"/>
      <c r="BN92" s="173"/>
      <c r="BO92" s="173"/>
      <c r="BP92" s="173"/>
      <c r="BQ92" s="173"/>
      <c r="BR92" s="173"/>
      <c r="BS92" s="173"/>
      <c r="BT92" s="173"/>
      <c r="BU92" s="173"/>
      <c r="BV92" s="173"/>
      <c r="BW92" s="173"/>
      <c r="BX92" s="173"/>
      <c r="BY92" s="173"/>
      <c r="BZ92" s="173"/>
      <c r="CA92" s="173"/>
      <c r="CB92" s="173"/>
      <c r="CC92" s="173"/>
      <c r="CD92" s="173"/>
      <c r="CE92" s="173"/>
      <c r="CF92" s="173"/>
      <c r="CG92" s="173"/>
      <c r="CH92" s="173"/>
      <c r="CI92" s="173"/>
      <c r="CJ92" s="173"/>
      <c r="CK92" s="173"/>
      <c r="CL92" s="173"/>
      <c r="CM92" s="173"/>
      <c r="CN92" s="173"/>
      <c r="CO92" s="173"/>
      <c r="CP92" s="173"/>
      <c r="CQ92" s="173"/>
      <c r="CR92" s="173"/>
      <c r="CS92" s="173"/>
      <c r="CT92" s="173"/>
      <c r="CU92" s="173"/>
      <c r="CV92" s="173"/>
      <c r="CW92" s="173"/>
      <c r="CX92" s="173"/>
      <c r="CY92" s="173"/>
      <c r="CZ92" s="173"/>
      <c r="DA92" s="173"/>
      <c r="DB92" s="173"/>
      <c r="DC92" s="173"/>
      <c r="DD92" s="173"/>
      <c r="DE92" s="173"/>
      <c r="DF92" s="173"/>
      <c r="DG92" s="173"/>
      <c r="DH92" s="173"/>
      <c r="DI92" s="173"/>
      <c r="DJ92" s="173"/>
      <c r="DK92" s="173"/>
      <c r="DL92" s="173"/>
      <c r="DM92" s="173"/>
      <c r="DN92" s="173"/>
      <c r="DO92" s="173"/>
      <c r="DP92" s="173"/>
      <c r="DQ92" s="173"/>
      <c r="DR92" s="173"/>
      <c r="DS92" s="173"/>
      <c r="DT92" s="173"/>
      <c r="DU92" s="173"/>
      <c r="DV92" s="173"/>
      <c r="DW92" s="173"/>
      <c r="DX92" s="173"/>
      <c r="DY92" s="173"/>
      <c r="DZ92" s="173"/>
      <c r="EA92" s="173"/>
      <c r="EB92" s="173"/>
      <c r="EC92" s="173"/>
      <c r="ED92" s="173"/>
      <c r="EE92" s="173"/>
      <c r="EF92" s="173"/>
      <c r="EG92" s="173"/>
      <c r="EH92" s="173"/>
      <c r="EI92" s="173"/>
      <c r="EJ92" s="173"/>
      <c r="EK92" s="173"/>
      <c r="EL92" s="173"/>
      <c r="EM92" s="173"/>
      <c r="EN92" s="173"/>
      <c r="EO92" s="173"/>
      <c r="EP92" s="173"/>
      <c r="EQ92" s="173"/>
      <c r="ER92" s="173"/>
      <c r="ES92" s="173"/>
      <c r="ET92" s="173"/>
      <c r="EU92" s="173"/>
      <c r="EV92" s="173"/>
      <c r="EW92" s="173"/>
      <c r="EX92" s="173"/>
      <c r="EY92" s="173"/>
      <c r="EZ92" s="173"/>
      <c r="FA92" s="173"/>
      <c r="FB92" s="173"/>
      <c r="FC92" s="173"/>
      <c r="FD92" s="173"/>
      <c r="FE92" s="173"/>
      <c r="FF92" s="173"/>
      <c r="FG92" s="173"/>
      <c r="FH92" s="173"/>
      <c r="FI92" s="173"/>
      <c r="FJ92" s="173"/>
      <c r="FK92" s="173"/>
      <c r="FL92" s="173"/>
      <c r="FM92" s="173"/>
      <c r="FN92" s="173"/>
      <c r="FO92" s="173"/>
      <c r="FP92" s="173"/>
      <c r="FQ92" s="173"/>
      <c r="FR92" s="173"/>
      <c r="FS92" s="173"/>
      <c r="FT92" s="173"/>
      <c r="FU92" s="173"/>
      <c r="FV92" s="173"/>
      <c r="FW92" s="173"/>
      <c r="FX92" s="173"/>
      <c r="FY92" s="173"/>
      <c r="FZ92" s="173"/>
      <c r="GA92" s="173"/>
      <c r="GB92" s="173"/>
      <c r="GC92" s="173"/>
      <c r="GD92" s="173"/>
      <c r="GE92" s="173"/>
      <c r="GF92" s="173"/>
      <c r="GG92" s="173"/>
      <c r="GH92" s="173"/>
      <c r="GI92" s="173"/>
      <c r="GJ92" s="173"/>
      <c r="GK92" s="173"/>
      <c r="GL92" s="173"/>
      <c r="GM92" s="173"/>
      <c r="GN92" s="173"/>
      <c r="GO92" s="173"/>
      <c r="GP92" s="173"/>
      <c r="GQ92" s="173"/>
      <c r="GR92" s="173"/>
      <c r="GS92" s="173"/>
      <c r="GT92" s="173"/>
      <c r="GU92" s="173"/>
      <c r="GV92" s="173"/>
      <c r="GW92" s="173"/>
      <c r="GX92" s="173"/>
      <c r="GY92" s="173"/>
      <c r="GZ92" s="173"/>
      <c r="HA92" s="173"/>
      <c r="HB92" s="173"/>
      <c r="HC92" s="173"/>
      <c r="HD92" s="173"/>
      <c r="HE92" s="173"/>
      <c r="HF92" s="173"/>
      <c r="HG92" s="173"/>
      <c r="HH92" s="173"/>
      <c r="HI92" s="173"/>
      <c r="HJ92" s="173"/>
      <c r="HK92" s="173"/>
      <c r="HL92" s="173"/>
      <c r="HM92" s="173"/>
      <c r="HN92" s="173"/>
      <c r="HO92" s="173"/>
      <c r="HP92" s="173"/>
      <c r="HQ92" s="173"/>
      <c r="HR92" s="173"/>
      <c r="HS92" s="173"/>
      <c r="HT92" s="173"/>
      <c r="HU92" s="173"/>
      <c r="HV92" s="173"/>
      <c r="HW92" s="173"/>
      <c r="HX92" s="173"/>
      <c r="HY92" s="173"/>
      <c r="HZ92" s="173"/>
      <c r="IA92" s="173"/>
      <c r="IB92" s="173"/>
      <c r="IC92" s="173"/>
      <c r="ID92" s="173"/>
      <c r="IE92" s="173"/>
      <c r="IF92" s="173"/>
      <c r="IG92" s="173"/>
      <c r="IH92" s="173"/>
      <c r="II92" s="173"/>
      <c r="IJ92" s="173"/>
      <c r="IK92" s="173"/>
      <c r="IL92" s="173"/>
      <c r="IM92" s="173"/>
      <c r="IN92" s="173"/>
      <c r="IO92" s="173"/>
      <c r="IP92" s="173"/>
      <c r="IQ92" s="173"/>
      <c r="IR92" s="173"/>
      <c r="IS92" s="173"/>
      <c r="IT92" s="173"/>
      <c r="IU92" s="173"/>
      <c r="IV92" s="173"/>
    </row>
    <row r="93" spans="1:256" ht="20.25" customHeight="1">
      <c r="A93" s="10" t="s">
        <v>92</v>
      </c>
      <c r="B93" s="32">
        <v>5</v>
      </c>
      <c r="C93" s="32">
        <v>1</v>
      </c>
      <c r="D93" s="32">
        <v>6</v>
      </c>
      <c r="E93" s="32">
        <v>5</v>
      </c>
      <c r="F93" s="32">
        <v>4</v>
      </c>
      <c r="G93" s="32">
        <v>3</v>
      </c>
      <c r="H93" s="32">
        <v>3</v>
      </c>
      <c r="I93" s="32">
        <v>5</v>
      </c>
      <c r="J93" s="32">
        <v>4</v>
      </c>
      <c r="K93" s="178">
        <f t="shared" si="61"/>
        <v>36</v>
      </c>
      <c r="L93" s="35">
        <f>K93/K96</f>
        <v>0.43902439024390244</v>
      </c>
      <c r="M93" s="35">
        <f>K93/K99</f>
        <v>0.42857142857142855</v>
      </c>
      <c r="N93" s="37"/>
      <c r="O93" s="35"/>
      <c r="P93" s="13"/>
      <c r="Q93" s="38"/>
      <c r="R93" s="38"/>
      <c r="S93" s="38"/>
      <c r="T93" s="38"/>
      <c r="U93" s="40"/>
      <c r="V93" s="13"/>
      <c r="W93" s="38"/>
      <c r="X93" s="38"/>
      <c r="Y93" s="38"/>
      <c r="Z93" s="38"/>
      <c r="AA93" s="38"/>
      <c r="AB93" s="38"/>
      <c r="AC93" s="38"/>
      <c r="AD93" s="40"/>
      <c r="AE93" s="13"/>
      <c r="AF93" s="38"/>
      <c r="AG93" s="38"/>
      <c r="AH93" s="38"/>
      <c r="AI93" s="38"/>
      <c r="AJ93" s="38"/>
      <c r="AK93" s="38"/>
      <c r="AL93" s="38"/>
      <c r="AM93" s="41"/>
      <c r="AN93" s="13"/>
      <c r="AO93" s="38"/>
      <c r="AP93" s="38"/>
      <c r="AQ93" s="38"/>
      <c r="AR93" s="38"/>
      <c r="AS93" s="38"/>
      <c r="AT93" s="38"/>
      <c r="AU93" s="38"/>
      <c r="AV93" s="40"/>
      <c r="AW93" s="13"/>
      <c r="AX93" s="38"/>
      <c r="AY93" s="38"/>
      <c r="AZ93" s="38"/>
      <c r="BA93" s="38"/>
      <c r="BB93" s="38"/>
      <c r="BC93" s="38"/>
      <c r="BD93" s="40"/>
      <c r="BE93" s="13"/>
      <c r="BF93" s="38"/>
      <c r="BG93" s="42"/>
      <c r="BH93" s="42"/>
      <c r="BI93" s="42"/>
      <c r="BJ93" s="173"/>
      <c r="BK93" s="173"/>
      <c r="BL93" s="173"/>
      <c r="BM93" s="173"/>
      <c r="BN93" s="173"/>
      <c r="BO93" s="173"/>
      <c r="BP93" s="173"/>
      <c r="BQ93" s="173"/>
      <c r="BR93" s="173"/>
      <c r="BS93" s="173"/>
      <c r="BT93" s="173"/>
      <c r="BU93" s="173"/>
      <c r="BV93" s="173"/>
      <c r="BW93" s="173"/>
      <c r="BX93" s="173"/>
      <c r="BY93" s="173"/>
      <c r="BZ93" s="173"/>
      <c r="CA93" s="173"/>
      <c r="CB93" s="173"/>
      <c r="CC93" s="173"/>
      <c r="CD93" s="173"/>
      <c r="CE93" s="173"/>
      <c r="CF93" s="173"/>
      <c r="CG93" s="173"/>
      <c r="CH93" s="173"/>
      <c r="CI93" s="173"/>
      <c r="CJ93" s="173"/>
      <c r="CK93" s="173"/>
      <c r="CL93" s="173"/>
      <c r="CM93" s="173"/>
      <c r="CN93" s="173"/>
      <c r="CO93" s="173"/>
      <c r="CP93" s="173"/>
      <c r="CQ93" s="173"/>
      <c r="CR93" s="173"/>
      <c r="CS93" s="173"/>
      <c r="CT93" s="173"/>
      <c r="CU93" s="173"/>
      <c r="CV93" s="173"/>
      <c r="CW93" s="173"/>
      <c r="CX93" s="173"/>
      <c r="CY93" s="173"/>
      <c r="CZ93" s="173"/>
      <c r="DA93" s="173"/>
      <c r="DB93" s="173"/>
      <c r="DC93" s="173"/>
      <c r="DD93" s="173"/>
      <c r="DE93" s="173"/>
      <c r="DF93" s="173"/>
      <c r="DG93" s="173"/>
      <c r="DH93" s="173"/>
      <c r="DI93" s="173"/>
      <c r="DJ93" s="173"/>
      <c r="DK93" s="173"/>
      <c r="DL93" s="173"/>
      <c r="DM93" s="173"/>
      <c r="DN93" s="173"/>
      <c r="DO93" s="173"/>
      <c r="DP93" s="173"/>
      <c r="DQ93" s="173"/>
      <c r="DR93" s="173"/>
      <c r="DS93" s="173"/>
      <c r="DT93" s="173"/>
      <c r="DU93" s="173"/>
      <c r="DV93" s="173"/>
      <c r="DW93" s="173"/>
      <c r="DX93" s="173"/>
      <c r="DY93" s="173"/>
      <c r="DZ93" s="173"/>
      <c r="EA93" s="173"/>
      <c r="EB93" s="173"/>
      <c r="EC93" s="173"/>
      <c r="ED93" s="173"/>
      <c r="EE93" s="173"/>
      <c r="EF93" s="173"/>
      <c r="EG93" s="173"/>
      <c r="EH93" s="173"/>
      <c r="EI93" s="173"/>
      <c r="EJ93" s="173"/>
      <c r="EK93" s="173"/>
      <c r="EL93" s="173"/>
      <c r="EM93" s="173"/>
      <c r="EN93" s="173"/>
      <c r="EO93" s="173"/>
      <c r="EP93" s="173"/>
      <c r="EQ93" s="173"/>
      <c r="ER93" s="173"/>
      <c r="ES93" s="173"/>
      <c r="ET93" s="173"/>
      <c r="EU93" s="173"/>
      <c r="EV93" s="173"/>
      <c r="EW93" s="173"/>
      <c r="EX93" s="173"/>
      <c r="EY93" s="173"/>
      <c r="EZ93" s="173"/>
      <c r="FA93" s="173"/>
      <c r="FB93" s="173"/>
      <c r="FC93" s="173"/>
      <c r="FD93" s="173"/>
      <c r="FE93" s="173"/>
      <c r="FF93" s="173"/>
      <c r="FG93" s="173"/>
      <c r="FH93" s="173"/>
      <c r="FI93" s="173"/>
      <c r="FJ93" s="173"/>
      <c r="FK93" s="173"/>
      <c r="FL93" s="173"/>
      <c r="FM93" s="173"/>
      <c r="FN93" s="173"/>
      <c r="FO93" s="173"/>
      <c r="FP93" s="173"/>
      <c r="FQ93" s="173"/>
      <c r="FR93" s="173"/>
      <c r="FS93" s="173"/>
      <c r="FT93" s="173"/>
      <c r="FU93" s="173"/>
      <c r="FV93" s="173"/>
      <c r="FW93" s="173"/>
      <c r="FX93" s="173"/>
      <c r="FY93" s="173"/>
      <c r="FZ93" s="173"/>
      <c r="GA93" s="173"/>
      <c r="GB93" s="173"/>
      <c r="GC93" s="173"/>
      <c r="GD93" s="173"/>
      <c r="GE93" s="173"/>
      <c r="GF93" s="173"/>
      <c r="GG93" s="173"/>
      <c r="GH93" s="173"/>
      <c r="GI93" s="173"/>
      <c r="GJ93" s="173"/>
      <c r="GK93" s="173"/>
      <c r="GL93" s="173"/>
      <c r="GM93" s="173"/>
      <c r="GN93" s="173"/>
      <c r="GO93" s="173"/>
      <c r="GP93" s="173"/>
      <c r="GQ93" s="173"/>
      <c r="GR93" s="173"/>
      <c r="GS93" s="173"/>
      <c r="GT93" s="173"/>
      <c r="GU93" s="173"/>
      <c r="GV93" s="173"/>
      <c r="GW93" s="173"/>
      <c r="GX93" s="173"/>
      <c r="GY93" s="173"/>
      <c r="GZ93" s="173"/>
      <c r="HA93" s="173"/>
      <c r="HB93" s="173"/>
      <c r="HC93" s="173"/>
      <c r="HD93" s="173"/>
      <c r="HE93" s="173"/>
      <c r="HF93" s="173"/>
      <c r="HG93" s="173"/>
      <c r="HH93" s="173"/>
      <c r="HI93" s="173"/>
      <c r="HJ93" s="173"/>
      <c r="HK93" s="173"/>
      <c r="HL93" s="173"/>
      <c r="HM93" s="173"/>
      <c r="HN93" s="173"/>
      <c r="HO93" s="173"/>
      <c r="HP93" s="173"/>
      <c r="HQ93" s="173"/>
      <c r="HR93" s="173"/>
      <c r="HS93" s="173"/>
      <c r="HT93" s="173"/>
      <c r="HU93" s="173"/>
      <c r="HV93" s="173"/>
      <c r="HW93" s="173"/>
      <c r="HX93" s="173"/>
      <c r="HY93" s="173"/>
      <c r="HZ93" s="173"/>
      <c r="IA93" s="173"/>
      <c r="IB93" s="173"/>
      <c r="IC93" s="173"/>
      <c r="ID93" s="173"/>
      <c r="IE93" s="173"/>
      <c r="IF93" s="173"/>
      <c r="IG93" s="173"/>
      <c r="IH93" s="173"/>
      <c r="II93" s="173"/>
      <c r="IJ93" s="173"/>
      <c r="IK93" s="173"/>
      <c r="IL93" s="173"/>
      <c r="IM93" s="173"/>
      <c r="IN93" s="173"/>
      <c r="IO93" s="173"/>
      <c r="IP93" s="173"/>
      <c r="IQ93" s="173"/>
      <c r="IR93" s="173"/>
      <c r="IS93" s="173"/>
      <c r="IT93" s="173"/>
      <c r="IU93" s="173"/>
      <c r="IV93" s="173"/>
    </row>
    <row r="94" spans="1:256" ht="20.25" customHeight="1">
      <c r="A94" s="10" t="s">
        <v>93</v>
      </c>
      <c r="B94" s="32">
        <v>4</v>
      </c>
      <c r="C94" s="32">
        <v>2</v>
      </c>
      <c r="D94" s="32">
        <v>6</v>
      </c>
      <c r="E94" s="32">
        <v>2</v>
      </c>
      <c r="F94" s="32">
        <v>0</v>
      </c>
      <c r="G94" s="32">
        <v>2</v>
      </c>
      <c r="H94" s="32">
        <v>0</v>
      </c>
      <c r="I94" s="32">
        <v>0</v>
      </c>
      <c r="J94" s="32">
        <v>1</v>
      </c>
      <c r="K94" s="178">
        <f t="shared" si="61"/>
        <v>17</v>
      </c>
      <c r="L94" s="35">
        <f>K94/K96</f>
        <v>0.2073170731707317</v>
      </c>
      <c r="M94" s="35">
        <f>K94/K99</f>
        <v>0.20238095238095238</v>
      </c>
      <c r="N94" s="37"/>
      <c r="O94" s="35"/>
      <c r="P94" s="13"/>
      <c r="Q94" s="38"/>
      <c r="R94" s="38"/>
      <c r="S94" s="38"/>
      <c r="T94" s="38"/>
      <c r="U94" s="40"/>
      <c r="V94" s="13"/>
      <c r="W94" s="38"/>
      <c r="X94" s="38"/>
      <c r="Y94" s="38"/>
      <c r="Z94" s="38"/>
      <c r="AA94" s="38"/>
      <c r="AB94" s="38"/>
      <c r="AC94" s="38"/>
      <c r="AD94" s="40"/>
      <c r="AE94" s="13"/>
      <c r="AF94" s="38"/>
      <c r="AG94" s="38"/>
      <c r="AH94" s="38"/>
      <c r="AI94" s="38"/>
      <c r="AJ94" s="38"/>
      <c r="AK94" s="38"/>
      <c r="AL94" s="38"/>
      <c r="AM94" s="41"/>
      <c r="AN94" s="13"/>
      <c r="AO94" s="38"/>
      <c r="AP94" s="38"/>
      <c r="AQ94" s="38"/>
      <c r="AR94" s="38"/>
      <c r="AS94" s="38"/>
      <c r="AT94" s="38"/>
      <c r="AU94" s="38"/>
      <c r="AV94" s="40"/>
      <c r="AW94" s="13"/>
      <c r="AX94" s="38"/>
      <c r="AY94" s="38"/>
      <c r="AZ94" s="38"/>
      <c r="BA94" s="38"/>
      <c r="BB94" s="38"/>
      <c r="BC94" s="38"/>
      <c r="BD94" s="40"/>
      <c r="BE94" s="13"/>
      <c r="BF94" s="38"/>
      <c r="BG94" s="42"/>
      <c r="BH94" s="42"/>
      <c r="BI94" s="42"/>
      <c r="BJ94" s="173"/>
      <c r="BK94" s="173"/>
      <c r="BL94" s="173"/>
      <c r="BM94" s="173"/>
      <c r="BN94" s="173"/>
      <c r="BO94" s="173"/>
      <c r="BP94" s="173"/>
      <c r="BQ94" s="173"/>
      <c r="BR94" s="173"/>
      <c r="BS94" s="173"/>
      <c r="BT94" s="173"/>
      <c r="BU94" s="173"/>
      <c r="BV94" s="173"/>
      <c r="BW94" s="173"/>
      <c r="BX94" s="173"/>
      <c r="BY94" s="173"/>
      <c r="BZ94" s="173"/>
      <c r="CA94" s="173"/>
      <c r="CB94" s="173"/>
      <c r="CC94" s="173"/>
      <c r="CD94" s="173"/>
      <c r="CE94" s="173"/>
      <c r="CF94" s="173"/>
      <c r="CG94" s="173"/>
      <c r="CH94" s="173"/>
      <c r="CI94" s="173"/>
      <c r="CJ94" s="173"/>
      <c r="CK94" s="173"/>
      <c r="CL94" s="173"/>
      <c r="CM94" s="173"/>
      <c r="CN94" s="173"/>
      <c r="CO94" s="173"/>
      <c r="CP94" s="173"/>
      <c r="CQ94" s="173"/>
      <c r="CR94" s="173"/>
      <c r="CS94" s="173"/>
      <c r="CT94" s="173"/>
      <c r="CU94" s="173"/>
      <c r="CV94" s="173"/>
      <c r="CW94" s="173"/>
      <c r="CX94" s="173"/>
      <c r="CY94" s="173"/>
      <c r="CZ94" s="173"/>
      <c r="DA94" s="173"/>
      <c r="DB94" s="173"/>
      <c r="DC94" s="173"/>
      <c r="DD94" s="173"/>
      <c r="DE94" s="173"/>
      <c r="DF94" s="173"/>
      <c r="DG94" s="173"/>
      <c r="DH94" s="173"/>
      <c r="DI94" s="173"/>
      <c r="DJ94" s="173"/>
      <c r="DK94" s="173"/>
      <c r="DL94" s="173"/>
      <c r="DM94" s="173"/>
      <c r="DN94" s="173"/>
      <c r="DO94" s="173"/>
      <c r="DP94" s="173"/>
      <c r="DQ94" s="173"/>
      <c r="DR94" s="173"/>
      <c r="DS94" s="173"/>
      <c r="DT94" s="173"/>
      <c r="DU94" s="173"/>
      <c r="DV94" s="173"/>
      <c r="DW94" s="173"/>
      <c r="DX94" s="173"/>
      <c r="DY94" s="173"/>
      <c r="DZ94" s="173"/>
      <c r="EA94" s="173"/>
      <c r="EB94" s="173"/>
      <c r="EC94" s="173"/>
      <c r="ED94" s="173"/>
      <c r="EE94" s="173"/>
      <c r="EF94" s="173"/>
      <c r="EG94" s="173"/>
      <c r="EH94" s="173"/>
      <c r="EI94" s="173"/>
      <c r="EJ94" s="173"/>
      <c r="EK94" s="173"/>
      <c r="EL94" s="173"/>
      <c r="EM94" s="173"/>
      <c r="EN94" s="173"/>
      <c r="EO94" s="173"/>
      <c r="EP94" s="173"/>
      <c r="EQ94" s="173"/>
      <c r="ER94" s="173"/>
      <c r="ES94" s="173"/>
      <c r="ET94" s="173"/>
      <c r="EU94" s="173"/>
      <c r="EV94" s="173"/>
      <c r="EW94" s="173"/>
      <c r="EX94" s="173"/>
      <c r="EY94" s="173"/>
      <c r="EZ94" s="173"/>
      <c r="FA94" s="173"/>
      <c r="FB94" s="173"/>
      <c r="FC94" s="173"/>
      <c r="FD94" s="173"/>
      <c r="FE94" s="173"/>
      <c r="FF94" s="173"/>
      <c r="FG94" s="173"/>
      <c r="FH94" s="173"/>
      <c r="FI94" s="173"/>
      <c r="FJ94" s="173"/>
      <c r="FK94" s="173"/>
      <c r="FL94" s="173"/>
      <c r="FM94" s="173"/>
      <c r="FN94" s="173"/>
      <c r="FO94" s="173"/>
      <c r="FP94" s="173"/>
      <c r="FQ94" s="173"/>
      <c r="FR94" s="173"/>
      <c r="FS94" s="173"/>
      <c r="FT94" s="173"/>
      <c r="FU94" s="173"/>
      <c r="FV94" s="173"/>
      <c r="FW94" s="173"/>
      <c r="FX94" s="173"/>
      <c r="FY94" s="173"/>
      <c r="FZ94" s="173"/>
      <c r="GA94" s="173"/>
      <c r="GB94" s="173"/>
      <c r="GC94" s="173"/>
      <c r="GD94" s="173"/>
      <c r="GE94" s="173"/>
      <c r="GF94" s="173"/>
      <c r="GG94" s="173"/>
      <c r="GH94" s="173"/>
      <c r="GI94" s="173"/>
      <c r="GJ94" s="173"/>
      <c r="GK94" s="173"/>
      <c r="GL94" s="173"/>
      <c r="GM94" s="173"/>
      <c r="GN94" s="173"/>
      <c r="GO94" s="173"/>
      <c r="GP94" s="173"/>
      <c r="GQ94" s="173"/>
      <c r="GR94" s="173"/>
      <c r="GS94" s="173"/>
      <c r="GT94" s="173"/>
      <c r="GU94" s="173"/>
      <c r="GV94" s="173"/>
      <c r="GW94" s="173"/>
      <c r="GX94" s="173"/>
      <c r="GY94" s="173"/>
      <c r="GZ94" s="173"/>
      <c r="HA94" s="173"/>
      <c r="HB94" s="173"/>
      <c r="HC94" s="173"/>
      <c r="HD94" s="173"/>
      <c r="HE94" s="173"/>
      <c r="HF94" s="173"/>
      <c r="HG94" s="173"/>
      <c r="HH94" s="173"/>
      <c r="HI94" s="173"/>
      <c r="HJ94" s="173"/>
      <c r="HK94" s="173"/>
      <c r="HL94" s="173"/>
      <c r="HM94" s="173"/>
      <c r="HN94" s="173"/>
      <c r="HO94" s="173"/>
      <c r="HP94" s="173"/>
      <c r="HQ94" s="173"/>
      <c r="HR94" s="173"/>
      <c r="HS94" s="173"/>
      <c r="HT94" s="173"/>
      <c r="HU94" s="173"/>
      <c r="HV94" s="173"/>
      <c r="HW94" s="173"/>
      <c r="HX94" s="173"/>
      <c r="HY94" s="173"/>
      <c r="HZ94" s="173"/>
      <c r="IA94" s="173"/>
      <c r="IB94" s="173"/>
      <c r="IC94" s="173"/>
      <c r="ID94" s="173"/>
      <c r="IE94" s="173"/>
      <c r="IF94" s="173"/>
      <c r="IG94" s="173"/>
      <c r="IH94" s="173"/>
      <c r="II94" s="173"/>
      <c r="IJ94" s="173"/>
      <c r="IK94" s="173"/>
      <c r="IL94" s="173"/>
      <c r="IM94" s="173"/>
      <c r="IN94" s="173"/>
      <c r="IO94" s="173"/>
      <c r="IP94" s="173"/>
      <c r="IQ94" s="173"/>
      <c r="IR94" s="173"/>
      <c r="IS94" s="173"/>
      <c r="IT94" s="173"/>
      <c r="IU94" s="173"/>
      <c r="IV94" s="173"/>
    </row>
    <row r="95" spans="1:256" ht="20.25" customHeight="1">
      <c r="A95" s="10" t="s">
        <v>94</v>
      </c>
      <c r="B95" s="32">
        <v>0</v>
      </c>
      <c r="C95" s="32">
        <v>0</v>
      </c>
      <c r="D95" s="32">
        <v>0</v>
      </c>
      <c r="E95" s="32">
        <v>0</v>
      </c>
      <c r="F95" s="32">
        <v>0</v>
      </c>
      <c r="G95" s="32">
        <v>0</v>
      </c>
      <c r="H95" s="32">
        <v>0</v>
      </c>
      <c r="I95" s="32">
        <v>0</v>
      </c>
      <c r="J95" s="32">
        <v>0</v>
      </c>
      <c r="K95" s="178">
        <f t="shared" si="61"/>
        <v>0</v>
      </c>
      <c r="L95" s="35">
        <f>K95/K96</f>
        <v>0</v>
      </c>
      <c r="M95" s="35">
        <f>K95/K99</f>
        <v>0</v>
      </c>
      <c r="N95" s="37"/>
      <c r="O95" s="35"/>
      <c r="P95" s="13"/>
      <c r="Q95" s="38"/>
      <c r="R95" s="38"/>
      <c r="S95" s="38"/>
      <c r="T95" s="38"/>
      <c r="U95" s="40"/>
      <c r="V95" s="13"/>
      <c r="W95" s="38"/>
      <c r="X95" s="38"/>
      <c r="Y95" s="38"/>
      <c r="Z95" s="38"/>
      <c r="AA95" s="38"/>
      <c r="AB95" s="38"/>
      <c r="AC95" s="38"/>
      <c r="AD95" s="40"/>
      <c r="AE95" s="13"/>
      <c r="AF95" s="38"/>
      <c r="AG95" s="38"/>
      <c r="AH95" s="38"/>
      <c r="AI95" s="38"/>
      <c r="AJ95" s="38"/>
      <c r="AK95" s="38"/>
      <c r="AL95" s="38"/>
      <c r="AM95" s="41"/>
      <c r="AN95" s="13"/>
      <c r="AO95" s="38"/>
      <c r="AP95" s="38"/>
      <c r="AQ95" s="38"/>
      <c r="AR95" s="38"/>
      <c r="AS95" s="38"/>
      <c r="AT95" s="38"/>
      <c r="AU95" s="38"/>
      <c r="AV95" s="40"/>
      <c r="AW95" s="13"/>
      <c r="AX95" s="38"/>
      <c r="AY95" s="38"/>
      <c r="AZ95" s="38"/>
      <c r="BA95" s="38"/>
      <c r="BB95" s="38"/>
      <c r="BC95" s="38"/>
      <c r="BD95" s="40"/>
      <c r="BE95" s="13"/>
      <c r="BF95" s="38"/>
      <c r="BG95" s="42"/>
      <c r="BH95" s="42"/>
      <c r="BI95" s="42"/>
      <c r="BJ95" s="173"/>
      <c r="BK95" s="173"/>
      <c r="BL95" s="173"/>
      <c r="BM95" s="173"/>
      <c r="BN95" s="173"/>
      <c r="BO95" s="173"/>
      <c r="BP95" s="173"/>
      <c r="BQ95" s="173"/>
      <c r="BR95" s="173"/>
      <c r="BS95" s="173"/>
      <c r="BT95" s="173"/>
      <c r="BU95" s="173"/>
      <c r="BV95" s="173"/>
      <c r="BW95" s="173"/>
      <c r="BX95" s="173"/>
      <c r="BY95" s="173"/>
      <c r="BZ95" s="173"/>
      <c r="CA95" s="173"/>
      <c r="CB95" s="173"/>
      <c r="CC95" s="173"/>
      <c r="CD95" s="173"/>
      <c r="CE95" s="173"/>
      <c r="CF95" s="173"/>
      <c r="CG95" s="173"/>
      <c r="CH95" s="173"/>
      <c r="CI95" s="173"/>
      <c r="CJ95" s="173"/>
      <c r="CK95" s="173"/>
      <c r="CL95" s="173"/>
      <c r="CM95" s="173"/>
      <c r="CN95" s="173"/>
      <c r="CO95" s="173"/>
      <c r="CP95" s="173"/>
      <c r="CQ95" s="173"/>
      <c r="CR95" s="173"/>
      <c r="CS95" s="173"/>
      <c r="CT95" s="173"/>
      <c r="CU95" s="173"/>
      <c r="CV95" s="173"/>
      <c r="CW95" s="173"/>
      <c r="CX95" s="173"/>
      <c r="CY95" s="173"/>
      <c r="CZ95" s="173"/>
      <c r="DA95" s="173"/>
      <c r="DB95" s="173"/>
      <c r="DC95" s="173"/>
      <c r="DD95" s="173"/>
      <c r="DE95" s="173"/>
      <c r="DF95" s="173"/>
      <c r="DG95" s="173"/>
      <c r="DH95" s="173"/>
      <c r="DI95" s="173"/>
      <c r="DJ95" s="173"/>
      <c r="DK95" s="173"/>
      <c r="DL95" s="173"/>
      <c r="DM95" s="173"/>
      <c r="DN95" s="173"/>
      <c r="DO95" s="173"/>
      <c r="DP95" s="173"/>
      <c r="DQ95" s="173"/>
      <c r="DR95" s="173"/>
      <c r="DS95" s="173"/>
      <c r="DT95" s="173"/>
      <c r="DU95" s="173"/>
      <c r="DV95" s="173"/>
      <c r="DW95" s="173"/>
      <c r="DX95" s="173"/>
      <c r="DY95" s="173"/>
      <c r="DZ95" s="173"/>
      <c r="EA95" s="173"/>
      <c r="EB95" s="173"/>
      <c r="EC95" s="173"/>
      <c r="ED95" s="173"/>
      <c r="EE95" s="173"/>
      <c r="EF95" s="173"/>
      <c r="EG95" s="173"/>
      <c r="EH95" s="173"/>
      <c r="EI95" s="173"/>
      <c r="EJ95" s="173"/>
      <c r="EK95" s="173"/>
      <c r="EL95" s="173"/>
      <c r="EM95" s="173"/>
      <c r="EN95" s="173"/>
      <c r="EO95" s="173"/>
      <c r="EP95" s="173"/>
      <c r="EQ95" s="173"/>
      <c r="ER95" s="173"/>
      <c r="ES95" s="173"/>
      <c r="ET95" s="173"/>
      <c r="EU95" s="173"/>
      <c r="EV95" s="173"/>
      <c r="EW95" s="173"/>
      <c r="EX95" s="173"/>
      <c r="EY95" s="173"/>
      <c r="EZ95" s="173"/>
      <c r="FA95" s="173"/>
      <c r="FB95" s="173"/>
      <c r="FC95" s="173"/>
      <c r="FD95" s="173"/>
      <c r="FE95" s="173"/>
      <c r="FF95" s="173"/>
      <c r="FG95" s="173"/>
      <c r="FH95" s="173"/>
      <c r="FI95" s="173"/>
      <c r="FJ95" s="173"/>
      <c r="FK95" s="173"/>
      <c r="FL95" s="173"/>
      <c r="FM95" s="173"/>
      <c r="FN95" s="173"/>
      <c r="FO95" s="173"/>
      <c r="FP95" s="173"/>
      <c r="FQ95" s="173"/>
      <c r="FR95" s="173"/>
      <c r="FS95" s="173"/>
      <c r="FT95" s="173"/>
      <c r="FU95" s="173"/>
      <c r="FV95" s="173"/>
      <c r="FW95" s="173"/>
      <c r="FX95" s="173"/>
      <c r="FY95" s="173"/>
      <c r="FZ95" s="173"/>
      <c r="GA95" s="173"/>
      <c r="GB95" s="173"/>
      <c r="GC95" s="173"/>
      <c r="GD95" s="173"/>
      <c r="GE95" s="173"/>
      <c r="GF95" s="173"/>
      <c r="GG95" s="173"/>
      <c r="GH95" s="173"/>
      <c r="GI95" s="173"/>
      <c r="GJ95" s="173"/>
      <c r="GK95" s="173"/>
      <c r="GL95" s="173"/>
      <c r="GM95" s="173"/>
      <c r="GN95" s="173"/>
      <c r="GO95" s="173"/>
      <c r="GP95" s="173"/>
      <c r="GQ95" s="173"/>
      <c r="GR95" s="173"/>
      <c r="GS95" s="173"/>
      <c r="GT95" s="173"/>
      <c r="GU95" s="173"/>
      <c r="GV95" s="173"/>
      <c r="GW95" s="173"/>
      <c r="GX95" s="173"/>
      <c r="GY95" s="173"/>
      <c r="GZ95" s="173"/>
      <c r="HA95" s="173"/>
      <c r="HB95" s="173"/>
      <c r="HC95" s="173"/>
      <c r="HD95" s="173"/>
      <c r="HE95" s="173"/>
      <c r="HF95" s="173"/>
      <c r="HG95" s="173"/>
      <c r="HH95" s="173"/>
      <c r="HI95" s="173"/>
      <c r="HJ95" s="173"/>
      <c r="HK95" s="173"/>
      <c r="HL95" s="173"/>
      <c r="HM95" s="173"/>
      <c r="HN95" s="173"/>
      <c r="HO95" s="173"/>
      <c r="HP95" s="173"/>
      <c r="HQ95" s="173"/>
      <c r="HR95" s="173"/>
      <c r="HS95" s="173"/>
      <c r="HT95" s="173"/>
      <c r="HU95" s="173"/>
      <c r="HV95" s="173"/>
      <c r="HW95" s="173"/>
      <c r="HX95" s="173"/>
      <c r="HY95" s="173"/>
      <c r="HZ95" s="173"/>
      <c r="IA95" s="173"/>
      <c r="IB95" s="173"/>
      <c r="IC95" s="173"/>
      <c r="ID95" s="173"/>
      <c r="IE95" s="173"/>
      <c r="IF95" s="173"/>
      <c r="IG95" s="173"/>
      <c r="IH95" s="173"/>
      <c r="II95" s="173"/>
      <c r="IJ95" s="173"/>
      <c r="IK95" s="173"/>
      <c r="IL95" s="173"/>
      <c r="IM95" s="173"/>
      <c r="IN95" s="173"/>
      <c r="IO95" s="173"/>
      <c r="IP95" s="173"/>
      <c r="IQ95" s="173"/>
      <c r="IR95" s="173"/>
      <c r="IS95" s="173"/>
      <c r="IT95" s="173"/>
      <c r="IU95" s="173"/>
      <c r="IV95" s="173"/>
    </row>
    <row r="96" spans="1:256" ht="20.25" customHeight="1">
      <c r="A96" s="10" t="s">
        <v>9</v>
      </c>
      <c r="B96" s="32">
        <f t="shared" ref="B96:K96" si="62">SUM(B90:B95)</f>
        <v>10</v>
      </c>
      <c r="C96" s="32">
        <f t="shared" si="62"/>
        <v>4</v>
      </c>
      <c r="D96" s="32">
        <f t="shared" si="62"/>
        <v>15</v>
      </c>
      <c r="E96" s="32">
        <f t="shared" si="62"/>
        <v>10</v>
      </c>
      <c r="F96" s="32">
        <f t="shared" si="62"/>
        <v>10</v>
      </c>
      <c r="G96" s="32">
        <f t="shared" si="62"/>
        <v>8</v>
      </c>
      <c r="H96" s="32">
        <f t="shared" si="62"/>
        <v>5</v>
      </c>
      <c r="I96" s="32">
        <f t="shared" si="62"/>
        <v>10</v>
      </c>
      <c r="J96" s="32">
        <f t="shared" si="62"/>
        <v>10</v>
      </c>
      <c r="K96" s="178">
        <f t="shared" si="62"/>
        <v>82</v>
      </c>
      <c r="L96" s="35">
        <f t="shared" ref="L96" si="63">SUM(L90:L95)</f>
        <v>1</v>
      </c>
      <c r="M96" s="35">
        <f>K96/K99</f>
        <v>0.97619047619047616</v>
      </c>
      <c r="N96" s="37"/>
      <c r="O96" s="35"/>
      <c r="P96" s="13"/>
      <c r="Q96" s="38"/>
      <c r="R96" s="38"/>
      <c r="S96" s="38"/>
      <c r="T96" s="38"/>
      <c r="U96" s="40"/>
      <c r="V96" s="13"/>
      <c r="W96" s="38"/>
      <c r="X96" s="38"/>
      <c r="Y96" s="38"/>
      <c r="Z96" s="38"/>
      <c r="AA96" s="38"/>
      <c r="AB96" s="38"/>
      <c r="AC96" s="38"/>
      <c r="AD96" s="40"/>
      <c r="AE96" s="13"/>
      <c r="AF96" s="38"/>
      <c r="AG96" s="38"/>
      <c r="AH96" s="38"/>
      <c r="AI96" s="38"/>
      <c r="AJ96" s="38"/>
      <c r="AK96" s="38"/>
      <c r="AL96" s="38"/>
      <c r="AM96" s="41"/>
      <c r="AN96" s="13"/>
      <c r="AO96" s="38"/>
      <c r="AP96" s="38"/>
      <c r="AQ96" s="38"/>
      <c r="AR96" s="38"/>
      <c r="AS96" s="38"/>
      <c r="AT96" s="38"/>
      <c r="AU96" s="38"/>
      <c r="AV96" s="40"/>
      <c r="AW96" s="13"/>
      <c r="AX96" s="38"/>
      <c r="AY96" s="38"/>
      <c r="AZ96" s="38"/>
      <c r="BA96" s="38"/>
      <c r="BB96" s="38"/>
      <c r="BC96" s="38"/>
      <c r="BD96" s="40"/>
      <c r="BE96" s="13"/>
      <c r="BF96" s="38"/>
      <c r="BG96" s="42"/>
      <c r="BH96" s="42"/>
      <c r="BI96" s="42"/>
      <c r="BJ96" s="173"/>
      <c r="BK96" s="173"/>
      <c r="BL96" s="173"/>
      <c r="BM96" s="173"/>
      <c r="BN96" s="173"/>
      <c r="BO96" s="173"/>
      <c r="BP96" s="173"/>
      <c r="BQ96" s="173"/>
      <c r="BR96" s="173"/>
      <c r="BS96" s="173"/>
      <c r="BT96" s="173"/>
      <c r="BU96" s="173"/>
      <c r="BV96" s="173"/>
      <c r="BW96" s="173"/>
      <c r="BX96" s="173"/>
      <c r="BY96" s="173"/>
      <c r="BZ96" s="173"/>
      <c r="CA96" s="173"/>
      <c r="CB96" s="173"/>
      <c r="CC96" s="173"/>
      <c r="CD96" s="173"/>
      <c r="CE96" s="173"/>
      <c r="CF96" s="173"/>
      <c r="CG96" s="173"/>
      <c r="CH96" s="173"/>
      <c r="CI96" s="173"/>
      <c r="CJ96" s="173"/>
      <c r="CK96" s="173"/>
      <c r="CL96" s="173"/>
      <c r="CM96" s="173"/>
      <c r="CN96" s="173"/>
      <c r="CO96" s="173"/>
      <c r="CP96" s="173"/>
      <c r="CQ96" s="173"/>
      <c r="CR96" s="173"/>
      <c r="CS96" s="173"/>
      <c r="CT96" s="173"/>
      <c r="CU96" s="173"/>
      <c r="CV96" s="173"/>
      <c r="CW96" s="173"/>
      <c r="CX96" s="173"/>
      <c r="CY96" s="173"/>
      <c r="CZ96" s="173"/>
      <c r="DA96" s="173"/>
      <c r="DB96" s="173"/>
      <c r="DC96" s="173"/>
      <c r="DD96" s="173"/>
      <c r="DE96" s="173"/>
      <c r="DF96" s="173"/>
      <c r="DG96" s="173"/>
      <c r="DH96" s="173"/>
      <c r="DI96" s="173"/>
      <c r="DJ96" s="173"/>
      <c r="DK96" s="173"/>
      <c r="DL96" s="173"/>
      <c r="DM96" s="173"/>
      <c r="DN96" s="173"/>
      <c r="DO96" s="173"/>
      <c r="DP96" s="173"/>
      <c r="DQ96" s="173"/>
      <c r="DR96" s="173"/>
      <c r="DS96" s="173"/>
      <c r="DT96" s="173"/>
      <c r="DU96" s="173"/>
      <c r="DV96" s="173"/>
      <c r="DW96" s="173"/>
      <c r="DX96" s="173"/>
      <c r="DY96" s="173"/>
      <c r="DZ96" s="173"/>
      <c r="EA96" s="173"/>
      <c r="EB96" s="173"/>
      <c r="EC96" s="173"/>
      <c r="ED96" s="173"/>
      <c r="EE96" s="173"/>
      <c r="EF96" s="173"/>
      <c r="EG96" s="173"/>
      <c r="EH96" s="173"/>
      <c r="EI96" s="173"/>
      <c r="EJ96" s="173"/>
      <c r="EK96" s="173"/>
      <c r="EL96" s="173"/>
      <c r="EM96" s="173"/>
      <c r="EN96" s="173"/>
      <c r="EO96" s="173"/>
      <c r="EP96" s="173"/>
      <c r="EQ96" s="173"/>
      <c r="ER96" s="173"/>
      <c r="ES96" s="173"/>
      <c r="ET96" s="173"/>
      <c r="EU96" s="173"/>
      <c r="EV96" s="173"/>
      <c r="EW96" s="173"/>
      <c r="EX96" s="173"/>
      <c r="EY96" s="173"/>
      <c r="EZ96" s="173"/>
      <c r="FA96" s="173"/>
      <c r="FB96" s="173"/>
      <c r="FC96" s="173"/>
      <c r="FD96" s="173"/>
      <c r="FE96" s="173"/>
      <c r="FF96" s="173"/>
      <c r="FG96" s="173"/>
      <c r="FH96" s="173"/>
      <c r="FI96" s="173"/>
      <c r="FJ96" s="173"/>
      <c r="FK96" s="173"/>
      <c r="FL96" s="173"/>
      <c r="FM96" s="173"/>
      <c r="FN96" s="173"/>
      <c r="FO96" s="173"/>
      <c r="FP96" s="173"/>
      <c r="FQ96" s="173"/>
      <c r="FR96" s="173"/>
      <c r="FS96" s="173"/>
      <c r="FT96" s="173"/>
      <c r="FU96" s="173"/>
      <c r="FV96" s="173"/>
      <c r="FW96" s="173"/>
      <c r="FX96" s="173"/>
      <c r="FY96" s="173"/>
      <c r="FZ96" s="173"/>
      <c r="GA96" s="173"/>
      <c r="GB96" s="173"/>
      <c r="GC96" s="173"/>
      <c r="GD96" s="173"/>
      <c r="GE96" s="173"/>
      <c r="GF96" s="173"/>
      <c r="GG96" s="173"/>
      <c r="GH96" s="173"/>
      <c r="GI96" s="173"/>
      <c r="GJ96" s="173"/>
      <c r="GK96" s="173"/>
      <c r="GL96" s="173"/>
      <c r="GM96" s="173"/>
      <c r="GN96" s="173"/>
      <c r="GO96" s="173"/>
      <c r="GP96" s="173"/>
      <c r="GQ96" s="173"/>
      <c r="GR96" s="173"/>
      <c r="GS96" s="173"/>
      <c r="GT96" s="173"/>
      <c r="GU96" s="173"/>
      <c r="GV96" s="173"/>
      <c r="GW96" s="173"/>
      <c r="GX96" s="173"/>
      <c r="GY96" s="173"/>
      <c r="GZ96" s="173"/>
      <c r="HA96" s="173"/>
      <c r="HB96" s="173"/>
      <c r="HC96" s="173"/>
      <c r="HD96" s="173"/>
      <c r="HE96" s="173"/>
      <c r="HF96" s="173"/>
      <c r="HG96" s="173"/>
      <c r="HH96" s="173"/>
      <c r="HI96" s="173"/>
      <c r="HJ96" s="173"/>
      <c r="HK96" s="173"/>
      <c r="HL96" s="173"/>
      <c r="HM96" s="173"/>
      <c r="HN96" s="173"/>
      <c r="HO96" s="173"/>
      <c r="HP96" s="173"/>
      <c r="HQ96" s="173"/>
      <c r="HR96" s="173"/>
      <c r="HS96" s="173"/>
      <c r="HT96" s="173"/>
      <c r="HU96" s="173"/>
      <c r="HV96" s="173"/>
      <c r="HW96" s="173"/>
      <c r="HX96" s="173"/>
      <c r="HY96" s="173"/>
      <c r="HZ96" s="173"/>
      <c r="IA96" s="173"/>
      <c r="IB96" s="173"/>
      <c r="IC96" s="173"/>
      <c r="ID96" s="173"/>
      <c r="IE96" s="173"/>
      <c r="IF96" s="173"/>
      <c r="IG96" s="173"/>
      <c r="IH96" s="173"/>
      <c r="II96" s="173"/>
      <c r="IJ96" s="173"/>
      <c r="IK96" s="173"/>
      <c r="IL96" s="173"/>
      <c r="IM96" s="173"/>
      <c r="IN96" s="173"/>
      <c r="IO96" s="173"/>
      <c r="IP96" s="173"/>
      <c r="IQ96" s="173"/>
      <c r="IR96" s="173"/>
      <c r="IS96" s="173"/>
      <c r="IT96" s="173"/>
      <c r="IU96" s="173"/>
      <c r="IV96" s="173"/>
    </row>
    <row r="97" spans="1:256" ht="20.25" customHeight="1">
      <c r="A97" s="8" t="s">
        <v>64</v>
      </c>
      <c r="B97" s="32">
        <v>1</v>
      </c>
      <c r="C97" s="32">
        <v>0</v>
      </c>
      <c r="D97" s="32">
        <v>0</v>
      </c>
      <c r="E97" s="32">
        <v>0</v>
      </c>
      <c r="F97" s="32">
        <v>0</v>
      </c>
      <c r="G97" s="32">
        <v>0</v>
      </c>
      <c r="H97" s="32">
        <v>0</v>
      </c>
      <c r="I97" s="32">
        <v>0</v>
      </c>
      <c r="J97" s="32">
        <v>0</v>
      </c>
      <c r="K97" s="178">
        <f>SUM(B97:J97)</f>
        <v>1</v>
      </c>
      <c r="L97" s="35">
        <f>K97/(K96+K97+K98)</f>
        <v>1.1904761904761904E-2</v>
      </c>
      <c r="M97" s="35">
        <f>K97/(K99)</f>
        <v>1.1904761904761904E-2</v>
      </c>
      <c r="N97" s="37"/>
      <c r="O97" s="35"/>
      <c r="P97" s="13"/>
      <c r="Q97" s="38"/>
      <c r="R97" s="38"/>
      <c r="S97" s="38"/>
      <c r="T97" s="38"/>
      <c r="U97" s="40"/>
      <c r="V97" s="13"/>
      <c r="W97" s="38"/>
      <c r="X97" s="38"/>
      <c r="Y97" s="38"/>
      <c r="Z97" s="38"/>
      <c r="AA97" s="38"/>
      <c r="AB97" s="38"/>
      <c r="AC97" s="38"/>
      <c r="AD97" s="40"/>
      <c r="AE97" s="13"/>
      <c r="AF97" s="38"/>
      <c r="AG97" s="38"/>
      <c r="AH97" s="38"/>
      <c r="AI97" s="38"/>
      <c r="AJ97" s="38"/>
      <c r="AK97" s="38"/>
      <c r="AL97" s="38"/>
      <c r="AM97" s="41"/>
      <c r="AN97" s="13"/>
      <c r="AO97" s="38"/>
      <c r="AP97" s="38"/>
      <c r="AQ97" s="38"/>
      <c r="AR97" s="38"/>
      <c r="AS97" s="38"/>
      <c r="AT97" s="38"/>
      <c r="AU97" s="38"/>
      <c r="AV97" s="40"/>
      <c r="AW97" s="13"/>
      <c r="AX97" s="38"/>
      <c r="AY97" s="38"/>
      <c r="AZ97" s="38"/>
      <c r="BA97" s="38"/>
      <c r="BB97" s="38"/>
      <c r="BC97" s="38"/>
      <c r="BD97" s="40"/>
      <c r="BE97" s="13"/>
      <c r="BF97" s="38"/>
      <c r="BG97" s="42"/>
      <c r="BH97" s="42"/>
      <c r="BI97" s="42"/>
      <c r="BJ97" s="173"/>
      <c r="BK97" s="173"/>
      <c r="BL97" s="173"/>
      <c r="BM97" s="173"/>
      <c r="BN97" s="173"/>
      <c r="BO97" s="173"/>
      <c r="BP97" s="173"/>
      <c r="BQ97" s="173"/>
      <c r="BR97" s="173"/>
      <c r="BS97" s="173"/>
      <c r="BT97" s="173"/>
      <c r="BU97" s="173"/>
      <c r="BV97" s="173"/>
      <c r="BW97" s="173"/>
      <c r="BX97" s="173"/>
      <c r="BY97" s="173"/>
      <c r="BZ97" s="173"/>
      <c r="CA97" s="173"/>
      <c r="CB97" s="173"/>
      <c r="CC97" s="173"/>
      <c r="CD97" s="173"/>
      <c r="CE97" s="173"/>
      <c r="CF97" s="173"/>
      <c r="CG97" s="173"/>
      <c r="CH97" s="173"/>
      <c r="CI97" s="173"/>
      <c r="CJ97" s="173"/>
      <c r="CK97" s="173"/>
      <c r="CL97" s="173"/>
      <c r="CM97" s="173"/>
      <c r="CN97" s="173"/>
      <c r="CO97" s="173"/>
      <c r="CP97" s="173"/>
      <c r="CQ97" s="173"/>
      <c r="CR97" s="173"/>
      <c r="CS97" s="173"/>
      <c r="CT97" s="173"/>
      <c r="CU97" s="173"/>
      <c r="CV97" s="173"/>
      <c r="CW97" s="173"/>
      <c r="CX97" s="173"/>
      <c r="CY97" s="173"/>
      <c r="CZ97" s="173"/>
      <c r="DA97" s="173"/>
      <c r="DB97" s="173"/>
      <c r="DC97" s="173"/>
      <c r="DD97" s="173"/>
      <c r="DE97" s="173"/>
      <c r="DF97" s="173"/>
      <c r="DG97" s="173"/>
      <c r="DH97" s="173"/>
      <c r="DI97" s="173"/>
      <c r="DJ97" s="173"/>
      <c r="DK97" s="173"/>
      <c r="DL97" s="173"/>
      <c r="DM97" s="173"/>
      <c r="DN97" s="173"/>
      <c r="DO97" s="173"/>
      <c r="DP97" s="173"/>
      <c r="DQ97" s="173"/>
      <c r="DR97" s="173"/>
      <c r="DS97" s="173"/>
      <c r="DT97" s="173"/>
      <c r="DU97" s="173"/>
      <c r="DV97" s="173"/>
      <c r="DW97" s="173"/>
      <c r="DX97" s="173"/>
      <c r="DY97" s="173"/>
      <c r="DZ97" s="173"/>
      <c r="EA97" s="173"/>
      <c r="EB97" s="173"/>
      <c r="EC97" s="173"/>
      <c r="ED97" s="173"/>
      <c r="EE97" s="173"/>
      <c r="EF97" s="173"/>
      <c r="EG97" s="173"/>
      <c r="EH97" s="173"/>
      <c r="EI97" s="173"/>
      <c r="EJ97" s="173"/>
      <c r="EK97" s="173"/>
      <c r="EL97" s="173"/>
      <c r="EM97" s="173"/>
      <c r="EN97" s="173"/>
      <c r="EO97" s="173"/>
      <c r="EP97" s="173"/>
      <c r="EQ97" s="173"/>
      <c r="ER97" s="173"/>
      <c r="ES97" s="173"/>
      <c r="ET97" s="173"/>
      <c r="EU97" s="173"/>
      <c r="EV97" s="173"/>
      <c r="EW97" s="173"/>
      <c r="EX97" s="173"/>
      <c r="EY97" s="173"/>
      <c r="EZ97" s="173"/>
      <c r="FA97" s="173"/>
      <c r="FB97" s="173"/>
      <c r="FC97" s="173"/>
      <c r="FD97" s="173"/>
      <c r="FE97" s="173"/>
      <c r="FF97" s="173"/>
      <c r="FG97" s="173"/>
      <c r="FH97" s="173"/>
      <c r="FI97" s="173"/>
      <c r="FJ97" s="173"/>
      <c r="FK97" s="173"/>
      <c r="FL97" s="173"/>
      <c r="FM97" s="173"/>
      <c r="FN97" s="173"/>
      <c r="FO97" s="173"/>
      <c r="FP97" s="173"/>
      <c r="FQ97" s="173"/>
      <c r="FR97" s="173"/>
      <c r="FS97" s="173"/>
      <c r="FT97" s="173"/>
      <c r="FU97" s="173"/>
      <c r="FV97" s="173"/>
      <c r="FW97" s="173"/>
      <c r="FX97" s="173"/>
      <c r="FY97" s="173"/>
      <c r="FZ97" s="173"/>
      <c r="GA97" s="173"/>
      <c r="GB97" s="173"/>
      <c r="GC97" s="173"/>
      <c r="GD97" s="173"/>
      <c r="GE97" s="173"/>
      <c r="GF97" s="173"/>
      <c r="GG97" s="173"/>
      <c r="GH97" s="173"/>
      <c r="GI97" s="173"/>
      <c r="GJ97" s="173"/>
      <c r="GK97" s="173"/>
      <c r="GL97" s="173"/>
      <c r="GM97" s="173"/>
      <c r="GN97" s="173"/>
      <c r="GO97" s="173"/>
      <c r="GP97" s="173"/>
      <c r="GQ97" s="173"/>
      <c r="GR97" s="173"/>
      <c r="GS97" s="173"/>
      <c r="GT97" s="173"/>
      <c r="GU97" s="173"/>
      <c r="GV97" s="173"/>
      <c r="GW97" s="173"/>
      <c r="GX97" s="173"/>
      <c r="GY97" s="173"/>
      <c r="GZ97" s="173"/>
      <c r="HA97" s="173"/>
      <c r="HB97" s="173"/>
      <c r="HC97" s="173"/>
      <c r="HD97" s="173"/>
      <c r="HE97" s="173"/>
      <c r="HF97" s="173"/>
      <c r="HG97" s="173"/>
      <c r="HH97" s="173"/>
      <c r="HI97" s="173"/>
      <c r="HJ97" s="173"/>
      <c r="HK97" s="173"/>
      <c r="HL97" s="173"/>
      <c r="HM97" s="173"/>
      <c r="HN97" s="173"/>
      <c r="HO97" s="173"/>
      <c r="HP97" s="173"/>
      <c r="HQ97" s="173"/>
      <c r="HR97" s="173"/>
      <c r="HS97" s="173"/>
      <c r="HT97" s="173"/>
      <c r="HU97" s="173"/>
      <c r="HV97" s="173"/>
      <c r="HW97" s="173"/>
      <c r="HX97" s="173"/>
      <c r="HY97" s="173"/>
      <c r="HZ97" s="173"/>
      <c r="IA97" s="173"/>
      <c r="IB97" s="173"/>
      <c r="IC97" s="173"/>
      <c r="ID97" s="173"/>
      <c r="IE97" s="173"/>
      <c r="IF97" s="173"/>
      <c r="IG97" s="173"/>
      <c r="IH97" s="173"/>
      <c r="II97" s="173"/>
      <c r="IJ97" s="173"/>
      <c r="IK97" s="173"/>
      <c r="IL97" s="173"/>
      <c r="IM97" s="173"/>
      <c r="IN97" s="173"/>
      <c r="IO97" s="173"/>
      <c r="IP97" s="173"/>
      <c r="IQ97" s="173"/>
      <c r="IR97" s="173"/>
      <c r="IS97" s="173"/>
      <c r="IT97" s="173"/>
      <c r="IU97" s="173"/>
      <c r="IV97" s="173"/>
    </row>
    <row r="98" spans="1:256" ht="20.25" customHeight="1">
      <c r="A98" s="8" t="s">
        <v>65</v>
      </c>
      <c r="B98" s="32">
        <v>0</v>
      </c>
      <c r="C98" s="32">
        <v>0</v>
      </c>
      <c r="D98" s="32">
        <v>0</v>
      </c>
      <c r="E98" s="32">
        <v>0</v>
      </c>
      <c r="F98" s="32">
        <v>1</v>
      </c>
      <c r="G98" s="32">
        <v>0</v>
      </c>
      <c r="H98" s="32">
        <v>0</v>
      </c>
      <c r="I98" s="32">
        <v>0</v>
      </c>
      <c r="J98" s="32">
        <v>0</v>
      </c>
      <c r="K98" s="178">
        <f>SUM(B98:J98)</f>
        <v>1</v>
      </c>
      <c r="L98" s="35">
        <f>K98/(K97+K98+K96)</f>
        <v>1.1904761904761904E-2</v>
      </c>
      <c r="M98" s="35">
        <f>K98/(K99)</f>
        <v>1.1904761904761904E-2</v>
      </c>
      <c r="N98" s="37"/>
      <c r="O98" s="35"/>
      <c r="P98" s="13"/>
      <c r="Q98" s="38"/>
      <c r="R98" s="38"/>
      <c r="S98" s="38"/>
      <c r="T98" s="38"/>
      <c r="U98" s="40"/>
      <c r="V98" s="13"/>
      <c r="W98" s="38"/>
      <c r="X98" s="38"/>
      <c r="Y98" s="38"/>
      <c r="Z98" s="38"/>
      <c r="AA98" s="38"/>
      <c r="AB98" s="38"/>
      <c r="AC98" s="38"/>
      <c r="AD98" s="40"/>
      <c r="AE98" s="13"/>
      <c r="AF98" s="38"/>
      <c r="AG98" s="38"/>
      <c r="AH98" s="38"/>
      <c r="AI98" s="38"/>
      <c r="AJ98" s="38"/>
      <c r="AK98" s="38"/>
      <c r="AL98" s="38"/>
      <c r="AM98" s="41"/>
      <c r="AN98" s="13"/>
      <c r="AO98" s="38"/>
      <c r="AP98" s="38"/>
      <c r="AQ98" s="38"/>
      <c r="AR98" s="38"/>
      <c r="AS98" s="38"/>
      <c r="AT98" s="38"/>
      <c r="AU98" s="38"/>
      <c r="AV98" s="40"/>
      <c r="AW98" s="13"/>
      <c r="AX98" s="38"/>
      <c r="AY98" s="38"/>
      <c r="AZ98" s="38"/>
      <c r="BA98" s="38"/>
      <c r="BB98" s="38"/>
      <c r="BC98" s="38"/>
      <c r="BD98" s="40"/>
      <c r="BE98" s="13"/>
      <c r="BF98" s="38"/>
      <c r="BG98" s="42"/>
      <c r="BH98" s="42"/>
      <c r="BI98" s="42"/>
      <c r="BJ98" s="173"/>
      <c r="BK98" s="173"/>
      <c r="BL98" s="173"/>
      <c r="BM98" s="173"/>
      <c r="BN98" s="173"/>
      <c r="BO98" s="173"/>
      <c r="BP98" s="173"/>
      <c r="BQ98" s="173"/>
      <c r="BR98" s="173"/>
      <c r="BS98" s="173"/>
      <c r="BT98" s="173"/>
      <c r="BU98" s="173"/>
      <c r="BV98" s="173"/>
      <c r="BW98" s="173"/>
      <c r="BX98" s="173"/>
      <c r="BY98" s="173"/>
      <c r="BZ98" s="173"/>
      <c r="CA98" s="173"/>
      <c r="CB98" s="173"/>
      <c r="CC98" s="173"/>
      <c r="CD98" s="173"/>
      <c r="CE98" s="173"/>
      <c r="CF98" s="173"/>
      <c r="CG98" s="173"/>
      <c r="CH98" s="173"/>
      <c r="CI98" s="173"/>
      <c r="CJ98" s="173"/>
      <c r="CK98" s="173"/>
      <c r="CL98" s="173"/>
      <c r="CM98" s="173"/>
      <c r="CN98" s="173"/>
      <c r="CO98" s="173"/>
      <c r="CP98" s="173"/>
      <c r="CQ98" s="173"/>
      <c r="CR98" s="173"/>
      <c r="CS98" s="173"/>
      <c r="CT98" s="173"/>
      <c r="CU98" s="173"/>
      <c r="CV98" s="173"/>
      <c r="CW98" s="173"/>
      <c r="CX98" s="173"/>
      <c r="CY98" s="173"/>
      <c r="CZ98" s="173"/>
      <c r="DA98" s="173"/>
      <c r="DB98" s="173"/>
      <c r="DC98" s="173"/>
      <c r="DD98" s="173"/>
      <c r="DE98" s="173"/>
      <c r="DF98" s="173"/>
      <c r="DG98" s="173"/>
      <c r="DH98" s="173"/>
      <c r="DI98" s="173"/>
      <c r="DJ98" s="173"/>
      <c r="DK98" s="173"/>
      <c r="DL98" s="173"/>
      <c r="DM98" s="173"/>
      <c r="DN98" s="173"/>
      <c r="DO98" s="173"/>
      <c r="DP98" s="173"/>
      <c r="DQ98" s="173"/>
      <c r="DR98" s="173"/>
      <c r="DS98" s="173"/>
      <c r="DT98" s="173"/>
      <c r="DU98" s="173"/>
      <c r="DV98" s="173"/>
      <c r="DW98" s="173"/>
      <c r="DX98" s="173"/>
      <c r="DY98" s="173"/>
      <c r="DZ98" s="173"/>
      <c r="EA98" s="173"/>
      <c r="EB98" s="173"/>
      <c r="EC98" s="173"/>
      <c r="ED98" s="173"/>
      <c r="EE98" s="173"/>
      <c r="EF98" s="173"/>
      <c r="EG98" s="173"/>
      <c r="EH98" s="173"/>
      <c r="EI98" s="173"/>
      <c r="EJ98" s="173"/>
      <c r="EK98" s="173"/>
      <c r="EL98" s="173"/>
      <c r="EM98" s="173"/>
      <c r="EN98" s="173"/>
      <c r="EO98" s="173"/>
      <c r="EP98" s="173"/>
      <c r="EQ98" s="173"/>
      <c r="ER98" s="173"/>
      <c r="ES98" s="173"/>
      <c r="ET98" s="173"/>
      <c r="EU98" s="173"/>
      <c r="EV98" s="173"/>
      <c r="EW98" s="173"/>
      <c r="EX98" s="173"/>
      <c r="EY98" s="173"/>
      <c r="EZ98" s="173"/>
      <c r="FA98" s="173"/>
      <c r="FB98" s="173"/>
      <c r="FC98" s="173"/>
      <c r="FD98" s="173"/>
      <c r="FE98" s="173"/>
      <c r="FF98" s="173"/>
      <c r="FG98" s="173"/>
      <c r="FH98" s="173"/>
      <c r="FI98" s="173"/>
      <c r="FJ98" s="173"/>
      <c r="FK98" s="173"/>
      <c r="FL98" s="173"/>
      <c r="FM98" s="173"/>
      <c r="FN98" s="173"/>
      <c r="FO98" s="173"/>
      <c r="FP98" s="173"/>
      <c r="FQ98" s="173"/>
      <c r="FR98" s="173"/>
      <c r="FS98" s="173"/>
      <c r="FT98" s="173"/>
      <c r="FU98" s="173"/>
      <c r="FV98" s="173"/>
      <c r="FW98" s="173"/>
      <c r="FX98" s="173"/>
      <c r="FY98" s="173"/>
      <c r="FZ98" s="173"/>
      <c r="GA98" s="173"/>
      <c r="GB98" s="173"/>
      <c r="GC98" s="173"/>
      <c r="GD98" s="173"/>
      <c r="GE98" s="173"/>
      <c r="GF98" s="173"/>
      <c r="GG98" s="173"/>
      <c r="GH98" s="173"/>
      <c r="GI98" s="173"/>
      <c r="GJ98" s="173"/>
      <c r="GK98" s="173"/>
      <c r="GL98" s="173"/>
      <c r="GM98" s="173"/>
      <c r="GN98" s="173"/>
      <c r="GO98" s="173"/>
      <c r="GP98" s="173"/>
      <c r="GQ98" s="173"/>
      <c r="GR98" s="173"/>
      <c r="GS98" s="173"/>
      <c r="GT98" s="173"/>
      <c r="GU98" s="173"/>
      <c r="GV98" s="173"/>
      <c r="GW98" s="173"/>
      <c r="GX98" s="173"/>
      <c r="GY98" s="173"/>
      <c r="GZ98" s="173"/>
      <c r="HA98" s="173"/>
      <c r="HB98" s="173"/>
      <c r="HC98" s="173"/>
      <c r="HD98" s="173"/>
      <c r="HE98" s="173"/>
      <c r="HF98" s="173"/>
      <c r="HG98" s="173"/>
      <c r="HH98" s="173"/>
      <c r="HI98" s="173"/>
      <c r="HJ98" s="173"/>
      <c r="HK98" s="173"/>
      <c r="HL98" s="173"/>
      <c r="HM98" s="173"/>
      <c r="HN98" s="173"/>
      <c r="HO98" s="173"/>
      <c r="HP98" s="173"/>
      <c r="HQ98" s="173"/>
      <c r="HR98" s="173"/>
      <c r="HS98" s="173"/>
      <c r="HT98" s="173"/>
      <c r="HU98" s="173"/>
      <c r="HV98" s="173"/>
      <c r="HW98" s="173"/>
      <c r="HX98" s="173"/>
      <c r="HY98" s="173"/>
      <c r="HZ98" s="173"/>
      <c r="IA98" s="173"/>
      <c r="IB98" s="173"/>
      <c r="IC98" s="173"/>
      <c r="ID98" s="173"/>
      <c r="IE98" s="173"/>
      <c r="IF98" s="173"/>
      <c r="IG98" s="173"/>
      <c r="IH98" s="173"/>
      <c r="II98" s="173"/>
      <c r="IJ98" s="173"/>
      <c r="IK98" s="173"/>
      <c r="IL98" s="173"/>
      <c r="IM98" s="173"/>
      <c r="IN98" s="173"/>
      <c r="IO98" s="173"/>
      <c r="IP98" s="173"/>
      <c r="IQ98" s="173"/>
      <c r="IR98" s="173"/>
      <c r="IS98" s="173"/>
      <c r="IT98" s="173"/>
      <c r="IU98" s="173"/>
      <c r="IV98" s="173"/>
    </row>
    <row r="99" spans="1:256" ht="20.25" customHeight="1">
      <c r="A99" s="39" t="s">
        <v>66</v>
      </c>
      <c r="B99" s="32">
        <f t="shared" ref="B99:J99" si="64">SUM(B96:B98)</f>
        <v>11</v>
      </c>
      <c r="C99" s="32">
        <f t="shared" si="64"/>
        <v>4</v>
      </c>
      <c r="D99" s="32">
        <f t="shared" si="64"/>
        <v>15</v>
      </c>
      <c r="E99" s="32">
        <f t="shared" si="64"/>
        <v>10</v>
      </c>
      <c r="F99" s="32">
        <f t="shared" si="64"/>
        <v>11</v>
      </c>
      <c r="G99" s="32">
        <f t="shared" si="64"/>
        <v>8</v>
      </c>
      <c r="H99" s="32">
        <f t="shared" si="64"/>
        <v>5</v>
      </c>
      <c r="I99" s="32">
        <f t="shared" si="64"/>
        <v>10</v>
      </c>
      <c r="J99" s="32">
        <f t="shared" si="64"/>
        <v>10</v>
      </c>
      <c r="K99" s="178">
        <f>SUM(B99:J99)</f>
        <v>84</v>
      </c>
      <c r="L99" s="35">
        <f>K99/(K98+K97+K96)</f>
        <v>1</v>
      </c>
      <c r="M99" s="35">
        <f>K99/(K96+K97+K98)</f>
        <v>1</v>
      </c>
      <c r="N99" s="37"/>
      <c r="O99" s="35"/>
      <c r="P99" s="13"/>
      <c r="Q99" s="38"/>
      <c r="R99" s="38"/>
      <c r="S99" s="38"/>
      <c r="T99" s="38"/>
      <c r="U99" s="40"/>
      <c r="V99" s="13"/>
      <c r="W99" s="38"/>
      <c r="X99" s="38"/>
      <c r="Y99" s="38"/>
      <c r="Z99" s="38"/>
      <c r="AA99" s="38"/>
      <c r="AB99" s="38"/>
      <c r="AC99" s="38"/>
      <c r="AD99" s="40"/>
      <c r="AE99" s="13"/>
      <c r="AF99" s="38"/>
      <c r="AG99" s="38"/>
      <c r="AH99" s="38"/>
      <c r="AI99" s="38"/>
      <c r="AJ99" s="38"/>
      <c r="AK99" s="38"/>
      <c r="AL99" s="38"/>
      <c r="AM99" s="41"/>
      <c r="AN99" s="13"/>
      <c r="AO99" s="38"/>
      <c r="AP99" s="38"/>
      <c r="AQ99" s="38"/>
      <c r="AR99" s="38"/>
      <c r="AS99" s="38"/>
      <c r="AT99" s="38"/>
      <c r="AU99" s="38"/>
      <c r="AV99" s="40"/>
      <c r="AW99" s="13"/>
      <c r="AX99" s="38"/>
      <c r="AY99" s="38"/>
      <c r="AZ99" s="38"/>
      <c r="BA99" s="38"/>
      <c r="BB99" s="38"/>
      <c r="BC99" s="38"/>
      <c r="BD99" s="40"/>
      <c r="BE99" s="13"/>
      <c r="BF99" s="38"/>
      <c r="BG99" s="42"/>
      <c r="BH99" s="42"/>
      <c r="BI99" s="42"/>
      <c r="BJ99" s="173"/>
      <c r="BK99" s="173"/>
      <c r="BL99" s="173"/>
      <c r="BM99" s="173"/>
      <c r="BN99" s="173"/>
      <c r="BO99" s="173"/>
      <c r="BP99" s="173"/>
      <c r="BQ99" s="173"/>
      <c r="BR99" s="173"/>
      <c r="BS99" s="173"/>
      <c r="BT99" s="173"/>
      <c r="BU99" s="173"/>
      <c r="BV99" s="173"/>
      <c r="BW99" s="173"/>
      <c r="BX99" s="173"/>
      <c r="BY99" s="173"/>
      <c r="BZ99" s="173"/>
      <c r="CA99" s="173"/>
      <c r="CB99" s="173"/>
      <c r="CC99" s="173"/>
      <c r="CD99" s="173"/>
      <c r="CE99" s="173"/>
      <c r="CF99" s="173"/>
      <c r="CG99" s="173"/>
      <c r="CH99" s="173"/>
      <c r="CI99" s="173"/>
      <c r="CJ99" s="173"/>
      <c r="CK99" s="173"/>
      <c r="CL99" s="173"/>
      <c r="CM99" s="173"/>
      <c r="CN99" s="173"/>
      <c r="CO99" s="173"/>
      <c r="CP99" s="173"/>
      <c r="CQ99" s="173"/>
      <c r="CR99" s="173"/>
      <c r="CS99" s="173"/>
      <c r="CT99" s="173"/>
      <c r="CU99" s="173"/>
      <c r="CV99" s="173"/>
      <c r="CW99" s="173"/>
      <c r="CX99" s="173"/>
      <c r="CY99" s="173"/>
      <c r="CZ99" s="173"/>
      <c r="DA99" s="173"/>
      <c r="DB99" s="173"/>
      <c r="DC99" s="173"/>
      <c r="DD99" s="173"/>
      <c r="DE99" s="173"/>
      <c r="DF99" s="173"/>
      <c r="DG99" s="173"/>
      <c r="DH99" s="173"/>
      <c r="DI99" s="173"/>
      <c r="DJ99" s="173"/>
      <c r="DK99" s="173"/>
      <c r="DL99" s="173"/>
      <c r="DM99" s="173"/>
      <c r="DN99" s="173"/>
      <c r="DO99" s="173"/>
      <c r="DP99" s="173"/>
      <c r="DQ99" s="173"/>
      <c r="DR99" s="173"/>
      <c r="DS99" s="173"/>
      <c r="DT99" s="173"/>
      <c r="DU99" s="173"/>
      <c r="DV99" s="173"/>
      <c r="DW99" s="173"/>
      <c r="DX99" s="173"/>
      <c r="DY99" s="173"/>
      <c r="DZ99" s="173"/>
      <c r="EA99" s="173"/>
      <c r="EB99" s="173"/>
      <c r="EC99" s="173"/>
      <c r="ED99" s="173"/>
      <c r="EE99" s="173"/>
      <c r="EF99" s="173"/>
      <c r="EG99" s="173"/>
      <c r="EH99" s="173"/>
      <c r="EI99" s="173"/>
      <c r="EJ99" s="173"/>
      <c r="EK99" s="173"/>
      <c r="EL99" s="173"/>
      <c r="EM99" s="173"/>
      <c r="EN99" s="173"/>
      <c r="EO99" s="173"/>
      <c r="EP99" s="173"/>
      <c r="EQ99" s="173"/>
      <c r="ER99" s="173"/>
      <c r="ES99" s="173"/>
      <c r="ET99" s="173"/>
      <c r="EU99" s="173"/>
      <c r="EV99" s="173"/>
      <c r="EW99" s="173"/>
      <c r="EX99" s="173"/>
      <c r="EY99" s="173"/>
      <c r="EZ99" s="173"/>
      <c r="FA99" s="173"/>
      <c r="FB99" s="173"/>
      <c r="FC99" s="173"/>
      <c r="FD99" s="173"/>
      <c r="FE99" s="173"/>
      <c r="FF99" s="173"/>
      <c r="FG99" s="173"/>
      <c r="FH99" s="173"/>
      <c r="FI99" s="173"/>
      <c r="FJ99" s="173"/>
      <c r="FK99" s="173"/>
      <c r="FL99" s="173"/>
      <c r="FM99" s="173"/>
      <c r="FN99" s="173"/>
      <c r="FO99" s="173"/>
      <c r="FP99" s="173"/>
      <c r="FQ99" s="173"/>
      <c r="FR99" s="173"/>
      <c r="FS99" s="173"/>
      <c r="FT99" s="173"/>
      <c r="FU99" s="173"/>
      <c r="FV99" s="173"/>
      <c r="FW99" s="173"/>
      <c r="FX99" s="173"/>
      <c r="FY99" s="173"/>
      <c r="FZ99" s="173"/>
      <c r="GA99" s="173"/>
      <c r="GB99" s="173"/>
      <c r="GC99" s="173"/>
      <c r="GD99" s="173"/>
      <c r="GE99" s="173"/>
      <c r="GF99" s="173"/>
      <c r="GG99" s="173"/>
      <c r="GH99" s="173"/>
      <c r="GI99" s="173"/>
      <c r="GJ99" s="173"/>
      <c r="GK99" s="173"/>
      <c r="GL99" s="173"/>
      <c r="GM99" s="173"/>
      <c r="GN99" s="173"/>
      <c r="GO99" s="173"/>
      <c r="GP99" s="173"/>
      <c r="GQ99" s="173"/>
      <c r="GR99" s="173"/>
      <c r="GS99" s="173"/>
      <c r="GT99" s="173"/>
      <c r="GU99" s="173"/>
      <c r="GV99" s="173"/>
      <c r="GW99" s="173"/>
      <c r="GX99" s="173"/>
      <c r="GY99" s="173"/>
      <c r="GZ99" s="173"/>
      <c r="HA99" s="173"/>
      <c r="HB99" s="173"/>
      <c r="HC99" s="173"/>
      <c r="HD99" s="173"/>
      <c r="HE99" s="173"/>
      <c r="HF99" s="173"/>
      <c r="HG99" s="173"/>
      <c r="HH99" s="173"/>
      <c r="HI99" s="173"/>
      <c r="HJ99" s="173"/>
      <c r="HK99" s="173"/>
      <c r="HL99" s="173"/>
      <c r="HM99" s="173"/>
      <c r="HN99" s="173"/>
      <c r="HO99" s="173"/>
      <c r="HP99" s="173"/>
      <c r="HQ99" s="173"/>
      <c r="HR99" s="173"/>
      <c r="HS99" s="173"/>
      <c r="HT99" s="173"/>
      <c r="HU99" s="173"/>
      <c r="HV99" s="173"/>
      <c r="HW99" s="173"/>
      <c r="HX99" s="173"/>
      <c r="HY99" s="173"/>
      <c r="HZ99" s="173"/>
      <c r="IA99" s="173"/>
      <c r="IB99" s="173"/>
      <c r="IC99" s="173"/>
      <c r="ID99" s="173"/>
      <c r="IE99" s="173"/>
      <c r="IF99" s="173"/>
      <c r="IG99" s="173"/>
      <c r="IH99" s="173"/>
      <c r="II99" s="173"/>
      <c r="IJ99" s="173"/>
      <c r="IK99" s="173"/>
      <c r="IL99" s="173"/>
      <c r="IM99" s="173"/>
      <c r="IN99" s="173"/>
      <c r="IO99" s="173"/>
      <c r="IP99" s="173"/>
      <c r="IQ99" s="173"/>
      <c r="IR99" s="173"/>
      <c r="IS99" s="173"/>
      <c r="IT99" s="173"/>
      <c r="IU99" s="173"/>
      <c r="IV99" s="173"/>
    </row>
    <row r="100" spans="1:256" ht="44.25" customHeight="1">
      <c r="A100" s="180" t="s">
        <v>241</v>
      </c>
      <c r="B100" s="181" t="s">
        <v>87</v>
      </c>
      <c r="C100" s="182"/>
      <c r="D100" s="182"/>
      <c r="E100" s="182"/>
      <c r="F100" s="182"/>
      <c r="G100" s="179"/>
      <c r="H100" s="179"/>
      <c r="I100" s="179"/>
      <c r="J100" s="179"/>
      <c r="K100" s="177"/>
      <c r="L100" s="24"/>
      <c r="M100" s="24"/>
      <c r="N100" s="26"/>
      <c r="O100" s="24"/>
      <c r="P100" s="27"/>
      <c r="Q100" s="28"/>
      <c r="R100" s="28"/>
      <c r="S100" s="28"/>
      <c r="T100" s="26"/>
      <c r="U100" s="24"/>
      <c r="V100" s="27"/>
      <c r="W100" s="28"/>
      <c r="X100" s="28"/>
      <c r="Y100" s="28"/>
      <c r="Z100" s="28"/>
      <c r="AA100" s="28"/>
      <c r="AB100" s="28"/>
      <c r="AC100" s="26"/>
      <c r="AD100" s="24"/>
      <c r="AE100" s="27"/>
      <c r="AF100" s="28"/>
      <c r="AG100" s="28"/>
      <c r="AH100" s="28"/>
      <c r="AI100" s="28"/>
      <c r="AJ100" s="28"/>
      <c r="AK100" s="28"/>
      <c r="AL100" s="26"/>
      <c r="AM100" s="29"/>
      <c r="AN100" s="27"/>
      <c r="AO100" s="26"/>
      <c r="AP100" s="26"/>
      <c r="AQ100" s="26"/>
      <c r="AR100" s="26"/>
      <c r="AS100" s="26"/>
      <c r="AT100" s="26"/>
      <c r="AU100" s="26"/>
      <c r="AV100" s="24"/>
      <c r="AW100" s="27"/>
      <c r="AX100" s="26"/>
      <c r="AY100" s="26"/>
      <c r="AZ100" s="26"/>
      <c r="BA100" s="26"/>
      <c r="BB100" s="26"/>
      <c r="BC100" s="26"/>
      <c r="BD100" s="24"/>
      <c r="BE100" s="27"/>
      <c r="BF100" s="26"/>
      <c r="BG100" s="179"/>
      <c r="BH100" s="177"/>
      <c r="BI100" s="179"/>
      <c r="BJ100" s="173"/>
      <c r="BK100" s="173"/>
      <c r="BL100" s="173"/>
      <c r="BM100" s="173"/>
      <c r="BN100" s="173"/>
      <c r="BO100" s="173"/>
      <c r="BP100" s="173"/>
      <c r="BQ100" s="173"/>
      <c r="BR100" s="173"/>
      <c r="BS100" s="173"/>
      <c r="BT100" s="173"/>
      <c r="BU100" s="173"/>
      <c r="BV100" s="173"/>
      <c r="BW100" s="173"/>
      <c r="BX100" s="173"/>
      <c r="BY100" s="173"/>
      <c r="BZ100" s="173"/>
      <c r="CA100" s="173"/>
      <c r="CB100" s="173"/>
      <c r="CC100" s="173"/>
      <c r="CD100" s="173"/>
      <c r="CE100" s="173"/>
      <c r="CF100" s="173"/>
      <c r="CG100" s="173"/>
      <c r="CH100" s="173"/>
      <c r="CI100" s="173"/>
      <c r="CJ100" s="173"/>
      <c r="CK100" s="173"/>
      <c r="CL100" s="173"/>
      <c r="CM100" s="173"/>
      <c r="CN100" s="173"/>
      <c r="CO100" s="173"/>
      <c r="CP100" s="173"/>
      <c r="CQ100" s="173"/>
      <c r="CR100" s="173"/>
      <c r="CS100" s="173"/>
      <c r="CT100" s="173"/>
      <c r="CU100" s="173"/>
      <c r="CV100" s="173"/>
      <c r="CW100" s="173"/>
      <c r="CX100" s="173"/>
      <c r="CY100" s="173"/>
      <c r="CZ100" s="173"/>
      <c r="DA100" s="173"/>
      <c r="DB100" s="173"/>
      <c r="DC100" s="173"/>
      <c r="DD100" s="173"/>
      <c r="DE100" s="173"/>
      <c r="DF100" s="173"/>
      <c r="DG100" s="173"/>
      <c r="DH100" s="173"/>
      <c r="DI100" s="173"/>
      <c r="DJ100" s="173"/>
      <c r="DK100" s="173"/>
      <c r="DL100" s="173"/>
      <c r="DM100" s="173"/>
      <c r="DN100" s="173"/>
      <c r="DO100" s="173"/>
      <c r="DP100" s="173"/>
      <c r="DQ100" s="173"/>
      <c r="DR100" s="173"/>
      <c r="DS100" s="173"/>
      <c r="DT100" s="173"/>
      <c r="DU100" s="173"/>
      <c r="DV100" s="173"/>
      <c r="DW100" s="173"/>
      <c r="DX100" s="173"/>
      <c r="DY100" s="173"/>
      <c r="DZ100" s="173"/>
      <c r="EA100" s="173"/>
      <c r="EB100" s="173"/>
      <c r="EC100" s="173"/>
      <c r="ED100" s="173"/>
      <c r="EE100" s="173"/>
      <c r="EF100" s="173"/>
      <c r="EG100" s="173"/>
      <c r="EH100" s="173"/>
      <c r="EI100" s="173"/>
      <c r="EJ100" s="173"/>
      <c r="EK100" s="173"/>
      <c r="EL100" s="173"/>
      <c r="EM100" s="173"/>
      <c r="EN100" s="173"/>
      <c r="EO100" s="173"/>
      <c r="EP100" s="173"/>
      <c r="EQ100" s="173"/>
      <c r="ER100" s="173"/>
      <c r="ES100" s="173"/>
      <c r="ET100" s="173"/>
      <c r="EU100" s="173"/>
      <c r="EV100" s="173"/>
      <c r="EW100" s="173"/>
      <c r="EX100" s="173"/>
      <c r="EY100" s="173"/>
      <c r="EZ100" s="173"/>
      <c r="FA100" s="173"/>
      <c r="FB100" s="173"/>
      <c r="FC100" s="173"/>
      <c r="FD100" s="173"/>
      <c r="FE100" s="173"/>
      <c r="FF100" s="173"/>
      <c r="FG100" s="173"/>
      <c r="FH100" s="173"/>
      <c r="FI100" s="173"/>
      <c r="FJ100" s="173"/>
      <c r="FK100" s="173"/>
      <c r="FL100" s="173"/>
      <c r="FM100" s="173"/>
      <c r="FN100" s="173"/>
      <c r="FO100" s="173"/>
      <c r="FP100" s="173"/>
      <c r="FQ100" s="173"/>
      <c r="FR100" s="173"/>
      <c r="FS100" s="173"/>
      <c r="FT100" s="173"/>
      <c r="FU100" s="173"/>
      <c r="FV100" s="173"/>
      <c r="FW100" s="173"/>
      <c r="FX100" s="173"/>
      <c r="FY100" s="173"/>
      <c r="FZ100" s="173"/>
      <c r="GA100" s="173"/>
      <c r="GB100" s="173"/>
      <c r="GC100" s="173"/>
      <c r="GD100" s="173"/>
      <c r="GE100" s="173"/>
      <c r="GF100" s="173"/>
      <c r="GG100" s="173"/>
      <c r="GH100" s="173"/>
      <c r="GI100" s="173"/>
      <c r="GJ100" s="173"/>
      <c r="GK100" s="173"/>
      <c r="GL100" s="173"/>
      <c r="GM100" s="173"/>
      <c r="GN100" s="173"/>
      <c r="GO100" s="173"/>
      <c r="GP100" s="173"/>
      <c r="GQ100" s="173"/>
      <c r="GR100" s="173"/>
      <c r="GS100" s="173"/>
      <c r="GT100" s="173"/>
      <c r="GU100" s="173"/>
      <c r="GV100" s="173"/>
      <c r="GW100" s="173"/>
      <c r="GX100" s="173"/>
      <c r="GY100" s="173"/>
      <c r="GZ100" s="173"/>
      <c r="HA100" s="173"/>
      <c r="HB100" s="173"/>
      <c r="HC100" s="173"/>
      <c r="HD100" s="173"/>
      <c r="HE100" s="173"/>
      <c r="HF100" s="173"/>
      <c r="HG100" s="173"/>
      <c r="HH100" s="173"/>
      <c r="HI100" s="173"/>
      <c r="HJ100" s="173"/>
      <c r="HK100" s="173"/>
      <c r="HL100" s="173"/>
      <c r="HM100" s="173"/>
      <c r="HN100" s="173"/>
      <c r="HO100" s="173"/>
      <c r="HP100" s="173"/>
      <c r="HQ100" s="173"/>
      <c r="HR100" s="173"/>
      <c r="HS100" s="173"/>
      <c r="HT100" s="173"/>
      <c r="HU100" s="173"/>
      <c r="HV100" s="173"/>
      <c r="HW100" s="173"/>
      <c r="HX100" s="173"/>
      <c r="HY100" s="173"/>
      <c r="HZ100" s="173"/>
      <c r="IA100" s="173"/>
      <c r="IB100" s="173"/>
      <c r="IC100" s="173"/>
      <c r="ID100" s="173"/>
      <c r="IE100" s="173"/>
      <c r="IF100" s="173"/>
      <c r="IG100" s="173"/>
      <c r="IH100" s="173"/>
      <c r="II100" s="173"/>
      <c r="IJ100" s="173"/>
      <c r="IK100" s="173"/>
      <c r="IL100" s="173"/>
      <c r="IM100" s="173"/>
      <c r="IN100" s="173"/>
      <c r="IO100" s="173"/>
      <c r="IP100" s="173"/>
      <c r="IQ100" s="173"/>
      <c r="IR100" s="173"/>
      <c r="IS100" s="173"/>
      <c r="IT100" s="173"/>
      <c r="IU100" s="173"/>
      <c r="IV100" s="173"/>
    </row>
    <row r="101" spans="1:256" ht="32.25" customHeight="1">
      <c r="A101" s="10"/>
      <c r="B101" s="30" t="s">
        <v>0</v>
      </c>
      <c r="C101" s="30" t="s">
        <v>1</v>
      </c>
      <c r="D101" s="30" t="s">
        <v>2</v>
      </c>
      <c r="E101" s="30" t="s">
        <v>3</v>
      </c>
      <c r="F101" s="30" t="s">
        <v>4</v>
      </c>
      <c r="G101" s="30" t="s">
        <v>5</v>
      </c>
      <c r="H101" s="30" t="s">
        <v>68</v>
      </c>
      <c r="I101" s="30" t="s">
        <v>7</v>
      </c>
      <c r="J101" s="30" t="s">
        <v>8</v>
      </c>
      <c r="K101" s="10" t="s">
        <v>9</v>
      </c>
      <c r="L101" s="10" t="s">
        <v>56</v>
      </c>
      <c r="M101" s="20"/>
      <c r="N101" s="12"/>
      <c r="O101" s="20"/>
      <c r="P101" s="27"/>
      <c r="Q101" s="30" t="s">
        <v>15</v>
      </c>
      <c r="R101" s="30" t="s">
        <v>16</v>
      </c>
      <c r="S101" s="30" t="s">
        <v>28</v>
      </c>
      <c r="T101" s="20"/>
      <c r="U101" s="11"/>
      <c r="V101" s="27"/>
      <c r="W101" s="30" t="s">
        <v>15</v>
      </c>
      <c r="X101" s="30" t="s">
        <v>20</v>
      </c>
      <c r="Y101" s="30" t="s">
        <v>21</v>
      </c>
      <c r="Z101" s="30" t="s">
        <v>22</v>
      </c>
      <c r="AA101" s="30" t="s">
        <v>23</v>
      </c>
      <c r="AB101" s="30" t="s">
        <v>24</v>
      </c>
      <c r="AC101" s="20"/>
      <c r="AD101" s="11"/>
      <c r="AE101" s="27"/>
      <c r="AF101" s="30" t="s">
        <v>20</v>
      </c>
      <c r="AG101" s="30" t="s">
        <v>21</v>
      </c>
      <c r="AH101" s="30" t="s">
        <v>22</v>
      </c>
      <c r="AI101" s="30" t="s">
        <v>23</v>
      </c>
      <c r="AJ101" s="30" t="s">
        <v>24</v>
      </c>
      <c r="AK101" s="30" t="s">
        <v>28</v>
      </c>
      <c r="AL101" s="20"/>
      <c r="AM101" s="44"/>
      <c r="AN101" s="27"/>
      <c r="AO101" s="30" t="s">
        <v>15</v>
      </c>
      <c r="AP101" s="30" t="s">
        <v>20</v>
      </c>
      <c r="AQ101" s="30" t="s">
        <v>21</v>
      </c>
      <c r="AR101" s="30" t="s">
        <v>16</v>
      </c>
      <c r="AS101" s="30" t="s">
        <v>22</v>
      </c>
      <c r="AT101" s="30" t="s">
        <v>24</v>
      </c>
      <c r="AU101" s="20"/>
      <c r="AV101" s="11"/>
      <c r="AW101" s="27"/>
      <c r="AX101" s="30" t="s">
        <v>15</v>
      </c>
      <c r="AY101" s="30" t="s">
        <v>20</v>
      </c>
      <c r="AZ101" s="30" t="s">
        <v>22</v>
      </c>
      <c r="BA101" s="30" t="s">
        <v>23</v>
      </c>
      <c r="BB101" s="30" t="s">
        <v>28</v>
      </c>
      <c r="BC101" s="20"/>
      <c r="BD101" s="11"/>
      <c r="BE101" s="27"/>
      <c r="BF101" s="9" t="s">
        <v>80</v>
      </c>
      <c r="BG101" s="9" t="s">
        <v>88</v>
      </c>
      <c r="BH101" s="9" t="s">
        <v>40</v>
      </c>
      <c r="BI101" s="9" t="s">
        <v>41</v>
      </c>
      <c r="BJ101" s="173"/>
      <c r="BK101" s="173"/>
      <c r="BL101" s="173"/>
      <c r="BM101" s="173"/>
      <c r="BN101" s="173"/>
      <c r="BO101" s="173"/>
      <c r="BP101" s="173"/>
      <c r="BQ101" s="173"/>
      <c r="BR101" s="173"/>
      <c r="BS101" s="173"/>
      <c r="BT101" s="173"/>
      <c r="BU101" s="173"/>
      <c r="BV101" s="173"/>
      <c r="BW101" s="173"/>
      <c r="BX101" s="173"/>
      <c r="BY101" s="173"/>
      <c r="BZ101" s="173"/>
      <c r="CA101" s="173"/>
      <c r="CB101" s="173"/>
      <c r="CC101" s="173"/>
      <c r="CD101" s="173"/>
      <c r="CE101" s="173"/>
      <c r="CF101" s="173"/>
      <c r="CG101" s="173"/>
      <c r="CH101" s="173"/>
      <c r="CI101" s="173"/>
      <c r="CJ101" s="173"/>
      <c r="CK101" s="173"/>
      <c r="CL101" s="173"/>
      <c r="CM101" s="173"/>
      <c r="CN101" s="173"/>
      <c r="CO101" s="173"/>
      <c r="CP101" s="173"/>
      <c r="CQ101" s="173"/>
      <c r="CR101" s="173"/>
      <c r="CS101" s="173"/>
      <c r="CT101" s="173"/>
      <c r="CU101" s="173"/>
      <c r="CV101" s="173"/>
      <c r="CW101" s="173"/>
      <c r="CX101" s="173"/>
      <c r="CY101" s="173"/>
      <c r="CZ101" s="173"/>
      <c r="DA101" s="173"/>
      <c r="DB101" s="173"/>
      <c r="DC101" s="173"/>
      <c r="DD101" s="173"/>
      <c r="DE101" s="173"/>
      <c r="DF101" s="173"/>
      <c r="DG101" s="173"/>
      <c r="DH101" s="173"/>
      <c r="DI101" s="173"/>
      <c r="DJ101" s="173"/>
      <c r="DK101" s="173"/>
      <c r="DL101" s="173"/>
      <c r="DM101" s="173"/>
      <c r="DN101" s="173"/>
      <c r="DO101" s="173"/>
      <c r="DP101" s="173"/>
      <c r="DQ101" s="173"/>
      <c r="DR101" s="173"/>
      <c r="DS101" s="173"/>
      <c r="DT101" s="173"/>
      <c r="DU101" s="173"/>
      <c r="DV101" s="173"/>
      <c r="DW101" s="173"/>
      <c r="DX101" s="173"/>
      <c r="DY101" s="173"/>
      <c r="DZ101" s="173"/>
      <c r="EA101" s="173"/>
      <c r="EB101" s="173"/>
      <c r="EC101" s="173"/>
      <c r="ED101" s="173"/>
      <c r="EE101" s="173"/>
      <c r="EF101" s="173"/>
      <c r="EG101" s="173"/>
      <c r="EH101" s="173"/>
      <c r="EI101" s="173"/>
      <c r="EJ101" s="173"/>
      <c r="EK101" s="173"/>
      <c r="EL101" s="173"/>
      <c r="EM101" s="173"/>
      <c r="EN101" s="173"/>
      <c r="EO101" s="173"/>
      <c r="EP101" s="173"/>
      <c r="EQ101" s="173"/>
      <c r="ER101" s="173"/>
      <c r="ES101" s="173"/>
      <c r="ET101" s="173"/>
      <c r="EU101" s="173"/>
      <c r="EV101" s="173"/>
      <c r="EW101" s="173"/>
      <c r="EX101" s="173"/>
      <c r="EY101" s="173"/>
      <c r="EZ101" s="173"/>
      <c r="FA101" s="173"/>
      <c r="FB101" s="173"/>
      <c r="FC101" s="173"/>
      <c r="FD101" s="173"/>
      <c r="FE101" s="173"/>
      <c r="FF101" s="173"/>
      <c r="FG101" s="173"/>
      <c r="FH101" s="173"/>
      <c r="FI101" s="173"/>
      <c r="FJ101" s="173"/>
      <c r="FK101" s="173"/>
      <c r="FL101" s="173"/>
      <c r="FM101" s="173"/>
      <c r="FN101" s="173"/>
      <c r="FO101" s="173"/>
      <c r="FP101" s="173"/>
      <c r="FQ101" s="173"/>
      <c r="FR101" s="173"/>
      <c r="FS101" s="173"/>
      <c r="FT101" s="173"/>
      <c r="FU101" s="173"/>
      <c r="FV101" s="173"/>
      <c r="FW101" s="173"/>
      <c r="FX101" s="173"/>
      <c r="FY101" s="173"/>
      <c r="FZ101" s="173"/>
      <c r="GA101" s="173"/>
      <c r="GB101" s="173"/>
      <c r="GC101" s="173"/>
      <c r="GD101" s="173"/>
      <c r="GE101" s="173"/>
      <c r="GF101" s="173"/>
      <c r="GG101" s="173"/>
      <c r="GH101" s="173"/>
      <c r="GI101" s="173"/>
      <c r="GJ101" s="173"/>
      <c r="GK101" s="173"/>
      <c r="GL101" s="173"/>
      <c r="GM101" s="173"/>
      <c r="GN101" s="173"/>
      <c r="GO101" s="173"/>
      <c r="GP101" s="173"/>
      <c r="GQ101" s="173"/>
      <c r="GR101" s="173"/>
      <c r="GS101" s="173"/>
      <c r="GT101" s="173"/>
      <c r="GU101" s="173"/>
      <c r="GV101" s="173"/>
      <c r="GW101" s="173"/>
      <c r="GX101" s="173"/>
      <c r="GY101" s="173"/>
      <c r="GZ101" s="173"/>
      <c r="HA101" s="173"/>
      <c r="HB101" s="173"/>
      <c r="HC101" s="173"/>
      <c r="HD101" s="173"/>
      <c r="HE101" s="173"/>
      <c r="HF101" s="173"/>
      <c r="HG101" s="173"/>
      <c r="HH101" s="173"/>
      <c r="HI101" s="173"/>
      <c r="HJ101" s="173"/>
      <c r="HK101" s="173"/>
      <c r="HL101" s="173"/>
      <c r="HM101" s="173"/>
      <c r="HN101" s="173"/>
      <c r="HO101" s="173"/>
      <c r="HP101" s="173"/>
      <c r="HQ101" s="173"/>
      <c r="HR101" s="173"/>
      <c r="HS101" s="173"/>
      <c r="HT101" s="173"/>
      <c r="HU101" s="173"/>
      <c r="HV101" s="173"/>
      <c r="HW101" s="173"/>
      <c r="HX101" s="173"/>
      <c r="HY101" s="173"/>
      <c r="HZ101" s="173"/>
      <c r="IA101" s="173"/>
      <c r="IB101" s="173"/>
      <c r="IC101" s="173"/>
      <c r="ID101" s="173"/>
      <c r="IE101" s="173"/>
      <c r="IF101" s="173"/>
      <c r="IG101" s="173"/>
      <c r="IH101" s="173"/>
      <c r="II101" s="173"/>
      <c r="IJ101" s="173"/>
      <c r="IK101" s="173"/>
      <c r="IL101" s="173"/>
      <c r="IM101" s="173"/>
      <c r="IN101" s="173"/>
      <c r="IO101" s="173"/>
      <c r="IP101" s="173"/>
      <c r="IQ101" s="173"/>
      <c r="IR101" s="173"/>
      <c r="IS101" s="173"/>
      <c r="IT101" s="173"/>
      <c r="IU101" s="173"/>
      <c r="IV101" s="173"/>
    </row>
    <row r="102" spans="1:256" ht="20.25" customHeight="1">
      <c r="A102" s="10" t="s">
        <v>89</v>
      </c>
      <c r="B102" s="32">
        <v>2</v>
      </c>
      <c r="C102" s="32">
        <v>0</v>
      </c>
      <c r="D102" s="32">
        <v>5</v>
      </c>
      <c r="E102" s="32">
        <v>2</v>
      </c>
      <c r="F102" s="32">
        <v>7</v>
      </c>
      <c r="G102" s="32">
        <v>1</v>
      </c>
      <c r="H102" s="32">
        <v>2</v>
      </c>
      <c r="I102" s="32">
        <v>3</v>
      </c>
      <c r="J102" s="32">
        <v>0</v>
      </c>
      <c r="K102" s="178">
        <f t="shared" ref="K102:K107" si="65">SUM(B102:J102)</f>
        <v>22</v>
      </c>
      <c r="L102" s="35">
        <f>K102/K108</f>
        <v>0.24719101123595505</v>
      </c>
      <c r="M102" s="35">
        <f>K102/K111</f>
        <v>0.2391304347826087</v>
      </c>
      <c r="N102" s="37"/>
      <c r="O102" s="35"/>
      <c r="P102" s="13"/>
      <c r="Q102" s="38"/>
      <c r="R102" s="38"/>
      <c r="S102" s="38"/>
      <c r="T102" s="38"/>
      <c r="U102" s="40"/>
      <c r="V102" s="13"/>
      <c r="W102" s="38"/>
      <c r="X102" s="38"/>
      <c r="Y102" s="38"/>
      <c r="Z102" s="38"/>
      <c r="AA102" s="38"/>
      <c r="AB102" s="38"/>
      <c r="AC102" s="38"/>
      <c r="AD102" s="40"/>
      <c r="AE102" s="13"/>
      <c r="AF102" s="38"/>
      <c r="AG102" s="38"/>
      <c r="AH102" s="38"/>
      <c r="AI102" s="38"/>
      <c r="AJ102" s="38"/>
      <c r="AK102" s="38"/>
      <c r="AL102" s="38"/>
      <c r="AM102" s="41"/>
      <c r="AN102" s="13"/>
      <c r="AO102" s="38"/>
      <c r="AP102" s="38"/>
      <c r="AQ102" s="38"/>
      <c r="AR102" s="38"/>
      <c r="AS102" s="38"/>
      <c r="AT102" s="38"/>
      <c r="AU102" s="38"/>
      <c r="AV102" s="40"/>
      <c r="AW102" s="13"/>
      <c r="AX102" s="38"/>
      <c r="AY102" s="38"/>
      <c r="AZ102" s="38"/>
      <c r="BA102" s="38"/>
      <c r="BB102" s="38"/>
      <c r="BC102" s="38"/>
      <c r="BD102" s="40"/>
      <c r="BE102" s="13"/>
      <c r="BF102" s="38"/>
      <c r="BG102" s="42"/>
      <c r="BH102" s="42"/>
      <c r="BI102" s="42"/>
      <c r="BJ102" s="173"/>
      <c r="BK102" s="173"/>
      <c r="BL102" s="173"/>
      <c r="BM102" s="173"/>
      <c r="BN102" s="173"/>
      <c r="BO102" s="173"/>
      <c r="BP102" s="173"/>
      <c r="BQ102" s="173"/>
      <c r="BR102" s="173"/>
      <c r="BS102" s="173"/>
      <c r="BT102" s="173"/>
      <c r="BU102" s="173"/>
      <c r="BV102" s="173"/>
      <c r="BW102" s="173"/>
      <c r="BX102" s="173"/>
      <c r="BY102" s="173"/>
      <c r="BZ102" s="173"/>
      <c r="CA102" s="173"/>
      <c r="CB102" s="173"/>
      <c r="CC102" s="173"/>
      <c r="CD102" s="173"/>
      <c r="CE102" s="173"/>
      <c r="CF102" s="173"/>
      <c r="CG102" s="173"/>
      <c r="CH102" s="173"/>
      <c r="CI102" s="173"/>
      <c r="CJ102" s="173"/>
      <c r="CK102" s="173"/>
      <c r="CL102" s="173"/>
      <c r="CM102" s="173"/>
      <c r="CN102" s="173"/>
      <c r="CO102" s="173"/>
      <c r="CP102" s="173"/>
      <c r="CQ102" s="173"/>
      <c r="CR102" s="173"/>
      <c r="CS102" s="173"/>
      <c r="CT102" s="173"/>
      <c r="CU102" s="173"/>
      <c r="CV102" s="173"/>
      <c r="CW102" s="173"/>
      <c r="CX102" s="173"/>
      <c r="CY102" s="173"/>
      <c r="CZ102" s="173"/>
      <c r="DA102" s="173"/>
      <c r="DB102" s="173"/>
      <c r="DC102" s="173"/>
      <c r="DD102" s="173"/>
      <c r="DE102" s="173"/>
      <c r="DF102" s="173"/>
      <c r="DG102" s="173"/>
      <c r="DH102" s="173"/>
      <c r="DI102" s="173"/>
      <c r="DJ102" s="173"/>
      <c r="DK102" s="173"/>
      <c r="DL102" s="173"/>
      <c r="DM102" s="173"/>
      <c r="DN102" s="173"/>
      <c r="DO102" s="173"/>
      <c r="DP102" s="173"/>
      <c r="DQ102" s="173"/>
      <c r="DR102" s="173"/>
      <c r="DS102" s="173"/>
      <c r="DT102" s="173"/>
      <c r="DU102" s="173"/>
      <c r="DV102" s="173"/>
      <c r="DW102" s="173"/>
      <c r="DX102" s="173"/>
      <c r="DY102" s="173"/>
      <c r="DZ102" s="173"/>
      <c r="EA102" s="173"/>
      <c r="EB102" s="173"/>
      <c r="EC102" s="173"/>
      <c r="ED102" s="173"/>
      <c r="EE102" s="173"/>
      <c r="EF102" s="173"/>
      <c r="EG102" s="173"/>
      <c r="EH102" s="173"/>
      <c r="EI102" s="173"/>
      <c r="EJ102" s="173"/>
      <c r="EK102" s="173"/>
      <c r="EL102" s="173"/>
      <c r="EM102" s="173"/>
      <c r="EN102" s="173"/>
      <c r="EO102" s="173"/>
      <c r="EP102" s="173"/>
      <c r="EQ102" s="173"/>
      <c r="ER102" s="173"/>
      <c r="ES102" s="173"/>
      <c r="ET102" s="173"/>
      <c r="EU102" s="173"/>
      <c r="EV102" s="173"/>
      <c r="EW102" s="173"/>
      <c r="EX102" s="173"/>
      <c r="EY102" s="173"/>
      <c r="EZ102" s="173"/>
      <c r="FA102" s="173"/>
      <c r="FB102" s="173"/>
      <c r="FC102" s="173"/>
      <c r="FD102" s="173"/>
      <c r="FE102" s="173"/>
      <c r="FF102" s="173"/>
      <c r="FG102" s="173"/>
      <c r="FH102" s="173"/>
      <c r="FI102" s="173"/>
      <c r="FJ102" s="173"/>
      <c r="FK102" s="173"/>
      <c r="FL102" s="173"/>
      <c r="FM102" s="173"/>
      <c r="FN102" s="173"/>
      <c r="FO102" s="173"/>
      <c r="FP102" s="173"/>
      <c r="FQ102" s="173"/>
      <c r="FR102" s="173"/>
      <c r="FS102" s="173"/>
      <c r="FT102" s="173"/>
      <c r="FU102" s="173"/>
      <c r="FV102" s="173"/>
      <c r="FW102" s="173"/>
      <c r="FX102" s="173"/>
      <c r="FY102" s="173"/>
      <c r="FZ102" s="173"/>
      <c r="GA102" s="173"/>
      <c r="GB102" s="173"/>
      <c r="GC102" s="173"/>
      <c r="GD102" s="173"/>
      <c r="GE102" s="173"/>
      <c r="GF102" s="173"/>
      <c r="GG102" s="173"/>
      <c r="GH102" s="173"/>
      <c r="GI102" s="173"/>
      <c r="GJ102" s="173"/>
      <c r="GK102" s="173"/>
      <c r="GL102" s="173"/>
      <c r="GM102" s="173"/>
      <c r="GN102" s="173"/>
      <c r="GO102" s="173"/>
      <c r="GP102" s="173"/>
      <c r="GQ102" s="173"/>
      <c r="GR102" s="173"/>
      <c r="GS102" s="173"/>
      <c r="GT102" s="173"/>
      <c r="GU102" s="173"/>
      <c r="GV102" s="173"/>
      <c r="GW102" s="173"/>
      <c r="GX102" s="173"/>
      <c r="GY102" s="173"/>
      <c r="GZ102" s="173"/>
      <c r="HA102" s="173"/>
      <c r="HB102" s="173"/>
      <c r="HC102" s="173"/>
      <c r="HD102" s="173"/>
      <c r="HE102" s="173"/>
      <c r="HF102" s="173"/>
      <c r="HG102" s="173"/>
      <c r="HH102" s="173"/>
      <c r="HI102" s="173"/>
      <c r="HJ102" s="173"/>
      <c r="HK102" s="173"/>
      <c r="HL102" s="173"/>
      <c r="HM102" s="173"/>
      <c r="HN102" s="173"/>
      <c r="HO102" s="173"/>
      <c r="HP102" s="173"/>
      <c r="HQ102" s="173"/>
      <c r="HR102" s="173"/>
      <c r="HS102" s="173"/>
      <c r="HT102" s="173"/>
      <c r="HU102" s="173"/>
      <c r="HV102" s="173"/>
      <c r="HW102" s="173"/>
      <c r="HX102" s="173"/>
      <c r="HY102" s="173"/>
      <c r="HZ102" s="173"/>
      <c r="IA102" s="173"/>
      <c r="IB102" s="173"/>
      <c r="IC102" s="173"/>
      <c r="ID102" s="173"/>
      <c r="IE102" s="173"/>
      <c r="IF102" s="173"/>
      <c r="IG102" s="173"/>
      <c r="IH102" s="173"/>
      <c r="II102" s="173"/>
      <c r="IJ102" s="173"/>
      <c r="IK102" s="173"/>
      <c r="IL102" s="173"/>
      <c r="IM102" s="173"/>
      <c r="IN102" s="173"/>
      <c r="IO102" s="173"/>
      <c r="IP102" s="173"/>
      <c r="IQ102" s="173"/>
      <c r="IR102" s="173"/>
      <c r="IS102" s="173"/>
      <c r="IT102" s="173"/>
      <c r="IU102" s="173"/>
      <c r="IV102" s="173"/>
    </row>
    <row r="103" spans="1:256" ht="20.25" customHeight="1">
      <c r="A103" s="10" t="s">
        <v>90</v>
      </c>
      <c r="B103" s="32">
        <v>0</v>
      </c>
      <c r="C103" s="32">
        <v>0</v>
      </c>
      <c r="D103" s="32">
        <v>1</v>
      </c>
      <c r="E103" s="32">
        <v>0</v>
      </c>
      <c r="F103" s="32">
        <v>0</v>
      </c>
      <c r="G103" s="32">
        <v>0</v>
      </c>
      <c r="H103" s="32">
        <v>0</v>
      </c>
      <c r="I103" s="32">
        <v>0</v>
      </c>
      <c r="J103" s="32">
        <v>1</v>
      </c>
      <c r="K103" s="178">
        <f t="shared" si="65"/>
        <v>2</v>
      </c>
      <c r="L103" s="35">
        <f>K103/K108</f>
        <v>2.247191011235955E-2</v>
      </c>
      <c r="M103" s="35">
        <f>K103/K111</f>
        <v>2.1739130434782608E-2</v>
      </c>
      <c r="N103" s="37"/>
      <c r="O103" s="35"/>
      <c r="P103" s="13"/>
      <c r="Q103" s="38"/>
      <c r="R103" s="38"/>
      <c r="S103" s="38"/>
      <c r="T103" s="38"/>
      <c r="U103" s="40"/>
      <c r="V103" s="13"/>
      <c r="W103" s="38"/>
      <c r="X103" s="38"/>
      <c r="Y103" s="38"/>
      <c r="Z103" s="38"/>
      <c r="AA103" s="38"/>
      <c r="AB103" s="38"/>
      <c r="AC103" s="38"/>
      <c r="AD103" s="40"/>
      <c r="AE103" s="13"/>
      <c r="AF103" s="38"/>
      <c r="AG103" s="38"/>
      <c r="AH103" s="38"/>
      <c r="AI103" s="38"/>
      <c r="AJ103" s="38"/>
      <c r="AK103" s="38"/>
      <c r="AL103" s="38"/>
      <c r="AM103" s="41"/>
      <c r="AN103" s="13"/>
      <c r="AO103" s="38"/>
      <c r="AP103" s="38"/>
      <c r="AQ103" s="38"/>
      <c r="AR103" s="38"/>
      <c r="AS103" s="38"/>
      <c r="AT103" s="38"/>
      <c r="AU103" s="38"/>
      <c r="AV103" s="40"/>
      <c r="AW103" s="13"/>
      <c r="AX103" s="38"/>
      <c r="AY103" s="38"/>
      <c r="AZ103" s="38"/>
      <c r="BA103" s="38"/>
      <c r="BB103" s="38"/>
      <c r="BC103" s="38"/>
      <c r="BD103" s="40"/>
      <c r="BE103" s="13"/>
      <c r="BF103" s="38"/>
      <c r="BG103" s="42"/>
      <c r="BH103" s="42"/>
      <c r="BI103" s="42"/>
      <c r="BJ103" s="173"/>
      <c r="BK103" s="173"/>
      <c r="BL103" s="173"/>
      <c r="BM103" s="173"/>
      <c r="BN103" s="173"/>
      <c r="BO103" s="173"/>
      <c r="BP103" s="173"/>
      <c r="BQ103" s="173"/>
      <c r="BR103" s="173"/>
      <c r="BS103" s="173"/>
      <c r="BT103" s="173"/>
      <c r="BU103" s="173"/>
      <c r="BV103" s="173"/>
      <c r="BW103" s="173"/>
      <c r="BX103" s="173"/>
      <c r="BY103" s="173"/>
      <c r="BZ103" s="173"/>
      <c r="CA103" s="173"/>
      <c r="CB103" s="173"/>
      <c r="CC103" s="173"/>
      <c r="CD103" s="173"/>
      <c r="CE103" s="173"/>
      <c r="CF103" s="173"/>
      <c r="CG103" s="173"/>
      <c r="CH103" s="173"/>
      <c r="CI103" s="173"/>
      <c r="CJ103" s="173"/>
      <c r="CK103" s="173"/>
      <c r="CL103" s="173"/>
      <c r="CM103" s="173"/>
      <c r="CN103" s="173"/>
      <c r="CO103" s="173"/>
      <c r="CP103" s="173"/>
      <c r="CQ103" s="173"/>
      <c r="CR103" s="173"/>
      <c r="CS103" s="173"/>
      <c r="CT103" s="173"/>
      <c r="CU103" s="173"/>
      <c r="CV103" s="173"/>
      <c r="CW103" s="173"/>
      <c r="CX103" s="173"/>
      <c r="CY103" s="173"/>
      <c r="CZ103" s="173"/>
      <c r="DA103" s="173"/>
      <c r="DB103" s="173"/>
      <c r="DC103" s="173"/>
      <c r="DD103" s="173"/>
      <c r="DE103" s="173"/>
      <c r="DF103" s="173"/>
      <c r="DG103" s="173"/>
      <c r="DH103" s="173"/>
      <c r="DI103" s="173"/>
      <c r="DJ103" s="173"/>
      <c r="DK103" s="173"/>
      <c r="DL103" s="173"/>
      <c r="DM103" s="173"/>
      <c r="DN103" s="173"/>
      <c r="DO103" s="173"/>
      <c r="DP103" s="173"/>
      <c r="DQ103" s="173"/>
      <c r="DR103" s="173"/>
      <c r="DS103" s="173"/>
      <c r="DT103" s="173"/>
      <c r="DU103" s="173"/>
      <c r="DV103" s="173"/>
      <c r="DW103" s="173"/>
      <c r="DX103" s="173"/>
      <c r="DY103" s="173"/>
      <c r="DZ103" s="173"/>
      <c r="EA103" s="173"/>
      <c r="EB103" s="173"/>
      <c r="EC103" s="173"/>
      <c r="ED103" s="173"/>
      <c r="EE103" s="173"/>
      <c r="EF103" s="173"/>
      <c r="EG103" s="173"/>
      <c r="EH103" s="173"/>
      <c r="EI103" s="173"/>
      <c r="EJ103" s="173"/>
      <c r="EK103" s="173"/>
      <c r="EL103" s="173"/>
      <c r="EM103" s="173"/>
      <c r="EN103" s="173"/>
      <c r="EO103" s="173"/>
      <c r="EP103" s="173"/>
      <c r="EQ103" s="173"/>
      <c r="ER103" s="173"/>
      <c r="ES103" s="173"/>
      <c r="ET103" s="173"/>
      <c r="EU103" s="173"/>
      <c r="EV103" s="173"/>
      <c r="EW103" s="173"/>
      <c r="EX103" s="173"/>
      <c r="EY103" s="173"/>
      <c r="EZ103" s="173"/>
      <c r="FA103" s="173"/>
      <c r="FB103" s="173"/>
      <c r="FC103" s="173"/>
      <c r="FD103" s="173"/>
      <c r="FE103" s="173"/>
      <c r="FF103" s="173"/>
      <c r="FG103" s="173"/>
      <c r="FH103" s="173"/>
      <c r="FI103" s="173"/>
      <c r="FJ103" s="173"/>
      <c r="FK103" s="173"/>
      <c r="FL103" s="173"/>
      <c r="FM103" s="173"/>
      <c r="FN103" s="173"/>
      <c r="FO103" s="173"/>
      <c r="FP103" s="173"/>
      <c r="FQ103" s="173"/>
      <c r="FR103" s="173"/>
      <c r="FS103" s="173"/>
      <c r="FT103" s="173"/>
      <c r="FU103" s="173"/>
      <c r="FV103" s="173"/>
      <c r="FW103" s="173"/>
      <c r="FX103" s="173"/>
      <c r="FY103" s="173"/>
      <c r="FZ103" s="173"/>
      <c r="GA103" s="173"/>
      <c r="GB103" s="173"/>
      <c r="GC103" s="173"/>
      <c r="GD103" s="173"/>
      <c r="GE103" s="173"/>
      <c r="GF103" s="173"/>
      <c r="GG103" s="173"/>
      <c r="GH103" s="173"/>
      <c r="GI103" s="173"/>
      <c r="GJ103" s="173"/>
      <c r="GK103" s="173"/>
      <c r="GL103" s="173"/>
      <c r="GM103" s="173"/>
      <c r="GN103" s="173"/>
      <c r="GO103" s="173"/>
      <c r="GP103" s="173"/>
      <c r="GQ103" s="173"/>
      <c r="GR103" s="173"/>
      <c r="GS103" s="173"/>
      <c r="GT103" s="173"/>
      <c r="GU103" s="173"/>
      <c r="GV103" s="173"/>
      <c r="GW103" s="173"/>
      <c r="GX103" s="173"/>
      <c r="GY103" s="173"/>
      <c r="GZ103" s="173"/>
      <c r="HA103" s="173"/>
      <c r="HB103" s="173"/>
      <c r="HC103" s="173"/>
      <c r="HD103" s="173"/>
      <c r="HE103" s="173"/>
      <c r="HF103" s="173"/>
      <c r="HG103" s="173"/>
      <c r="HH103" s="173"/>
      <c r="HI103" s="173"/>
      <c r="HJ103" s="173"/>
      <c r="HK103" s="173"/>
      <c r="HL103" s="173"/>
      <c r="HM103" s="173"/>
      <c r="HN103" s="173"/>
      <c r="HO103" s="173"/>
      <c r="HP103" s="173"/>
      <c r="HQ103" s="173"/>
      <c r="HR103" s="173"/>
      <c r="HS103" s="173"/>
      <c r="HT103" s="173"/>
      <c r="HU103" s="173"/>
      <c r="HV103" s="173"/>
      <c r="HW103" s="173"/>
      <c r="HX103" s="173"/>
      <c r="HY103" s="173"/>
      <c r="HZ103" s="173"/>
      <c r="IA103" s="173"/>
      <c r="IB103" s="173"/>
      <c r="IC103" s="173"/>
      <c r="ID103" s="173"/>
      <c r="IE103" s="173"/>
      <c r="IF103" s="173"/>
      <c r="IG103" s="173"/>
      <c r="IH103" s="173"/>
      <c r="II103" s="173"/>
      <c r="IJ103" s="173"/>
      <c r="IK103" s="173"/>
      <c r="IL103" s="173"/>
      <c r="IM103" s="173"/>
      <c r="IN103" s="173"/>
      <c r="IO103" s="173"/>
      <c r="IP103" s="173"/>
      <c r="IQ103" s="173"/>
      <c r="IR103" s="173"/>
      <c r="IS103" s="173"/>
      <c r="IT103" s="173"/>
      <c r="IU103" s="173"/>
      <c r="IV103" s="173"/>
    </row>
    <row r="104" spans="1:256" ht="20.25" customHeight="1">
      <c r="A104" s="10" t="s">
        <v>91</v>
      </c>
      <c r="B104" s="32">
        <v>5</v>
      </c>
      <c r="C104" s="32">
        <v>0</v>
      </c>
      <c r="D104" s="32">
        <v>2</v>
      </c>
      <c r="E104" s="32">
        <v>0</v>
      </c>
      <c r="F104" s="32">
        <v>1</v>
      </c>
      <c r="G104" s="32">
        <v>1</v>
      </c>
      <c r="H104" s="32">
        <v>1</v>
      </c>
      <c r="I104" s="32">
        <v>1</v>
      </c>
      <c r="J104" s="32">
        <v>6</v>
      </c>
      <c r="K104" s="178">
        <f t="shared" si="65"/>
        <v>17</v>
      </c>
      <c r="L104" s="35">
        <f>K104/K108</f>
        <v>0.19101123595505617</v>
      </c>
      <c r="M104" s="35">
        <f>K104/K111</f>
        <v>0.18478260869565216</v>
      </c>
      <c r="N104" s="37"/>
      <c r="O104" s="35"/>
      <c r="P104" s="13"/>
      <c r="Q104" s="38"/>
      <c r="R104" s="38"/>
      <c r="S104" s="38"/>
      <c r="T104" s="38"/>
      <c r="U104" s="40"/>
      <c r="V104" s="13"/>
      <c r="W104" s="38"/>
      <c r="X104" s="38"/>
      <c r="Y104" s="38"/>
      <c r="Z104" s="38"/>
      <c r="AA104" s="38"/>
      <c r="AB104" s="38"/>
      <c r="AC104" s="38"/>
      <c r="AD104" s="40"/>
      <c r="AE104" s="13"/>
      <c r="AF104" s="38"/>
      <c r="AG104" s="38"/>
      <c r="AH104" s="38"/>
      <c r="AI104" s="38"/>
      <c r="AJ104" s="38"/>
      <c r="AK104" s="38"/>
      <c r="AL104" s="38"/>
      <c r="AM104" s="41"/>
      <c r="AN104" s="13"/>
      <c r="AO104" s="38"/>
      <c r="AP104" s="38"/>
      <c r="AQ104" s="38"/>
      <c r="AR104" s="38"/>
      <c r="AS104" s="38"/>
      <c r="AT104" s="38"/>
      <c r="AU104" s="38"/>
      <c r="AV104" s="40"/>
      <c r="AW104" s="13"/>
      <c r="AX104" s="38"/>
      <c r="AY104" s="38"/>
      <c r="AZ104" s="38"/>
      <c r="BA104" s="38"/>
      <c r="BB104" s="38"/>
      <c r="BC104" s="38"/>
      <c r="BD104" s="40"/>
      <c r="BE104" s="13"/>
      <c r="BF104" s="38"/>
      <c r="BG104" s="42"/>
      <c r="BH104" s="42"/>
      <c r="BI104" s="42"/>
      <c r="BJ104" s="173"/>
      <c r="BK104" s="173"/>
      <c r="BL104" s="173"/>
      <c r="BM104" s="173"/>
      <c r="BN104" s="173"/>
      <c r="BO104" s="173"/>
      <c r="BP104" s="173"/>
      <c r="BQ104" s="173"/>
      <c r="BR104" s="173"/>
      <c r="BS104" s="173"/>
      <c r="BT104" s="173"/>
      <c r="BU104" s="173"/>
      <c r="BV104" s="173"/>
      <c r="BW104" s="173"/>
      <c r="BX104" s="173"/>
      <c r="BY104" s="173"/>
      <c r="BZ104" s="173"/>
      <c r="CA104" s="173"/>
      <c r="CB104" s="173"/>
      <c r="CC104" s="173"/>
      <c r="CD104" s="173"/>
      <c r="CE104" s="173"/>
      <c r="CF104" s="173"/>
      <c r="CG104" s="173"/>
      <c r="CH104" s="173"/>
      <c r="CI104" s="173"/>
      <c r="CJ104" s="173"/>
      <c r="CK104" s="173"/>
      <c r="CL104" s="173"/>
      <c r="CM104" s="173"/>
      <c r="CN104" s="173"/>
      <c r="CO104" s="173"/>
      <c r="CP104" s="173"/>
      <c r="CQ104" s="173"/>
      <c r="CR104" s="173"/>
      <c r="CS104" s="173"/>
      <c r="CT104" s="173"/>
      <c r="CU104" s="173"/>
      <c r="CV104" s="173"/>
      <c r="CW104" s="173"/>
      <c r="CX104" s="173"/>
      <c r="CY104" s="173"/>
      <c r="CZ104" s="173"/>
      <c r="DA104" s="173"/>
      <c r="DB104" s="173"/>
      <c r="DC104" s="173"/>
      <c r="DD104" s="173"/>
      <c r="DE104" s="173"/>
      <c r="DF104" s="173"/>
      <c r="DG104" s="173"/>
      <c r="DH104" s="173"/>
      <c r="DI104" s="173"/>
      <c r="DJ104" s="173"/>
      <c r="DK104" s="173"/>
      <c r="DL104" s="173"/>
      <c r="DM104" s="173"/>
      <c r="DN104" s="173"/>
      <c r="DO104" s="173"/>
      <c r="DP104" s="173"/>
      <c r="DQ104" s="173"/>
      <c r="DR104" s="173"/>
      <c r="DS104" s="173"/>
      <c r="DT104" s="173"/>
      <c r="DU104" s="173"/>
      <c r="DV104" s="173"/>
      <c r="DW104" s="173"/>
      <c r="DX104" s="173"/>
      <c r="DY104" s="173"/>
      <c r="DZ104" s="173"/>
      <c r="EA104" s="173"/>
      <c r="EB104" s="173"/>
      <c r="EC104" s="173"/>
      <c r="ED104" s="173"/>
      <c r="EE104" s="173"/>
      <c r="EF104" s="173"/>
      <c r="EG104" s="173"/>
      <c r="EH104" s="173"/>
      <c r="EI104" s="173"/>
      <c r="EJ104" s="173"/>
      <c r="EK104" s="173"/>
      <c r="EL104" s="173"/>
      <c r="EM104" s="173"/>
      <c r="EN104" s="173"/>
      <c r="EO104" s="173"/>
      <c r="EP104" s="173"/>
      <c r="EQ104" s="173"/>
      <c r="ER104" s="173"/>
      <c r="ES104" s="173"/>
      <c r="ET104" s="173"/>
      <c r="EU104" s="173"/>
      <c r="EV104" s="173"/>
      <c r="EW104" s="173"/>
      <c r="EX104" s="173"/>
      <c r="EY104" s="173"/>
      <c r="EZ104" s="173"/>
      <c r="FA104" s="173"/>
      <c r="FB104" s="173"/>
      <c r="FC104" s="173"/>
      <c r="FD104" s="173"/>
      <c r="FE104" s="173"/>
      <c r="FF104" s="173"/>
      <c r="FG104" s="173"/>
      <c r="FH104" s="173"/>
      <c r="FI104" s="173"/>
      <c r="FJ104" s="173"/>
      <c r="FK104" s="173"/>
      <c r="FL104" s="173"/>
      <c r="FM104" s="173"/>
      <c r="FN104" s="173"/>
      <c r="FO104" s="173"/>
      <c r="FP104" s="173"/>
      <c r="FQ104" s="173"/>
      <c r="FR104" s="173"/>
      <c r="FS104" s="173"/>
      <c r="FT104" s="173"/>
      <c r="FU104" s="173"/>
      <c r="FV104" s="173"/>
      <c r="FW104" s="173"/>
      <c r="FX104" s="173"/>
      <c r="FY104" s="173"/>
      <c r="FZ104" s="173"/>
      <c r="GA104" s="173"/>
      <c r="GB104" s="173"/>
      <c r="GC104" s="173"/>
      <c r="GD104" s="173"/>
      <c r="GE104" s="173"/>
      <c r="GF104" s="173"/>
      <c r="GG104" s="173"/>
      <c r="GH104" s="173"/>
      <c r="GI104" s="173"/>
      <c r="GJ104" s="173"/>
      <c r="GK104" s="173"/>
      <c r="GL104" s="173"/>
      <c r="GM104" s="173"/>
      <c r="GN104" s="173"/>
      <c r="GO104" s="173"/>
      <c r="GP104" s="173"/>
      <c r="GQ104" s="173"/>
      <c r="GR104" s="173"/>
      <c r="GS104" s="173"/>
      <c r="GT104" s="173"/>
      <c r="GU104" s="173"/>
      <c r="GV104" s="173"/>
      <c r="GW104" s="173"/>
      <c r="GX104" s="173"/>
      <c r="GY104" s="173"/>
      <c r="GZ104" s="173"/>
      <c r="HA104" s="173"/>
      <c r="HB104" s="173"/>
      <c r="HC104" s="173"/>
      <c r="HD104" s="173"/>
      <c r="HE104" s="173"/>
      <c r="HF104" s="173"/>
      <c r="HG104" s="173"/>
      <c r="HH104" s="173"/>
      <c r="HI104" s="173"/>
      <c r="HJ104" s="173"/>
      <c r="HK104" s="173"/>
      <c r="HL104" s="173"/>
      <c r="HM104" s="173"/>
      <c r="HN104" s="173"/>
      <c r="HO104" s="173"/>
      <c r="HP104" s="173"/>
      <c r="HQ104" s="173"/>
      <c r="HR104" s="173"/>
      <c r="HS104" s="173"/>
      <c r="HT104" s="173"/>
      <c r="HU104" s="173"/>
      <c r="HV104" s="173"/>
      <c r="HW104" s="173"/>
      <c r="HX104" s="173"/>
      <c r="HY104" s="173"/>
      <c r="HZ104" s="173"/>
      <c r="IA104" s="173"/>
      <c r="IB104" s="173"/>
      <c r="IC104" s="173"/>
      <c r="ID104" s="173"/>
      <c r="IE104" s="173"/>
      <c r="IF104" s="173"/>
      <c r="IG104" s="173"/>
      <c r="IH104" s="173"/>
      <c r="II104" s="173"/>
      <c r="IJ104" s="173"/>
      <c r="IK104" s="173"/>
      <c r="IL104" s="173"/>
      <c r="IM104" s="173"/>
      <c r="IN104" s="173"/>
      <c r="IO104" s="173"/>
      <c r="IP104" s="173"/>
      <c r="IQ104" s="173"/>
      <c r="IR104" s="173"/>
      <c r="IS104" s="173"/>
      <c r="IT104" s="173"/>
      <c r="IU104" s="173"/>
      <c r="IV104" s="173"/>
    </row>
    <row r="105" spans="1:256" ht="20.25" customHeight="1">
      <c r="A105" s="10" t="s">
        <v>92</v>
      </c>
      <c r="B105" s="32">
        <v>6</v>
      </c>
      <c r="C105" s="32">
        <v>2</v>
      </c>
      <c r="D105" s="32">
        <v>6</v>
      </c>
      <c r="E105" s="32">
        <v>2</v>
      </c>
      <c r="F105" s="32">
        <v>2</v>
      </c>
      <c r="G105" s="32">
        <v>1</v>
      </c>
      <c r="H105" s="32">
        <v>6</v>
      </c>
      <c r="I105" s="32">
        <v>5</v>
      </c>
      <c r="J105" s="32">
        <v>4</v>
      </c>
      <c r="K105" s="178">
        <f t="shared" si="65"/>
        <v>34</v>
      </c>
      <c r="L105" s="35">
        <f>K105/K108</f>
        <v>0.38202247191011235</v>
      </c>
      <c r="M105" s="35">
        <f>K105/K111</f>
        <v>0.36956521739130432</v>
      </c>
      <c r="N105" s="37"/>
      <c r="O105" s="35"/>
      <c r="P105" s="13"/>
      <c r="Q105" s="38"/>
      <c r="R105" s="38"/>
      <c r="S105" s="38"/>
      <c r="T105" s="38"/>
      <c r="U105" s="40"/>
      <c r="V105" s="13"/>
      <c r="W105" s="38"/>
      <c r="X105" s="38"/>
      <c r="Y105" s="38"/>
      <c r="Z105" s="38"/>
      <c r="AA105" s="38"/>
      <c r="AB105" s="38"/>
      <c r="AC105" s="38"/>
      <c r="AD105" s="40"/>
      <c r="AE105" s="13"/>
      <c r="AF105" s="38"/>
      <c r="AG105" s="38"/>
      <c r="AH105" s="38"/>
      <c r="AI105" s="38"/>
      <c r="AJ105" s="38"/>
      <c r="AK105" s="38"/>
      <c r="AL105" s="38"/>
      <c r="AM105" s="41"/>
      <c r="AN105" s="13"/>
      <c r="AO105" s="38"/>
      <c r="AP105" s="38"/>
      <c r="AQ105" s="38"/>
      <c r="AR105" s="38"/>
      <c r="AS105" s="38"/>
      <c r="AT105" s="38"/>
      <c r="AU105" s="38"/>
      <c r="AV105" s="40"/>
      <c r="AW105" s="13"/>
      <c r="AX105" s="38"/>
      <c r="AY105" s="38"/>
      <c r="AZ105" s="38"/>
      <c r="BA105" s="38"/>
      <c r="BB105" s="38"/>
      <c r="BC105" s="38"/>
      <c r="BD105" s="40"/>
      <c r="BE105" s="13"/>
      <c r="BF105" s="38"/>
      <c r="BG105" s="42"/>
      <c r="BH105" s="42"/>
      <c r="BI105" s="42"/>
      <c r="BJ105" s="173"/>
      <c r="BK105" s="173"/>
      <c r="BL105" s="173"/>
      <c r="BM105" s="173"/>
      <c r="BN105" s="173"/>
      <c r="BO105" s="173"/>
      <c r="BP105" s="173"/>
      <c r="BQ105" s="173"/>
      <c r="BR105" s="173"/>
      <c r="BS105" s="173"/>
      <c r="BT105" s="173"/>
      <c r="BU105" s="173"/>
      <c r="BV105" s="173"/>
      <c r="BW105" s="173"/>
      <c r="BX105" s="173"/>
      <c r="BY105" s="173"/>
      <c r="BZ105" s="173"/>
      <c r="CA105" s="173"/>
      <c r="CB105" s="173"/>
      <c r="CC105" s="173"/>
      <c r="CD105" s="173"/>
      <c r="CE105" s="173"/>
      <c r="CF105" s="173"/>
      <c r="CG105" s="173"/>
      <c r="CH105" s="173"/>
      <c r="CI105" s="173"/>
      <c r="CJ105" s="173"/>
      <c r="CK105" s="173"/>
      <c r="CL105" s="173"/>
      <c r="CM105" s="173"/>
      <c r="CN105" s="173"/>
      <c r="CO105" s="173"/>
      <c r="CP105" s="173"/>
      <c r="CQ105" s="173"/>
      <c r="CR105" s="173"/>
      <c r="CS105" s="173"/>
      <c r="CT105" s="173"/>
      <c r="CU105" s="173"/>
      <c r="CV105" s="173"/>
      <c r="CW105" s="173"/>
      <c r="CX105" s="173"/>
      <c r="CY105" s="173"/>
      <c r="CZ105" s="173"/>
      <c r="DA105" s="173"/>
      <c r="DB105" s="173"/>
      <c r="DC105" s="173"/>
      <c r="DD105" s="173"/>
      <c r="DE105" s="173"/>
      <c r="DF105" s="173"/>
      <c r="DG105" s="173"/>
      <c r="DH105" s="173"/>
      <c r="DI105" s="173"/>
      <c r="DJ105" s="173"/>
      <c r="DK105" s="173"/>
      <c r="DL105" s="173"/>
      <c r="DM105" s="173"/>
      <c r="DN105" s="173"/>
      <c r="DO105" s="173"/>
      <c r="DP105" s="173"/>
      <c r="DQ105" s="173"/>
      <c r="DR105" s="173"/>
      <c r="DS105" s="173"/>
      <c r="DT105" s="173"/>
      <c r="DU105" s="173"/>
      <c r="DV105" s="173"/>
      <c r="DW105" s="173"/>
      <c r="DX105" s="173"/>
      <c r="DY105" s="173"/>
      <c r="DZ105" s="173"/>
      <c r="EA105" s="173"/>
      <c r="EB105" s="173"/>
      <c r="EC105" s="173"/>
      <c r="ED105" s="173"/>
      <c r="EE105" s="173"/>
      <c r="EF105" s="173"/>
      <c r="EG105" s="173"/>
      <c r="EH105" s="173"/>
      <c r="EI105" s="173"/>
      <c r="EJ105" s="173"/>
      <c r="EK105" s="173"/>
      <c r="EL105" s="173"/>
      <c r="EM105" s="173"/>
      <c r="EN105" s="173"/>
      <c r="EO105" s="173"/>
      <c r="EP105" s="173"/>
      <c r="EQ105" s="173"/>
      <c r="ER105" s="173"/>
      <c r="ES105" s="173"/>
      <c r="ET105" s="173"/>
      <c r="EU105" s="173"/>
      <c r="EV105" s="173"/>
      <c r="EW105" s="173"/>
      <c r="EX105" s="173"/>
      <c r="EY105" s="173"/>
      <c r="EZ105" s="173"/>
      <c r="FA105" s="173"/>
      <c r="FB105" s="173"/>
      <c r="FC105" s="173"/>
      <c r="FD105" s="173"/>
      <c r="FE105" s="173"/>
      <c r="FF105" s="173"/>
      <c r="FG105" s="173"/>
      <c r="FH105" s="173"/>
      <c r="FI105" s="173"/>
      <c r="FJ105" s="173"/>
      <c r="FK105" s="173"/>
      <c r="FL105" s="173"/>
      <c r="FM105" s="173"/>
      <c r="FN105" s="173"/>
      <c r="FO105" s="173"/>
      <c r="FP105" s="173"/>
      <c r="FQ105" s="173"/>
      <c r="FR105" s="173"/>
      <c r="FS105" s="173"/>
      <c r="FT105" s="173"/>
      <c r="FU105" s="173"/>
      <c r="FV105" s="173"/>
      <c r="FW105" s="173"/>
      <c r="FX105" s="173"/>
      <c r="FY105" s="173"/>
      <c r="FZ105" s="173"/>
      <c r="GA105" s="173"/>
      <c r="GB105" s="173"/>
      <c r="GC105" s="173"/>
      <c r="GD105" s="173"/>
      <c r="GE105" s="173"/>
      <c r="GF105" s="173"/>
      <c r="GG105" s="173"/>
      <c r="GH105" s="173"/>
      <c r="GI105" s="173"/>
      <c r="GJ105" s="173"/>
      <c r="GK105" s="173"/>
      <c r="GL105" s="173"/>
      <c r="GM105" s="173"/>
      <c r="GN105" s="173"/>
      <c r="GO105" s="173"/>
      <c r="GP105" s="173"/>
      <c r="GQ105" s="173"/>
      <c r="GR105" s="173"/>
      <c r="GS105" s="173"/>
      <c r="GT105" s="173"/>
      <c r="GU105" s="173"/>
      <c r="GV105" s="173"/>
      <c r="GW105" s="173"/>
      <c r="GX105" s="173"/>
      <c r="GY105" s="173"/>
      <c r="GZ105" s="173"/>
      <c r="HA105" s="173"/>
      <c r="HB105" s="173"/>
      <c r="HC105" s="173"/>
      <c r="HD105" s="173"/>
      <c r="HE105" s="173"/>
      <c r="HF105" s="173"/>
      <c r="HG105" s="173"/>
      <c r="HH105" s="173"/>
      <c r="HI105" s="173"/>
      <c r="HJ105" s="173"/>
      <c r="HK105" s="173"/>
      <c r="HL105" s="173"/>
      <c r="HM105" s="173"/>
      <c r="HN105" s="173"/>
      <c r="HO105" s="173"/>
      <c r="HP105" s="173"/>
      <c r="HQ105" s="173"/>
      <c r="HR105" s="173"/>
      <c r="HS105" s="173"/>
      <c r="HT105" s="173"/>
      <c r="HU105" s="173"/>
      <c r="HV105" s="173"/>
      <c r="HW105" s="173"/>
      <c r="HX105" s="173"/>
      <c r="HY105" s="173"/>
      <c r="HZ105" s="173"/>
      <c r="IA105" s="173"/>
      <c r="IB105" s="173"/>
      <c r="IC105" s="173"/>
      <c r="ID105" s="173"/>
      <c r="IE105" s="173"/>
      <c r="IF105" s="173"/>
      <c r="IG105" s="173"/>
      <c r="IH105" s="173"/>
      <c r="II105" s="173"/>
      <c r="IJ105" s="173"/>
      <c r="IK105" s="173"/>
      <c r="IL105" s="173"/>
      <c r="IM105" s="173"/>
      <c r="IN105" s="173"/>
      <c r="IO105" s="173"/>
      <c r="IP105" s="173"/>
      <c r="IQ105" s="173"/>
      <c r="IR105" s="173"/>
      <c r="IS105" s="173"/>
      <c r="IT105" s="173"/>
      <c r="IU105" s="173"/>
      <c r="IV105" s="173"/>
    </row>
    <row r="106" spans="1:256" ht="20.25" customHeight="1">
      <c r="A106" s="10" t="s">
        <v>93</v>
      </c>
      <c r="B106" s="32">
        <v>2</v>
      </c>
      <c r="C106" s="32">
        <v>1</v>
      </c>
      <c r="D106" s="32">
        <v>0</v>
      </c>
      <c r="E106" s="32">
        <v>2</v>
      </c>
      <c r="F106" s="32">
        <v>0</v>
      </c>
      <c r="G106" s="32">
        <v>7</v>
      </c>
      <c r="H106" s="32">
        <v>1</v>
      </c>
      <c r="I106" s="32">
        <v>1</v>
      </c>
      <c r="J106" s="32">
        <v>0</v>
      </c>
      <c r="K106" s="178">
        <f t="shared" si="65"/>
        <v>14</v>
      </c>
      <c r="L106" s="35">
        <f>K106/K108</f>
        <v>0.15730337078651685</v>
      </c>
      <c r="M106" s="35">
        <f>K106/K111</f>
        <v>0.15217391304347827</v>
      </c>
      <c r="N106" s="37"/>
      <c r="O106" s="35"/>
      <c r="P106" s="13"/>
      <c r="Q106" s="38"/>
      <c r="R106" s="38"/>
      <c r="S106" s="38"/>
      <c r="T106" s="38"/>
      <c r="U106" s="40"/>
      <c r="V106" s="13"/>
      <c r="W106" s="38"/>
      <c r="X106" s="38"/>
      <c r="Y106" s="38"/>
      <c r="Z106" s="38"/>
      <c r="AA106" s="38"/>
      <c r="AB106" s="38"/>
      <c r="AC106" s="38"/>
      <c r="AD106" s="40"/>
      <c r="AE106" s="13"/>
      <c r="AF106" s="38"/>
      <c r="AG106" s="38"/>
      <c r="AH106" s="38"/>
      <c r="AI106" s="38"/>
      <c r="AJ106" s="38"/>
      <c r="AK106" s="38"/>
      <c r="AL106" s="38"/>
      <c r="AM106" s="41"/>
      <c r="AN106" s="13"/>
      <c r="AO106" s="38"/>
      <c r="AP106" s="38"/>
      <c r="AQ106" s="38"/>
      <c r="AR106" s="38"/>
      <c r="AS106" s="38"/>
      <c r="AT106" s="38"/>
      <c r="AU106" s="38"/>
      <c r="AV106" s="40"/>
      <c r="AW106" s="13"/>
      <c r="AX106" s="38"/>
      <c r="AY106" s="38"/>
      <c r="AZ106" s="38"/>
      <c r="BA106" s="38"/>
      <c r="BB106" s="38"/>
      <c r="BC106" s="38"/>
      <c r="BD106" s="40"/>
      <c r="BE106" s="13"/>
      <c r="BF106" s="38"/>
      <c r="BG106" s="42"/>
      <c r="BH106" s="42"/>
      <c r="BI106" s="42"/>
      <c r="BJ106" s="173"/>
      <c r="BK106" s="173"/>
      <c r="BL106" s="173"/>
      <c r="BM106" s="173"/>
      <c r="BN106" s="173"/>
      <c r="BO106" s="173"/>
      <c r="BP106" s="173"/>
      <c r="BQ106" s="173"/>
      <c r="BR106" s="173"/>
      <c r="BS106" s="173"/>
      <c r="BT106" s="173"/>
      <c r="BU106" s="173"/>
      <c r="BV106" s="173"/>
      <c r="BW106" s="173"/>
      <c r="BX106" s="173"/>
      <c r="BY106" s="173"/>
      <c r="BZ106" s="173"/>
      <c r="CA106" s="173"/>
      <c r="CB106" s="173"/>
      <c r="CC106" s="173"/>
      <c r="CD106" s="173"/>
      <c r="CE106" s="173"/>
      <c r="CF106" s="173"/>
      <c r="CG106" s="173"/>
      <c r="CH106" s="173"/>
      <c r="CI106" s="173"/>
      <c r="CJ106" s="173"/>
      <c r="CK106" s="173"/>
      <c r="CL106" s="173"/>
      <c r="CM106" s="173"/>
      <c r="CN106" s="173"/>
      <c r="CO106" s="173"/>
      <c r="CP106" s="173"/>
      <c r="CQ106" s="173"/>
      <c r="CR106" s="173"/>
      <c r="CS106" s="173"/>
      <c r="CT106" s="173"/>
      <c r="CU106" s="173"/>
      <c r="CV106" s="173"/>
      <c r="CW106" s="173"/>
      <c r="CX106" s="173"/>
      <c r="CY106" s="173"/>
      <c r="CZ106" s="173"/>
      <c r="DA106" s="173"/>
      <c r="DB106" s="173"/>
      <c r="DC106" s="173"/>
      <c r="DD106" s="173"/>
      <c r="DE106" s="173"/>
      <c r="DF106" s="173"/>
      <c r="DG106" s="173"/>
      <c r="DH106" s="173"/>
      <c r="DI106" s="173"/>
      <c r="DJ106" s="173"/>
      <c r="DK106" s="173"/>
      <c r="DL106" s="173"/>
      <c r="DM106" s="173"/>
      <c r="DN106" s="173"/>
      <c r="DO106" s="173"/>
      <c r="DP106" s="173"/>
      <c r="DQ106" s="173"/>
      <c r="DR106" s="173"/>
      <c r="DS106" s="173"/>
      <c r="DT106" s="173"/>
      <c r="DU106" s="173"/>
      <c r="DV106" s="173"/>
      <c r="DW106" s="173"/>
      <c r="DX106" s="173"/>
      <c r="DY106" s="173"/>
      <c r="DZ106" s="173"/>
      <c r="EA106" s="173"/>
      <c r="EB106" s="173"/>
      <c r="EC106" s="173"/>
      <c r="ED106" s="173"/>
      <c r="EE106" s="173"/>
      <c r="EF106" s="173"/>
      <c r="EG106" s="173"/>
      <c r="EH106" s="173"/>
      <c r="EI106" s="173"/>
      <c r="EJ106" s="173"/>
      <c r="EK106" s="173"/>
      <c r="EL106" s="173"/>
      <c r="EM106" s="173"/>
      <c r="EN106" s="173"/>
      <c r="EO106" s="173"/>
      <c r="EP106" s="173"/>
      <c r="EQ106" s="173"/>
      <c r="ER106" s="173"/>
      <c r="ES106" s="173"/>
      <c r="ET106" s="173"/>
      <c r="EU106" s="173"/>
      <c r="EV106" s="173"/>
      <c r="EW106" s="173"/>
      <c r="EX106" s="173"/>
      <c r="EY106" s="173"/>
      <c r="EZ106" s="173"/>
      <c r="FA106" s="173"/>
      <c r="FB106" s="173"/>
      <c r="FC106" s="173"/>
      <c r="FD106" s="173"/>
      <c r="FE106" s="173"/>
      <c r="FF106" s="173"/>
      <c r="FG106" s="173"/>
      <c r="FH106" s="173"/>
      <c r="FI106" s="173"/>
      <c r="FJ106" s="173"/>
      <c r="FK106" s="173"/>
      <c r="FL106" s="173"/>
      <c r="FM106" s="173"/>
      <c r="FN106" s="173"/>
      <c r="FO106" s="173"/>
      <c r="FP106" s="173"/>
      <c r="FQ106" s="173"/>
      <c r="FR106" s="173"/>
      <c r="FS106" s="173"/>
      <c r="FT106" s="173"/>
      <c r="FU106" s="173"/>
      <c r="FV106" s="173"/>
      <c r="FW106" s="173"/>
      <c r="FX106" s="173"/>
      <c r="FY106" s="173"/>
      <c r="FZ106" s="173"/>
      <c r="GA106" s="173"/>
      <c r="GB106" s="173"/>
      <c r="GC106" s="173"/>
      <c r="GD106" s="173"/>
      <c r="GE106" s="173"/>
      <c r="GF106" s="173"/>
      <c r="GG106" s="173"/>
      <c r="GH106" s="173"/>
      <c r="GI106" s="173"/>
      <c r="GJ106" s="173"/>
      <c r="GK106" s="173"/>
      <c r="GL106" s="173"/>
      <c r="GM106" s="173"/>
      <c r="GN106" s="173"/>
      <c r="GO106" s="173"/>
      <c r="GP106" s="173"/>
      <c r="GQ106" s="173"/>
      <c r="GR106" s="173"/>
      <c r="GS106" s="173"/>
      <c r="GT106" s="173"/>
      <c r="GU106" s="173"/>
      <c r="GV106" s="173"/>
      <c r="GW106" s="173"/>
      <c r="GX106" s="173"/>
      <c r="GY106" s="173"/>
      <c r="GZ106" s="173"/>
      <c r="HA106" s="173"/>
      <c r="HB106" s="173"/>
      <c r="HC106" s="173"/>
      <c r="HD106" s="173"/>
      <c r="HE106" s="173"/>
      <c r="HF106" s="173"/>
      <c r="HG106" s="173"/>
      <c r="HH106" s="173"/>
      <c r="HI106" s="173"/>
      <c r="HJ106" s="173"/>
      <c r="HK106" s="173"/>
      <c r="HL106" s="173"/>
      <c r="HM106" s="173"/>
      <c r="HN106" s="173"/>
      <c r="HO106" s="173"/>
      <c r="HP106" s="173"/>
      <c r="HQ106" s="173"/>
      <c r="HR106" s="173"/>
      <c r="HS106" s="173"/>
      <c r="HT106" s="173"/>
      <c r="HU106" s="173"/>
      <c r="HV106" s="173"/>
      <c r="HW106" s="173"/>
      <c r="HX106" s="173"/>
      <c r="HY106" s="173"/>
      <c r="HZ106" s="173"/>
      <c r="IA106" s="173"/>
      <c r="IB106" s="173"/>
      <c r="IC106" s="173"/>
      <c r="ID106" s="173"/>
      <c r="IE106" s="173"/>
      <c r="IF106" s="173"/>
      <c r="IG106" s="173"/>
      <c r="IH106" s="173"/>
      <c r="II106" s="173"/>
      <c r="IJ106" s="173"/>
      <c r="IK106" s="173"/>
      <c r="IL106" s="173"/>
      <c r="IM106" s="173"/>
      <c r="IN106" s="173"/>
      <c r="IO106" s="173"/>
      <c r="IP106" s="173"/>
      <c r="IQ106" s="173"/>
      <c r="IR106" s="173"/>
      <c r="IS106" s="173"/>
      <c r="IT106" s="173"/>
      <c r="IU106" s="173"/>
      <c r="IV106" s="173"/>
    </row>
    <row r="107" spans="1:256" ht="20.25" customHeight="1">
      <c r="A107" s="10" t="s">
        <v>94</v>
      </c>
      <c r="B107" s="32">
        <v>0</v>
      </c>
      <c r="C107" s="32">
        <v>0</v>
      </c>
      <c r="D107" s="32">
        <v>0</v>
      </c>
      <c r="E107" s="32">
        <v>0</v>
      </c>
      <c r="F107" s="32">
        <v>0</v>
      </c>
      <c r="G107" s="32">
        <v>0</v>
      </c>
      <c r="H107" s="32">
        <v>0</v>
      </c>
      <c r="I107" s="32">
        <v>0</v>
      </c>
      <c r="J107" s="32">
        <v>0</v>
      </c>
      <c r="K107" s="178">
        <f t="shared" si="65"/>
        <v>0</v>
      </c>
      <c r="L107" s="35">
        <f>K107/K108</f>
        <v>0</v>
      </c>
      <c r="M107" s="35">
        <f>K107/K111</f>
        <v>0</v>
      </c>
      <c r="N107" s="37"/>
      <c r="O107" s="35"/>
      <c r="P107" s="13"/>
      <c r="Q107" s="38"/>
      <c r="R107" s="38"/>
      <c r="S107" s="38"/>
      <c r="T107" s="38"/>
      <c r="U107" s="40"/>
      <c r="V107" s="13"/>
      <c r="W107" s="38"/>
      <c r="X107" s="38"/>
      <c r="Y107" s="38"/>
      <c r="Z107" s="38"/>
      <c r="AA107" s="38"/>
      <c r="AB107" s="38"/>
      <c r="AC107" s="38"/>
      <c r="AD107" s="40"/>
      <c r="AE107" s="13"/>
      <c r="AF107" s="38"/>
      <c r="AG107" s="38"/>
      <c r="AH107" s="38"/>
      <c r="AI107" s="38"/>
      <c r="AJ107" s="38"/>
      <c r="AK107" s="38"/>
      <c r="AL107" s="38"/>
      <c r="AM107" s="41"/>
      <c r="AN107" s="13"/>
      <c r="AO107" s="38"/>
      <c r="AP107" s="38"/>
      <c r="AQ107" s="38"/>
      <c r="AR107" s="38"/>
      <c r="AS107" s="38"/>
      <c r="AT107" s="38"/>
      <c r="AU107" s="38"/>
      <c r="AV107" s="40"/>
      <c r="AW107" s="13"/>
      <c r="AX107" s="38"/>
      <c r="AY107" s="38"/>
      <c r="AZ107" s="38"/>
      <c r="BA107" s="38"/>
      <c r="BB107" s="38"/>
      <c r="BC107" s="38"/>
      <c r="BD107" s="40"/>
      <c r="BE107" s="13"/>
      <c r="BF107" s="38"/>
      <c r="BG107" s="42"/>
      <c r="BH107" s="42"/>
      <c r="BI107" s="42"/>
      <c r="BJ107" s="173"/>
      <c r="BK107" s="173"/>
      <c r="BL107" s="173"/>
      <c r="BM107" s="173"/>
      <c r="BN107" s="173"/>
      <c r="BO107" s="173"/>
      <c r="BP107" s="173"/>
      <c r="BQ107" s="173"/>
      <c r="BR107" s="173"/>
      <c r="BS107" s="173"/>
      <c r="BT107" s="173"/>
      <c r="BU107" s="173"/>
      <c r="BV107" s="173"/>
      <c r="BW107" s="173"/>
      <c r="BX107" s="173"/>
      <c r="BY107" s="173"/>
      <c r="BZ107" s="173"/>
      <c r="CA107" s="173"/>
      <c r="CB107" s="173"/>
      <c r="CC107" s="173"/>
      <c r="CD107" s="173"/>
      <c r="CE107" s="173"/>
      <c r="CF107" s="173"/>
      <c r="CG107" s="173"/>
      <c r="CH107" s="173"/>
      <c r="CI107" s="173"/>
      <c r="CJ107" s="173"/>
      <c r="CK107" s="173"/>
      <c r="CL107" s="173"/>
      <c r="CM107" s="173"/>
      <c r="CN107" s="173"/>
      <c r="CO107" s="173"/>
      <c r="CP107" s="173"/>
      <c r="CQ107" s="173"/>
      <c r="CR107" s="173"/>
      <c r="CS107" s="173"/>
      <c r="CT107" s="173"/>
      <c r="CU107" s="173"/>
      <c r="CV107" s="173"/>
      <c r="CW107" s="173"/>
      <c r="CX107" s="173"/>
      <c r="CY107" s="173"/>
      <c r="CZ107" s="173"/>
      <c r="DA107" s="173"/>
      <c r="DB107" s="173"/>
      <c r="DC107" s="173"/>
      <c r="DD107" s="173"/>
      <c r="DE107" s="173"/>
      <c r="DF107" s="173"/>
      <c r="DG107" s="173"/>
      <c r="DH107" s="173"/>
      <c r="DI107" s="173"/>
      <c r="DJ107" s="173"/>
      <c r="DK107" s="173"/>
      <c r="DL107" s="173"/>
      <c r="DM107" s="173"/>
      <c r="DN107" s="173"/>
      <c r="DO107" s="173"/>
      <c r="DP107" s="173"/>
      <c r="DQ107" s="173"/>
      <c r="DR107" s="173"/>
      <c r="DS107" s="173"/>
      <c r="DT107" s="173"/>
      <c r="DU107" s="173"/>
      <c r="DV107" s="173"/>
      <c r="DW107" s="173"/>
      <c r="DX107" s="173"/>
      <c r="DY107" s="173"/>
      <c r="DZ107" s="173"/>
      <c r="EA107" s="173"/>
      <c r="EB107" s="173"/>
      <c r="EC107" s="173"/>
      <c r="ED107" s="173"/>
      <c r="EE107" s="173"/>
      <c r="EF107" s="173"/>
      <c r="EG107" s="173"/>
      <c r="EH107" s="173"/>
      <c r="EI107" s="173"/>
      <c r="EJ107" s="173"/>
      <c r="EK107" s="173"/>
      <c r="EL107" s="173"/>
      <c r="EM107" s="173"/>
      <c r="EN107" s="173"/>
      <c r="EO107" s="173"/>
      <c r="EP107" s="173"/>
      <c r="EQ107" s="173"/>
      <c r="ER107" s="173"/>
      <c r="ES107" s="173"/>
      <c r="ET107" s="173"/>
      <c r="EU107" s="173"/>
      <c r="EV107" s="173"/>
      <c r="EW107" s="173"/>
      <c r="EX107" s="173"/>
      <c r="EY107" s="173"/>
      <c r="EZ107" s="173"/>
      <c r="FA107" s="173"/>
      <c r="FB107" s="173"/>
      <c r="FC107" s="173"/>
      <c r="FD107" s="173"/>
      <c r="FE107" s="173"/>
      <c r="FF107" s="173"/>
      <c r="FG107" s="173"/>
      <c r="FH107" s="173"/>
      <c r="FI107" s="173"/>
      <c r="FJ107" s="173"/>
      <c r="FK107" s="173"/>
      <c r="FL107" s="173"/>
      <c r="FM107" s="173"/>
      <c r="FN107" s="173"/>
      <c r="FO107" s="173"/>
      <c r="FP107" s="173"/>
      <c r="FQ107" s="173"/>
      <c r="FR107" s="173"/>
      <c r="FS107" s="173"/>
      <c r="FT107" s="173"/>
      <c r="FU107" s="173"/>
      <c r="FV107" s="173"/>
      <c r="FW107" s="173"/>
      <c r="FX107" s="173"/>
      <c r="FY107" s="173"/>
      <c r="FZ107" s="173"/>
      <c r="GA107" s="173"/>
      <c r="GB107" s="173"/>
      <c r="GC107" s="173"/>
      <c r="GD107" s="173"/>
      <c r="GE107" s="173"/>
      <c r="GF107" s="173"/>
      <c r="GG107" s="173"/>
      <c r="GH107" s="173"/>
      <c r="GI107" s="173"/>
      <c r="GJ107" s="173"/>
      <c r="GK107" s="173"/>
      <c r="GL107" s="173"/>
      <c r="GM107" s="173"/>
      <c r="GN107" s="173"/>
      <c r="GO107" s="173"/>
      <c r="GP107" s="173"/>
      <c r="GQ107" s="173"/>
      <c r="GR107" s="173"/>
      <c r="GS107" s="173"/>
      <c r="GT107" s="173"/>
      <c r="GU107" s="173"/>
      <c r="GV107" s="173"/>
      <c r="GW107" s="173"/>
      <c r="GX107" s="173"/>
      <c r="GY107" s="173"/>
      <c r="GZ107" s="173"/>
      <c r="HA107" s="173"/>
      <c r="HB107" s="173"/>
      <c r="HC107" s="173"/>
      <c r="HD107" s="173"/>
      <c r="HE107" s="173"/>
      <c r="HF107" s="173"/>
      <c r="HG107" s="173"/>
      <c r="HH107" s="173"/>
      <c r="HI107" s="173"/>
      <c r="HJ107" s="173"/>
      <c r="HK107" s="173"/>
      <c r="HL107" s="173"/>
      <c r="HM107" s="173"/>
      <c r="HN107" s="173"/>
      <c r="HO107" s="173"/>
      <c r="HP107" s="173"/>
      <c r="HQ107" s="173"/>
      <c r="HR107" s="173"/>
      <c r="HS107" s="173"/>
      <c r="HT107" s="173"/>
      <c r="HU107" s="173"/>
      <c r="HV107" s="173"/>
      <c r="HW107" s="173"/>
      <c r="HX107" s="173"/>
      <c r="HY107" s="173"/>
      <c r="HZ107" s="173"/>
      <c r="IA107" s="173"/>
      <c r="IB107" s="173"/>
      <c r="IC107" s="173"/>
      <c r="ID107" s="173"/>
      <c r="IE107" s="173"/>
      <c r="IF107" s="173"/>
      <c r="IG107" s="173"/>
      <c r="IH107" s="173"/>
      <c r="II107" s="173"/>
      <c r="IJ107" s="173"/>
      <c r="IK107" s="173"/>
      <c r="IL107" s="173"/>
      <c r="IM107" s="173"/>
      <c r="IN107" s="173"/>
      <c r="IO107" s="173"/>
      <c r="IP107" s="173"/>
      <c r="IQ107" s="173"/>
      <c r="IR107" s="173"/>
      <c r="IS107" s="173"/>
      <c r="IT107" s="173"/>
      <c r="IU107" s="173"/>
      <c r="IV107" s="173"/>
    </row>
    <row r="108" spans="1:256" ht="20.25" customHeight="1">
      <c r="A108" s="10" t="s">
        <v>9</v>
      </c>
      <c r="B108" s="32">
        <f t="shared" ref="B108:L108" si="66">SUM(B102:B107)</f>
        <v>15</v>
      </c>
      <c r="C108" s="32">
        <f t="shared" si="66"/>
        <v>3</v>
      </c>
      <c r="D108" s="32">
        <f t="shared" si="66"/>
        <v>14</v>
      </c>
      <c r="E108" s="32">
        <f t="shared" si="66"/>
        <v>6</v>
      </c>
      <c r="F108" s="32">
        <f t="shared" si="66"/>
        <v>10</v>
      </c>
      <c r="G108" s="32">
        <f t="shared" si="66"/>
        <v>10</v>
      </c>
      <c r="H108" s="32">
        <f t="shared" si="66"/>
        <v>10</v>
      </c>
      <c r="I108" s="32">
        <f t="shared" si="66"/>
        <v>10</v>
      </c>
      <c r="J108" s="32">
        <f t="shared" si="66"/>
        <v>11</v>
      </c>
      <c r="K108" s="178">
        <f t="shared" si="66"/>
        <v>89</v>
      </c>
      <c r="L108" s="35">
        <f t="shared" si="66"/>
        <v>1</v>
      </c>
      <c r="M108" s="35">
        <f>K108/K111</f>
        <v>0.96739130434782605</v>
      </c>
      <c r="N108" s="37"/>
      <c r="O108" s="35"/>
      <c r="P108" s="13"/>
      <c r="Q108" s="38"/>
      <c r="R108" s="38"/>
      <c r="S108" s="38"/>
      <c r="T108" s="38"/>
      <c r="U108" s="40"/>
      <c r="V108" s="13"/>
      <c r="W108" s="38"/>
      <c r="X108" s="38"/>
      <c r="Y108" s="38"/>
      <c r="Z108" s="38"/>
      <c r="AA108" s="38"/>
      <c r="AB108" s="38"/>
      <c r="AC108" s="38"/>
      <c r="AD108" s="40"/>
      <c r="AE108" s="13"/>
      <c r="AF108" s="38"/>
      <c r="AG108" s="38"/>
      <c r="AH108" s="38"/>
      <c r="AI108" s="38"/>
      <c r="AJ108" s="38"/>
      <c r="AK108" s="38"/>
      <c r="AL108" s="38"/>
      <c r="AM108" s="41"/>
      <c r="AN108" s="13"/>
      <c r="AO108" s="38"/>
      <c r="AP108" s="38"/>
      <c r="AQ108" s="38"/>
      <c r="AR108" s="38"/>
      <c r="AS108" s="38"/>
      <c r="AT108" s="38"/>
      <c r="AU108" s="38"/>
      <c r="AV108" s="40"/>
      <c r="AW108" s="13"/>
      <c r="AX108" s="38"/>
      <c r="AY108" s="38"/>
      <c r="AZ108" s="38"/>
      <c r="BA108" s="38"/>
      <c r="BB108" s="38"/>
      <c r="BC108" s="38"/>
      <c r="BD108" s="40"/>
      <c r="BE108" s="13"/>
      <c r="BF108" s="38"/>
      <c r="BG108" s="42"/>
      <c r="BH108" s="42"/>
      <c r="BI108" s="42"/>
      <c r="BJ108" s="173"/>
      <c r="BK108" s="173"/>
      <c r="BL108" s="173"/>
      <c r="BM108" s="173"/>
      <c r="BN108" s="173"/>
      <c r="BO108" s="173"/>
      <c r="BP108" s="173"/>
      <c r="BQ108" s="173"/>
      <c r="BR108" s="173"/>
      <c r="BS108" s="173"/>
      <c r="BT108" s="173"/>
      <c r="BU108" s="173"/>
      <c r="BV108" s="173"/>
      <c r="BW108" s="173"/>
      <c r="BX108" s="173"/>
      <c r="BY108" s="173"/>
      <c r="BZ108" s="173"/>
      <c r="CA108" s="173"/>
      <c r="CB108" s="173"/>
      <c r="CC108" s="173"/>
      <c r="CD108" s="173"/>
      <c r="CE108" s="173"/>
      <c r="CF108" s="173"/>
      <c r="CG108" s="173"/>
      <c r="CH108" s="173"/>
      <c r="CI108" s="173"/>
      <c r="CJ108" s="173"/>
      <c r="CK108" s="173"/>
      <c r="CL108" s="173"/>
      <c r="CM108" s="173"/>
      <c r="CN108" s="173"/>
      <c r="CO108" s="173"/>
      <c r="CP108" s="173"/>
      <c r="CQ108" s="173"/>
      <c r="CR108" s="173"/>
      <c r="CS108" s="173"/>
      <c r="CT108" s="173"/>
      <c r="CU108" s="173"/>
      <c r="CV108" s="173"/>
      <c r="CW108" s="173"/>
      <c r="CX108" s="173"/>
      <c r="CY108" s="173"/>
      <c r="CZ108" s="173"/>
      <c r="DA108" s="173"/>
      <c r="DB108" s="173"/>
      <c r="DC108" s="173"/>
      <c r="DD108" s="173"/>
      <c r="DE108" s="173"/>
      <c r="DF108" s="173"/>
      <c r="DG108" s="173"/>
      <c r="DH108" s="173"/>
      <c r="DI108" s="173"/>
      <c r="DJ108" s="173"/>
      <c r="DK108" s="173"/>
      <c r="DL108" s="173"/>
      <c r="DM108" s="173"/>
      <c r="DN108" s="173"/>
      <c r="DO108" s="173"/>
      <c r="DP108" s="173"/>
      <c r="DQ108" s="173"/>
      <c r="DR108" s="173"/>
      <c r="DS108" s="173"/>
      <c r="DT108" s="173"/>
      <c r="DU108" s="173"/>
      <c r="DV108" s="173"/>
      <c r="DW108" s="173"/>
      <c r="DX108" s="173"/>
      <c r="DY108" s="173"/>
      <c r="DZ108" s="173"/>
      <c r="EA108" s="173"/>
      <c r="EB108" s="173"/>
      <c r="EC108" s="173"/>
      <c r="ED108" s="173"/>
      <c r="EE108" s="173"/>
      <c r="EF108" s="173"/>
      <c r="EG108" s="173"/>
      <c r="EH108" s="173"/>
      <c r="EI108" s="173"/>
      <c r="EJ108" s="173"/>
      <c r="EK108" s="173"/>
      <c r="EL108" s="173"/>
      <c r="EM108" s="173"/>
      <c r="EN108" s="173"/>
      <c r="EO108" s="173"/>
      <c r="EP108" s="173"/>
      <c r="EQ108" s="173"/>
      <c r="ER108" s="173"/>
      <c r="ES108" s="173"/>
      <c r="ET108" s="173"/>
      <c r="EU108" s="173"/>
      <c r="EV108" s="173"/>
      <c r="EW108" s="173"/>
      <c r="EX108" s="173"/>
      <c r="EY108" s="173"/>
      <c r="EZ108" s="173"/>
      <c r="FA108" s="173"/>
      <c r="FB108" s="173"/>
      <c r="FC108" s="173"/>
      <c r="FD108" s="173"/>
      <c r="FE108" s="173"/>
      <c r="FF108" s="173"/>
      <c r="FG108" s="173"/>
      <c r="FH108" s="173"/>
      <c r="FI108" s="173"/>
      <c r="FJ108" s="173"/>
      <c r="FK108" s="173"/>
      <c r="FL108" s="173"/>
      <c r="FM108" s="173"/>
      <c r="FN108" s="173"/>
      <c r="FO108" s="173"/>
      <c r="FP108" s="173"/>
      <c r="FQ108" s="173"/>
      <c r="FR108" s="173"/>
      <c r="FS108" s="173"/>
      <c r="FT108" s="173"/>
      <c r="FU108" s="173"/>
      <c r="FV108" s="173"/>
      <c r="FW108" s="173"/>
      <c r="FX108" s="173"/>
      <c r="FY108" s="173"/>
      <c r="FZ108" s="173"/>
      <c r="GA108" s="173"/>
      <c r="GB108" s="173"/>
      <c r="GC108" s="173"/>
      <c r="GD108" s="173"/>
      <c r="GE108" s="173"/>
      <c r="GF108" s="173"/>
      <c r="GG108" s="173"/>
      <c r="GH108" s="173"/>
      <c r="GI108" s="173"/>
      <c r="GJ108" s="173"/>
      <c r="GK108" s="173"/>
      <c r="GL108" s="173"/>
      <c r="GM108" s="173"/>
      <c r="GN108" s="173"/>
      <c r="GO108" s="173"/>
      <c r="GP108" s="173"/>
      <c r="GQ108" s="173"/>
      <c r="GR108" s="173"/>
      <c r="GS108" s="173"/>
      <c r="GT108" s="173"/>
      <c r="GU108" s="173"/>
      <c r="GV108" s="173"/>
      <c r="GW108" s="173"/>
      <c r="GX108" s="173"/>
      <c r="GY108" s="173"/>
      <c r="GZ108" s="173"/>
      <c r="HA108" s="173"/>
      <c r="HB108" s="173"/>
      <c r="HC108" s="173"/>
      <c r="HD108" s="173"/>
      <c r="HE108" s="173"/>
      <c r="HF108" s="173"/>
      <c r="HG108" s="173"/>
      <c r="HH108" s="173"/>
      <c r="HI108" s="173"/>
      <c r="HJ108" s="173"/>
      <c r="HK108" s="173"/>
      <c r="HL108" s="173"/>
      <c r="HM108" s="173"/>
      <c r="HN108" s="173"/>
      <c r="HO108" s="173"/>
      <c r="HP108" s="173"/>
      <c r="HQ108" s="173"/>
      <c r="HR108" s="173"/>
      <c r="HS108" s="173"/>
      <c r="HT108" s="173"/>
      <c r="HU108" s="173"/>
      <c r="HV108" s="173"/>
      <c r="HW108" s="173"/>
      <c r="HX108" s="173"/>
      <c r="HY108" s="173"/>
      <c r="HZ108" s="173"/>
      <c r="IA108" s="173"/>
      <c r="IB108" s="173"/>
      <c r="IC108" s="173"/>
      <c r="ID108" s="173"/>
      <c r="IE108" s="173"/>
      <c r="IF108" s="173"/>
      <c r="IG108" s="173"/>
      <c r="IH108" s="173"/>
      <c r="II108" s="173"/>
      <c r="IJ108" s="173"/>
      <c r="IK108" s="173"/>
      <c r="IL108" s="173"/>
      <c r="IM108" s="173"/>
      <c r="IN108" s="173"/>
      <c r="IO108" s="173"/>
      <c r="IP108" s="173"/>
      <c r="IQ108" s="173"/>
      <c r="IR108" s="173"/>
      <c r="IS108" s="173"/>
      <c r="IT108" s="173"/>
      <c r="IU108" s="173"/>
      <c r="IV108" s="173"/>
    </row>
    <row r="109" spans="1:256" ht="20.25" customHeight="1">
      <c r="A109" s="8" t="s">
        <v>64</v>
      </c>
      <c r="B109" s="32">
        <v>0</v>
      </c>
      <c r="C109" s="32">
        <v>0</v>
      </c>
      <c r="D109" s="32">
        <v>0</v>
      </c>
      <c r="E109" s="32">
        <v>1</v>
      </c>
      <c r="F109" s="32">
        <v>1</v>
      </c>
      <c r="G109" s="32">
        <v>0</v>
      </c>
      <c r="H109" s="32">
        <v>0</v>
      </c>
      <c r="I109" s="32">
        <v>0</v>
      </c>
      <c r="J109" s="32">
        <v>0</v>
      </c>
      <c r="K109" s="178">
        <f>SUM(B109:J109)</f>
        <v>2</v>
      </c>
      <c r="L109" s="35">
        <f>K109/(K108+K109+K110)</f>
        <v>2.1739130434782608E-2</v>
      </c>
      <c r="M109" s="35">
        <f>K109/(K111)</f>
        <v>2.1739130434782608E-2</v>
      </c>
      <c r="N109" s="37"/>
      <c r="O109" s="35"/>
      <c r="P109" s="13"/>
      <c r="Q109" s="38"/>
      <c r="R109" s="38"/>
      <c r="S109" s="38"/>
      <c r="T109" s="38"/>
      <c r="U109" s="40"/>
      <c r="V109" s="13"/>
      <c r="W109" s="38"/>
      <c r="X109" s="38"/>
      <c r="Y109" s="38"/>
      <c r="Z109" s="38"/>
      <c r="AA109" s="38"/>
      <c r="AB109" s="38"/>
      <c r="AC109" s="38"/>
      <c r="AD109" s="40"/>
      <c r="AE109" s="13"/>
      <c r="AF109" s="38"/>
      <c r="AG109" s="38"/>
      <c r="AH109" s="38"/>
      <c r="AI109" s="38"/>
      <c r="AJ109" s="38"/>
      <c r="AK109" s="38"/>
      <c r="AL109" s="38"/>
      <c r="AM109" s="41"/>
      <c r="AN109" s="13"/>
      <c r="AO109" s="38"/>
      <c r="AP109" s="38"/>
      <c r="AQ109" s="38"/>
      <c r="AR109" s="38"/>
      <c r="AS109" s="38"/>
      <c r="AT109" s="38"/>
      <c r="AU109" s="38"/>
      <c r="AV109" s="40"/>
      <c r="AW109" s="13"/>
      <c r="AX109" s="38"/>
      <c r="AY109" s="38"/>
      <c r="AZ109" s="38"/>
      <c r="BA109" s="38"/>
      <c r="BB109" s="38"/>
      <c r="BC109" s="38"/>
      <c r="BD109" s="40"/>
      <c r="BE109" s="13"/>
      <c r="BF109" s="38"/>
      <c r="BG109" s="42"/>
      <c r="BH109" s="42"/>
      <c r="BI109" s="42"/>
      <c r="BJ109" s="173"/>
      <c r="BK109" s="173"/>
      <c r="BL109" s="173"/>
      <c r="BM109" s="173"/>
      <c r="BN109" s="173"/>
      <c r="BO109" s="173"/>
      <c r="BP109" s="173"/>
      <c r="BQ109" s="173"/>
      <c r="BR109" s="173"/>
      <c r="BS109" s="173"/>
      <c r="BT109" s="173"/>
      <c r="BU109" s="173"/>
      <c r="BV109" s="173"/>
      <c r="BW109" s="173"/>
      <c r="BX109" s="173"/>
      <c r="BY109" s="173"/>
      <c r="BZ109" s="173"/>
      <c r="CA109" s="173"/>
      <c r="CB109" s="173"/>
      <c r="CC109" s="173"/>
      <c r="CD109" s="173"/>
      <c r="CE109" s="173"/>
      <c r="CF109" s="173"/>
      <c r="CG109" s="173"/>
      <c r="CH109" s="173"/>
      <c r="CI109" s="173"/>
      <c r="CJ109" s="173"/>
      <c r="CK109" s="173"/>
      <c r="CL109" s="173"/>
      <c r="CM109" s="173"/>
      <c r="CN109" s="173"/>
      <c r="CO109" s="173"/>
      <c r="CP109" s="173"/>
      <c r="CQ109" s="173"/>
      <c r="CR109" s="173"/>
      <c r="CS109" s="173"/>
      <c r="CT109" s="173"/>
      <c r="CU109" s="173"/>
      <c r="CV109" s="173"/>
      <c r="CW109" s="173"/>
      <c r="CX109" s="173"/>
      <c r="CY109" s="173"/>
      <c r="CZ109" s="173"/>
      <c r="DA109" s="173"/>
      <c r="DB109" s="173"/>
      <c r="DC109" s="173"/>
      <c r="DD109" s="173"/>
      <c r="DE109" s="173"/>
      <c r="DF109" s="173"/>
      <c r="DG109" s="173"/>
      <c r="DH109" s="173"/>
      <c r="DI109" s="173"/>
      <c r="DJ109" s="173"/>
      <c r="DK109" s="173"/>
      <c r="DL109" s="173"/>
      <c r="DM109" s="173"/>
      <c r="DN109" s="173"/>
      <c r="DO109" s="173"/>
      <c r="DP109" s="173"/>
      <c r="DQ109" s="173"/>
      <c r="DR109" s="173"/>
      <c r="DS109" s="173"/>
      <c r="DT109" s="173"/>
      <c r="DU109" s="173"/>
      <c r="DV109" s="173"/>
      <c r="DW109" s="173"/>
      <c r="DX109" s="173"/>
      <c r="DY109" s="173"/>
      <c r="DZ109" s="173"/>
      <c r="EA109" s="173"/>
      <c r="EB109" s="173"/>
      <c r="EC109" s="173"/>
      <c r="ED109" s="173"/>
      <c r="EE109" s="173"/>
      <c r="EF109" s="173"/>
      <c r="EG109" s="173"/>
      <c r="EH109" s="173"/>
      <c r="EI109" s="173"/>
      <c r="EJ109" s="173"/>
      <c r="EK109" s="173"/>
      <c r="EL109" s="173"/>
      <c r="EM109" s="173"/>
      <c r="EN109" s="173"/>
      <c r="EO109" s="173"/>
      <c r="EP109" s="173"/>
      <c r="EQ109" s="173"/>
      <c r="ER109" s="173"/>
      <c r="ES109" s="173"/>
      <c r="ET109" s="173"/>
      <c r="EU109" s="173"/>
      <c r="EV109" s="173"/>
      <c r="EW109" s="173"/>
      <c r="EX109" s="173"/>
      <c r="EY109" s="173"/>
      <c r="EZ109" s="173"/>
      <c r="FA109" s="173"/>
      <c r="FB109" s="173"/>
      <c r="FC109" s="173"/>
      <c r="FD109" s="173"/>
      <c r="FE109" s="173"/>
      <c r="FF109" s="173"/>
      <c r="FG109" s="173"/>
      <c r="FH109" s="173"/>
      <c r="FI109" s="173"/>
      <c r="FJ109" s="173"/>
      <c r="FK109" s="173"/>
      <c r="FL109" s="173"/>
      <c r="FM109" s="173"/>
      <c r="FN109" s="173"/>
      <c r="FO109" s="173"/>
      <c r="FP109" s="173"/>
      <c r="FQ109" s="173"/>
      <c r="FR109" s="173"/>
      <c r="FS109" s="173"/>
      <c r="FT109" s="173"/>
      <c r="FU109" s="173"/>
      <c r="FV109" s="173"/>
      <c r="FW109" s="173"/>
      <c r="FX109" s="173"/>
      <c r="FY109" s="173"/>
      <c r="FZ109" s="173"/>
      <c r="GA109" s="173"/>
      <c r="GB109" s="173"/>
      <c r="GC109" s="173"/>
      <c r="GD109" s="173"/>
      <c r="GE109" s="173"/>
      <c r="GF109" s="173"/>
      <c r="GG109" s="173"/>
      <c r="GH109" s="173"/>
      <c r="GI109" s="173"/>
      <c r="GJ109" s="173"/>
      <c r="GK109" s="173"/>
      <c r="GL109" s="173"/>
      <c r="GM109" s="173"/>
      <c r="GN109" s="173"/>
      <c r="GO109" s="173"/>
      <c r="GP109" s="173"/>
      <c r="GQ109" s="173"/>
      <c r="GR109" s="173"/>
      <c r="GS109" s="173"/>
      <c r="GT109" s="173"/>
      <c r="GU109" s="173"/>
      <c r="GV109" s="173"/>
      <c r="GW109" s="173"/>
      <c r="GX109" s="173"/>
      <c r="GY109" s="173"/>
      <c r="GZ109" s="173"/>
      <c r="HA109" s="173"/>
      <c r="HB109" s="173"/>
      <c r="HC109" s="173"/>
      <c r="HD109" s="173"/>
      <c r="HE109" s="173"/>
      <c r="HF109" s="173"/>
      <c r="HG109" s="173"/>
      <c r="HH109" s="173"/>
      <c r="HI109" s="173"/>
      <c r="HJ109" s="173"/>
      <c r="HK109" s="173"/>
      <c r="HL109" s="173"/>
      <c r="HM109" s="173"/>
      <c r="HN109" s="173"/>
      <c r="HO109" s="173"/>
      <c r="HP109" s="173"/>
      <c r="HQ109" s="173"/>
      <c r="HR109" s="173"/>
      <c r="HS109" s="173"/>
      <c r="HT109" s="173"/>
      <c r="HU109" s="173"/>
      <c r="HV109" s="173"/>
      <c r="HW109" s="173"/>
      <c r="HX109" s="173"/>
      <c r="HY109" s="173"/>
      <c r="HZ109" s="173"/>
      <c r="IA109" s="173"/>
      <c r="IB109" s="173"/>
      <c r="IC109" s="173"/>
      <c r="ID109" s="173"/>
      <c r="IE109" s="173"/>
      <c r="IF109" s="173"/>
      <c r="IG109" s="173"/>
      <c r="IH109" s="173"/>
      <c r="II109" s="173"/>
      <c r="IJ109" s="173"/>
      <c r="IK109" s="173"/>
      <c r="IL109" s="173"/>
      <c r="IM109" s="173"/>
      <c r="IN109" s="173"/>
      <c r="IO109" s="173"/>
      <c r="IP109" s="173"/>
      <c r="IQ109" s="173"/>
      <c r="IR109" s="173"/>
      <c r="IS109" s="173"/>
      <c r="IT109" s="173"/>
      <c r="IU109" s="173"/>
      <c r="IV109" s="173"/>
    </row>
    <row r="110" spans="1:256" ht="20.25" customHeight="1">
      <c r="A110" s="8" t="s">
        <v>65</v>
      </c>
      <c r="B110" s="32">
        <v>0</v>
      </c>
      <c r="C110" s="32">
        <v>0</v>
      </c>
      <c r="D110" s="32">
        <v>0</v>
      </c>
      <c r="E110" s="32">
        <v>0</v>
      </c>
      <c r="F110" s="32">
        <v>1</v>
      </c>
      <c r="G110" s="32">
        <v>0</v>
      </c>
      <c r="H110" s="32">
        <v>0</v>
      </c>
      <c r="I110" s="32">
        <v>0</v>
      </c>
      <c r="J110" s="32">
        <v>0</v>
      </c>
      <c r="K110" s="178">
        <f>SUM(B110:J110)</f>
        <v>1</v>
      </c>
      <c r="L110" s="35">
        <f>K110/(K109+K110+K108)</f>
        <v>1.0869565217391304E-2</v>
      </c>
      <c r="M110" s="35">
        <f>K110/(K111)</f>
        <v>1.0869565217391304E-2</v>
      </c>
      <c r="N110" s="37"/>
      <c r="O110" s="35"/>
      <c r="P110" s="13"/>
      <c r="Q110" s="38"/>
      <c r="R110" s="38"/>
      <c r="S110" s="38"/>
      <c r="T110" s="38"/>
      <c r="U110" s="40"/>
      <c r="V110" s="13"/>
      <c r="W110" s="38"/>
      <c r="X110" s="38"/>
      <c r="Y110" s="38"/>
      <c r="Z110" s="38"/>
      <c r="AA110" s="38"/>
      <c r="AB110" s="38"/>
      <c r="AC110" s="38"/>
      <c r="AD110" s="40"/>
      <c r="AE110" s="13"/>
      <c r="AF110" s="38"/>
      <c r="AG110" s="38"/>
      <c r="AH110" s="38"/>
      <c r="AI110" s="38"/>
      <c r="AJ110" s="38"/>
      <c r="AK110" s="38"/>
      <c r="AL110" s="38"/>
      <c r="AM110" s="41"/>
      <c r="AN110" s="13"/>
      <c r="AO110" s="38"/>
      <c r="AP110" s="38"/>
      <c r="AQ110" s="38"/>
      <c r="AR110" s="38"/>
      <c r="AS110" s="38"/>
      <c r="AT110" s="38"/>
      <c r="AU110" s="38"/>
      <c r="AV110" s="40"/>
      <c r="AW110" s="13"/>
      <c r="AX110" s="38"/>
      <c r="AY110" s="38"/>
      <c r="AZ110" s="38"/>
      <c r="BA110" s="38"/>
      <c r="BB110" s="38"/>
      <c r="BC110" s="38"/>
      <c r="BD110" s="40"/>
      <c r="BE110" s="13"/>
      <c r="BF110" s="38"/>
      <c r="BG110" s="42"/>
      <c r="BH110" s="42"/>
      <c r="BI110" s="42"/>
      <c r="BJ110" s="173"/>
      <c r="BK110" s="173"/>
      <c r="BL110" s="173"/>
      <c r="BM110" s="173"/>
      <c r="BN110" s="173"/>
      <c r="BO110" s="173"/>
      <c r="BP110" s="173"/>
      <c r="BQ110" s="173"/>
      <c r="BR110" s="173"/>
      <c r="BS110" s="173"/>
      <c r="BT110" s="173"/>
      <c r="BU110" s="173"/>
      <c r="BV110" s="173"/>
      <c r="BW110" s="173"/>
      <c r="BX110" s="173"/>
      <c r="BY110" s="173"/>
      <c r="BZ110" s="173"/>
      <c r="CA110" s="173"/>
      <c r="CB110" s="173"/>
      <c r="CC110" s="173"/>
      <c r="CD110" s="173"/>
      <c r="CE110" s="173"/>
      <c r="CF110" s="173"/>
      <c r="CG110" s="173"/>
      <c r="CH110" s="173"/>
      <c r="CI110" s="173"/>
      <c r="CJ110" s="173"/>
      <c r="CK110" s="173"/>
      <c r="CL110" s="173"/>
      <c r="CM110" s="173"/>
      <c r="CN110" s="173"/>
      <c r="CO110" s="173"/>
      <c r="CP110" s="173"/>
      <c r="CQ110" s="173"/>
      <c r="CR110" s="173"/>
      <c r="CS110" s="173"/>
      <c r="CT110" s="173"/>
      <c r="CU110" s="173"/>
      <c r="CV110" s="173"/>
      <c r="CW110" s="173"/>
      <c r="CX110" s="173"/>
      <c r="CY110" s="173"/>
      <c r="CZ110" s="173"/>
      <c r="DA110" s="173"/>
      <c r="DB110" s="173"/>
      <c r="DC110" s="173"/>
      <c r="DD110" s="173"/>
      <c r="DE110" s="173"/>
      <c r="DF110" s="173"/>
      <c r="DG110" s="173"/>
      <c r="DH110" s="173"/>
      <c r="DI110" s="173"/>
      <c r="DJ110" s="173"/>
      <c r="DK110" s="173"/>
      <c r="DL110" s="173"/>
      <c r="DM110" s="173"/>
      <c r="DN110" s="173"/>
      <c r="DO110" s="173"/>
      <c r="DP110" s="173"/>
      <c r="DQ110" s="173"/>
      <c r="DR110" s="173"/>
      <c r="DS110" s="173"/>
      <c r="DT110" s="173"/>
      <c r="DU110" s="173"/>
      <c r="DV110" s="173"/>
      <c r="DW110" s="173"/>
      <c r="DX110" s="173"/>
      <c r="DY110" s="173"/>
      <c r="DZ110" s="173"/>
      <c r="EA110" s="173"/>
      <c r="EB110" s="173"/>
      <c r="EC110" s="173"/>
      <c r="ED110" s="173"/>
      <c r="EE110" s="173"/>
      <c r="EF110" s="173"/>
      <c r="EG110" s="173"/>
      <c r="EH110" s="173"/>
      <c r="EI110" s="173"/>
      <c r="EJ110" s="173"/>
      <c r="EK110" s="173"/>
      <c r="EL110" s="173"/>
      <c r="EM110" s="173"/>
      <c r="EN110" s="173"/>
      <c r="EO110" s="173"/>
      <c r="EP110" s="173"/>
      <c r="EQ110" s="173"/>
      <c r="ER110" s="173"/>
      <c r="ES110" s="173"/>
      <c r="ET110" s="173"/>
      <c r="EU110" s="173"/>
      <c r="EV110" s="173"/>
      <c r="EW110" s="173"/>
      <c r="EX110" s="173"/>
      <c r="EY110" s="173"/>
      <c r="EZ110" s="173"/>
      <c r="FA110" s="173"/>
      <c r="FB110" s="173"/>
      <c r="FC110" s="173"/>
      <c r="FD110" s="173"/>
      <c r="FE110" s="173"/>
      <c r="FF110" s="173"/>
      <c r="FG110" s="173"/>
      <c r="FH110" s="173"/>
      <c r="FI110" s="173"/>
      <c r="FJ110" s="173"/>
      <c r="FK110" s="173"/>
      <c r="FL110" s="173"/>
      <c r="FM110" s="173"/>
      <c r="FN110" s="173"/>
      <c r="FO110" s="173"/>
      <c r="FP110" s="173"/>
      <c r="FQ110" s="173"/>
      <c r="FR110" s="173"/>
      <c r="FS110" s="173"/>
      <c r="FT110" s="173"/>
      <c r="FU110" s="173"/>
      <c r="FV110" s="173"/>
      <c r="FW110" s="173"/>
      <c r="FX110" s="173"/>
      <c r="FY110" s="173"/>
      <c r="FZ110" s="173"/>
      <c r="GA110" s="173"/>
      <c r="GB110" s="173"/>
      <c r="GC110" s="173"/>
      <c r="GD110" s="173"/>
      <c r="GE110" s="173"/>
      <c r="GF110" s="173"/>
      <c r="GG110" s="173"/>
      <c r="GH110" s="173"/>
      <c r="GI110" s="173"/>
      <c r="GJ110" s="173"/>
      <c r="GK110" s="173"/>
      <c r="GL110" s="173"/>
      <c r="GM110" s="173"/>
      <c r="GN110" s="173"/>
      <c r="GO110" s="173"/>
      <c r="GP110" s="173"/>
      <c r="GQ110" s="173"/>
      <c r="GR110" s="173"/>
      <c r="GS110" s="173"/>
      <c r="GT110" s="173"/>
      <c r="GU110" s="173"/>
      <c r="GV110" s="173"/>
      <c r="GW110" s="173"/>
      <c r="GX110" s="173"/>
      <c r="GY110" s="173"/>
      <c r="GZ110" s="173"/>
      <c r="HA110" s="173"/>
      <c r="HB110" s="173"/>
      <c r="HC110" s="173"/>
      <c r="HD110" s="173"/>
      <c r="HE110" s="173"/>
      <c r="HF110" s="173"/>
      <c r="HG110" s="173"/>
      <c r="HH110" s="173"/>
      <c r="HI110" s="173"/>
      <c r="HJ110" s="173"/>
      <c r="HK110" s="173"/>
      <c r="HL110" s="173"/>
      <c r="HM110" s="173"/>
      <c r="HN110" s="173"/>
      <c r="HO110" s="173"/>
      <c r="HP110" s="173"/>
      <c r="HQ110" s="173"/>
      <c r="HR110" s="173"/>
      <c r="HS110" s="173"/>
      <c r="HT110" s="173"/>
      <c r="HU110" s="173"/>
      <c r="HV110" s="173"/>
      <c r="HW110" s="173"/>
      <c r="HX110" s="173"/>
      <c r="HY110" s="173"/>
      <c r="HZ110" s="173"/>
      <c r="IA110" s="173"/>
      <c r="IB110" s="173"/>
      <c r="IC110" s="173"/>
      <c r="ID110" s="173"/>
      <c r="IE110" s="173"/>
      <c r="IF110" s="173"/>
      <c r="IG110" s="173"/>
      <c r="IH110" s="173"/>
      <c r="II110" s="173"/>
      <c r="IJ110" s="173"/>
      <c r="IK110" s="173"/>
      <c r="IL110" s="173"/>
      <c r="IM110" s="173"/>
      <c r="IN110" s="173"/>
      <c r="IO110" s="173"/>
      <c r="IP110" s="173"/>
      <c r="IQ110" s="173"/>
      <c r="IR110" s="173"/>
      <c r="IS110" s="173"/>
      <c r="IT110" s="173"/>
      <c r="IU110" s="173"/>
      <c r="IV110" s="173"/>
    </row>
    <row r="111" spans="1:256" ht="20.25" customHeight="1">
      <c r="A111" s="39" t="s">
        <v>66</v>
      </c>
      <c r="B111" s="32">
        <f t="shared" ref="B111:J111" si="67">SUM(B108:B110)</f>
        <v>15</v>
      </c>
      <c r="C111" s="32">
        <f t="shared" si="67"/>
        <v>3</v>
      </c>
      <c r="D111" s="32">
        <f t="shared" si="67"/>
        <v>14</v>
      </c>
      <c r="E111" s="32">
        <f t="shared" si="67"/>
        <v>7</v>
      </c>
      <c r="F111" s="32">
        <f t="shared" si="67"/>
        <v>12</v>
      </c>
      <c r="G111" s="32">
        <f t="shared" si="67"/>
        <v>10</v>
      </c>
      <c r="H111" s="32">
        <f t="shared" si="67"/>
        <v>10</v>
      </c>
      <c r="I111" s="32">
        <f t="shared" si="67"/>
        <v>10</v>
      </c>
      <c r="J111" s="32">
        <f t="shared" si="67"/>
        <v>11</v>
      </c>
      <c r="K111" s="178">
        <f>SUM(B111:J111)</f>
        <v>92</v>
      </c>
      <c r="L111" s="35">
        <f>K111/(K110+K109+K108)</f>
        <v>1</v>
      </c>
      <c r="M111" s="35">
        <f>K111/(K108+K109+K110)</f>
        <v>1</v>
      </c>
      <c r="N111" s="37"/>
      <c r="O111" s="35"/>
      <c r="P111" s="13"/>
      <c r="Q111" s="38"/>
      <c r="R111" s="38"/>
      <c r="S111" s="38"/>
      <c r="T111" s="38"/>
      <c r="U111" s="40"/>
      <c r="V111" s="13"/>
      <c r="W111" s="38"/>
      <c r="X111" s="38"/>
      <c r="Y111" s="38"/>
      <c r="Z111" s="38"/>
      <c r="AA111" s="38"/>
      <c r="AB111" s="38"/>
      <c r="AC111" s="38"/>
      <c r="AD111" s="40"/>
      <c r="AE111" s="13"/>
      <c r="AF111" s="38"/>
      <c r="AG111" s="38"/>
      <c r="AH111" s="38"/>
      <c r="AI111" s="38"/>
      <c r="AJ111" s="38"/>
      <c r="AK111" s="38"/>
      <c r="AL111" s="38"/>
      <c r="AM111" s="41"/>
      <c r="AN111" s="13"/>
      <c r="AO111" s="38"/>
      <c r="AP111" s="38"/>
      <c r="AQ111" s="38"/>
      <c r="AR111" s="38"/>
      <c r="AS111" s="38"/>
      <c r="AT111" s="38"/>
      <c r="AU111" s="38"/>
      <c r="AV111" s="40"/>
      <c r="AW111" s="13"/>
      <c r="AX111" s="38"/>
      <c r="AY111" s="38"/>
      <c r="AZ111" s="38"/>
      <c r="BA111" s="38"/>
      <c r="BB111" s="38"/>
      <c r="BC111" s="38"/>
      <c r="BD111" s="40"/>
      <c r="BE111" s="13"/>
      <c r="BF111" s="38"/>
      <c r="BG111" s="42"/>
      <c r="BH111" s="42"/>
      <c r="BI111" s="42"/>
      <c r="BJ111" s="173"/>
      <c r="BK111" s="173"/>
      <c r="BL111" s="173"/>
      <c r="BM111" s="173"/>
      <c r="BN111" s="173"/>
      <c r="BO111" s="173"/>
      <c r="BP111" s="173"/>
      <c r="BQ111" s="173"/>
      <c r="BR111" s="173"/>
      <c r="BS111" s="173"/>
      <c r="BT111" s="173"/>
      <c r="BU111" s="173"/>
      <c r="BV111" s="173"/>
      <c r="BW111" s="173"/>
      <c r="BX111" s="173"/>
      <c r="BY111" s="173"/>
      <c r="BZ111" s="173"/>
      <c r="CA111" s="173"/>
      <c r="CB111" s="173"/>
      <c r="CC111" s="173"/>
      <c r="CD111" s="173"/>
      <c r="CE111" s="173"/>
      <c r="CF111" s="173"/>
      <c r="CG111" s="173"/>
      <c r="CH111" s="173"/>
      <c r="CI111" s="173"/>
      <c r="CJ111" s="173"/>
      <c r="CK111" s="173"/>
      <c r="CL111" s="173"/>
      <c r="CM111" s="173"/>
      <c r="CN111" s="173"/>
      <c r="CO111" s="173"/>
      <c r="CP111" s="173"/>
      <c r="CQ111" s="173"/>
      <c r="CR111" s="173"/>
      <c r="CS111" s="173"/>
      <c r="CT111" s="173"/>
      <c r="CU111" s="173"/>
      <c r="CV111" s="173"/>
      <c r="CW111" s="173"/>
      <c r="CX111" s="173"/>
      <c r="CY111" s="173"/>
      <c r="CZ111" s="173"/>
      <c r="DA111" s="173"/>
      <c r="DB111" s="173"/>
      <c r="DC111" s="173"/>
      <c r="DD111" s="173"/>
      <c r="DE111" s="173"/>
      <c r="DF111" s="173"/>
      <c r="DG111" s="173"/>
      <c r="DH111" s="173"/>
      <c r="DI111" s="173"/>
      <c r="DJ111" s="173"/>
      <c r="DK111" s="173"/>
      <c r="DL111" s="173"/>
      <c r="DM111" s="173"/>
      <c r="DN111" s="173"/>
      <c r="DO111" s="173"/>
      <c r="DP111" s="173"/>
      <c r="DQ111" s="173"/>
      <c r="DR111" s="173"/>
      <c r="DS111" s="173"/>
      <c r="DT111" s="173"/>
      <c r="DU111" s="173"/>
      <c r="DV111" s="173"/>
      <c r="DW111" s="173"/>
      <c r="DX111" s="173"/>
      <c r="DY111" s="173"/>
      <c r="DZ111" s="173"/>
      <c r="EA111" s="173"/>
      <c r="EB111" s="173"/>
      <c r="EC111" s="173"/>
      <c r="ED111" s="173"/>
      <c r="EE111" s="173"/>
      <c r="EF111" s="173"/>
      <c r="EG111" s="173"/>
      <c r="EH111" s="173"/>
      <c r="EI111" s="173"/>
      <c r="EJ111" s="173"/>
      <c r="EK111" s="173"/>
      <c r="EL111" s="173"/>
      <c r="EM111" s="173"/>
      <c r="EN111" s="173"/>
      <c r="EO111" s="173"/>
      <c r="EP111" s="173"/>
      <c r="EQ111" s="173"/>
      <c r="ER111" s="173"/>
      <c r="ES111" s="173"/>
      <c r="ET111" s="173"/>
      <c r="EU111" s="173"/>
      <c r="EV111" s="173"/>
      <c r="EW111" s="173"/>
      <c r="EX111" s="173"/>
      <c r="EY111" s="173"/>
      <c r="EZ111" s="173"/>
      <c r="FA111" s="173"/>
      <c r="FB111" s="173"/>
      <c r="FC111" s="173"/>
      <c r="FD111" s="173"/>
      <c r="FE111" s="173"/>
      <c r="FF111" s="173"/>
      <c r="FG111" s="173"/>
      <c r="FH111" s="173"/>
      <c r="FI111" s="173"/>
      <c r="FJ111" s="173"/>
      <c r="FK111" s="173"/>
      <c r="FL111" s="173"/>
      <c r="FM111" s="173"/>
      <c r="FN111" s="173"/>
      <c r="FO111" s="173"/>
      <c r="FP111" s="173"/>
      <c r="FQ111" s="173"/>
      <c r="FR111" s="173"/>
      <c r="FS111" s="173"/>
      <c r="FT111" s="173"/>
      <c r="FU111" s="173"/>
      <c r="FV111" s="173"/>
      <c r="FW111" s="173"/>
      <c r="FX111" s="173"/>
      <c r="FY111" s="173"/>
      <c r="FZ111" s="173"/>
      <c r="GA111" s="173"/>
      <c r="GB111" s="173"/>
      <c r="GC111" s="173"/>
      <c r="GD111" s="173"/>
      <c r="GE111" s="173"/>
      <c r="GF111" s="173"/>
      <c r="GG111" s="173"/>
      <c r="GH111" s="173"/>
      <c r="GI111" s="173"/>
      <c r="GJ111" s="173"/>
      <c r="GK111" s="173"/>
      <c r="GL111" s="173"/>
      <c r="GM111" s="173"/>
      <c r="GN111" s="173"/>
      <c r="GO111" s="173"/>
      <c r="GP111" s="173"/>
      <c r="GQ111" s="173"/>
      <c r="GR111" s="173"/>
      <c r="GS111" s="173"/>
      <c r="GT111" s="173"/>
      <c r="GU111" s="173"/>
      <c r="GV111" s="173"/>
      <c r="GW111" s="173"/>
      <c r="GX111" s="173"/>
      <c r="GY111" s="173"/>
      <c r="GZ111" s="173"/>
      <c r="HA111" s="173"/>
      <c r="HB111" s="173"/>
      <c r="HC111" s="173"/>
      <c r="HD111" s="173"/>
      <c r="HE111" s="173"/>
      <c r="HF111" s="173"/>
      <c r="HG111" s="173"/>
      <c r="HH111" s="173"/>
      <c r="HI111" s="173"/>
      <c r="HJ111" s="173"/>
      <c r="HK111" s="173"/>
      <c r="HL111" s="173"/>
      <c r="HM111" s="173"/>
      <c r="HN111" s="173"/>
      <c r="HO111" s="173"/>
      <c r="HP111" s="173"/>
      <c r="HQ111" s="173"/>
      <c r="HR111" s="173"/>
      <c r="HS111" s="173"/>
      <c r="HT111" s="173"/>
      <c r="HU111" s="173"/>
      <c r="HV111" s="173"/>
      <c r="HW111" s="173"/>
      <c r="HX111" s="173"/>
      <c r="HY111" s="173"/>
      <c r="HZ111" s="173"/>
      <c r="IA111" s="173"/>
      <c r="IB111" s="173"/>
      <c r="IC111" s="173"/>
      <c r="ID111" s="173"/>
      <c r="IE111" s="173"/>
      <c r="IF111" s="173"/>
      <c r="IG111" s="173"/>
      <c r="IH111" s="173"/>
      <c r="II111" s="173"/>
      <c r="IJ111" s="173"/>
      <c r="IK111" s="173"/>
      <c r="IL111" s="173"/>
      <c r="IM111" s="173"/>
      <c r="IN111" s="173"/>
      <c r="IO111" s="173"/>
      <c r="IP111" s="173"/>
      <c r="IQ111" s="173"/>
      <c r="IR111" s="173"/>
      <c r="IS111" s="173"/>
      <c r="IT111" s="173"/>
      <c r="IU111" s="173"/>
      <c r="IV111" s="173"/>
    </row>
    <row r="112" spans="1:256" ht="80.25" customHeight="1">
      <c r="A112" s="62" t="s">
        <v>95</v>
      </c>
      <c r="B112" s="183" t="s">
        <v>96</v>
      </c>
      <c r="C112" s="184"/>
      <c r="D112" s="184"/>
      <c r="E112" s="184"/>
      <c r="F112" s="184"/>
      <c r="G112" s="65"/>
      <c r="H112" s="65"/>
      <c r="I112" s="65"/>
      <c r="J112" s="65"/>
      <c r="K112" s="63"/>
      <c r="L112" s="66"/>
      <c r="M112" s="66"/>
      <c r="N112" s="67"/>
      <c r="O112" s="66"/>
      <c r="P112" s="68"/>
      <c r="Q112" s="69"/>
      <c r="R112" s="69"/>
      <c r="S112" s="69"/>
      <c r="T112" s="67"/>
      <c r="U112" s="66"/>
      <c r="V112" s="68"/>
      <c r="W112" s="69"/>
      <c r="X112" s="69"/>
      <c r="Y112" s="69"/>
      <c r="Z112" s="69"/>
      <c r="AA112" s="69"/>
      <c r="AB112" s="69"/>
      <c r="AC112" s="67"/>
      <c r="AD112" s="66"/>
      <c r="AE112" s="68"/>
      <c r="AF112" s="69"/>
      <c r="AG112" s="69"/>
      <c r="AH112" s="69"/>
      <c r="AI112" s="69"/>
      <c r="AJ112" s="69"/>
      <c r="AK112" s="69"/>
      <c r="AL112" s="67"/>
      <c r="AM112" s="70"/>
      <c r="AN112" s="68"/>
      <c r="AO112" s="67"/>
      <c r="AP112" s="67"/>
      <c r="AQ112" s="67"/>
      <c r="AR112" s="67"/>
      <c r="AS112" s="67"/>
      <c r="AT112" s="67"/>
      <c r="AU112" s="67"/>
      <c r="AV112" s="66"/>
      <c r="AW112" s="68"/>
      <c r="AX112" s="67"/>
      <c r="AY112" s="67"/>
      <c r="AZ112" s="67"/>
      <c r="BA112" s="67"/>
      <c r="BB112" s="67"/>
      <c r="BC112" s="67"/>
      <c r="BD112" s="66"/>
      <c r="BE112" s="68"/>
      <c r="BF112" s="67"/>
      <c r="BG112" s="65"/>
      <c r="BH112" s="63"/>
      <c r="BI112" s="65"/>
    </row>
    <row r="113" spans="1:61" ht="32.25" customHeight="1">
      <c r="A113" s="71"/>
      <c r="B113" s="72" t="s">
        <v>0</v>
      </c>
      <c r="C113" s="72" t="s">
        <v>1</v>
      </c>
      <c r="D113" s="72" t="s">
        <v>2</v>
      </c>
      <c r="E113" s="72" t="s">
        <v>3</v>
      </c>
      <c r="F113" s="72" t="s">
        <v>4</v>
      </c>
      <c r="G113" s="72" t="s">
        <v>5</v>
      </c>
      <c r="H113" s="72" t="s">
        <v>68</v>
      </c>
      <c r="I113" s="72" t="s">
        <v>7</v>
      </c>
      <c r="J113" s="72" t="s">
        <v>8</v>
      </c>
      <c r="K113" s="71" t="s">
        <v>9</v>
      </c>
      <c r="L113" s="71" t="s">
        <v>56</v>
      </c>
      <c r="M113" s="73"/>
      <c r="N113" s="74"/>
      <c r="O113" s="73"/>
      <c r="P113" s="68"/>
      <c r="Q113" s="72" t="s">
        <v>15</v>
      </c>
      <c r="R113" s="72" t="s">
        <v>16</v>
      </c>
      <c r="S113" s="72" t="s">
        <v>28</v>
      </c>
      <c r="T113" s="73"/>
      <c r="U113" s="75"/>
      <c r="V113" s="68"/>
      <c r="W113" s="72" t="s">
        <v>15</v>
      </c>
      <c r="X113" s="72" t="s">
        <v>20</v>
      </c>
      <c r="Y113" s="72" t="s">
        <v>21</v>
      </c>
      <c r="Z113" s="72" t="s">
        <v>22</v>
      </c>
      <c r="AA113" s="72" t="s">
        <v>23</v>
      </c>
      <c r="AB113" s="72" t="s">
        <v>24</v>
      </c>
      <c r="AC113" s="73"/>
      <c r="AD113" s="75"/>
      <c r="AE113" s="68"/>
      <c r="AF113" s="72" t="s">
        <v>20</v>
      </c>
      <c r="AG113" s="72" t="s">
        <v>21</v>
      </c>
      <c r="AH113" s="72" t="s">
        <v>22</v>
      </c>
      <c r="AI113" s="72" t="s">
        <v>23</v>
      </c>
      <c r="AJ113" s="72" t="s">
        <v>24</v>
      </c>
      <c r="AK113" s="72" t="s">
        <v>28</v>
      </c>
      <c r="AL113" s="73"/>
      <c r="AM113" s="76"/>
      <c r="AN113" s="68"/>
      <c r="AO113" s="72" t="s">
        <v>15</v>
      </c>
      <c r="AP113" s="72" t="s">
        <v>20</v>
      </c>
      <c r="AQ113" s="72" t="s">
        <v>21</v>
      </c>
      <c r="AR113" s="72" t="s">
        <v>16</v>
      </c>
      <c r="AS113" s="72" t="s">
        <v>22</v>
      </c>
      <c r="AT113" s="72" t="s">
        <v>24</v>
      </c>
      <c r="AU113" s="73"/>
      <c r="AV113" s="75"/>
      <c r="AW113" s="68"/>
      <c r="AX113" s="72" t="s">
        <v>15</v>
      </c>
      <c r="AY113" s="72" t="s">
        <v>20</v>
      </c>
      <c r="AZ113" s="72" t="s">
        <v>22</v>
      </c>
      <c r="BA113" s="72" t="s">
        <v>23</v>
      </c>
      <c r="BB113" s="72" t="s">
        <v>28</v>
      </c>
      <c r="BC113" s="73"/>
      <c r="BD113" s="75"/>
      <c r="BE113" s="68"/>
      <c r="BF113" s="8" t="s">
        <v>80</v>
      </c>
      <c r="BG113" s="77"/>
      <c r="BH113" s="77"/>
      <c r="BI113" s="77"/>
    </row>
    <row r="114" spans="1:61" ht="20.25" customHeight="1">
      <c r="A114" s="71" t="s">
        <v>97</v>
      </c>
      <c r="B114" s="78" t="s">
        <v>59</v>
      </c>
      <c r="C114" s="78">
        <v>0</v>
      </c>
      <c r="D114" s="78">
        <v>1</v>
      </c>
      <c r="E114" s="78">
        <v>0</v>
      </c>
      <c r="F114" s="78">
        <v>2</v>
      </c>
      <c r="G114" s="78" t="s">
        <v>59</v>
      </c>
      <c r="H114" s="78" t="s">
        <v>59</v>
      </c>
      <c r="I114" s="78">
        <v>5</v>
      </c>
      <c r="J114" s="78" t="s">
        <v>82</v>
      </c>
      <c r="K114" s="64">
        <f t="shared" ref="K114:K119" si="68">SUM(B114:J114)</f>
        <v>8</v>
      </c>
      <c r="L114" s="79">
        <f>K114/K120</f>
        <v>8.6956521739130432E-2</v>
      </c>
      <c r="M114" s="79">
        <f>K114/K123</f>
        <v>8.247422680412371E-2</v>
      </c>
      <c r="N114" s="80"/>
      <c r="O114" s="79"/>
      <c r="P114" s="81"/>
      <c r="Q114" s="82">
        <v>3</v>
      </c>
      <c r="R114" s="82" t="s">
        <v>82</v>
      </c>
      <c r="S114" s="82" t="s">
        <v>82</v>
      </c>
      <c r="T114" s="83">
        <f t="shared" ref="T114:T119" si="69">SUM(Q114:S114)</f>
        <v>3</v>
      </c>
      <c r="U114" s="84">
        <f>T114/T120</f>
        <v>0.33333333333333331</v>
      </c>
      <c r="V114" s="81"/>
      <c r="W114" s="82">
        <v>2</v>
      </c>
      <c r="X114" s="82">
        <v>1</v>
      </c>
      <c r="Y114" s="82">
        <v>1</v>
      </c>
      <c r="Z114" s="82" t="s">
        <v>82</v>
      </c>
      <c r="AA114" s="82">
        <v>0</v>
      </c>
      <c r="AB114" s="82">
        <v>0</v>
      </c>
      <c r="AC114" s="83">
        <f t="shared" ref="AC114:AC119" si="70">SUM(W114:AB114)</f>
        <v>4</v>
      </c>
      <c r="AD114" s="84">
        <f>AC114/AC120</f>
        <v>9.3023255813953487E-2</v>
      </c>
      <c r="AE114" s="81"/>
      <c r="AF114" s="82">
        <v>1</v>
      </c>
      <c r="AG114" s="82">
        <v>0</v>
      </c>
      <c r="AH114" s="8" t="s">
        <v>82</v>
      </c>
      <c r="AI114" s="82">
        <v>0</v>
      </c>
      <c r="AJ114" s="82">
        <v>0</v>
      </c>
      <c r="AK114" s="85"/>
      <c r="AL114" s="83">
        <f t="shared" ref="AL114:AL119" si="71">SUM(AF114:AK114)</f>
        <v>1</v>
      </c>
      <c r="AM114" s="84">
        <f>AL114/AL120</f>
        <v>3.8461538461538464E-2</v>
      </c>
      <c r="AN114" s="81"/>
      <c r="AO114" s="82">
        <v>0</v>
      </c>
      <c r="AP114" s="82">
        <v>0</v>
      </c>
      <c r="AQ114" s="82">
        <v>0</v>
      </c>
      <c r="AR114" s="82" t="s">
        <v>82</v>
      </c>
      <c r="AS114" s="8" t="s">
        <v>82</v>
      </c>
      <c r="AT114" s="82">
        <v>0</v>
      </c>
      <c r="AU114" s="83">
        <f t="shared" ref="AU114:AU119" si="72">SUM(AO114:AT114)</f>
        <v>0</v>
      </c>
      <c r="AV114" s="84">
        <f>AU114/AU120</f>
        <v>0</v>
      </c>
      <c r="AW114" s="81"/>
      <c r="AX114" s="82">
        <v>0</v>
      </c>
      <c r="AY114" s="82">
        <v>0</v>
      </c>
      <c r="AZ114" s="8" t="s">
        <v>82</v>
      </c>
      <c r="BA114" s="82">
        <v>0</v>
      </c>
      <c r="BB114" s="85"/>
      <c r="BC114" s="83">
        <f t="shared" ref="BC114:BC119" si="73">SUM(AX114:BB114)</f>
        <v>0</v>
      </c>
      <c r="BD114" s="84">
        <f>BC114/BC120</f>
        <v>0</v>
      </c>
      <c r="BE114" s="81"/>
      <c r="BF114" s="8" t="s">
        <v>59</v>
      </c>
      <c r="BG114" s="86"/>
      <c r="BH114" s="77"/>
      <c r="BI114" s="86"/>
    </row>
    <row r="115" spans="1:61" ht="20.25" customHeight="1">
      <c r="A115" s="71" t="s">
        <v>98</v>
      </c>
      <c r="B115" s="78" t="s">
        <v>59</v>
      </c>
      <c r="C115" s="78">
        <v>0</v>
      </c>
      <c r="D115" s="78">
        <v>1</v>
      </c>
      <c r="E115" s="78">
        <v>2</v>
      </c>
      <c r="F115" s="78">
        <v>4</v>
      </c>
      <c r="G115" s="78" t="s">
        <v>59</v>
      </c>
      <c r="H115" s="78" t="s">
        <v>59</v>
      </c>
      <c r="I115" s="78">
        <v>3</v>
      </c>
      <c r="J115" s="78" t="s">
        <v>82</v>
      </c>
      <c r="K115" s="64">
        <f t="shared" si="68"/>
        <v>10</v>
      </c>
      <c r="L115" s="79">
        <f>K115/K120</f>
        <v>0.10869565217391304</v>
      </c>
      <c r="M115" s="79">
        <f>K115/K123</f>
        <v>0.10309278350515463</v>
      </c>
      <c r="N115" s="80"/>
      <c r="O115" s="79"/>
      <c r="P115" s="81"/>
      <c r="Q115" s="82">
        <v>1</v>
      </c>
      <c r="R115" s="82" t="s">
        <v>82</v>
      </c>
      <c r="S115" s="82" t="s">
        <v>82</v>
      </c>
      <c r="T115" s="83">
        <f t="shared" si="69"/>
        <v>1</v>
      </c>
      <c r="U115" s="84">
        <f>T115/T120</f>
        <v>0.1111111111111111</v>
      </c>
      <c r="V115" s="81"/>
      <c r="W115" s="82">
        <v>1</v>
      </c>
      <c r="X115" s="82">
        <v>2</v>
      </c>
      <c r="Y115" s="82">
        <v>0</v>
      </c>
      <c r="Z115" s="82" t="s">
        <v>82</v>
      </c>
      <c r="AA115" s="82">
        <v>2</v>
      </c>
      <c r="AB115" s="82">
        <v>0</v>
      </c>
      <c r="AC115" s="83">
        <f t="shared" si="70"/>
        <v>5</v>
      </c>
      <c r="AD115" s="84">
        <f>AC115/AC120</f>
        <v>0.11627906976744186</v>
      </c>
      <c r="AE115" s="81"/>
      <c r="AF115" s="82">
        <v>1</v>
      </c>
      <c r="AG115" s="82">
        <v>1</v>
      </c>
      <c r="AH115" s="8" t="s">
        <v>82</v>
      </c>
      <c r="AI115" s="82">
        <v>0</v>
      </c>
      <c r="AJ115" s="82">
        <v>0</v>
      </c>
      <c r="AK115" s="85"/>
      <c r="AL115" s="83">
        <f t="shared" si="71"/>
        <v>2</v>
      </c>
      <c r="AM115" s="84">
        <f>AL115/AL120</f>
        <v>7.6923076923076927E-2</v>
      </c>
      <c r="AN115" s="81"/>
      <c r="AO115" s="82">
        <v>1</v>
      </c>
      <c r="AP115" s="82">
        <v>1</v>
      </c>
      <c r="AQ115" s="82">
        <v>0</v>
      </c>
      <c r="AR115" s="82" t="s">
        <v>82</v>
      </c>
      <c r="AS115" s="8" t="s">
        <v>82</v>
      </c>
      <c r="AT115" s="82">
        <v>0</v>
      </c>
      <c r="AU115" s="83">
        <f t="shared" si="72"/>
        <v>2</v>
      </c>
      <c r="AV115" s="84">
        <f>AU115/AU120</f>
        <v>0.18181818181818182</v>
      </c>
      <c r="AW115" s="81"/>
      <c r="AX115" s="82">
        <v>0</v>
      </c>
      <c r="AY115" s="82">
        <v>0</v>
      </c>
      <c r="AZ115" s="8" t="s">
        <v>82</v>
      </c>
      <c r="BA115" s="82">
        <v>0</v>
      </c>
      <c r="BB115" s="85"/>
      <c r="BC115" s="83">
        <f t="shared" si="73"/>
        <v>0</v>
      </c>
      <c r="BD115" s="84">
        <f>BC115/BC120</f>
        <v>0</v>
      </c>
      <c r="BE115" s="81"/>
      <c r="BF115" s="8" t="s">
        <v>59</v>
      </c>
      <c r="BG115" s="86"/>
      <c r="BH115" s="77"/>
      <c r="BI115" s="86"/>
    </row>
    <row r="116" spans="1:61" ht="20.25" customHeight="1">
      <c r="A116" s="71" t="s">
        <v>99</v>
      </c>
      <c r="B116" s="78" t="s">
        <v>59</v>
      </c>
      <c r="C116" s="78">
        <v>0</v>
      </c>
      <c r="D116" s="78">
        <v>12</v>
      </c>
      <c r="E116" s="78">
        <v>4</v>
      </c>
      <c r="F116" s="78">
        <v>5</v>
      </c>
      <c r="G116" s="78" t="s">
        <v>59</v>
      </c>
      <c r="H116" s="78" t="s">
        <v>59</v>
      </c>
      <c r="I116" s="78">
        <v>5</v>
      </c>
      <c r="J116" s="78" t="s">
        <v>82</v>
      </c>
      <c r="K116" s="64">
        <f t="shared" si="68"/>
        <v>26</v>
      </c>
      <c r="L116" s="79">
        <f>K116/K120</f>
        <v>0.28260869565217389</v>
      </c>
      <c r="M116" s="79">
        <f>K116/K123</f>
        <v>0.26804123711340205</v>
      </c>
      <c r="N116" s="80"/>
      <c r="O116" s="79"/>
      <c r="P116" s="81"/>
      <c r="Q116" s="82">
        <v>1</v>
      </c>
      <c r="R116" s="82" t="s">
        <v>82</v>
      </c>
      <c r="S116" s="82" t="s">
        <v>82</v>
      </c>
      <c r="T116" s="83">
        <f t="shared" si="69"/>
        <v>1</v>
      </c>
      <c r="U116" s="84">
        <f>T116/T120</f>
        <v>0.1111111111111111</v>
      </c>
      <c r="V116" s="81"/>
      <c r="W116" s="82">
        <v>3</v>
      </c>
      <c r="X116" s="82">
        <v>1</v>
      </c>
      <c r="Y116" s="82">
        <v>6</v>
      </c>
      <c r="Z116" s="82" t="s">
        <v>82</v>
      </c>
      <c r="AA116" s="82">
        <v>2</v>
      </c>
      <c r="AB116" s="82">
        <v>0</v>
      </c>
      <c r="AC116" s="83">
        <f t="shared" si="70"/>
        <v>12</v>
      </c>
      <c r="AD116" s="84">
        <f>AC116/AC120</f>
        <v>0.27906976744186046</v>
      </c>
      <c r="AE116" s="81"/>
      <c r="AF116" s="82">
        <v>2</v>
      </c>
      <c r="AG116" s="82">
        <v>5</v>
      </c>
      <c r="AH116" s="8" t="s">
        <v>82</v>
      </c>
      <c r="AI116" s="82">
        <v>2</v>
      </c>
      <c r="AJ116" s="82">
        <v>0</v>
      </c>
      <c r="AK116" s="85"/>
      <c r="AL116" s="83">
        <f t="shared" si="71"/>
        <v>9</v>
      </c>
      <c r="AM116" s="84">
        <f>AL116/AL120</f>
        <v>0.34615384615384615</v>
      </c>
      <c r="AN116" s="81"/>
      <c r="AO116" s="82">
        <v>0</v>
      </c>
      <c r="AP116" s="82">
        <v>2</v>
      </c>
      <c r="AQ116" s="82">
        <v>1</v>
      </c>
      <c r="AR116" s="82" t="s">
        <v>82</v>
      </c>
      <c r="AS116" s="8" t="s">
        <v>82</v>
      </c>
      <c r="AT116" s="82">
        <v>0</v>
      </c>
      <c r="AU116" s="83">
        <f t="shared" si="72"/>
        <v>3</v>
      </c>
      <c r="AV116" s="84">
        <f>AU116/AU120</f>
        <v>0.27272727272727271</v>
      </c>
      <c r="AW116" s="81"/>
      <c r="AX116" s="82">
        <v>1</v>
      </c>
      <c r="AY116" s="82">
        <v>0</v>
      </c>
      <c r="AZ116" s="8" t="s">
        <v>82</v>
      </c>
      <c r="BA116" s="82">
        <v>0</v>
      </c>
      <c r="BB116" s="85"/>
      <c r="BC116" s="83">
        <f t="shared" si="73"/>
        <v>1</v>
      </c>
      <c r="BD116" s="84">
        <f>BC116/BC120</f>
        <v>0.33333333333333331</v>
      </c>
      <c r="BE116" s="81"/>
      <c r="BF116" s="8" t="s">
        <v>59</v>
      </c>
      <c r="BG116" s="86"/>
      <c r="BH116" s="77"/>
      <c r="BI116" s="86"/>
    </row>
    <row r="117" spans="1:61" ht="20.25" customHeight="1">
      <c r="A117" s="71" t="s">
        <v>100</v>
      </c>
      <c r="B117" s="78" t="s">
        <v>59</v>
      </c>
      <c r="C117" s="78">
        <v>3</v>
      </c>
      <c r="D117" s="78">
        <v>13</v>
      </c>
      <c r="E117" s="78">
        <v>6</v>
      </c>
      <c r="F117" s="78">
        <v>9</v>
      </c>
      <c r="G117" s="78" t="s">
        <v>59</v>
      </c>
      <c r="H117" s="78" t="s">
        <v>59</v>
      </c>
      <c r="I117" s="78">
        <v>3</v>
      </c>
      <c r="J117" s="78" t="s">
        <v>82</v>
      </c>
      <c r="K117" s="64">
        <f t="shared" si="68"/>
        <v>34</v>
      </c>
      <c r="L117" s="79">
        <f>K117/K120</f>
        <v>0.36956521739130432</v>
      </c>
      <c r="M117" s="79">
        <f>K117/K123</f>
        <v>0.35051546391752575</v>
      </c>
      <c r="N117" s="80"/>
      <c r="O117" s="79"/>
      <c r="P117" s="81"/>
      <c r="Q117" s="82">
        <v>2</v>
      </c>
      <c r="R117" s="82" t="s">
        <v>82</v>
      </c>
      <c r="S117" s="82" t="s">
        <v>82</v>
      </c>
      <c r="T117" s="83">
        <f t="shared" si="69"/>
        <v>2</v>
      </c>
      <c r="U117" s="84">
        <f>T117/T120</f>
        <v>0.22222222222222221</v>
      </c>
      <c r="V117" s="81"/>
      <c r="W117" s="82">
        <v>1</v>
      </c>
      <c r="X117" s="82">
        <v>3</v>
      </c>
      <c r="Y117" s="82">
        <v>6</v>
      </c>
      <c r="Z117" s="82" t="s">
        <v>82</v>
      </c>
      <c r="AA117" s="82">
        <v>3</v>
      </c>
      <c r="AB117" s="82">
        <v>2</v>
      </c>
      <c r="AC117" s="83">
        <f t="shared" si="70"/>
        <v>15</v>
      </c>
      <c r="AD117" s="84">
        <f>AC117/AC120</f>
        <v>0.34883720930232559</v>
      </c>
      <c r="AE117" s="81"/>
      <c r="AF117" s="82">
        <v>5</v>
      </c>
      <c r="AG117" s="82">
        <v>4</v>
      </c>
      <c r="AH117" s="8" t="s">
        <v>82</v>
      </c>
      <c r="AI117" s="82">
        <v>2</v>
      </c>
      <c r="AJ117" s="82">
        <v>0</v>
      </c>
      <c r="AK117" s="85"/>
      <c r="AL117" s="83">
        <f t="shared" si="71"/>
        <v>11</v>
      </c>
      <c r="AM117" s="84">
        <f>AL117/AL120</f>
        <v>0.42307692307692307</v>
      </c>
      <c r="AN117" s="81"/>
      <c r="AO117" s="82">
        <v>0</v>
      </c>
      <c r="AP117" s="82">
        <v>0</v>
      </c>
      <c r="AQ117" s="82">
        <v>3</v>
      </c>
      <c r="AR117" s="82" t="s">
        <v>82</v>
      </c>
      <c r="AS117" s="8" t="s">
        <v>82</v>
      </c>
      <c r="AT117" s="82">
        <v>1</v>
      </c>
      <c r="AU117" s="83">
        <f t="shared" si="72"/>
        <v>4</v>
      </c>
      <c r="AV117" s="84">
        <f>AU117/AU120</f>
        <v>0.36363636363636365</v>
      </c>
      <c r="AW117" s="81"/>
      <c r="AX117" s="82">
        <v>0</v>
      </c>
      <c r="AY117" s="82">
        <v>1</v>
      </c>
      <c r="AZ117" s="8" t="s">
        <v>82</v>
      </c>
      <c r="BA117" s="82">
        <v>1</v>
      </c>
      <c r="BB117" s="85"/>
      <c r="BC117" s="83">
        <f t="shared" si="73"/>
        <v>2</v>
      </c>
      <c r="BD117" s="84">
        <f>BC117/BC120</f>
        <v>0.66666666666666663</v>
      </c>
      <c r="BE117" s="81"/>
      <c r="BF117" s="8" t="s">
        <v>59</v>
      </c>
      <c r="BG117" s="86"/>
      <c r="BH117" s="77"/>
      <c r="BI117" s="86"/>
    </row>
    <row r="118" spans="1:61" ht="32.25" customHeight="1">
      <c r="A118" s="71" t="s">
        <v>101</v>
      </c>
      <c r="B118" s="78" t="s">
        <v>59</v>
      </c>
      <c r="C118" s="78">
        <v>3</v>
      </c>
      <c r="D118" s="78">
        <v>2</v>
      </c>
      <c r="E118" s="78">
        <v>5</v>
      </c>
      <c r="F118" s="78">
        <v>0</v>
      </c>
      <c r="G118" s="78" t="s">
        <v>59</v>
      </c>
      <c r="H118" s="78" t="s">
        <v>59</v>
      </c>
      <c r="I118" s="78">
        <v>4</v>
      </c>
      <c r="J118" s="78" t="s">
        <v>82</v>
      </c>
      <c r="K118" s="64">
        <f t="shared" si="68"/>
        <v>14</v>
      </c>
      <c r="L118" s="79">
        <f>K118/K120</f>
        <v>0.15217391304347827</v>
      </c>
      <c r="M118" s="79">
        <f>K118/K123</f>
        <v>0.14432989690721648</v>
      </c>
      <c r="N118" s="80"/>
      <c r="O118" s="79"/>
      <c r="P118" s="81"/>
      <c r="Q118" s="82">
        <v>2</v>
      </c>
      <c r="R118" s="82" t="s">
        <v>82</v>
      </c>
      <c r="S118" s="82" t="s">
        <v>82</v>
      </c>
      <c r="T118" s="83">
        <f t="shared" si="69"/>
        <v>2</v>
      </c>
      <c r="U118" s="84">
        <f>T118/T120</f>
        <v>0.22222222222222221</v>
      </c>
      <c r="V118" s="81"/>
      <c r="W118" s="82">
        <v>2</v>
      </c>
      <c r="X118" s="82">
        <v>0</v>
      </c>
      <c r="Y118" s="82">
        <v>2</v>
      </c>
      <c r="Z118" s="82" t="s">
        <v>82</v>
      </c>
      <c r="AA118" s="82">
        <v>3</v>
      </c>
      <c r="AB118" s="82">
        <v>0</v>
      </c>
      <c r="AC118" s="83">
        <f t="shared" si="70"/>
        <v>7</v>
      </c>
      <c r="AD118" s="84">
        <f>AC118/AC120</f>
        <v>0.16279069767441862</v>
      </c>
      <c r="AE118" s="81"/>
      <c r="AF118" s="82">
        <v>0</v>
      </c>
      <c r="AG118" s="82">
        <v>0</v>
      </c>
      <c r="AH118" s="8" t="s">
        <v>82</v>
      </c>
      <c r="AI118" s="82">
        <v>2</v>
      </c>
      <c r="AJ118" s="82">
        <v>1</v>
      </c>
      <c r="AK118" s="85"/>
      <c r="AL118" s="83">
        <f t="shared" si="71"/>
        <v>3</v>
      </c>
      <c r="AM118" s="84">
        <f>AL118/AL120</f>
        <v>0.11538461538461539</v>
      </c>
      <c r="AN118" s="81"/>
      <c r="AO118" s="82">
        <v>0</v>
      </c>
      <c r="AP118" s="82">
        <v>0</v>
      </c>
      <c r="AQ118" s="82">
        <v>0</v>
      </c>
      <c r="AR118" s="82" t="s">
        <v>82</v>
      </c>
      <c r="AS118" s="8" t="s">
        <v>82</v>
      </c>
      <c r="AT118" s="82">
        <v>2</v>
      </c>
      <c r="AU118" s="83">
        <f t="shared" si="72"/>
        <v>2</v>
      </c>
      <c r="AV118" s="84">
        <f>AU118/AU120</f>
        <v>0.18181818181818182</v>
      </c>
      <c r="AW118" s="81"/>
      <c r="AX118" s="82">
        <v>0</v>
      </c>
      <c r="AY118" s="82">
        <v>0</v>
      </c>
      <c r="AZ118" s="8" t="s">
        <v>82</v>
      </c>
      <c r="BA118" s="82">
        <v>0</v>
      </c>
      <c r="BB118" s="85"/>
      <c r="BC118" s="83">
        <f t="shared" si="73"/>
        <v>0</v>
      </c>
      <c r="BD118" s="84">
        <f>BC118/BC120</f>
        <v>0</v>
      </c>
      <c r="BE118" s="81"/>
      <c r="BF118" s="8" t="s">
        <v>59</v>
      </c>
      <c r="BG118" s="86"/>
      <c r="BH118" s="77"/>
      <c r="BI118" s="86"/>
    </row>
    <row r="119" spans="1:61" ht="20.25" customHeight="1">
      <c r="A119" s="71" t="s">
        <v>102</v>
      </c>
      <c r="B119" s="78" t="s">
        <v>59</v>
      </c>
      <c r="C119" s="78">
        <v>0</v>
      </c>
      <c r="D119" s="78">
        <v>0</v>
      </c>
      <c r="E119" s="78">
        <v>0</v>
      </c>
      <c r="F119" s="78">
        <v>0</v>
      </c>
      <c r="G119" s="78" t="s">
        <v>59</v>
      </c>
      <c r="H119" s="78" t="s">
        <v>59</v>
      </c>
      <c r="I119" s="78">
        <v>0</v>
      </c>
      <c r="J119" s="78" t="s">
        <v>82</v>
      </c>
      <c r="K119" s="64">
        <f t="shared" si="68"/>
        <v>0</v>
      </c>
      <c r="L119" s="79">
        <f>K119/K120</f>
        <v>0</v>
      </c>
      <c r="M119" s="79">
        <f>K119/K123</f>
        <v>0</v>
      </c>
      <c r="N119" s="80"/>
      <c r="O119" s="79"/>
      <c r="P119" s="81"/>
      <c r="Q119" s="82">
        <v>0</v>
      </c>
      <c r="R119" s="82" t="s">
        <v>82</v>
      </c>
      <c r="S119" s="82" t="s">
        <v>82</v>
      </c>
      <c r="T119" s="83">
        <f t="shared" si="69"/>
        <v>0</v>
      </c>
      <c r="U119" s="84">
        <f>T119/T120</f>
        <v>0</v>
      </c>
      <c r="V119" s="81"/>
      <c r="W119" s="82">
        <v>0</v>
      </c>
      <c r="X119" s="82">
        <v>0</v>
      </c>
      <c r="Y119" s="82">
        <v>0</v>
      </c>
      <c r="Z119" s="82" t="s">
        <v>82</v>
      </c>
      <c r="AA119" s="82">
        <v>0</v>
      </c>
      <c r="AB119" s="82">
        <v>0</v>
      </c>
      <c r="AC119" s="83">
        <f t="shared" si="70"/>
        <v>0</v>
      </c>
      <c r="AD119" s="84">
        <f>AC119/AC120</f>
        <v>0</v>
      </c>
      <c r="AE119" s="81"/>
      <c r="AF119" s="82">
        <v>0</v>
      </c>
      <c r="AG119" s="82">
        <v>0</v>
      </c>
      <c r="AH119" s="8" t="s">
        <v>82</v>
      </c>
      <c r="AI119" s="82">
        <v>0</v>
      </c>
      <c r="AJ119" s="82">
        <v>0</v>
      </c>
      <c r="AK119" s="85"/>
      <c r="AL119" s="83">
        <f t="shared" si="71"/>
        <v>0</v>
      </c>
      <c r="AM119" s="84">
        <f>AL119/AL120</f>
        <v>0</v>
      </c>
      <c r="AN119" s="81"/>
      <c r="AO119" s="82">
        <v>0</v>
      </c>
      <c r="AP119" s="82">
        <v>0</v>
      </c>
      <c r="AQ119" s="82">
        <v>0</v>
      </c>
      <c r="AR119" s="82" t="s">
        <v>82</v>
      </c>
      <c r="AS119" s="8" t="s">
        <v>82</v>
      </c>
      <c r="AT119" s="82">
        <v>0</v>
      </c>
      <c r="AU119" s="83">
        <f t="shared" si="72"/>
        <v>0</v>
      </c>
      <c r="AV119" s="84">
        <f>AU119/AU120</f>
        <v>0</v>
      </c>
      <c r="AW119" s="81"/>
      <c r="AX119" s="82">
        <v>0</v>
      </c>
      <c r="AY119" s="82">
        <v>0</v>
      </c>
      <c r="AZ119" s="8" t="s">
        <v>82</v>
      </c>
      <c r="BA119" s="82">
        <v>0</v>
      </c>
      <c r="BB119" s="85"/>
      <c r="BC119" s="83">
        <f t="shared" si="73"/>
        <v>0</v>
      </c>
      <c r="BD119" s="84">
        <f>BC119/BC120</f>
        <v>0</v>
      </c>
      <c r="BE119" s="81"/>
      <c r="BF119" s="8" t="s">
        <v>59</v>
      </c>
      <c r="BG119" s="84"/>
      <c r="BH119" s="78"/>
      <c r="BI119" s="84"/>
    </row>
    <row r="120" spans="1:61" ht="21.75" customHeight="1">
      <c r="A120" s="71" t="s">
        <v>9</v>
      </c>
      <c r="B120" s="78" t="s">
        <v>59</v>
      </c>
      <c r="C120" s="78">
        <f>SUM(C114:C119)</f>
        <v>6</v>
      </c>
      <c r="D120" s="78">
        <f>SUM(D114:D119)</f>
        <v>29</v>
      </c>
      <c r="E120" s="78">
        <f>SUM(E114:E119)</f>
        <v>17</v>
      </c>
      <c r="F120" s="78">
        <f>SUM(F114:F119)</f>
        <v>20</v>
      </c>
      <c r="G120" s="78" t="s">
        <v>59</v>
      </c>
      <c r="H120" s="78" t="s">
        <v>59</v>
      </c>
      <c r="I120" s="78">
        <f>SUM(I114:I119)</f>
        <v>20</v>
      </c>
      <c r="J120" s="78">
        <f>SUM(J114:J119)</f>
        <v>0</v>
      </c>
      <c r="K120" s="64">
        <f>SUM(K114:K119)</f>
        <v>92</v>
      </c>
      <c r="L120" s="79">
        <f>SUM(L114:L119)</f>
        <v>1</v>
      </c>
      <c r="M120" s="79">
        <f>K120/K123</f>
        <v>0.94845360824742264</v>
      </c>
      <c r="N120" s="80">
        <f>T120+AC120+AL120+AU120</f>
        <v>89</v>
      </c>
      <c r="O120" s="79">
        <f>N120/K120</f>
        <v>0.96739130434782605</v>
      </c>
      <c r="P120" s="81">
        <f t="shared" ref="P120:BE120" si="74">SUM(P114:P119)</f>
        <v>0</v>
      </c>
      <c r="Q120" s="87">
        <f t="shared" si="74"/>
        <v>9</v>
      </c>
      <c r="R120" s="88">
        <f t="shared" si="74"/>
        <v>0</v>
      </c>
      <c r="S120" s="88">
        <f t="shared" si="74"/>
        <v>0</v>
      </c>
      <c r="T120" s="83">
        <f t="shared" si="74"/>
        <v>9</v>
      </c>
      <c r="U120" s="84">
        <f t="shared" si="74"/>
        <v>1</v>
      </c>
      <c r="V120" s="81">
        <f t="shared" si="74"/>
        <v>0</v>
      </c>
      <c r="W120" s="89">
        <f t="shared" si="74"/>
        <v>9</v>
      </c>
      <c r="X120" s="89">
        <f t="shared" si="74"/>
        <v>7</v>
      </c>
      <c r="Y120" s="89">
        <f t="shared" si="74"/>
        <v>15</v>
      </c>
      <c r="Z120" s="89">
        <f t="shared" si="74"/>
        <v>0</v>
      </c>
      <c r="AA120" s="89">
        <f t="shared" si="74"/>
        <v>10</v>
      </c>
      <c r="AB120" s="89">
        <f t="shared" si="74"/>
        <v>2</v>
      </c>
      <c r="AC120" s="87">
        <f t="shared" si="74"/>
        <v>43</v>
      </c>
      <c r="AD120" s="84">
        <f t="shared" si="74"/>
        <v>1</v>
      </c>
      <c r="AE120" s="81">
        <f t="shared" si="74"/>
        <v>0</v>
      </c>
      <c r="AF120" s="87">
        <f t="shared" si="74"/>
        <v>9</v>
      </c>
      <c r="AG120" s="87">
        <f t="shared" si="74"/>
        <v>10</v>
      </c>
      <c r="AH120" s="87">
        <f t="shared" si="74"/>
        <v>0</v>
      </c>
      <c r="AI120" s="87">
        <f t="shared" si="74"/>
        <v>6</v>
      </c>
      <c r="AJ120" s="87">
        <f t="shared" si="74"/>
        <v>1</v>
      </c>
      <c r="AK120" s="87">
        <f t="shared" si="74"/>
        <v>0</v>
      </c>
      <c r="AL120" s="87">
        <f t="shared" si="74"/>
        <v>26</v>
      </c>
      <c r="AM120" s="84">
        <f t="shared" si="74"/>
        <v>1</v>
      </c>
      <c r="AN120" s="81">
        <f t="shared" si="74"/>
        <v>0</v>
      </c>
      <c r="AO120" s="89">
        <f t="shared" si="74"/>
        <v>1</v>
      </c>
      <c r="AP120" s="89">
        <f t="shared" si="74"/>
        <v>3</v>
      </c>
      <c r="AQ120" s="83">
        <f t="shared" si="74"/>
        <v>4</v>
      </c>
      <c r="AR120" s="89">
        <f t="shared" si="74"/>
        <v>0</v>
      </c>
      <c r="AS120" s="89">
        <f t="shared" si="74"/>
        <v>0</v>
      </c>
      <c r="AT120" s="89">
        <f t="shared" si="74"/>
        <v>3</v>
      </c>
      <c r="AU120" s="87">
        <f t="shared" si="74"/>
        <v>11</v>
      </c>
      <c r="AV120" s="84">
        <f t="shared" si="74"/>
        <v>1</v>
      </c>
      <c r="AW120" s="81">
        <f t="shared" si="74"/>
        <v>0</v>
      </c>
      <c r="AX120" s="89">
        <f t="shared" si="74"/>
        <v>1</v>
      </c>
      <c r="AY120" s="89">
        <f t="shared" si="74"/>
        <v>1</v>
      </c>
      <c r="AZ120" s="89">
        <f t="shared" si="74"/>
        <v>0</v>
      </c>
      <c r="BA120" s="89">
        <f t="shared" si="74"/>
        <v>1</v>
      </c>
      <c r="BB120" s="89">
        <f t="shared" si="74"/>
        <v>0</v>
      </c>
      <c r="BC120" s="87">
        <f t="shared" si="74"/>
        <v>3</v>
      </c>
      <c r="BD120" s="84">
        <f t="shared" si="74"/>
        <v>1</v>
      </c>
      <c r="BE120" s="81">
        <f t="shared" si="74"/>
        <v>0</v>
      </c>
      <c r="BF120" s="90"/>
      <c r="BG120" s="84"/>
      <c r="BH120" s="78"/>
      <c r="BI120" s="84"/>
    </row>
    <row r="121" spans="1:61" ht="21.75" customHeight="1">
      <c r="A121" s="8" t="s">
        <v>64</v>
      </c>
      <c r="B121" s="78" t="s">
        <v>59</v>
      </c>
      <c r="C121" s="78">
        <v>1</v>
      </c>
      <c r="D121" s="78">
        <v>1</v>
      </c>
      <c r="E121" s="78">
        <v>0</v>
      </c>
      <c r="F121" s="78">
        <v>2</v>
      </c>
      <c r="G121" s="78" t="s">
        <v>59</v>
      </c>
      <c r="H121" s="78" t="s">
        <v>59</v>
      </c>
      <c r="I121" s="78">
        <v>0</v>
      </c>
      <c r="J121" s="78"/>
      <c r="K121" s="64">
        <f>SUM(B121:J121)</f>
        <v>4</v>
      </c>
      <c r="L121" s="79">
        <f>K121/(K120+K121+K122)</f>
        <v>4.1237113402061855E-2</v>
      </c>
      <c r="M121" s="79">
        <f>K121/(K123)</f>
        <v>4.1237113402061855E-2</v>
      </c>
      <c r="N121" s="74"/>
      <c r="O121" s="79"/>
      <c r="P121" s="81"/>
      <c r="Q121" s="91">
        <v>0</v>
      </c>
      <c r="R121" s="92" t="s">
        <v>82</v>
      </c>
      <c r="S121" s="92" t="s">
        <v>82</v>
      </c>
      <c r="T121" s="90">
        <f>SUM(Q121:S121)</f>
        <v>0</v>
      </c>
      <c r="U121" s="86">
        <f>T121/T123</f>
        <v>0</v>
      </c>
      <c r="V121" s="81"/>
      <c r="W121" s="93">
        <v>0</v>
      </c>
      <c r="X121" s="93">
        <v>0</v>
      </c>
      <c r="Y121" s="93">
        <v>0</v>
      </c>
      <c r="Z121" s="94" t="s">
        <v>82</v>
      </c>
      <c r="AA121" s="93">
        <v>0</v>
      </c>
      <c r="AB121" s="93">
        <v>0</v>
      </c>
      <c r="AC121" s="95">
        <f>SUM(W121:AB121)</f>
        <v>0</v>
      </c>
      <c r="AD121" s="86">
        <f>AC121/AC123</f>
        <v>0</v>
      </c>
      <c r="AE121" s="81"/>
      <c r="AF121" s="91">
        <v>1</v>
      </c>
      <c r="AG121" s="91">
        <v>1</v>
      </c>
      <c r="AH121" s="91"/>
      <c r="AI121" s="91">
        <v>0</v>
      </c>
      <c r="AJ121" s="91">
        <v>0</v>
      </c>
      <c r="AK121" s="91"/>
      <c r="AL121" s="91">
        <f>SUM(AF121:AK121)</f>
        <v>2</v>
      </c>
      <c r="AM121" s="86">
        <f>AL121/AL123</f>
        <v>7.1428571428571425E-2</v>
      </c>
      <c r="AN121" s="81"/>
      <c r="AO121" s="93">
        <v>0</v>
      </c>
      <c r="AP121" s="93">
        <v>0</v>
      </c>
      <c r="AQ121" s="82">
        <v>0</v>
      </c>
      <c r="AR121" s="94" t="s">
        <v>82</v>
      </c>
      <c r="AS121" s="93"/>
      <c r="AT121" s="93">
        <v>1</v>
      </c>
      <c r="AU121" s="95">
        <f>SUM(AO121:AT121)</f>
        <v>1</v>
      </c>
      <c r="AV121" s="86">
        <f>AU121/AU123</f>
        <v>8.3333333333333329E-2</v>
      </c>
      <c r="AW121" s="81"/>
      <c r="AX121" s="93">
        <v>0</v>
      </c>
      <c r="AY121" s="93">
        <v>1</v>
      </c>
      <c r="AZ121" s="94" t="s">
        <v>82</v>
      </c>
      <c r="BA121" s="93">
        <v>0</v>
      </c>
      <c r="BB121" s="93"/>
      <c r="BC121" s="95">
        <f>SUM(AX121:BB121)</f>
        <v>1</v>
      </c>
      <c r="BD121" s="86">
        <f>BC121/BC123</f>
        <v>0.2</v>
      </c>
      <c r="BE121" s="81"/>
      <c r="BF121" s="90"/>
      <c r="BG121" s="78"/>
      <c r="BH121" s="78"/>
      <c r="BI121" s="78"/>
    </row>
    <row r="122" spans="1:61" ht="20.25" customHeight="1">
      <c r="A122" s="8" t="s">
        <v>65</v>
      </c>
      <c r="B122" s="78" t="s">
        <v>59</v>
      </c>
      <c r="C122" s="78">
        <v>0</v>
      </c>
      <c r="D122" s="78">
        <v>0</v>
      </c>
      <c r="E122" s="78">
        <v>0</v>
      </c>
      <c r="F122" s="78">
        <v>1</v>
      </c>
      <c r="G122" s="78" t="s">
        <v>59</v>
      </c>
      <c r="H122" s="78" t="s">
        <v>59</v>
      </c>
      <c r="I122" s="78">
        <v>0</v>
      </c>
      <c r="J122" s="78"/>
      <c r="K122" s="64">
        <f>SUM(B122:J122)</f>
        <v>1</v>
      </c>
      <c r="L122" s="79">
        <f>K122/(K121+K122+K120)</f>
        <v>1.0309278350515464E-2</v>
      </c>
      <c r="M122" s="79">
        <f>K122/(K123)</f>
        <v>1.0309278350515464E-2</v>
      </c>
      <c r="N122" s="74"/>
      <c r="O122" s="79"/>
      <c r="P122" s="81"/>
      <c r="Q122" s="83">
        <v>0</v>
      </c>
      <c r="R122" s="8" t="s">
        <v>82</v>
      </c>
      <c r="S122" s="8" t="s">
        <v>82</v>
      </c>
      <c r="T122" s="90">
        <f>SUM(Q122:S122)</f>
        <v>0</v>
      </c>
      <c r="U122" s="86">
        <f>T122/T123</f>
        <v>0</v>
      </c>
      <c r="V122" s="81"/>
      <c r="W122" s="83">
        <v>0</v>
      </c>
      <c r="X122" s="83">
        <v>0</v>
      </c>
      <c r="Y122" s="83">
        <v>0</v>
      </c>
      <c r="Z122" s="8" t="s">
        <v>82</v>
      </c>
      <c r="AA122" s="83">
        <v>0</v>
      </c>
      <c r="AB122" s="83">
        <v>0</v>
      </c>
      <c r="AC122" s="90">
        <f>SUM(W122:AB122)</f>
        <v>0</v>
      </c>
      <c r="AD122" s="86">
        <f>AC122/AC123</f>
        <v>0</v>
      </c>
      <c r="AE122" s="81"/>
      <c r="AF122" s="83">
        <v>0</v>
      </c>
      <c r="AG122" s="83">
        <v>0</v>
      </c>
      <c r="AH122" s="83"/>
      <c r="AI122" s="83">
        <v>0</v>
      </c>
      <c r="AJ122" s="83">
        <v>0</v>
      </c>
      <c r="AK122" s="83"/>
      <c r="AL122" s="83">
        <f>SUM(AF122:AK122)</f>
        <v>0</v>
      </c>
      <c r="AM122" s="86">
        <f>AL122/AL123</f>
        <v>0</v>
      </c>
      <c r="AN122" s="81"/>
      <c r="AO122" s="83">
        <v>0</v>
      </c>
      <c r="AP122" s="83">
        <v>0</v>
      </c>
      <c r="AQ122" s="82">
        <v>0</v>
      </c>
      <c r="AR122" s="8" t="s">
        <v>82</v>
      </c>
      <c r="AS122" s="83"/>
      <c r="AT122" s="83">
        <v>0</v>
      </c>
      <c r="AU122" s="90">
        <f>SUM(AO122:AT122)</f>
        <v>0</v>
      </c>
      <c r="AV122" s="86">
        <f>AU122/AU123</f>
        <v>0</v>
      </c>
      <c r="AW122" s="81"/>
      <c r="AX122" s="83">
        <v>0</v>
      </c>
      <c r="AY122" s="83">
        <v>1</v>
      </c>
      <c r="AZ122" s="8" t="s">
        <v>82</v>
      </c>
      <c r="BA122" s="83">
        <v>0</v>
      </c>
      <c r="BB122" s="83"/>
      <c r="BC122" s="90">
        <f>SUM(AX122:BB122)</f>
        <v>1</v>
      </c>
      <c r="BD122" s="86">
        <f>BC122/BC123</f>
        <v>0.2</v>
      </c>
      <c r="BE122" s="81"/>
      <c r="BF122" s="90"/>
      <c r="BG122" s="78"/>
      <c r="BH122" s="78"/>
      <c r="BI122" s="78"/>
    </row>
    <row r="123" spans="1:61" ht="20.25" customHeight="1">
      <c r="A123" s="96" t="s">
        <v>66</v>
      </c>
      <c r="B123" s="78" t="s">
        <v>59</v>
      </c>
      <c r="C123" s="78">
        <f>SUM(C120:C122)</f>
        <v>7</v>
      </c>
      <c r="D123" s="78">
        <f>SUM(D120:D122)</f>
        <v>30</v>
      </c>
      <c r="E123" s="78">
        <f>SUM(E120:E122)</f>
        <v>17</v>
      </c>
      <c r="F123" s="78">
        <f>SUM(F120:F122)</f>
        <v>23</v>
      </c>
      <c r="G123" s="78" t="s">
        <v>59</v>
      </c>
      <c r="H123" s="78" t="s">
        <v>59</v>
      </c>
      <c r="I123" s="78">
        <f>SUM(I120:I122)</f>
        <v>20</v>
      </c>
      <c r="J123" s="78">
        <f>SUM(J120:J122)</f>
        <v>0</v>
      </c>
      <c r="K123" s="64">
        <f>SUM(B123:J123)</f>
        <v>97</v>
      </c>
      <c r="L123" s="79">
        <f>K123/(K122+K121+K120)</f>
        <v>1</v>
      </c>
      <c r="M123" s="79">
        <f>K123/(K120+K121+K122)</f>
        <v>1</v>
      </c>
      <c r="N123" s="80">
        <f>T123+AC123+AL123+AU123+S124</f>
        <v>92</v>
      </c>
      <c r="O123" s="79">
        <f>N123/K123</f>
        <v>0.94845360824742264</v>
      </c>
      <c r="P123" s="81"/>
      <c r="Q123" s="90">
        <f>SUM(Q120:Q122)</f>
        <v>9</v>
      </c>
      <c r="R123" s="90">
        <f>SUM(R120:R122)</f>
        <v>0</v>
      </c>
      <c r="S123" s="90">
        <f>SUM(S120:S122)</f>
        <v>0</v>
      </c>
      <c r="T123" s="90">
        <f>SUM(Q123:S123)</f>
        <v>9</v>
      </c>
      <c r="U123" s="84">
        <f>T123/(T120+T121+T122)</f>
        <v>1</v>
      </c>
      <c r="V123" s="81"/>
      <c r="W123" s="90">
        <f t="shared" ref="W123:AB123" si="75">SUM(W120:W122)</f>
        <v>9</v>
      </c>
      <c r="X123" s="90">
        <f t="shared" si="75"/>
        <v>7</v>
      </c>
      <c r="Y123" s="90">
        <f t="shared" si="75"/>
        <v>15</v>
      </c>
      <c r="Z123" s="90">
        <f t="shared" si="75"/>
        <v>0</v>
      </c>
      <c r="AA123" s="90">
        <f t="shared" si="75"/>
        <v>10</v>
      </c>
      <c r="AB123" s="90">
        <f t="shared" si="75"/>
        <v>2</v>
      </c>
      <c r="AC123" s="90">
        <f>SUM(W123:AB123)</f>
        <v>43</v>
      </c>
      <c r="AD123" s="84">
        <f>AC123/(AC120+AC121+AC122)</f>
        <v>1</v>
      </c>
      <c r="AE123" s="81"/>
      <c r="AF123" s="90">
        <f t="shared" ref="AF123:AK123" si="76">SUM(AF120:AF122)</f>
        <v>10</v>
      </c>
      <c r="AG123" s="90">
        <f t="shared" si="76"/>
        <v>11</v>
      </c>
      <c r="AH123" s="90">
        <f t="shared" si="76"/>
        <v>0</v>
      </c>
      <c r="AI123" s="90">
        <f t="shared" si="76"/>
        <v>6</v>
      </c>
      <c r="AJ123" s="90">
        <f t="shared" si="76"/>
        <v>1</v>
      </c>
      <c r="AK123" s="90">
        <f t="shared" si="76"/>
        <v>0</v>
      </c>
      <c r="AL123" s="90">
        <f>SUM(AF123:AK123)</f>
        <v>28</v>
      </c>
      <c r="AM123" s="97">
        <f>AL123/(AL120+AL121+AL122)</f>
        <v>1</v>
      </c>
      <c r="AN123" s="81"/>
      <c r="AO123" s="90">
        <f t="shared" ref="AO123:AT123" si="77">SUM(AO120:AO122)</f>
        <v>1</v>
      </c>
      <c r="AP123" s="90">
        <f t="shared" si="77"/>
        <v>3</v>
      </c>
      <c r="AQ123" s="90">
        <f t="shared" si="77"/>
        <v>4</v>
      </c>
      <c r="AR123" s="90">
        <f t="shared" si="77"/>
        <v>0</v>
      </c>
      <c r="AS123" s="90">
        <f t="shared" si="77"/>
        <v>0</v>
      </c>
      <c r="AT123" s="90">
        <f t="shared" si="77"/>
        <v>4</v>
      </c>
      <c r="AU123" s="90">
        <f>SUM(AO123:AT123)</f>
        <v>12</v>
      </c>
      <c r="AV123" s="84">
        <f>AU123/(AU120+AU121+AU122)</f>
        <v>1</v>
      </c>
      <c r="AW123" s="81"/>
      <c r="AX123" s="90">
        <f>SUM(AX120:AX122)</f>
        <v>1</v>
      </c>
      <c r="AY123" s="90">
        <f>SUM(AY120:AY122)</f>
        <v>3</v>
      </c>
      <c r="AZ123" s="90">
        <f>SUM(AZ120:AZ122)</f>
        <v>0</v>
      </c>
      <c r="BA123" s="90">
        <f>SUM(BA120:BA122)</f>
        <v>1</v>
      </c>
      <c r="BB123" s="90">
        <f>SUM(BB120:BB122)</f>
        <v>0</v>
      </c>
      <c r="BC123" s="90">
        <f>SUM(AX123:BB123)</f>
        <v>5</v>
      </c>
      <c r="BD123" s="84">
        <f>BC123/(BC120+BC121+BC122)</f>
        <v>1</v>
      </c>
      <c r="BE123" s="81"/>
      <c r="BF123" s="90"/>
      <c r="BG123" s="98"/>
      <c r="BH123" s="98"/>
      <c r="BI123" s="98"/>
    </row>
    <row r="124" spans="1:61" ht="68.25" customHeight="1">
      <c r="A124" s="62" t="s">
        <v>103</v>
      </c>
      <c r="B124" s="183" t="s">
        <v>104</v>
      </c>
      <c r="C124" s="184"/>
      <c r="D124" s="184"/>
      <c r="E124" s="184"/>
      <c r="F124" s="184"/>
      <c r="G124" s="65"/>
      <c r="H124" s="65"/>
      <c r="I124" s="65"/>
      <c r="J124" s="65"/>
      <c r="K124" s="63"/>
      <c r="L124" s="66"/>
      <c r="M124" s="66"/>
      <c r="N124" s="67"/>
      <c r="O124" s="66"/>
      <c r="P124" s="68"/>
      <c r="Q124" s="69"/>
      <c r="R124" s="69"/>
      <c r="S124" s="69"/>
      <c r="T124" s="67"/>
      <c r="U124" s="66"/>
      <c r="V124" s="68"/>
      <c r="W124" s="69"/>
      <c r="X124" s="69"/>
      <c r="Y124" s="69"/>
      <c r="Z124" s="69"/>
      <c r="AA124" s="69"/>
      <c r="AB124" s="69"/>
      <c r="AC124" s="67"/>
      <c r="AD124" s="66"/>
      <c r="AE124" s="68"/>
      <c r="AF124" s="69"/>
      <c r="AG124" s="69"/>
      <c r="AH124" s="69"/>
      <c r="AI124" s="69"/>
      <c r="AJ124" s="69"/>
      <c r="AK124" s="69"/>
      <c r="AL124" s="67"/>
      <c r="AM124" s="70"/>
      <c r="AN124" s="68"/>
      <c r="AO124" s="67"/>
      <c r="AP124" s="67"/>
      <c r="AQ124" s="67"/>
      <c r="AR124" s="67"/>
      <c r="AS124" s="67"/>
      <c r="AT124" s="67"/>
      <c r="AU124" s="67"/>
      <c r="AV124" s="66"/>
      <c r="AW124" s="68"/>
      <c r="AX124" s="67"/>
      <c r="AY124" s="67"/>
      <c r="AZ124" s="67"/>
      <c r="BA124" s="67"/>
      <c r="BB124" s="67"/>
      <c r="BC124" s="67"/>
      <c r="BD124" s="66"/>
      <c r="BE124" s="68"/>
      <c r="BF124" s="67"/>
      <c r="BG124" s="65"/>
      <c r="BH124" s="63"/>
      <c r="BI124" s="65"/>
    </row>
    <row r="125" spans="1:61" ht="32.5" customHeight="1">
      <c r="A125" s="71"/>
      <c r="B125" s="72" t="s">
        <v>0</v>
      </c>
      <c r="C125" s="72" t="s">
        <v>1</v>
      </c>
      <c r="D125" s="72" t="s">
        <v>2</v>
      </c>
      <c r="E125" s="72" t="s">
        <v>3</v>
      </c>
      <c r="F125" s="72" t="s">
        <v>4</v>
      </c>
      <c r="G125" s="72" t="s">
        <v>5</v>
      </c>
      <c r="H125" s="72" t="s">
        <v>68</v>
      </c>
      <c r="I125" s="72" t="s">
        <v>7</v>
      </c>
      <c r="J125" s="72" t="s">
        <v>8</v>
      </c>
      <c r="K125" s="71" t="s">
        <v>9</v>
      </c>
      <c r="L125" s="71" t="s">
        <v>56</v>
      </c>
      <c r="M125" s="73"/>
      <c r="N125" s="74"/>
      <c r="O125" s="73"/>
      <c r="P125" s="68"/>
      <c r="Q125" s="72" t="s">
        <v>15</v>
      </c>
      <c r="R125" s="72" t="s">
        <v>16</v>
      </c>
      <c r="S125" s="72" t="s">
        <v>28</v>
      </c>
      <c r="T125" s="73"/>
      <c r="U125" s="75"/>
      <c r="V125" s="68"/>
      <c r="W125" s="72" t="s">
        <v>15</v>
      </c>
      <c r="X125" s="72" t="s">
        <v>20</v>
      </c>
      <c r="Y125" s="72" t="s">
        <v>21</v>
      </c>
      <c r="Z125" s="72" t="s">
        <v>22</v>
      </c>
      <c r="AA125" s="72" t="s">
        <v>23</v>
      </c>
      <c r="AB125" s="72" t="s">
        <v>24</v>
      </c>
      <c r="AC125" s="73"/>
      <c r="AD125" s="75"/>
      <c r="AE125" s="68"/>
      <c r="AF125" s="72" t="s">
        <v>20</v>
      </c>
      <c r="AG125" s="72" t="s">
        <v>21</v>
      </c>
      <c r="AH125" s="72" t="s">
        <v>22</v>
      </c>
      <c r="AI125" s="72" t="s">
        <v>23</v>
      </c>
      <c r="AJ125" s="72" t="s">
        <v>24</v>
      </c>
      <c r="AK125" s="99"/>
      <c r="AL125" s="73"/>
      <c r="AM125" s="76"/>
      <c r="AN125" s="68"/>
      <c r="AO125" s="72" t="s">
        <v>15</v>
      </c>
      <c r="AP125" s="72" t="s">
        <v>20</v>
      </c>
      <c r="AQ125" s="72" t="s">
        <v>21</v>
      </c>
      <c r="AR125" s="72" t="s">
        <v>16</v>
      </c>
      <c r="AS125" s="72" t="s">
        <v>22</v>
      </c>
      <c r="AT125" s="72" t="s">
        <v>24</v>
      </c>
      <c r="AU125" s="73"/>
      <c r="AV125" s="75"/>
      <c r="AW125" s="68"/>
      <c r="AX125" s="72" t="s">
        <v>15</v>
      </c>
      <c r="AY125" s="72" t="s">
        <v>20</v>
      </c>
      <c r="AZ125" s="72" t="s">
        <v>22</v>
      </c>
      <c r="BA125" s="72" t="s">
        <v>23</v>
      </c>
      <c r="BB125" s="99"/>
      <c r="BC125" s="73"/>
      <c r="BD125" s="75"/>
      <c r="BE125" s="68"/>
      <c r="BF125" s="8" t="s">
        <v>80</v>
      </c>
      <c r="BG125" s="77"/>
      <c r="BH125" s="77"/>
      <c r="BI125" s="77"/>
    </row>
    <row r="126" spans="1:61" ht="20.75" customHeight="1">
      <c r="A126" s="71" t="s">
        <v>105</v>
      </c>
      <c r="B126" s="78" t="s">
        <v>59</v>
      </c>
      <c r="C126" s="78" t="s">
        <v>59</v>
      </c>
      <c r="D126" s="78">
        <v>11</v>
      </c>
      <c r="E126" s="78">
        <v>3</v>
      </c>
      <c r="F126" s="78" t="s">
        <v>59</v>
      </c>
      <c r="G126" s="78" t="s">
        <v>59</v>
      </c>
      <c r="H126" s="78" t="s">
        <v>59</v>
      </c>
      <c r="I126" s="78">
        <v>9</v>
      </c>
      <c r="J126" s="78" t="s">
        <v>82</v>
      </c>
      <c r="K126" s="64">
        <f>SUM(B126:J126)</f>
        <v>23</v>
      </c>
      <c r="L126" s="79">
        <f>K126/K130</f>
        <v>0.37096774193548387</v>
      </c>
      <c r="M126" s="79">
        <f>K126/K133</f>
        <v>0.34328358208955223</v>
      </c>
      <c r="N126" s="80"/>
      <c r="O126" s="79"/>
      <c r="P126" s="81"/>
      <c r="Q126" s="82">
        <v>5</v>
      </c>
      <c r="R126" s="8" t="s">
        <v>82</v>
      </c>
      <c r="S126" s="8" t="s">
        <v>82</v>
      </c>
      <c r="T126" s="83">
        <f>SUM(Q126:S126)</f>
        <v>5</v>
      </c>
      <c r="U126" s="84">
        <f>T126/T130</f>
        <v>0.55555555555555558</v>
      </c>
      <c r="V126" s="81"/>
      <c r="W126" s="82">
        <v>2</v>
      </c>
      <c r="X126" s="8" t="s">
        <v>82</v>
      </c>
      <c r="Y126" s="82">
        <v>3</v>
      </c>
      <c r="Z126" s="82" t="s">
        <v>82</v>
      </c>
      <c r="AA126" s="82">
        <v>3</v>
      </c>
      <c r="AB126" s="8" t="s">
        <v>82</v>
      </c>
      <c r="AC126" s="83">
        <f>SUM(W126:AB126)</f>
        <v>8</v>
      </c>
      <c r="AD126" s="84">
        <f>AC126/AC130</f>
        <v>0.25806451612903225</v>
      </c>
      <c r="AE126" s="81"/>
      <c r="AF126" s="8" t="s">
        <v>82</v>
      </c>
      <c r="AG126" s="82">
        <v>6</v>
      </c>
      <c r="AH126" s="8" t="s">
        <v>82</v>
      </c>
      <c r="AI126" s="82">
        <v>0</v>
      </c>
      <c r="AJ126" s="8" t="s">
        <v>82</v>
      </c>
      <c r="AK126" s="77"/>
      <c r="AL126" s="83">
        <f>SUM(AF126:AK126)</f>
        <v>6</v>
      </c>
      <c r="AM126" s="84">
        <f>AL126/AL130</f>
        <v>0.4</v>
      </c>
      <c r="AN126" s="81"/>
      <c r="AO126" s="82">
        <v>1</v>
      </c>
      <c r="AP126" s="78" t="s">
        <v>82</v>
      </c>
      <c r="AQ126" s="82">
        <v>2</v>
      </c>
      <c r="AR126" s="82" t="s">
        <v>82</v>
      </c>
      <c r="AS126" s="78" t="s">
        <v>82</v>
      </c>
      <c r="AT126" s="78" t="s">
        <v>82</v>
      </c>
      <c r="AU126" s="90"/>
      <c r="AV126" s="84">
        <f>AU126/AU130</f>
        <v>0</v>
      </c>
      <c r="AW126" s="81"/>
      <c r="AX126" s="82">
        <v>1</v>
      </c>
      <c r="AY126" s="78" t="s">
        <v>82</v>
      </c>
      <c r="AZ126" s="78" t="s">
        <v>82</v>
      </c>
      <c r="BA126" s="90">
        <v>0</v>
      </c>
      <c r="BB126" s="90"/>
      <c r="BC126" s="90"/>
      <c r="BD126" s="84">
        <f>BC126/BC130</f>
        <v>0</v>
      </c>
      <c r="BE126" s="81"/>
      <c r="BF126" s="8" t="s">
        <v>59</v>
      </c>
      <c r="BG126" s="86"/>
      <c r="BH126" s="77"/>
      <c r="BI126" s="86"/>
    </row>
    <row r="127" spans="1:61" ht="44.75" customHeight="1">
      <c r="A127" s="71" t="s">
        <v>106</v>
      </c>
      <c r="B127" s="78" t="s">
        <v>59</v>
      </c>
      <c r="C127" s="78" t="s">
        <v>59</v>
      </c>
      <c r="D127" s="78">
        <v>12</v>
      </c>
      <c r="E127" s="78">
        <v>10</v>
      </c>
      <c r="F127" s="78" t="s">
        <v>59</v>
      </c>
      <c r="G127" s="78" t="s">
        <v>59</v>
      </c>
      <c r="H127" s="78" t="s">
        <v>59</v>
      </c>
      <c r="I127" s="78">
        <v>8</v>
      </c>
      <c r="J127" s="78" t="s">
        <v>82</v>
      </c>
      <c r="K127" s="64">
        <f>SUM(B127:J127)</f>
        <v>30</v>
      </c>
      <c r="L127" s="79">
        <f>K127/K130</f>
        <v>0.4838709677419355</v>
      </c>
      <c r="M127" s="79">
        <f>K127/K133</f>
        <v>0.44776119402985076</v>
      </c>
      <c r="N127" s="80"/>
      <c r="O127" s="79"/>
      <c r="P127" s="81"/>
      <c r="Q127" s="82">
        <v>2</v>
      </c>
      <c r="R127" s="8" t="s">
        <v>82</v>
      </c>
      <c r="S127" s="8" t="s">
        <v>82</v>
      </c>
      <c r="T127" s="83">
        <f>SUM(Q127:S127)</f>
        <v>2</v>
      </c>
      <c r="U127" s="84">
        <f>T127/T130</f>
        <v>0.22222222222222221</v>
      </c>
      <c r="V127" s="81"/>
      <c r="W127" s="82">
        <v>6</v>
      </c>
      <c r="X127" s="8" t="s">
        <v>82</v>
      </c>
      <c r="Y127" s="82">
        <v>9</v>
      </c>
      <c r="Z127" s="82" t="s">
        <v>82</v>
      </c>
      <c r="AA127" s="82">
        <v>5</v>
      </c>
      <c r="AB127" s="8" t="s">
        <v>82</v>
      </c>
      <c r="AC127" s="83">
        <f>SUM(W127:AB127)</f>
        <v>20</v>
      </c>
      <c r="AD127" s="84">
        <f>AC127/AC130</f>
        <v>0.64516129032258063</v>
      </c>
      <c r="AE127" s="81"/>
      <c r="AF127" s="8" t="s">
        <v>82</v>
      </c>
      <c r="AG127" s="82">
        <v>2</v>
      </c>
      <c r="AH127" s="8" t="s">
        <v>82</v>
      </c>
      <c r="AI127" s="82">
        <v>4</v>
      </c>
      <c r="AJ127" s="8" t="s">
        <v>82</v>
      </c>
      <c r="AK127" s="77"/>
      <c r="AL127" s="83">
        <f>SUM(AF127:AK127)</f>
        <v>6</v>
      </c>
      <c r="AM127" s="84">
        <f>AL127/AL130</f>
        <v>0.4</v>
      </c>
      <c r="AN127" s="81"/>
      <c r="AO127" s="82">
        <v>0</v>
      </c>
      <c r="AP127" s="78" t="s">
        <v>82</v>
      </c>
      <c r="AQ127" s="82">
        <v>1</v>
      </c>
      <c r="AR127" s="82" t="s">
        <v>82</v>
      </c>
      <c r="AS127" s="78" t="s">
        <v>82</v>
      </c>
      <c r="AT127" s="78" t="s">
        <v>82</v>
      </c>
      <c r="AU127" s="83">
        <f>SUM(AO127:AT127)</f>
        <v>1</v>
      </c>
      <c r="AV127" s="84">
        <f>AU127/AU130</f>
        <v>0.5</v>
      </c>
      <c r="AW127" s="81"/>
      <c r="AX127" s="82">
        <v>0</v>
      </c>
      <c r="AY127" s="78" t="s">
        <v>82</v>
      </c>
      <c r="AZ127" s="78" t="s">
        <v>82</v>
      </c>
      <c r="BA127" s="90">
        <v>1</v>
      </c>
      <c r="BB127" s="90"/>
      <c r="BC127" s="83">
        <f>SUM(AX127:BB127)</f>
        <v>1</v>
      </c>
      <c r="BD127" s="84">
        <f>BC127/BC130</f>
        <v>1</v>
      </c>
      <c r="BE127" s="81"/>
      <c r="BF127" s="8" t="s">
        <v>59</v>
      </c>
      <c r="BG127" s="86"/>
      <c r="BH127" s="77"/>
      <c r="BI127" s="86"/>
    </row>
    <row r="128" spans="1:61" ht="20.75" customHeight="1">
      <c r="A128" s="71" t="s">
        <v>107</v>
      </c>
      <c r="B128" s="78" t="s">
        <v>59</v>
      </c>
      <c r="C128" s="78" t="s">
        <v>59</v>
      </c>
      <c r="D128" s="78">
        <v>4</v>
      </c>
      <c r="E128" s="78">
        <v>2</v>
      </c>
      <c r="F128" s="78" t="s">
        <v>59</v>
      </c>
      <c r="G128" s="78" t="s">
        <v>59</v>
      </c>
      <c r="H128" s="78" t="s">
        <v>59</v>
      </c>
      <c r="I128" s="78">
        <v>3</v>
      </c>
      <c r="J128" s="78" t="s">
        <v>82</v>
      </c>
      <c r="K128" s="64">
        <f>SUM(B128:J128)</f>
        <v>9</v>
      </c>
      <c r="L128" s="79">
        <f>K128/K130</f>
        <v>0.14516129032258066</v>
      </c>
      <c r="M128" s="79">
        <f>K128/K133</f>
        <v>0.13432835820895522</v>
      </c>
      <c r="N128" s="80"/>
      <c r="O128" s="79"/>
      <c r="P128" s="81"/>
      <c r="Q128" s="82">
        <v>2</v>
      </c>
      <c r="R128" s="8" t="s">
        <v>82</v>
      </c>
      <c r="S128" s="8" t="s">
        <v>82</v>
      </c>
      <c r="T128" s="83">
        <f>SUM(Q128:S128)</f>
        <v>2</v>
      </c>
      <c r="U128" s="84">
        <f>T128/T130</f>
        <v>0.22222222222222221</v>
      </c>
      <c r="V128" s="81"/>
      <c r="W128" s="82">
        <v>1</v>
      </c>
      <c r="X128" s="8" t="s">
        <v>82</v>
      </c>
      <c r="Y128" s="82">
        <v>1</v>
      </c>
      <c r="Z128" s="82" t="s">
        <v>82</v>
      </c>
      <c r="AA128" s="82">
        <v>1</v>
      </c>
      <c r="AB128" s="8" t="s">
        <v>82</v>
      </c>
      <c r="AC128" s="83">
        <f>SUM(W128:AB128)</f>
        <v>3</v>
      </c>
      <c r="AD128" s="84">
        <f>AC128/AC130</f>
        <v>9.6774193548387094E-2</v>
      </c>
      <c r="AE128" s="81"/>
      <c r="AF128" s="8" t="s">
        <v>82</v>
      </c>
      <c r="AG128" s="82">
        <v>2</v>
      </c>
      <c r="AH128" s="8" t="s">
        <v>82</v>
      </c>
      <c r="AI128" s="82">
        <v>1</v>
      </c>
      <c r="AJ128" s="8" t="s">
        <v>82</v>
      </c>
      <c r="AK128" s="77"/>
      <c r="AL128" s="83">
        <f>SUM(AF128:AK128)</f>
        <v>3</v>
      </c>
      <c r="AM128" s="84">
        <f>AL128/AL130</f>
        <v>0.2</v>
      </c>
      <c r="AN128" s="81"/>
      <c r="AO128" s="82">
        <v>0</v>
      </c>
      <c r="AP128" s="78" t="s">
        <v>82</v>
      </c>
      <c r="AQ128" s="82">
        <v>1</v>
      </c>
      <c r="AR128" s="82" t="s">
        <v>82</v>
      </c>
      <c r="AS128" s="78" t="s">
        <v>82</v>
      </c>
      <c r="AT128" s="78" t="s">
        <v>82</v>
      </c>
      <c r="AU128" s="83">
        <f>SUM(AO128:AT128)</f>
        <v>1</v>
      </c>
      <c r="AV128" s="84">
        <f>AU128/AU130</f>
        <v>0.5</v>
      </c>
      <c r="AW128" s="81"/>
      <c r="AX128" s="82">
        <v>0</v>
      </c>
      <c r="AY128" s="78" t="s">
        <v>82</v>
      </c>
      <c r="AZ128" s="78" t="s">
        <v>82</v>
      </c>
      <c r="BA128" s="90">
        <v>0</v>
      </c>
      <c r="BB128" s="90"/>
      <c r="BC128" s="83">
        <f>SUM(AX128:BB128)</f>
        <v>0</v>
      </c>
      <c r="BD128" s="84">
        <f>BC128/BC130</f>
        <v>0</v>
      </c>
      <c r="BE128" s="81"/>
      <c r="BF128" s="8" t="s">
        <v>59</v>
      </c>
      <c r="BG128" s="86"/>
      <c r="BH128" s="77"/>
      <c r="BI128" s="86"/>
    </row>
    <row r="129" spans="1:61" ht="20.75" customHeight="1">
      <c r="A129" s="71" t="s">
        <v>108</v>
      </c>
      <c r="B129" s="78" t="s">
        <v>59</v>
      </c>
      <c r="C129" s="78" t="s">
        <v>59</v>
      </c>
      <c r="D129" s="78">
        <v>0</v>
      </c>
      <c r="E129" s="78">
        <v>0</v>
      </c>
      <c r="F129" s="78" t="s">
        <v>59</v>
      </c>
      <c r="G129" s="78" t="s">
        <v>59</v>
      </c>
      <c r="H129" s="78" t="s">
        <v>59</v>
      </c>
      <c r="I129" s="78">
        <v>0</v>
      </c>
      <c r="J129" s="78" t="s">
        <v>82</v>
      </c>
      <c r="K129" s="64">
        <f>SUM(B129:J129)</f>
        <v>0</v>
      </c>
      <c r="L129" s="79">
        <f>K129/K130</f>
        <v>0</v>
      </c>
      <c r="M129" s="79">
        <f>K129/K133</f>
        <v>0</v>
      </c>
      <c r="N129" s="80"/>
      <c r="O129" s="79"/>
      <c r="P129" s="81"/>
      <c r="Q129" s="82">
        <v>0</v>
      </c>
      <c r="R129" s="8" t="s">
        <v>82</v>
      </c>
      <c r="S129" s="8" t="s">
        <v>82</v>
      </c>
      <c r="T129" s="83">
        <f>SUM(Q129:S129)</f>
        <v>0</v>
      </c>
      <c r="U129" s="84">
        <f>T129/T130</f>
        <v>0</v>
      </c>
      <c r="V129" s="81"/>
      <c r="W129" s="82">
        <v>0</v>
      </c>
      <c r="X129" s="8" t="s">
        <v>82</v>
      </c>
      <c r="Y129" s="82">
        <v>0</v>
      </c>
      <c r="Z129" s="82" t="s">
        <v>82</v>
      </c>
      <c r="AA129" s="82">
        <v>0</v>
      </c>
      <c r="AB129" s="8" t="s">
        <v>82</v>
      </c>
      <c r="AC129" s="83">
        <f>SUM(W129:AB129)</f>
        <v>0</v>
      </c>
      <c r="AD129" s="84">
        <f>AC129/AC130</f>
        <v>0</v>
      </c>
      <c r="AE129" s="81"/>
      <c r="AF129" s="8" t="s">
        <v>82</v>
      </c>
      <c r="AG129" s="82">
        <v>0</v>
      </c>
      <c r="AH129" s="8" t="s">
        <v>82</v>
      </c>
      <c r="AI129" s="82">
        <v>0</v>
      </c>
      <c r="AJ129" s="8" t="s">
        <v>82</v>
      </c>
      <c r="AK129" s="77"/>
      <c r="AL129" s="83">
        <f>SUM(AF129:AK129)</f>
        <v>0</v>
      </c>
      <c r="AM129" s="84">
        <f>AL129/AL130</f>
        <v>0</v>
      </c>
      <c r="AN129" s="81"/>
      <c r="AO129" s="82">
        <v>0</v>
      </c>
      <c r="AP129" s="78" t="s">
        <v>82</v>
      </c>
      <c r="AQ129" s="82">
        <v>0</v>
      </c>
      <c r="AR129" s="82" t="s">
        <v>82</v>
      </c>
      <c r="AS129" s="78" t="s">
        <v>82</v>
      </c>
      <c r="AT129" s="78" t="s">
        <v>82</v>
      </c>
      <c r="AU129" s="83">
        <f>SUM(AO129:AT129)</f>
        <v>0</v>
      </c>
      <c r="AV129" s="84">
        <f>AU129/AU130</f>
        <v>0</v>
      </c>
      <c r="AW129" s="81"/>
      <c r="AX129" s="82">
        <v>0</v>
      </c>
      <c r="AY129" s="78" t="s">
        <v>82</v>
      </c>
      <c r="AZ129" s="78" t="s">
        <v>82</v>
      </c>
      <c r="BA129" s="90">
        <v>0</v>
      </c>
      <c r="BB129" s="90"/>
      <c r="BC129" s="83">
        <f>SUM(AX129:BB129)</f>
        <v>0</v>
      </c>
      <c r="BD129" s="84">
        <f>BC129/BC130</f>
        <v>0</v>
      </c>
      <c r="BE129" s="81"/>
      <c r="BF129" s="8" t="s">
        <v>59</v>
      </c>
      <c r="BG129" s="86"/>
      <c r="BH129" s="77"/>
      <c r="BI129" s="86"/>
    </row>
    <row r="130" spans="1:61" ht="21.75" customHeight="1">
      <c r="A130" s="71" t="s">
        <v>9</v>
      </c>
      <c r="B130" s="78" t="s">
        <v>59</v>
      </c>
      <c r="C130" s="78" t="s">
        <v>59</v>
      </c>
      <c r="D130" s="78">
        <f>SUM(D124:D129)</f>
        <v>27</v>
      </c>
      <c r="E130" s="78">
        <f>SUM(E124:E129)</f>
        <v>15</v>
      </c>
      <c r="F130" s="78" t="s">
        <v>59</v>
      </c>
      <c r="G130" s="78" t="s">
        <v>59</v>
      </c>
      <c r="H130" s="78" t="s">
        <v>59</v>
      </c>
      <c r="I130" s="78">
        <f>SUM(I124:I129)</f>
        <v>20</v>
      </c>
      <c r="J130" s="78">
        <f>SUM(J124:J129)</f>
        <v>0</v>
      </c>
      <c r="K130" s="64">
        <f>SUM(K124:K129)</f>
        <v>62</v>
      </c>
      <c r="L130" s="79">
        <f>SUM(L124:L129)</f>
        <v>1</v>
      </c>
      <c r="M130" s="79">
        <f>K130/K133</f>
        <v>0.92537313432835822</v>
      </c>
      <c r="N130" s="80">
        <f>T130+AC130+AL130+AU130</f>
        <v>57</v>
      </c>
      <c r="O130" s="79">
        <f>N130/K130</f>
        <v>0.91935483870967738</v>
      </c>
      <c r="P130" s="81">
        <f>SUM(P124:P129)</f>
        <v>0</v>
      </c>
      <c r="Q130" s="89">
        <f>SUM(Q124:Q129)</f>
        <v>9</v>
      </c>
      <c r="R130" s="83">
        <f>SUM(R124:R129)</f>
        <v>0</v>
      </c>
      <c r="S130" s="83">
        <f>SUM(S124:S129)</f>
        <v>0</v>
      </c>
      <c r="T130" s="83">
        <f>SUM(T125:T129)</f>
        <v>9</v>
      </c>
      <c r="U130" s="84">
        <f t="shared" ref="U130:BE130" si="78">SUM(U124:U129)</f>
        <v>1</v>
      </c>
      <c r="V130" s="81">
        <f t="shared" si="78"/>
        <v>0</v>
      </c>
      <c r="W130" s="89">
        <f t="shared" si="78"/>
        <v>9</v>
      </c>
      <c r="X130" s="89">
        <f t="shared" si="78"/>
        <v>0</v>
      </c>
      <c r="Y130" s="89">
        <f t="shared" si="78"/>
        <v>13</v>
      </c>
      <c r="Z130" s="89">
        <f t="shared" si="78"/>
        <v>0</v>
      </c>
      <c r="AA130" s="89">
        <f t="shared" si="78"/>
        <v>9</v>
      </c>
      <c r="AB130" s="87">
        <f t="shared" si="78"/>
        <v>0</v>
      </c>
      <c r="AC130" s="87">
        <f t="shared" si="78"/>
        <v>31</v>
      </c>
      <c r="AD130" s="84">
        <f t="shared" si="78"/>
        <v>1</v>
      </c>
      <c r="AE130" s="81">
        <f t="shared" si="78"/>
        <v>0</v>
      </c>
      <c r="AF130" s="87">
        <f t="shared" si="78"/>
        <v>0</v>
      </c>
      <c r="AG130" s="87">
        <f t="shared" si="78"/>
        <v>10</v>
      </c>
      <c r="AH130" s="87">
        <f t="shared" si="78"/>
        <v>0</v>
      </c>
      <c r="AI130" s="87">
        <f t="shared" si="78"/>
        <v>5</v>
      </c>
      <c r="AJ130" s="87">
        <f t="shared" si="78"/>
        <v>0</v>
      </c>
      <c r="AK130" s="87">
        <f t="shared" si="78"/>
        <v>0</v>
      </c>
      <c r="AL130" s="87">
        <f t="shared" si="78"/>
        <v>15</v>
      </c>
      <c r="AM130" s="84">
        <f t="shared" si="78"/>
        <v>1</v>
      </c>
      <c r="AN130" s="81">
        <f t="shared" si="78"/>
        <v>0</v>
      </c>
      <c r="AO130" s="87">
        <f t="shared" si="78"/>
        <v>1</v>
      </c>
      <c r="AP130" s="87">
        <f t="shared" si="78"/>
        <v>0</v>
      </c>
      <c r="AQ130" s="87">
        <f t="shared" si="78"/>
        <v>4</v>
      </c>
      <c r="AR130" s="87">
        <f t="shared" si="78"/>
        <v>0</v>
      </c>
      <c r="AS130" s="87">
        <f t="shared" si="78"/>
        <v>0</v>
      </c>
      <c r="AT130" s="87">
        <f t="shared" si="78"/>
        <v>0</v>
      </c>
      <c r="AU130" s="87">
        <f t="shared" si="78"/>
        <v>2</v>
      </c>
      <c r="AV130" s="84">
        <f t="shared" si="78"/>
        <v>1</v>
      </c>
      <c r="AW130" s="81">
        <f t="shared" si="78"/>
        <v>0</v>
      </c>
      <c r="AX130" s="87">
        <f t="shared" si="78"/>
        <v>1</v>
      </c>
      <c r="AY130" s="87">
        <f t="shared" si="78"/>
        <v>0</v>
      </c>
      <c r="AZ130" s="87">
        <f t="shared" si="78"/>
        <v>0</v>
      </c>
      <c r="BA130" s="87">
        <f t="shared" si="78"/>
        <v>1</v>
      </c>
      <c r="BB130" s="87">
        <f t="shared" si="78"/>
        <v>0</v>
      </c>
      <c r="BC130" s="87">
        <f t="shared" si="78"/>
        <v>1</v>
      </c>
      <c r="BD130" s="84">
        <f t="shared" si="78"/>
        <v>1</v>
      </c>
      <c r="BE130" s="81">
        <f t="shared" si="78"/>
        <v>0</v>
      </c>
      <c r="BF130" s="83"/>
      <c r="BG130" s="86"/>
      <c r="BH130" s="77"/>
      <c r="BI130" s="86"/>
    </row>
    <row r="131" spans="1:61" ht="21.75" customHeight="1">
      <c r="A131" s="8" t="s">
        <v>64</v>
      </c>
      <c r="B131" s="78" t="s">
        <v>59</v>
      </c>
      <c r="C131" s="78" t="s">
        <v>59</v>
      </c>
      <c r="D131" s="78">
        <v>3</v>
      </c>
      <c r="E131" s="78">
        <v>2</v>
      </c>
      <c r="F131" s="78" t="s">
        <v>59</v>
      </c>
      <c r="G131" s="78" t="s">
        <v>59</v>
      </c>
      <c r="H131" s="78" t="s">
        <v>59</v>
      </c>
      <c r="I131" s="78">
        <v>0</v>
      </c>
      <c r="J131" s="78" t="s">
        <v>82</v>
      </c>
      <c r="K131" s="64">
        <f>SUM(B131:J131)</f>
        <v>5</v>
      </c>
      <c r="L131" s="79">
        <f>K131/(K130+K131+K132)</f>
        <v>7.4626865671641784E-2</v>
      </c>
      <c r="M131" s="79">
        <f>K131/(K133)</f>
        <v>7.4626865671641784E-2</v>
      </c>
      <c r="N131" s="74"/>
      <c r="O131" s="79"/>
      <c r="P131" s="81"/>
      <c r="Q131" s="93">
        <v>0</v>
      </c>
      <c r="R131" s="8" t="s">
        <v>82</v>
      </c>
      <c r="S131" s="8" t="s">
        <v>82</v>
      </c>
      <c r="T131" s="90">
        <f>SUM(Q131:S131)</f>
        <v>0</v>
      </c>
      <c r="U131" s="86">
        <f>T131/T133</f>
        <v>0</v>
      </c>
      <c r="V131" s="81"/>
      <c r="W131" s="93">
        <v>0</v>
      </c>
      <c r="X131" s="94" t="s">
        <v>82</v>
      </c>
      <c r="Y131" s="93">
        <v>2</v>
      </c>
      <c r="Z131" s="94" t="s">
        <v>82</v>
      </c>
      <c r="AA131" s="93">
        <v>1</v>
      </c>
      <c r="AB131" s="100" t="s">
        <v>82</v>
      </c>
      <c r="AC131" s="95">
        <f>SUM(W131:AB131)</f>
        <v>3</v>
      </c>
      <c r="AD131" s="86">
        <f>AC131/AC133</f>
        <v>8.8235294117647065E-2</v>
      </c>
      <c r="AE131" s="81"/>
      <c r="AF131" s="100" t="s">
        <v>82</v>
      </c>
      <c r="AG131" s="91">
        <v>1</v>
      </c>
      <c r="AH131" s="100" t="s">
        <v>82</v>
      </c>
      <c r="AI131" s="91">
        <v>1</v>
      </c>
      <c r="AJ131" s="91"/>
      <c r="AK131" s="91"/>
      <c r="AL131" s="91">
        <f>SUM(AF131:AK131)</f>
        <v>2</v>
      </c>
      <c r="AM131" s="86">
        <f>AL131/AL133</f>
        <v>0.11764705882352941</v>
      </c>
      <c r="AN131" s="81"/>
      <c r="AO131" s="91">
        <v>0</v>
      </c>
      <c r="AP131" s="100" t="s">
        <v>82</v>
      </c>
      <c r="AQ131" s="91">
        <v>0</v>
      </c>
      <c r="AR131" s="100" t="s">
        <v>82</v>
      </c>
      <c r="AS131" s="100" t="s">
        <v>82</v>
      </c>
      <c r="AT131" s="91"/>
      <c r="AU131" s="95">
        <f>SUM(AO131:AT131)</f>
        <v>0</v>
      </c>
      <c r="AV131" s="86">
        <f>AU131/AU133</f>
        <v>0</v>
      </c>
      <c r="AW131" s="81"/>
      <c r="AX131" s="91">
        <v>0</v>
      </c>
      <c r="AY131" s="100" t="s">
        <v>82</v>
      </c>
      <c r="AZ131" s="91">
        <v>0</v>
      </c>
      <c r="BA131" s="91">
        <v>0</v>
      </c>
      <c r="BB131" s="91"/>
      <c r="BC131" s="95">
        <f>SUM(AX131:BB131)</f>
        <v>0</v>
      </c>
      <c r="BD131" s="86">
        <f>BC131/BC133</f>
        <v>0</v>
      </c>
      <c r="BE131" s="81"/>
      <c r="BF131" s="90"/>
      <c r="BG131" s="78"/>
      <c r="BH131" s="78"/>
      <c r="BI131" s="78"/>
    </row>
    <row r="132" spans="1:61" ht="20.25" customHeight="1">
      <c r="A132" s="8" t="s">
        <v>65</v>
      </c>
      <c r="B132" s="78" t="s">
        <v>59</v>
      </c>
      <c r="C132" s="78" t="s">
        <v>59</v>
      </c>
      <c r="D132" s="78">
        <v>0</v>
      </c>
      <c r="E132" s="78">
        <v>0</v>
      </c>
      <c r="F132" s="78" t="s">
        <v>59</v>
      </c>
      <c r="G132" s="78" t="s">
        <v>59</v>
      </c>
      <c r="H132" s="78" t="s">
        <v>59</v>
      </c>
      <c r="I132" s="78">
        <v>0</v>
      </c>
      <c r="J132" s="78" t="s">
        <v>82</v>
      </c>
      <c r="K132" s="64">
        <f>SUM(B132:J132)</f>
        <v>0</v>
      </c>
      <c r="L132" s="79">
        <f>K132/(K131+K132+K130)</f>
        <v>0</v>
      </c>
      <c r="M132" s="79">
        <f>K132/(K133)</f>
        <v>0</v>
      </c>
      <c r="N132" s="74"/>
      <c r="O132" s="79"/>
      <c r="P132" s="81"/>
      <c r="Q132" s="83">
        <v>0</v>
      </c>
      <c r="R132" s="8" t="s">
        <v>82</v>
      </c>
      <c r="S132" s="8" t="s">
        <v>82</v>
      </c>
      <c r="T132" s="90">
        <f>SUM(Q132:S132)</f>
        <v>0</v>
      </c>
      <c r="U132" s="86">
        <f>T132/T133</f>
        <v>0</v>
      </c>
      <c r="V132" s="81"/>
      <c r="W132" s="83">
        <v>0</v>
      </c>
      <c r="X132" s="8" t="s">
        <v>82</v>
      </c>
      <c r="Y132" s="83">
        <v>0</v>
      </c>
      <c r="Z132" s="8" t="s">
        <v>82</v>
      </c>
      <c r="AA132" s="83">
        <v>0</v>
      </c>
      <c r="AB132" s="8" t="s">
        <v>82</v>
      </c>
      <c r="AC132" s="90">
        <f>SUM(W132:AB132)</f>
        <v>0</v>
      </c>
      <c r="AD132" s="86">
        <f>AC132/AC133</f>
        <v>0</v>
      </c>
      <c r="AE132" s="81"/>
      <c r="AF132" s="8" t="s">
        <v>82</v>
      </c>
      <c r="AG132" s="83">
        <v>0</v>
      </c>
      <c r="AH132" s="8" t="s">
        <v>82</v>
      </c>
      <c r="AI132" s="83">
        <v>0</v>
      </c>
      <c r="AJ132" s="83"/>
      <c r="AK132" s="83"/>
      <c r="AL132" s="83">
        <f>SUM(AF132:AK132)</f>
        <v>0</v>
      </c>
      <c r="AM132" s="86">
        <f>AL132/AL133</f>
        <v>0</v>
      </c>
      <c r="AN132" s="81"/>
      <c r="AO132" s="83">
        <v>0</v>
      </c>
      <c r="AP132" s="8" t="s">
        <v>82</v>
      </c>
      <c r="AQ132" s="83">
        <v>0</v>
      </c>
      <c r="AR132" s="8" t="s">
        <v>82</v>
      </c>
      <c r="AS132" s="8" t="s">
        <v>82</v>
      </c>
      <c r="AT132" s="83"/>
      <c r="AU132" s="90">
        <f>SUM(AO132:AT132)</f>
        <v>0</v>
      </c>
      <c r="AV132" s="86">
        <f>AU132/AU133</f>
        <v>0</v>
      </c>
      <c r="AW132" s="81"/>
      <c r="AX132" s="83">
        <v>0</v>
      </c>
      <c r="AY132" s="8" t="s">
        <v>82</v>
      </c>
      <c r="AZ132" s="83">
        <v>0</v>
      </c>
      <c r="BA132" s="83">
        <v>0</v>
      </c>
      <c r="BB132" s="83"/>
      <c r="BC132" s="90">
        <f>SUM(AX132:BB132)</f>
        <v>0</v>
      </c>
      <c r="BD132" s="86">
        <f>BC132/BC133</f>
        <v>0</v>
      </c>
      <c r="BE132" s="81"/>
      <c r="BF132" s="90"/>
      <c r="BG132" s="78"/>
      <c r="BH132" s="78"/>
      <c r="BI132" s="78"/>
    </row>
    <row r="133" spans="1:61" ht="20.25" customHeight="1">
      <c r="A133" s="96" t="s">
        <v>66</v>
      </c>
      <c r="B133" s="78" t="s">
        <v>59</v>
      </c>
      <c r="C133" s="78" t="s">
        <v>59</v>
      </c>
      <c r="D133" s="78">
        <f>SUM(D130:D132)</f>
        <v>30</v>
      </c>
      <c r="E133" s="78">
        <f>SUM(E130:E132)</f>
        <v>17</v>
      </c>
      <c r="F133" s="78" t="s">
        <v>59</v>
      </c>
      <c r="G133" s="78" t="s">
        <v>59</v>
      </c>
      <c r="H133" s="78" t="s">
        <v>59</v>
      </c>
      <c r="I133" s="78">
        <f>SUM(I130:I132)</f>
        <v>20</v>
      </c>
      <c r="J133" s="78">
        <f>SUM(J130:J132)</f>
        <v>0</v>
      </c>
      <c r="K133" s="64">
        <f>SUM(B133:J133)</f>
        <v>67</v>
      </c>
      <c r="L133" s="79">
        <f>K133/(K132+K131+K130)</f>
        <v>1</v>
      </c>
      <c r="M133" s="79">
        <f>K133/(K130+K131+K132)</f>
        <v>1</v>
      </c>
      <c r="N133" s="80">
        <f>T133+AC133+AL133+AU133+S134</f>
        <v>65</v>
      </c>
      <c r="O133" s="79">
        <f>N133/K133</f>
        <v>0.97014925373134331</v>
      </c>
      <c r="P133" s="81"/>
      <c r="Q133" s="90">
        <f>SUM(Q130:Q132)</f>
        <v>9</v>
      </c>
      <c r="R133" s="90">
        <f>SUM(R130:R132)</f>
        <v>0</v>
      </c>
      <c r="S133" s="90">
        <f>SUM(S130:S132)</f>
        <v>0</v>
      </c>
      <c r="T133" s="90">
        <f>SUM(Q133:S133)</f>
        <v>9</v>
      </c>
      <c r="U133" s="84">
        <f>T133/(T130+T131+T132)</f>
        <v>1</v>
      </c>
      <c r="V133" s="81"/>
      <c r="W133" s="90">
        <f t="shared" ref="W133:AB133" si="79">SUM(W130:W132)</f>
        <v>9</v>
      </c>
      <c r="X133" s="90">
        <f t="shared" si="79"/>
        <v>0</v>
      </c>
      <c r="Y133" s="90">
        <f t="shared" si="79"/>
        <v>15</v>
      </c>
      <c r="Z133" s="90">
        <f t="shared" si="79"/>
        <v>0</v>
      </c>
      <c r="AA133" s="90">
        <f t="shared" si="79"/>
        <v>10</v>
      </c>
      <c r="AB133" s="90">
        <f t="shared" si="79"/>
        <v>0</v>
      </c>
      <c r="AC133" s="90">
        <f>SUM(W133:AB133)</f>
        <v>34</v>
      </c>
      <c r="AD133" s="84">
        <f>AC133/(AC130+AC131+AC132)</f>
        <v>1</v>
      </c>
      <c r="AE133" s="81"/>
      <c r="AF133" s="90">
        <f t="shared" ref="AF133:AK133" si="80">SUM(AF130:AF132)</f>
        <v>0</v>
      </c>
      <c r="AG133" s="90">
        <f t="shared" si="80"/>
        <v>11</v>
      </c>
      <c r="AH133" s="90">
        <f t="shared" si="80"/>
        <v>0</v>
      </c>
      <c r="AI133" s="90">
        <f t="shared" si="80"/>
        <v>6</v>
      </c>
      <c r="AJ133" s="90">
        <f t="shared" si="80"/>
        <v>0</v>
      </c>
      <c r="AK133" s="90">
        <f t="shared" si="80"/>
        <v>0</v>
      </c>
      <c r="AL133" s="90">
        <f>SUM(AF133:AK133)</f>
        <v>17</v>
      </c>
      <c r="AM133" s="97">
        <f>AL133/(AL130+AL131+AL132)</f>
        <v>1</v>
      </c>
      <c r="AN133" s="81"/>
      <c r="AO133" s="90">
        <f t="shared" ref="AO133:AT133" si="81">SUM(AO130:AO132)</f>
        <v>1</v>
      </c>
      <c r="AP133" s="90">
        <f t="shared" si="81"/>
        <v>0</v>
      </c>
      <c r="AQ133" s="90">
        <f t="shared" si="81"/>
        <v>4</v>
      </c>
      <c r="AR133" s="90">
        <f t="shared" si="81"/>
        <v>0</v>
      </c>
      <c r="AS133" s="90">
        <f t="shared" si="81"/>
        <v>0</v>
      </c>
      <c r="AT133" s="90">
        <f t="shared" si="81"/>
        <v>0</v>
      </c>
      <c r="AU133" s="90">
        <f>SUM(AO133:AT133)</f>
        <v>5</v>
      </c>
      <c r="AV133" s="84">
        <f>AU133/(AU130+AU131+AU132)</f>
        <v>2.5</v>
      </c>
      <c r="AW133" s="81"/>
      <c r="AX133" s="90">
        <f>SUM(AX130:AX132)</f>
        <v>1</v>
      </c>
      <c r="AY133" s="90">
        <f>SUM(AY130:AY132)</f>
        <v>0</v>
      </c>
      <c r="AZ133" s="90">
        <f>SUM(AZ130:AZ132)</f>
        <v>0</v>
      </c>
      <c r="BA133" s="90">
        <f>SUM(BA130:BA132)</f>
        <v>1</v>
      </c>
      <c r="BB133" s="90">
        <f>SUM(BB130:BB132)</f>
        <v>0</v>
      </c>
      <c r="BC133" s="90">
        <f>SUM(AX133:BB133)</f>
        <v>2</v>
      </c>
      <c r="BD133" s="84">
        <f>BC133/(BC130+BC131+BC132)</f>
        <v>2</v>
      </c>
      <c r="BE133" s="81"/>
      <c r="BF133" s="90"/>
      <c r="BG133" s="98"/>
      <c r="BH133" s="98"/>
      <c r="BI133" s="98"/>
    </row>
    <row r="134" spans="1:61" ht="56.25" customHeight="1">
      <c r="A134" s="53" t="s">
        <v>109</v>
      </c>
      <c r="B134" s="181" t="s">
        <v>110</v>
      </c>
      <c r="C134" s="182"/>
      <c r="D134" s="182"/>
      <c r="E134" s="182"/>
      <c r="F134" s="182"/>
      <c r="G134" s="22"/>
      <c r="H134" s="22"/>
      <c r="I134" s="22"/>
      <c r="J134" s="22"/>
      <c r="K134" s="21"/>
      <c r="L134" s="24"/>
      <c r="M134" s="24"/>
      <c r="N134" s="26"/>
      <c r="O134" s="24"/>
      <c r="P134" s="27"/>
      <c r="Q134" s="28"/>
      <c r="R134" s="28"/>
      <c r="S134" s="28"/>
      <c r="T134" s="26"/>
      <c r="U134" s="24"/>
      <c r="V134" s="27"/>
      <c r="W134" s="28"/>
      <c r="X134" s="28"/>
      <c r="Y134" s="28"/>
      <c r="Z134" s="28"/>
      <c r="AA134" s="28"/>
      <c r="AB134" s="28"/>
      <c r="AC134" s="26"/>
      <c r="AD134" s="24"/>
      <c r="AE134" s="27"/>
      <c r="AF134" s="28"/>
      <c r="AG134" s="28"/>
      <c r="AH134" s="28"/>
      <c r="AI134" s="28"/>
      <c r="AJ134" s="28"/>
      <c r="AK134" s="28"/>
      <c r="AL134" s="26"/>
      <c r="AM134" s="29"/>
      <c r="AN134" s="27"/>
      <c r="AO134" s="26"/>
      <c r="AP134" s="26"/>
      <c r="AQ134" s="26"/>
      <c r="AR134" s="26"/>
      <c r="AS134" s="26"/>
      <c r="AT134" s="26"/>
      <c r="AU134" s="26"/>
      <c r="AV134" s="24"/>
      <c r="AW134" s="27"/>
      <c r="AX134" s="26"/>
      <c r="AY134" s="26"/>
      <c r="AZ134" s="26"/>
      <c r="BA134" s="26"/>
      <c r="BB134" s="26"/>
      <c r="BC134" s="26"/>
      <c r="BD134" s="24"/>
      <c r="BE134" s="27"/>
      <c r="BF134" s="26"/>
      <c r="BG134" s="22"/>
      <c r="BH134" s="21"/>
      <c r="BI134" s="22"/>
    </row>
    <row r="135" spans="1:61" ht="32.5" customHeight="1">
      <c r="A135" s="10"/>
      <c r="B135" s="30" t="s">
        <v>0</v>
      </c>
      <c r="C135" s="30" t="s">
        <v>1</v>
      </c>
      <c r="D135" s="30" t="s">
        <v>2</v>
      </c>
      <c r="E135" s="30" t="s">
        <v>3</v>
      </c>
      <c r="F135" s="30" t="s">
        <v>4</v>
      </c>
      <c r="G135" s="30" t="s">
        <v>5</v>
      </c>
      <c r="H135" s="30" t="s">
        <v>68</v>
      </c>
      <c r="I135" s="30" t="s">
        <v>7</v>
      </c>
      <c r="J135" s="30" t="s">
        <v>8</v>
      </c>
      <c r="K135" s="10" t="s">
        <v>9</v>
      </c>
      <c r="L135" s="10" t="s">
        <v>56</v>
      </c>
      <c r="M135" s="20"/>
      <c r="N135" s="12"/>
      <c r="O135" s="20"/>
      <c r="P135" s="27"/>
      <c r="Q135" s="30" t="s">
        <v>15</v>
      </c>
      <c r="R135" s="30" t="s">
        <v>16</v>
      </c>
      <c r="S135" s="30" t="s">
        <v>28</v>
      </c>
      <c r="T135" s="20"/>
      <c r="U135" s="11"/>
      <c r="V135" s="27"/>
      <c r="W135" s="30" t="s">
        <v>15</v>
      </c>
      <c r="X135" s="30" t="s">
        <v>20</v>
      </c>
      <c r="Y135" s="30" t="s">
        <v>21</v>
      </c>
      <c r="Z135" s="30" t="s">
        <v>22</v>
      </c>
      <c r="AA135" s="30" t="s">
        <v>23</v>
      </c>
      <c r="AB135" s="30" t="s">
        <v>24</v>
      </c>
      <c r="AC135" s="20"/>
      <c r="AD135" s="11"/>
      <c r="AE135" s="27"/>
      <c r="AF135" s="30" t="s">
        <v>20</v>
      </c>
      <c r="AG135" s="30" t="s">
        <v>21</v>
      </c>
      <c r="AH135" s="30" t="s">
        <v>22</v>
      </c>
      <c r="AI135" s="30" t="s">
        <v>23</v>
      </c>
      <c r="AJ135" s="30" t="s">
        <v>24</v>
      </c>
      <c r="AK135" s="54"/>
      <c r="AL135" s="20"/>
      <c r="AM135" s="44"/>
      <c r="AN135" s="27"/>
      <c r="AO135" s="30" t="s">
        <v>15</v>
      </c>
      <c r="AP135" s="30" t="s">
        <v>20</v>
      </c>
      <c r="AQ135" s="30" t="s">
        <v>21</v>
      </c>
      <c r="AR135" s="30" t="s">
        <v>16</v>
      </c>
      <c r="AS135" s="30" t="s">
        <v>22</v>
      </c>
      <c r="AT135" s="30" t="s">
        <v>24</v>
      </c>
      <c r="AU135" s="20"/>
      <c r="AV135" s="11"/>
      <c r="AW135" s="27"/>
      <c r="AX135" s="30" t="s">
        <v>15</v>
      </c>
      <c r="AY135" s="30" t="s">
        <v>20</v>
      </c>
      <c r="AZ135" s="30" t="s">
        <v>22</v>
      </c>
      <c r="BA135" s="30" t="s">
        <v>24</v>
      </c>
      <c r="BB135" s="54"/>
      <c r="BC135" s="20"/>
      <c r="BD135" s="11"/>
      <c r="BE135" s="27"/>
      <c r="BF135" s="9" t="s">
        <v>80</v>
      </c>
      <c r="BG135" s="16"/>
      <c r="BH135" s="16"/>
      <c r="BI135" s="16"/>
    </row>
    <row r="136" spans="1:61" ht="20.75" customHeight="1">
      <c r="A136" s="10" t="s">
        <v>111</v>
      </c>
      <c r="B136" s="32">
        <v>2</v>
      </c>
      <c r="C136" s="32" t="s">
        <v>59</v>
      </c>
      <c r="D136" s="32" t="s">
        <v>59</v>
      </c>
      <c r="E136" s="32" t="s">
        <v>59</v>
      </c>
      <c r="F136" s="32" t="s">
        <v>59</v>
      </c>
      <c r="G136" s="33">
        <v>2</v>
      </c>
      <c r="H136" s="33" t="s">
        <v>59</v>
      </c>
      <c r="I136" s="33" t="s">
        <v>59</v>
      </c>
      <c r="J136" s="33" t="s">
        <v>59</v>
      </c>
      <c r="K136" s="23">
        <f>SUM(B136:J136)</f>
        <v>4</v>
      </c>
      <c r="L136" s="35">
        <f>K136/K140</f>
        <v>9.0909090909090912E-2</v>
      </c>
      <c r="M136" s="35">
        <f>K136/K143</f>
        <v>8.8888888888888892E-2</v>
      </c>
      <c r="N136" s="37"/>
      <c r="O136" s="35"/>
      <c r="P136" s="13"/>
      <c r="Q136" s="9" t="s">
        <v>82</v>
      </c>
      <c r="R136" s="9" t="s">
        <v>82</v>
      </c>
      <c r="S136" s="16"/>
      <c r="T136" s="14">
        <f>SUM(Q136:S136)</f>
        <v>0</v>
      </c>
      <c r="U136" s="40"/>
      <c r="V136" s="13"/>
      <c r="W136" s="9" t="s">
        <v>82</v>
      </c>
      <c r="X136" s="9" t="s">
        <v>82</v>
      </c>
      <c r="Y136" s="9" t="s">
        <v>82</v>
      </c>
      <c r="Z136" s="33">
        <v>0</v>
      </c>
      <c r="AA136" s="9" t="s">
        <v>82</v>
      </c>
      <c r="AB136" s="9" t="s">
        <v>82</v>
      </c>
      <c r="AC136" s="14">
        <f>SUM(W136:AB136)</f>
        <v>0</v>
      </c>
      <c r="AD136" s="40">
        <f>AC136/AC140</f>
        <v>0</v>
      </c>
      <c r="AE136" s="13"/>
      <c r="AF136" s="9" t="s">
        <v>82</v>
      </c>
      <c r="AG136" s="9" t="s">
        <v>82</v>
      </c>
      <c r="AH136" s="33">
        <v>1</v>
      </c>
      <c r="AI136" s="9" t="s">
        <v>82</v>
      </c>
      <c r="AJ136" s="9" t="s">
        <v>82</v>
      </c>
      <c r="AK136" s="16"/>
      <c r="AL136" s="14">
        <f>SUM(AF136:AK136)</f>
        <v>1</v>
      </c>
      <c r="AM136" s="40">
        <f>AL136/AL140</f>
        <v>0.2</v>
      </c>
      <c r="AN136" s="13"/>
      <c r="AO136" s="9" t="s">
        <v>82</v>
      </c>
      <c r="AP136" s="9" t="s">
        <v>82</v>
      </c>
      <c r="AQ136" s="9" t="s">
        <v>82</v>
      </c>
      <c r="AR136" s="9" t="s">
        <v>82</v>
      </c>
      <c r="AS136" s="33">
        <v>1</v>
      </c>
      <c r="AT136" s="9" t="s">
        <v>82</v>
      </c>
      <c r="AU136" s="14">
        <f>SUM(AO136:AT136)</f>
        <v>1</v>
      </c>
      <c r="AV136" s="40">
        <f>AU136/AU140</f>
        <v>0.125</v>
      </c>
      <c r="AW136" s="13"/>
      <c r="AX136" s="9" t="s">
        <v>82</v>
      </c>
      <c r="AY136" s="9" t="s">
        <v>82</v>
      </c>
      <c r="AZ136" s="33">
        <v>0</v>
      </c>
      <c r="BA136" s="9" t="s">
        <v>82</v>
      </c>
      <c r="BB136" s="16"/>
      <c r="BC136" s="14">
        <f>SUM(AX136:BB136)</f>
        <v>0</v>
      </c>
      <c r="BD136" s="40">
        <f>BC136/BC140</f>
        <v>0</v>
      </c>
      <c r="BE136" s="13"/>
      <c r="BF136" s="9" t="s">
        <v>59</v>
      </c>
      <c r="BG136" s="15"/>
      <c r="BH136" s="16"/>
      <c r="BI136" s="15"/>
    </row>
    <row r="137" spans="1:61" ht="20.75" customHeight="1">
      <c r="A137" s="10" t="s">
        <v>112</v>
      </c>
      <c r="B137" s="32">
        <v>10</v>
      </c>
      <c r="C137" s="32" t="s">
        <v>59</v>
      </c>
      <c r="D137" s="32" t="s">
        <v>59</v>
      </c>
      <c r="E137" s="32" t="s">
        <v>59</v>
      </c>
      <c r="F137" s="32" t="s">
        <v>59</v>
      </c>
      <c r="G137" s="33">
        <v>6</v>
      </c>
      <c r="H137" s="33" t="s">
        <v>59</v>
      </c>
      <c r="I137" s="33" t="s">
        <v>59</v>
      </c>
      <c r="J137" s="33" t="s">
        <v>59</v>
      </c>
      <c r="K137" s="23">
        <f>SUM(B137:J137)</f>
        <v>16</v>
      </c>
      <c r="L137" s="35">
        <f>K137/K140</f>
        <v>0.36363636363636365</v>
      </c>
      <c r="M137" s="35">
        <f>K137/K143</f>
        <v>0.35555555555555557</v>
      </c>
      <c r="N137" s="37"/>
      <c r="O137" s="35"/>
      <c r="P137" s="13"/>
      <c r="Q137" s="9" t="s">
        <v>82</v>
      </c>
      <c r="R137" s="9" t="s">
        <v>82</v>
      </c>
      <c r="S137" s="16"/>
      <c r="T137" s="14">
        <f>SUM(Q137:S137)</f>
        <v>0</v>
      </c>
      <c r="U137" s="40"/>
      <c r="V137" s="13"/>
      <c r="W137" s="9" t="s">
        <v>82</v>
      </c>
      <c r="X137" s="9" t="s">
        <v>82</v>
      </c>
      <c r="Y137" s="9" t="s">
        <v>82</v>
      </c>
      <c r="Z137" s="33">
        <v>0</v>
      </c>
      <c r="AA137" s="9" t="s">
        <v>82</v>
      </c>
      <c r="AB137" s="9" t="s">
        <v>82</v>
      </c>
      <c r="AC137" s="14">
        <f>SUM(W137:AB137)</f>
        <v>0</v>
      </c>
      <c r="AD137" s="40">
        <f>AC137/AC140</f>
        <v>0</v>
      </c>
      <c r="AE137" s="13"/>
      <c r="AF137" s="9" t="s">
        <v>82</v>
      </c>
      <c r="AG137" s="9" t="s">
        <v>82</v>
      </c>
      <c r="AH137" s="33">
        <v>0</v>
      </c>
      <c r="AI137" s="9" t="s">
        <v>82</v>
      </c>
      <c r="AJ137" s="9" t="s">
        <v>82</v>
      </c>
      <c r="AK137" s="16"/>
      <c r="AL137" s="14">
        <f>SUM(AF137:AK137)</f>
        <v>0</v>
      </c>
      <c r="AM137" s="40">
        <f>AL137/AL140</f>
        <v>0</v>
      </c>
      <c r="AN137" s="13"/>
      <c r="AO137" s="9" t="s">
        <v>82</v>
      </c>
      <c r="AP137" s="9" t="s">
        <v>82</v>
      </c>
      <c r="AQ137" s="9" t="s">
        <v>82</v>
      </c>
      <c r="AR137" s="9" t="s">
        <v>82</v>
      </c>
      <c r="AS137" s="33">
        <v>5</v>
      </c>
      <c r="AT137" s="9" t="s">
        <v>82</v>
      </c>
      <c r="AU137" s="14">
        <f>SUM(AO137:AT137)</f>
        <v>5</v>
      </c>
      <c r="AV137" s="40">
        <f>AU137/AU140</f>
        <v>0.625</v>
      </c>
      <c r="AW137" s="13"/>
      <c r="AX137" s="9" t="s">
        <v>82</v>
      </c>
      <c r="AY137" s="9" t="s">
        <v>82</v>
      </c>
      <c r="AZ137" s="33">
        <v>1</v>
      </c>
      <c r="BA137" s="9" t="s">
        <v>82</v>
      </c>
      <c r="BB137" s="16"/>
      <c r="BC137" s="14">
        <f>SUM(AX137:BB137)</f>
        <v>1</v>
      </c>
      <c r="BD137" s="40">
        <f>BC137/BC140</f>
        <v>0.5</v>
      </c>
      <c r="BE137" s="13"/>
      <c r="BF137" s="9" t="s">
        <v>59</v>
      </c>
      <c r="BG137" s="15"/>
      <c r="BH137" s="16"/>
      <c r="BI137" s="15"/>
    </row>
    <row r="138" spans="1:61" ht="20.75" customHeight="1">
      <c r="A138" s="10" t="s">
        <v>113</v>
      </c>
      <c r="B138" s="32">
        <v>12</v>
      </c>
      <c r="C138" s="32" t="s">
        <v>59</v>
      </c>
      <c r="D138" s="32" t="s">
        <v>59</v>
      </c>
      <c r="E138" s="32" t="s">
        <v>59</v>
      </c>
      <c r="F138" s="32" t="s">
        <v>59</v>
      </c>
      <c r="G138" s="33">
        <v>7</v>
      </c>
      <c r="H138" s="33" t="s">
        <v>59</v>
      </c>
      <c r="I138" s="33" t="s">
        <v>59</v>
      </c>
      <c r="J138" s="33" t="s">
        <v>59</v>
      </c>
      <c r="K138" s="23">
        <f>SUM(B138:J138)</f>
        <v>19</v>
      </c>
      <c r="L138" s="35">
        <f>K138/K140</f>
        <v>0.43181818181818182</v>
      </c>
      <c r="M138" s="35">
        <f>K138/K143</f>
        <v>0.42222222222222222</v>
      </c>
      <c r="N138" s="37"/>
      <c r="O138" s="35"/>
      <c r="P138" s="13"/>
      <c r="Q138" s="9" t="s">
        <v>82</v>
      </c>
      <c r="R138" s="9" t="s">
        <v>82</v>
      </c>
      <c r="S138" s="16"/>
      <c r="T138" s="14">
        <f>SUM(Q138:S138)</f>
        <v>0</v>
      </c>
      <c r="U138" s="40"/>
      <c r="V138" s="13"/>
      <c r="W138" s="9" t="s">
        <v>82</v>
      </c>
      <c r="X138" s="9" t="s">
        <v>82</v>
      </c>
      <c r="Y138" s="9" t="s">
        <v>82</v>
      </c>
      <c r="Z138" s="33">
        <v>2</v>
      </c>
      <c r="AA138" s="9" t="s">
        <v>82</v>
      </c>
      <c r="AB138" s="9" t="s">
        <v>82</v>
      </c>
      <c r="AC138" s="14">
        <f>SUM(W138:AB138)</f>
        <v>2</v>
      </c>
      <c r="AD138" s="40">
        <f>AC138/AC140</f>
        <v>1</v>
      </c>
      <c r="AE138" s="13"/>
      <c r="AF138" s="9" t="s">
        <v>82</v>
      </c>
      <c r="AG138" s="9" t="s">
        <v>82</v>
      </c>
      <c r="AH138" s="33">
        <v>3</v>
      </c>
      <c r="AI138" s="9" t="s">
        <v>82</v>
      </c>
      <c r="AJ138" s="9" t="s">
        <v>82</v>
      </c>
      <c r="AK138" s="16"/>
      <c r="AL138" s="14">
        <f>SUM(AF138:AK138)</f>
        <v>3</v>
      </c>
      <c r="AM138" s="40">
        <f>AL138/AL140</f>
        <v>0.6</v>
      </c>
      <c r="AN138" s="13"/>
      <c r="AO138" s="9" t="s">
        <v>82</v>
      </c>
      <c r="AP138" s="9" t="s">
        <v>82</v>
      </c>
      <c r="AQ138" s="9" t="s">
        <v>82</v>
      </c>
      <c r="AR138" s="9" t="s">
        <v>82</v>
      </c>
      <c r="AS138" s="33">
        <v>2</v>
      </c>
      <c r="AT138" s="9" t="s">
        <v>82</v>
      </c>
      <c r="AU138" s="14">
        <f>SUM(AO138:AT138)</f>
        <v>2</v>
      </c>
      <c r="AV138" s="40">
        <f>AU138/AU140</f>
        <v>0.25</v>
      </c>
      <c r="AW138" s="13"/>
      <c r="AX138" s="9" t="s">
        <v>82</v>
      </c>
      <c r="AY138" s="9" t="s">
        <v>82</v>
      </c>
      <c r="AZ138" s="33">
        <v>0</v>
      </c>
      <c r="BA138" s="9" t="s">
        <v>82</v>
      </c>
      <c r="BB138" s="16"/>
      <c r="BC138" s="14">
        <f>SUM(AX138:BB138)</f>
        <v>0</v>
      </c>
      <c r="BD138" s="40">
        <f>BC138/BC140</f>
        <v>0</v>
      </c>
      <c r="BE138" s="13"/>
      <c r="BF138" s="9" t="s">
        <v>59</v>
      </c>
      <c r="BG138" s="15"/>
      <c r="BH138" s="16"/>
      <c r="BI138" s="15"/>
    </row>
    <row r="139" spans="1:61" ht="20.75" customHeight="1">
      <c r="A139" s="10" t="s">
        <v>114</v>
      </c>
      <c r="B139" s="32">
        <v>3</v>
      </c>
      <c r="C139" s="32" t="s">
        <v>59</v>
      </c>
      <c r="D139" s="32" t="s">
        <v>59</v>
      </c>
      <c r="E139" s="32" t="s">
        <v>59</v>
      </c>
      <c r="F139" s="32" t="s">
        <v>59</v>
      </c>
      <c r="G139" s="33">
        <v>2</v>
      </c>
      <c r="H139" s="33" t="s">
        <v>59</v>
      </c>
      <c r="I139" s="33" t="s">
        <v>59</v>
      </c>
      <c r="J139" s="33" t="s">
        <v>59</v>
      </c>
      <c r="K139" s="23">
        <f>SUM(B139:J139)</f>
        <v>5</v>
      </c>
      <c r="L139" s="35">
        <f>K139/K140</f>
        <v>0.11363636363636363</v>
      </c>
      <c r="M139" s="35">
        <f>K139/K143</f>
        <v>0.1111111111111111</v>
      </c>
      <c r="N139" s="37"/>
      <c r="O139" s="35"/>
      <c r="P139" s="13"/>
      <c r="Q139" s="9" t="s">
        <v>82</v>
      </c>
      <c r="R139" s="9" t="s">
        <v>82</v>
      </c>
      <c r="S139" s="16"/>
      <c r="T139" s="14">
        <f>SUM(Q139:S139)</f>
        <v>0</v>
      </c>
      <c r="U139" s="40"/>
      <c r="V139" s="13"/>
      <c r="W139" s="9" t="s">
        <v>82</v>
      </c>
      <c r="X139" s="9" t="s">
        <v>82</v>
      </c>
      <c r="Y139" s="9" t="s">
        <v>82</v>
      </c>
      <c r="Z139" s="33">
        <v>0</v>
      </c>
      <c r="AA139" s="9" t="s">
        <v>82</v>
      </c>
      <c r="AB139" s="9" t="s">
        <v>82</v>
      </c>
      <c r="AC139" s="14">
        <f>SUM(W139:AB139)</f>
        <v>0</v>
      </c>
      <c r="AD139" s="40">
        <f>AC139/AC140</f>
        <v>0</v>
      </c>
      <c r="AE139" s="13"/>
      <c r="AF139" s="9" t="s">
        <v>82</v>
      </c>
      <c r="AG139" s="9" t="s">
        <v>82</v>
      </c>
      <c r="AH139" s="33">
        <v>1</v>
      </c>
      <c r="AI139" s="9" t="s">
        <v>82</v>
      </c>
      <c r="AJ139" s="9" t="s">
        <v>82</v>
      </c>
      <c r="AK139" s="16"/>
      <c r="AL139" s="14">
        <f>SUM(AF139:AK139)</f>
        <v>1</v>
      </c>
      <c r="AM139" s="40">
        <f>AL139/AL140</f>
        <v>0.2</v>
      </c>
      <c r="AN139" s="13"/>
      <c r="AO139" s="9" t="s">
        <v>82</v>
      </c>
      <c r="AP139" s="9" t="s">
        <v>82</v>
      </c>
      <c r="AQ139" s="9" t="s">
        <v>82</v>
      </c>
      <c r="AR139" s="9" t="s">
        <v>82</v>
      </c>
      <c r="AS139" s="33">
        <v>0</v>
      </c>
      <c r="AT139" s="9" t="s">
        <v>82</v>
      </c>
      <c r="AU139" s="14">
        <f>SUM(AO139:AT139)</f>
        <v>0</v>
      </c>
      <c r="AV139" s="40">
        <f>AU139/AU140</f>
        <v>0</v>
      </c>
      <c r="AW139" s="13"/>
      <c r="AX139" s="9" t="s">
        <v>82</v>
      </c>
      <c r="AY139" s="9" t="s">
        <v>82</v>
      </c>
      <c r="AZ139" s="33">
        <v>1</v>
      </c>
      <c r="BA139" s="9" t="s">
        <v>82</v>
      </c>
      <c r="BB139" s="16"/>
      <c r="BC139" s="14">
        <f>SUM(AX139:BB139)</f>
        <v>1</v>
      </c>
      <c r="BD139" s="40">
        <f>BC139/BC140</f>
        <v>0.5</v>
      </c>
      <c r="BE139" s="13"/>
      <c r="BF139" s="9" t="s">
        <v>59</v>
      </c>
      <c r="BG139" s="15"/>
      <c r="BH139" s="16"/>
      <c r="BI139" s="15"/>
    </row>
    <row r="140" spans="1:61" ht="21.75" customHeight="1">
      <c r="A140" s="10" t="s">
        <v>9</v>
      </c>
      <c r="B140" s="32">
        <f>SUM(B134:B139)</f>
        <v>27</v>
      </c>
      <c r="C140" s="32" t="s">
        <v>59</v>
      </c>
      <c r="D140" s="32" t="s">
        <v>59</v>
      </c>
      <c r="E140" s="32" t="s">
        <v>59</v>
      </c>
      <c r="F140" s="32" t="s">
        <v>59</v>
      </c>
      <c r="G140" s="32">
        <f>SUM(G134:G139)</f>
        <v>17</v>
      </c>
      <c r="H140" s="33" t="s">
        <v>59</v>
      </c>
      <c r="I140" s="33" t="s">
        <v>59</v>
      </c>
      <c r="J140" s="33" t="s">
        <v>59</v>
      </c>
      <c r="K140" s="37">
        <f>SUM(K134:K139)</f>
        <v>44</v>
      </c>
      <c r="L140" s="35">
        <f>SUM(L134:L139)</f>
        <v>1</v>
      </c>
      <c r="M140" s="35">
        <f>K140/K143</f>
        <v>0.97777777777777775</v>
      </c>
      <c r="N140" s="37">
        <f>T140+AC140+AL140+AU140</f>
        <v>15</v>
      </c>
      <c r="O140" s="35">
        <f>N140/K140</f>
        <v>0.34090909090909088</v>
      </c>
      <c r="P140" s="13">
        <f>SUM(P134:P139)</f>
        <v>0</v>
      </c>
      <c r="Q140" s="45">
        <f>SUM(Q134:Q139)</f>
        <v>0</v>
      </c>
      <c r="R140" s="46">
        <f>SUM(R134:R139)</f>
        <v>0</v>
      </c>
      <c r="S140" s="46">
        <f>SUM(S134:S139)</f>
        <v>0</v>
      </c>
      <c r="T140" s="14">
        <f>SUM(T135:T139)</f>
        <v>0</v>
      </c>
      <c r="U140" s="40">
        <f>SUM(U134:U139)</f>
        <v>0</v>
      </c>
      <c r="V140" s="13">
        <f>SUM(V134:V139)</f>
        <v>0</v>
      </c>
      <c r="W140" s="45">
        <f t="shared" ref="W140:AB140" si="82">SUM(W136:W139)</f>
        <v>0</v>
      </c>
      <c r="X140" s="45">
        <f t="shared" si="82"/>
        <v>0</v>
      </c>
      <c r="Y140" s="45">
        <f t="shared" si="82"/>
        <v>0</v>
      </c>
      <c r="Z140" s="45">
        <f t="shared" si="82"/>
        <v>2</v>
      </c>
      <c r="AA140" s="45">
        <f t="shared" si="82"/>
        <v>0</v>
      </c>
      <c r="AB140" s="45">
        <f t="shared" si="82"/>
        <v>0</v>
      </c>
      <c r="AC140" s="45">
        <f t="shared" ref="AC140:BE140" si="83">SUM(AC134:AC139)</f>
        <v>2</v>
      </c>
      <c r="AD140" s="40">
        <f t="shared" si="83"/>
        <v>1</v>
      </c>
      <c r="AE140" s="13">
        <f t="shared" si="83"/>
        <v>0</v>
      </c>
      <c r="AF140" s="45">
        <f t="shared" si="83"/>
        <v>0</v>
      </c>
      <c r="AG140" s="45">
        <f t="shared" si="83"/>
        <v>0</v>
      </c>
      <c r="AH140" s="45">
        <f t="shared" si="83"/>
        <v>5</v>
      </c>
      <c r="AI140" s="45">
        <f t="shared" si="83"/>
        <v>0</v>
      </c>
      <c r="AJ140" s="45">
        <f t="shared" si="83"/>
        <v>0</v>
      </c>
      <c r="AK140" s="45">
        <f t="shared" si="83"/>
        <v>0</v>
      </c>
      <c r="AL140" s="45">
        <f t="shared" si="83"/>
        <v>5</v>
      </c>
      <c r="AM140" s="40">
        <f t="shared" si="83"/>
        <v>1</v>
      </c>
      <c r="AN140" s="13">
        <f t="shared" si="83"/>
        <v>0</v>
      </c>
      <c r="AO140" s="45">
        <f t="shared" si="83"/>
        <v>0</v>
      </c>
      <c r="AP140" s="45">
        <f t="shared" si="83"/>
        <v>0</v>
      </c>
      <c r="AQ140" s="45">
        <f t="shared" si="83"/>
        <v>0</v>
      </c>
      <c r="AR140" s="45">
        <f t="shared" si="83"/>
        <v>0</v>
      </c>
      <c r="AS140" s="45">
        <f t="shared" si="83"/>
        <v>8</v>
      </c>
      <c r="AT140" s="45">
        <f t="shared" si="83"/>
        <v>0</v>
      </c>
      <c r="AU140" s="45">
        <f t="shared" si="83"/>
        <v>8</v>
      </c>
      <c r="AV140" s="40">
        <f t="shared" si="83"/>
        <v>1</v>
      </c>
      <c r="AW140" s="13">
        <f t="shared" si="83"/>
        <v>0</v>
      </c>
      <c r="AX140" s="45">
        <f t="shared" si="83"/>
        <v>0</v>
      </c>
      <c r="AY140" s="45">
        <f t="shared" si="83"/>
        <v>0</v>
      </c>
      <c r="AZ140" s="45">
        <f t="shared" si="83"/>
        <v>2</v>
      </c>
      <c r="BA140" s="45">
        <f t="shared" si="83"/>
        <v>0</v>
      </c>
      <c r="BB140" s="45">
        <f t="shared" si="83"/>
        <v>0</v>
      </c>
      <c r="BC140" s="45">
        <f t="shared" si="83"/>
        <v>2</v>
      </c>
      <c r="BD140" s="40">
        <f t="shared" si="83"/>
        <v>1</v>
      </c>
      <c r="BE140" s="13">
        <f t="shared" si="83"/>
        <v>0</v>
      </c>
      <c r="BF140" s="14"/>
      <c r="BG140" s="15"/>
      <c r="BH140" s="16"/>
      <c r="BI140" s="15"/>
    </row>
    <row r="141" spans="1:61" ht="21.75" customHeight="1">
      <c r="A141" s="8" t="s">
        <v>64</v>
      </c>
      <c r="B141" s="32">
        <v>0</v>
      </c>
      <c r="C141" s="32" t="s">
        <v>59</v>
      </c>
      <c r="D141" s="32" t="s">
        <v>59</v>
      </c>
      <c r="E141" s="32" t="s">
        <v>59</v>
      </c>
      <c r="F141" s="32" t="s">
        <v>59</v>
      </c>
      <c r="G141" s="32">
        <v>1</v>
      </c>
      <c r="H141" s="33" t="s">
        <v>59</v>
      </c>
      <c r="I141" s="33" t="s">
        <v>59</v>
      </c>
      <c r="J141" s="33" t="s">
        <v>59</v>
      </c>
      <c r="K141" s="23">
        <f>SUM(B141:J141)</f>
        <v>1</v>
      </c>
      <c r="L141" s="35">
        <f>K141/(K140+K141+K142)</f>
        <v>2.2222222222222223E-2</v>
      </c>
      <c r="M141" s="35">
        <f>K141/(K143)</f>
        <v>2.2222222222222223E-2</v>
      </c>
      <c r="N141" s="12"/>
      <c r="O141" s="35"/>
      <c r="P141" s="13"/>
      <c r="Q141" s="58" t="s">
        <v>82</v>
      </c>
      <c r="R141" s="59" t="s">
        <v>82</v>
      </c>
      <c r="S141" s="60"/>
      <c r="T141" s="38">
        <f>SUM(Q141:S141)</f>
        <v>0</v>
      </c>
      <c r="U141" s="15" t="e">
        <f>T141/T143</f>
        <v>#DIV/0!</v>
      </c>
      <c r="V141" s="13"/>
      <c r="W141" s="58" t="s">
        <v>82</v>
      </c>
      <c r="X141" s="58" t="s">
        <v>82</v>
      </c>
      <c r="Y141" s="58" t="s">
        <v>82</v>
      </c>
      <c r="Z141" s="49">
        <v>1</v>
      </c>
      <c r="AA141" s="58" t="s">
        <v>82</v>
      </c>
      <c r="AB141" s="58" t="s">
        <v>82</v>
      </c>
      <c r="AC141" s="51">
        <f>SUM(W141:AB141)</f>
        <v>1</v>
      </c>
      <c r="AD141" s="15">
        <f>AC141/AC143</f>
        <v>0.33333333333333331</v>
      </c>
      <c r="AE141" s="13"/>
      <c r="AF141" s="58" t="s">
        <v>82</v>
      </c>
      <c r="AG141" s="58" t="s">
        <v>82</v>
      </c>
      <c r="AH141" s="49">
        <v>0</v>
      </c>
      <c r="AI141" s="58" t="s">
        <v>82</v>
      </c>
      <c r="AJ141" s="58" t="s">
        <v>82</v>
      </c>
      <c r="AK141" s="61"/>
      <c r="AL141" s="49">
        <f>SUM(AF141:AK141)</f>
        <v>0</v>
      </c>
      <c r="AM141" s="15">
        <f>AL141/AL143</f>
        <v>0</v>
      </c>
      <c r="AN141" s="13"/>
      <c r="AO141" s="58" t="s">
        <v>82</v>
      </c>
      <c r="AP141" s="58" t="s">
        <v>82</v>
      </c>
      <c r="AQ141" s="58" t="s">
        <v>82</v>
      </c>
      <c r="AR141" s="58" t="s">
        <v>82</v>
      </c>
      <c r="AS141" s="49">
        <v>0</v>
      </c>
      <c r="AT141" s="49"/>
      <c r="AU141" s="51">
        <f>SUM(AO141:AT141)</f>
        <v>0</v>
      </c>
      <c r="AV141" s="15">
        <f>AU141/AU143</f>
        <v>0</v>
      </c>
      <c r="AW141" s="13"/>
      <c r="AX141" s="58" t="s">
        <v>82</v>
      </c>
      <c r="AY141" s="58" t="s">
        <v>82</v>
      </c>
      <c r="AZ141" s="49">
        <v>0</v>
      </c>
      <c r="BA141" s="49"/>
      <c r="BB141" s="49"/>
      <c r="BC141" s="51">
        <f>SUM(AX141:BB141)</f>
        <v>0</v>
      </c>
      <c r="BD141" s="15">
        <f>BC141/BC143</f>
        <v>0</v>
      </c>
      <c r="BE141" s="13"/>
      <c r="BF141" s="38"/>
      <c r="BG141" s="42"/>
      <c r="BH141" s="42"/>
      <c r="BI141" s="42"/>
    </row>
    <row r="142" spans="1:61" ht="20.25" customHeight="1">
      <c r="A142" s="8" t="s">
        <v>65</v>
      </c>
      <c r="B142" s="32">
        <v>0</v>
      </c>
      <c r="C142" s="32" t="s">
        <v>59</v>
      </c>
      <c r="D142" s="32" t="s">
        <v>59</v>
      </c>
      <c r="E142" s="32" t="s">
        <v>59</v>
      </c>
      <c r="F142" s="32" t="s">
        <v>59</v>
      </c>
      <c r="G142" s="32">
        <v>0</v>
      </c>
      <c r="H142" s="33" t="s">
        <v>59</v>
      </c>
      <c r="I142" s="33" t="s">
        <v>59</v>
      </c>
      <c r="J142" s="33" t="s">
        <v>59</v>
      </c>
      <c r="K142" s="23">
        <f>SUM(B142:J142)</f>
        <v>0</v>
      </c>
      <c r="L142" s="35">
        <f>K142/(K141+K142+K140)</f>
        <v>0</v>
      </c>
      <c r="M142" s="35">
        <f>K142/(K143)</f>
        <v>0</v>
      </c>
      <c r="N142" s="12"/>
      <c r="O142" s="35"/>
      <c r="P142" s="13"/>
      <c r="Q142" s="9" t="s">
        <v>82</v>
      </c>
      <c r="R142" s="9" t="s">
        <v>82</v>
      </c>
      <c r="S142" s="16"/>
      <c r="T142" s="38">
        <f>SUM(Q142:S142)</f>
        <v>0</v>
      </c>
      <c r="U142" s="15" t="e">
        <f>T142/T143</f>
        <v>#DIV/0!</v>
      </c>
      <c r="V142" s="13"/>
      <c r="W142" s="9" t="s">
        <v>82</v>
      </c>
      <c r="X142" s="9" t="s">
        <v>82</v>
      </c>
      <c r="Y142" s="9" t="s">
        <v>82</v>
      </c>
      <c r="Z142" s="14">
        <v>0</v>
      </c>
      <c r="AA142" s="9" t="s">
        <v>82</v>
      </c>
      <c r="AB142" s="9" t="s">
        <v>82</v>
      </c>
      <c r="AC142" s="38">
        <f>SUM(W142:AB142)</f>
        <v>0</v>
      </c>
      <c r="AD142" s="15">
        <f>AC142/AC143</f>
        <v>0</v>
      </c>
      <c r="AE142" s="13"/>
      <c r="AF142" s="9" t="s">
        <v>82</v>
      </c>
      <c r="AG142" s="9" t="s">
        <v>82</v>
      </c>
      <c r="AH142" s="14">
        <v>0</v>
      </c>
      <c r="AI142" s="9" t="s">
        <v>82</v>
      </c>
      <c r="AJ142" s="9" t="s">
        <v>82</v>
      </c>
      <c r="AK142" s="16"/>
      <c r="AL142" s="14">
        <f>SUM(AF142:AK142)</f>
        <v>0</v>
      </c>
      <c r="AM142" s="15">
        <f>AL142/AL143</f>
        <v>0</v>
      </c>
      <c r="AN142" s="13"/>
      <c r="AO142" s="9" t="s">
        <v>82</v>
      </c>
      <c r="AP142" s="9" t="s">
        <v>82</v>
      </c>
      <c r="AQ142" s="9" t="s">
        <v>82</v>
      </c>
      <c r="AR142" s="9" t="s">
        <v>82</v>
      </c>
      <c r="AS142" s="14">
        <v>0</v>
      </c>
      <c r="AT142" s="14"/>
      <c r="AU142" s="38">
        <f>SUM(AO142:AT142)</f>
        <v>0</v>
      </c>
      <c r="AV142" s="15">
        <f>AU142/AU143</f>
        <v>0</v>
      </c>
      <c r="AW142" s="13"/>
      <c r="AX142" s="9" t="s">
        <v>82</v>
      </c>
      <c r="AY142" s="9" t="s">
        <v>82</v>
      </c>
      <c r="AZ142" s="14">
        <v>0</v>
      </c>
      <c r="BA142" s="14"/>
      <c r="BB142" s="14"/>
      <c r="BC142" s="38">
        <f>SUM(AX142:BB142)</f>
        <v>0</v>
      </c>
      <c r="BD142" s="15">
        <f>BC142/BC143</f>
        <v>0</v>
      </c>
      <c r="BE142" s="13"/>
      <c r="BF142" s="38"/>
      <c r="BG142" s="42"/>
      <c r="BH142" s="42"/>
      <c r="BI142" s="42"/>
    </row>
    <row r="143" spans="1:61" ht="20.25" customHeight="1">
      <c r="A143" s="39" t="s">
        <v>66</v>
      </c>
      <c r="B143" s="32">
        <f>SUM(B140:B142)</f>
        <v>27</v>
      </c>
      <c r="C143" s="32" t="s">
        <v>59</v>
      </c>
      <c r="D143" s="32" t="s">
        <v>59</v>
      </c>
      <c r="E143" s="32" t="s">
        <v>59</v>
      </c>
      <c r="F143" s="32" t="s">
        <v>59</v>
      </c>
      <c r="G143" s="32">
        <f>SUM(G140:G142)</f>
        <v>18</v>
      </c>
      <c r="H143" s="33" t="s">
        <v>59</v>
      </c>
      <c r="I143" s="33" t="s">
        <v>59</v>
      </c>
      <c r="J143" s="33" t="s">
        <v>59</v>
      </c>
      <c r="K143" s="23">
        <f>SUM(B143:J143)</f>
        <v>45</v>
      </c>
      <c r="L143" s="35">
        <f>K143/(K142+K141+K140)</f>
        <v>1</v>
      </c>
      <c r="M143" s="35">
        <f>K143/(K140+K141+K142)</f>
        <v>1</v>
      </c>
      <c r="N143" s="37">
        <f>T143+AC143+AL143+AU143+S144</f>
        <v>16</v>
      </c>
      <c r="O143" s="35">
        <f>N143/K143</f>
        <v>0.35555555555555557</v>
      </c>
      <c r="P143" s="13"/>
      <c r="Q143" s="38">
        <f>SUM(Q140:Q142)</f>
        <v>0</v>
      </c>
      <c r="R143" s="38">
        <f>SUM(R140:R142)</f>
        <v>0</v>
      </c>
      <c r="S143" s="38">
        <f>SUM(S140:S142)</f>
        <v>0</v>
      </c>
      <c r="T143" s="38">
        <f>SUM(Q143:S143)</f>
        <v>0</v>
      </c>
      <c r="U143" s="40" t="e">
        <f>T143/(T140+T141+T142)</f>
        <v>#DIV/0!</v>
      </c>
      <c r="V143" s="13"/>
      <c r="W143" s="38">
        <f t="shared" ref="W143:AB143" si="84">SUM(W140:W142)</f>
        <v>0</v>
      </c>
      <c r="X143" s="38">
        <f t="shared" si="84"/>
        <v>0</v>
      </c>
      <c r="Y143" s="38">
        <f t="shared" si="84"/>
        <v>0</v>
      </c>
      <c r="Z143" s="38">
        <f t="shared" si="84"/>
        <v>3</v>
      </c>
      <c r="AA143" s="38">
        <f t="shared" si="84"/>
        <v>0</v>
      </c>
      <c r="AB143" s="38">
        <f t="shared" si="84"/>
        <v>0</v>
      </c>
      <c r="AC143" s="38">
        <f>SUM(W143:AB143)</f>
        <v>3</v>
      </c>
      <c r="AD143" s="40">
        <f>AC143/(AC140+AC141+AC142)</f>
        <v>1</v>
      </c>
      <c r="AE143" s="13"/>
      <c r="AF143" s="38">
        <f t="shared" ref="AF143:AK143" si="85">SUM(AF140:AF142)</f>
        <v>0</v>
      </c>
      <c r="AG143" s="38">
        <f t="shared" si="85"/>
        <v>0</v>
      </c>
      <c r="AH143" s="38">
        <f t="shared" si="85"/>
        <v>5</v>
      </c>
      <c r="AI143" s="38">
        <f t="shared" si="85"/>
        <v>0</v>
      </c>
      <c r="AJ143" s="38">
        <f t="shared" si="85"/>
        <v>0</v>
      </c>
      <c r="AK143" s="38">
        <f t="shared" si="85"/>
        <v>0</v>
      </c>
      <c r="AL143" s="38">
        <f>SUM(AF143:AK143)</f>
        <v>5</v>
      </c>
      <c r="AM143" s="41">
        <f>AL143/(AL140+AL141+AL142)</f>
        <v>1</v>
      </c>
      <c r="AN143" s="13"/>
      <c r="AO143" s="38">
        <f t="shared" ref="AO143:AT143" si="86">SUM(AO140:AO142)</f>
        <v>0</v>
      </c>
      <c r="AP143" s="38">
        <f t="shared" si="86"/>
        <v>0</v>
      </c>
      <c r="AQ143" s="38">
        <f t="shared" si="86"/>
        <v>0</v>
      </c>
      <c r="AR143" s="38">
        <f t="shared" si="86"/>
        <v>0</v>
      </c>
      <c r="AS143" s="38">
        <f t="shared" si="86"/>
        <v>8</v>
      </c>
      <c r="AT143" s="38">
        <f t="shared" si="86"/>
        <v>0</v>
      </c>
      <c r="AU143" s="38">
        <f>SUM(AO143:AT143)</f>
        <v>8</v>
      </c>
      <c r="AV143" s="40">
        <f>AU143/(AU140+AU141+AU142)</f>
        <v>1</v>
      </c>
      <c r="AW143" s="13"/>
      <c r="AX143" s="38">
        <f>SUM(AX140:AX142)</f>
        <v>0</v>
      </c>
      <c r="AY143" s="38">
        <f>SUM(AY140:AY142)</f>
        <v>0</v>
      </c>
      <c r="AZ143" s="38">
        <f>SUM(AZ140:AZ142)</f>
        <v>2</v>
      </c>
      <c r="BA143" s="38">
        <f>SUM(BA140:BA142)</f>
        <v>0</v>
      </c>
      <c r="BB143" s="38">
        <f>SUM(BB140:BB142)</f>
        <v>0</v>
      </c>
      <c r="BC143" s="38">
        <f>SUM(AX143:BB143)</f>
        <v>2</v>
      </c>
      <c r="BD143" s="40">
        <f>BC143/(BC140+BC141+BC142)</f>
        <v>1</v>
      </c>
      <c r="BE143" s="13"/>
      <c r="BF143" s="38"/>
      <c r="BG143" s="42"/>
      <c r="BH143" s="42"/>
      <c r="BI143" s="42"/>
    </row>
    <row r="144" spans="1:61" ht="44.25" customHeight="1">
      <c r="A144" s="43" t="s">
        <v>115</v>
      </c>
      <c r="B144" s="181" t="s">
        <v>116</v>
      </c>
      <c r="C144" s="182"/>
      <c r="D144" s="182"/>
      <c r="E144" s="182"/>
      <c r="F144" s="182"/>
      <c r="G144" s="22"/>
      <c r="H144" s="22"/>
      <c r="I144" s="22"/>
      <c r="J144" s="22"/>
      <c r="K144" s="21"/>
      <c r="L144" s="24"/>
      <c r="M144" s="24"/>
      <c r="N144" s="26"/>
      <c r="O144" s="24"/>
      <c r="P144" s="27"/>
      <c r="Q144" s="28"/>
      <c r="R144" s="28"/>
      <c r="S144" s="28"/>
      <c r="T144" s="26"/>
      <c r="U144" s="24"/>
      <c r="V144" s="27"/>
      <c r="W144" s="28"/>
      <c r="X144" s="28"/>
      <c r="Y144" s="28"/>
      <c r="Z144" s="28"/>
      <c r="AA144" s="28"/>
      <c r="AB144" s="28"/>
      <c r="AC144" s="26"/>
      <c r="AD144" s="24"/>
      <c r="AE144" s="27"/>
      <c r="AF144" s="28"/>
      <c r="AG144" s="28"/>
      <c r="AH144" s="28"/>
      <c r="AI144" s="28"/>
      <c r="AJ144" s="28"/>
      <c r="AK144" s="28"/>
      <c r="AL144" s="26"/>
      <c r="AM144" s="29"/>
      <c r="AN144" s="27"/>
      <c r="AO144" s="26"/>
      <c r="AP144" s="26"/>
      <c r="AQ144" s="26"/>
      <c r="AR144" s="26"/>
      <c r="AS144" s="26"/>
      <c r="AT144" s="26"/>
      <c r="AU144" s="26"/>
      <c r="AV144" s="24"/>
      <c r="AW144" s="27"/>
      <c r="AX144" s="26"/>
      <c r="AY144" s="26"/>
      <c r="AZ144" s="26"/>
      <c r="BA144" s="26"/>
      <c r="BB144" s="26"/>
      <c r="BC144" s="26"/>
      <c r="BD144" s="24"/>
      <c r="BE144" s="27"/>
      <c r="BF144" s="26"/>
      <c r="BG144" s="22"/>
      <c r="BH144" s="21"/>
      <c r="BI144" s="22"/>
    </row>
    <row r="145" spans="1:61" ht="32.25" customHeight="1">
      <c r="A145" s="10"/>
      <c r="B145" s="30" t="s">
        <v>0</v>
      </c>
      <c r="C145" s="30" t="s">
        <v>1</v>
      </c>
      <c r="D145" s="30" t="s">
        <v>2</v>
      </c>
      <c r="E145" s="30" t="s">
        <v>3</v>
      </c>
      <c r="F145" s="30" t="s">
        <v>4</v>
      </c>
      <c r="G145" s="30" t="s">
        <v>5</v>
      </c>
      <c r="H145" s="30" t="s">
        <v>68</v>
      </c>
      <c r="I145" s="30" t="s">
        <v>7</v>
      </c>
      <c r="J145" s="30" t="s">
        <v>8</v>
      </c>
      <c r="K145" s="10" t="s">
        <v>9</v>
      </c>
      <c r="L145" s="10" t="s">
        <v>56</v>
      </c>
      <c r="M145" s="20"/>
      <c r="N145" s="12"/>
      <c r="O145" s="20"/>
      <c r="P145" s="27"/>
      <c r="Q145" s="30" t="s">
        <v>15</v>
      </c>
      <c r="R145" s="30" t="s">
        <v>16</v>
      </c>
      <c r="S145" s="30" t="s">
        <v>28</v>
      </c>
      <c r="T145" s="20"/>
      <c r="U145" s="11"/>
      <c r="V145" s="27"/>
      <c r="W145" s="30" t="s">
        <v>15</v>
      </c>
      <c r="X145" s="30" t="s">
        <v>20</v>
      </c>
      <c r="Y145" s="30" t="s">
        <v>21</v>
      </c>
      <c r="Z145" s="30" t="s">
        <v>22</v>
      </c>
      <c r="AA145" s="30" t="s">
        <v>23</v>
      </c>
      <c r="AB145" s="30" t="s">
        <v>24</v>
      </c>
      <c r="AC145" s="20"/>
      <c r="AD145" s="11"/>
      <c r="AE145" s="27"/>
      <c r="AF145" s="30" t="s">
        <v>20</v>
      </c>
      <c r="AG145" s="30" t="s">
        <v>21</v>
      </c>
      <c r="AH145" s="30" t="s">
        <v>22</v>
      </c>
      <c r="AI145" s="30" t="s">
        <v>23</v>
      </c>
      <c r="AJ145" s="30" t="s">
        <v>24</v>
      </c>
      <c r="AK145" s="30" t="s">
        <v>28</v>
      </c>
      <c r="AL145" s="20"/>
      <c r="AM145" s="44"/>
      <c r="AN145" s="27"/>
      <c r="AO145" s="30" t="s">
        <v>15</v>
      </c>
      <c r="AP145" s="30" t="s">
        <v>20</v>
      </c>
      <c r="AQ145" s="30" t="s">
        <v>21</v>
      </c>
      <c r="AR145" s="30" t="s">
        <v>16</v>
      </c>
      <c r="AS145" s="30" t="s">
        <v>22</v>
      </c>
      <c r="AT145" s="30" t="s">
        <v>24</v>
      </c>
      <c r="AU145" s="20"/>
      <c r="AV145" s="11"/>
      <c r="AW145" s="27"/>
      <c r="AX145" s="30" t="s">
        <v>15</v>
      </c>
      <c r="AY145" s="30" t="s">
        <v>20</v>
      </c>
      <c r="AZ145" s="30" t="s">
        <v>22</v>
      </c>
      <c r="BA145" s="30" t="s">
        <v>23</v>
      </c>
      <c r="BB145" s="30" t="s">
        <v>28</v>
      </c>
      <c r="BC145" s="20"/>
      <c r="BD145" s="11"/>
      <c r="BE145" s="27"/>
      <c r="BF145" s="9" t="s">
        <v>80</v>
      </c>
      <c r="BG145" s="16"/>
      <c r="BH145" s="16"/>
      <c r="BI145" s="16"/>
    </row>
    <row r="146" spans="1:61" ht="32.25" customHeight="1">
      <c r="A146" s="10" t="s">
        <v>117</v>
      </c>
      <c r="B146" s="32">
        <v>0</v>
      </c>
      <c r="C146" s="32">
        <v>1</v>
      </c>
      <c r="D146" s="32">
        <v>0</v>
      </c>
      <c r="E146" s="32">
        <v>0</v>
      </c>
      <c r="F146" s="32">
        <v>0</v>
      </c>
      <c r="G146" s="32">
        <v>0</v>
      </c>
      <c r="H146" s="32" t="s">
        <v>59</v>
      </c>
      <c r="I146" s="32">
        <v>2</v>
      </c>
      <c r="J146" s="33">
        <v>0</v>
      </c>
      <c r="K146" s="23">
        <f>SUM(B146:J146)</f>
        <v>3</v>
      </c>
      <c r="L146" s="35">
        <f>K146/K150</f>
        <v>1.948051948051948E-2</v>
      </c>
      <c r="M146" s="35">
        <f>K146/K153</f>
        <v>1.8292682926829267E-2</v>
      </c>
      <c r="N146" s="37"/>
      <c r="O146" s="35"/>
      <c r="P146" s="13"/>
      <c r="Q146" s="33">
        <v>1</v>
      </c>
      <c r="R146" s="9" t="s">
        <v>82</v>
      </c>
      <c r="S146" s="14">
        <v>0</v>
      </c>
      <c r="T146" s="14">
        <f>SUM(Q146:S146)</f>
        <v>1</v>
      </c>
      <c r="U146" s="40">
        <f>T146/T150</f>
        <v>9.0909090909090912E-2</v>
      </c>
      <c r="V146" s="13"/>
      <c r="W146" s="33">
        <v>0</v>
      </c>
      <c r="X146" s="33">
        <v>0</v>
      </c>
      <c r="Y146" s="33">
        <v>0</v>
      </c>
      <c r="Z146" s="33">
        <v>0</v>
      </c>
      <c r="AA146" s="33">
        <v>0</v>
      </c>
      <c r="AB146" s="33">
        <v>0</v>
      </c>
      <c r="AC146" s="14">
        <f>SUM(W146:AB146)</f>
        <v>0</v>
      </c>
      <c r="AD146" s="40">
        <f>AC146/AC150</f>
        <v>0</v>
      </c>
      <c r="AE146" s="13"/>
      <c r="AF146" s="33">
        <v>0</v>
      </c>
      <c r="AG146" s="33">
        <v>0</v>
      </c>
      <c r="AH146" s="33">
        <v>0</v>
      </c>
      <c r="AI146" s="33">
        <v>0</v>
      </c>
      <c r="AJ146" s="33">
        <v>1</v>
      </c>
      <c r="AK146" s="33">
        <v>0</v>
      </c>
      <c r="AL146" s="14">
        <f>SUM(AF146:AK146)</f>
        <v>1</v>
      </c>
      <c r="AM146" s="40">
        <f>AL146/AL150</f>
        <v>2.0833333333333332E-2</v>
      </c>
      <c r="AN146" s="13"/>
      <c r="AO146" s="33">
        <v>1</v>
      </c>
      <c r="AP146" s="33">
        <v>0</v>
      </c>
      <c r="AQ146" s="33">
        <v>0</v>
      </c>
      <c r="AR146" s="33" t="s">
        <v>82</v>
      </c>
      <c r="AS146" s="33">
        <v>0</v>
      </c>
      <c r="AT146" s="33">
        <v>0</v>
      </c>
      <c r="AU146" s="14">
        <f>SUM(AO146:AT146)</f>
        <v>1</v>
      </c>
      <c r="AV146" s="40">
        <f>AU146/AU150</f>
        <v>0.05</v>
      </c>
      <c r="AW146" s="13"/>
      <c r="AX146" s="33">
        <v>0</v>
      </c>
      <c r="AY146" s="33">
        <v>0</v>
      </c>
      <c r="AZ146" s="33">
        <v>0</v>
      </c>
      <c r="BA146" s="33">
        <v>0</v>
      </c>
      <c r="BB146" s="33">
        <v>0</v>
      </c>
      <c r="BC146" s="14">
        <f>SUM(AX146:BB146)</f>
        <v>0</v>
      </c>
      <c r="BD146" s="40">
        <f>BC146/BC150</f>
        <v>0</v>
      </c>
      <c r="BE146" s="13"/>
      <c r="BF146" s="9" t="s">
        <v>59</v>
      </c>
      <c r="BG146" s="15"/>
      <c r="BH146" s="16"/>
      <c r="BI146" s="15"/>
    </row>
    <row r="147" spans="1:61" ht="32.25" customHeight="1">
      <c r="A147" s="10" t="s">
        <v>118</v>
      </c>
      <c r="B147" s="32" t="s">
        <v>82</v>
      </c>
      <c r="C147" s="32">
        <v>4</v>
      </c>
      <c r="D147" s="32">
        <v>14</v>
      </c>
      <c r="E147" s="32">
        <v>7</v>
      </c>
      <c r="F147" s="32">
        <v>13</v>
      </c>
      <c r="G147" s="32">
        <v>3</v>
      </c>
      <c r="H147" s="32" t="s">
        <v>59</v>
      </c>
      <c r="I147" s="32">
        <v>12</v>
      </c>
      <c r="J147" s="33">
        <v>13</v>
      </c>
      <c r="K147" s="23">
        <f>SUM(B147:J147)</f>
        <v>66</v>
      </c>
      <c r="L147" s="35">
        <f>K147/K150</f>
        <v>0.42857142857142855</v>
      </c>
      <c r="M147" s="35">
        <f>K147/K153</f>
        <v>0.40243902439024393</v>
      </c>
      <c r="N147" s="37"/>
      <c r="O147" s="35"/>
      <c r="P147" s="13"/>
      <c r="Q147" s="33">
        <v>4</v>
      </c>
      <c r="R147" s="9" t="s">
        <v>82</v>
      </c>
      <c r="S147" s="14">
        <v>1</v>
      </c>
      <c r="T147" s="14">
        <f>SUM(Q147:S147)</f>
        <v>5</v>
      </c>
      <c r="U147" s="40">
        <f>T147/T150</f>
        <v>0.45454545454545453</v>
      </c>
      <c r="V147" s="13"/>
      <c r="W147" s="33">
        <v>8</v>
      </c>
      <c r="X147" s="33">
        <v>4</v>
      </c>
      <c r="Y147" s="33">
        <v>8</v>
      </c>
      <c r="Z147" s="33">
        <v>1</v>
      </c>
      <c r="AA147" s="33">
        <v>5</v>
      </c>
      <c r="AB147" s="33">
        <v>0</v>
      </c>
      <c r="AC147" s="14">
        <f>SUM(W147:AB147)</f>
        <v>26</v>
      </c>
      <c r="AD147" s="40">
        <f>AC147/AC150</f>
        <v>0.60465116279069764</v>
      </c>
      <c r="AE147" s="13"/>
      <c r="AF147" s="33">
        <v>7</v>
      </c>
      <c r="AG147" s="33">
        <v>6</v>
      </c>
      <c r="AH147" s="33">
        <v>1</v>
      </c>
      <c r="AI147" s="33">
        <v>2</v>
      </c>
      <c r="AJ147" s="33">
        <v>0</v>
      </c>
      <c r="AK147" s="33">
        <v>9</v>
      </c>
      <c r="AL147" s="14">
        <f>SUM(AF147:AK147)</f>
        <v>25</v>
      </c>
      <c r="AM147" s="40">
        <f>AL147/AL150</f>
        <v>0.52083333333333337</v>
      </c>
      <c r="AN147" s="13"/>
      <c r="AO147" s="33">
        <v>0</v>
      </c>
      <c r="AP147" s="33">
        <v>1</v>
      </c>
      <c r="AQ147" s="33">
        <v>0</v>
      </c>
      <c r="AR147" s="33" t="s">
        <v>82</v>
      </c>
      <c r="AS147" s="33">
        <v>1</v>
      </c>
      <c r="AT147" s="33">
        <v>4</v>
      </c>
      <c r="AU147" s="14">
        <f>SUM(AO147:AT147)</f>
        <v>6</v>
      </c>
      <c r="AV147" s="40">
        <f>AU147/AU150</f>
        <v>0.3</v>
      </c>
      <c r="AW147" s="13"/>
      <c r="AX147" s="33">
        <v>0</v>
      </c>
      <c r="AY147" s="33">
        <v>1</v>
      </c>
      <c r="AZ147" s="33">
        <v>0</v>
      </c>
      <c r="BA147" s="33">
        <v>0</v>
      </c>
      <c r="BB147" s="33">
        <v>3</v>
      </c>
      <c r="BC147" s="14">
        <f>SUM(AX147:BB147)</f>
        <v>4</v>
      </c>
      <c r="BD147" s="40">
        <f>BC147/BC150</f>
        <v>0.5</v>
      </c>
      <c r="BE147" s="13"/>
      <c r="BF147" s="9" t="s">
        <v>59</v>
      </c>
      <c r="BG147" s="15"/>
      <c r="BH147" s="16"/>
      <c r="BI147" s="15"/>
    </row>
    <row r="148" spans="1:61" ht="32.25" customHeight="1">
      <c r="A148" s="10" t="s">
        <v>119</v>
      </c>
      <c r="B148" s="32">
        <v>15</v>
      </c>
      <c r="C148" s="32">
        <v>2</v>
      </c>
      <c r="D148" s="32">
        <v>10</v>
      </c>
      <c r="E148" s="32">
        <v>7</v>
      </c>
      <c r="F148" s="32">
        <v>8</v>
      </c>
      <c r="G148" s="32">
        <v>10</v>
      </c>
      <c r="H148" s="32" t="s">
        <v>59</v>
      </c>
      <c r="I148" s="32">
        <v>4</v>
      </c>
      <c r="J148" s="33">
        <v>9</v>
      </c>
      <c r="K148" s="23">
        <f>SUM(B148:J148)</f>
        <v>65</v>
      </c>
      <c r="L148" s="35">
        <f>K148/K150</f>
        <v>0.42207792207792205</v>
      </c>
      <c r="M148" s="35">
        <f>K148/K153</f>
        <v>0.39634146341463417</v>
      </c>
      <c r="N148" s="37"/>
      <c r="O148" s="35"/>
      <c r="P148" s="13"/>
      <c r="Q148" s="33">
        <v>4</v>
      </c>
      <c r="R148" s="9" t="s">
        <v>82</v>
      </c>
      <c r="S148" s="14">
        <v>1</v>
      </c>
      <c r="T148" s="14">
        <f>SUM(Q148:S148)</f>
        <v>5</v>
      </c>
      <c r="U148" s="40">
        <f>T148/T150</f>
        <v>0.45454545454545453</v>
      </c>
      <c r="V148" s="13"/>
      <c r="W148" s="33">
        <v>0</v>
      </c>
      <c r="X148" s="33">
        <v>2</v>
      </c>
      <c r="Y148" s="33">
        <v>5</v>
      </c>
      <c r="Z148" s="33">
        <v>1</v>
      </c>
      <c r="AA148" s="33">
        <v>2</v>
      </c>
      <c r="AB148" s="33">
        <v>2</v>
      </c>
      <c r="AC148" s="14">
        <f>SUM(W148:AB148)</f>
        <v>12</v>
      </c>
      <c r="AD148" s="40">
        <f>AC148/AC150</f>
        <v>0.27906976744186046</v>
      </c>
      <c r="AE148" s="13"/>
      <c r="AF148" s="33">
        <v>3</v>
      </c>
      <c r="AG148" s="33">
        <v>1</v>
      </c>
      <c r="AH148" s="33">
        <v>2</v>
      </c>
      <c r="AI148" s="33">
        <v>4</v>
      </c>
      <c r="AJ148" s="33">
        <v>0</v>
      </c>
      <c r="AK148" s="33">
        <v>8</v>
      </c>
      <c r="AL148" s="14">
        <f>SUM(AF148:AK148)</f>
        <v>18</v>
      </c>
      <c r="AM148" s="40">
        <f>AL148/AL150</f>
        <v>0.375</v>
      </c>
      <c r="AN148" s="13"/>
      <c r="AO148" s="33">
        <v>0</v>
      </c>
      <c r="AP148" s="33">
        <v>2</v>
      </c>
      <c r="AQ148" s="33">
        <v>4</v>
      </c>
      <c r="AR148" s="33" t="s">
        <v>82</v>
      </c>
      <c r="AS148" s="33">
        <v>6</v>
      </c>
      <c r="AT148" s="33">
        <v>0</v>
      </c>
      <c r="AU148" s="14">
        <f>SUM(AO148:AT148)</f>
        <v>12</v>
      </c>
      <c r="AV148" s="40">
        <f>AU148/AU150</f>
        <v>0.6</v>
      </c>
      <c r="AW148" s="13"/>
      <c r="AX148" s="33">
        <v>0</v>
      </c>
      <c r="AY148" s="33">
        <v>1</v>
      </c>
      <c r="AZ148" s="33">
        <v>1</v>
      </c>
      <c r="BA148" s="33">
        <v>1</v>
      </c>
      <c r="BB148" s="33">
        <v>0</v>
      </c>
      <c r="BC148" s="14">
        <f>SUM(AX148:BB148)</f>
        <v>3</v>
      </c>
      <c r="BD148" s="40">
        <f>BC148/BC150</f>
        <v>0.375</v>
      </c>
      <c r="BE148" s="13"/>
      <c r="BF148" s="9" t="s">
        <v>59</v>
      </c>
      <c r="BG148" s="15"/>
      <c r="BH148" s="16"/>
      <c r="BI148" s="15"/>
    </row>
    <row r="149" spans="1:61" ht="32.25" customHeight="1">
      <c r="A149" s="10" t="s">
        <v>120</v>
      </c>
      <c r="B149" s="32">
        <v>9</v>
      </c>
      <c r="C149" s="32">
        <v>0</v>
      </c>
      <c r="D149" s="32">
        <v>3</v>
      </c>
      <c r="E149" s="32">
        <v>1</v>
      </c>
      <c r="F149" s="32">
        <v>1</v>
      </c>
      <c r="G149" s="32">
        <v>5</v>
      </c>
      <c r="H149" s="32" t="s">
        <v>59</v>
      </c>
      <c r="I149" s="32">
        <v>1</v>
      </c>
      <c r="J149" s="33">
        <v>0</v>
      </c>
      <c r="K149" s="23">
        <f>SUM(B149:J149)</f>
        <v>20</v>
      </c>
      <c r="L149" s="35">
        <f>K149/K150</f>
        <v>0.12987012987012986</v>
      </c>
      <c r="M149" s="35">
        <f>K149/K153</f>
        <v>0.12195121951219512</v>
      </c>
      <c r="N149" s="37"/>
      <c r="O149" s="35"/>
      <c r="P149" s="13"/>
      <c r="Q149" s="33">
        <v>0</v>
      </c>
      <c r="R149" s="9" t="s">
        <v>82</v>
      </c>
      <c r="S149" s="14">
        <v>0</v>
      </c>
      <c r="T149" s="14">
        <f>SUM(Q149:S149)</f>
        <v>0</v>
      </c>
      <c r="U149" s="40">
        <f>T149/T150</f>
        <v>0</v>
      </c>
      <c r="V149" s="13"/>
      <c r="W149" s="33">
        <v>1</v>
      </c>
      <c r="X149" s="33">
        <v>1</v>
      </c>
      <c r="Y149" s="33">
        <v>1</v>
      </c>
      <c r="Z149" s="33">
        <v>1</v>
      </c>
      <c r="AA149" s="33">
        <v>1</v>
      </c>
      <c r="AB149" s="33">
        <v>0</v>
      </c>
      <c r="AC149" s="14">
        <f>SUM(W149:AB149)</f>
        <v>5</v>
      </c>
      <c r="AD149" s="40">
        <f>AC149/AC150</f>
        <v>0.11627906976744186</v>
      </c>
      <c r="AE149" s="13"/>
      <c r="AF149" s="33">
        <v>0</v>
      </c>
      <c r="AG149" s="33">
        <v>2</v>
      </c>
      <c r="AH149" s="33">
        <v>2</v>
      </c>
      <c r="AI149" s="33">
        <v>0</v>
      </c>
      <c r="AJ149" s="33">
        <v>0</v>
      </c>
      <c r="AK149" s="33">
        <v>0</v>
      </c>
      <c r="AL149" s="14">
        <f>SUM(AF149:AK149)</f>
        <v>4</v>
      </c>
      <c r="AM149" s="40">
        <f>AL149/AL150</f>
        <v>8.3333333333333329E-2</v>
      </c>
      <c r="AN149" s="13"/>
      <c r="AO149" s="33">
        <v>0</v>
      </c>
      <c r="AP149" s="33">
        <v>0</v>
      </c>
      <c r="AQ149" s="33">
        <v>0</v>
      </c>
      <c r="AR149" s="33" t="s">
        <v>82</v>
      </c>
      <c r="AS149" s="33">
        <v>1</v>
      </c>
      <c r="AT149" s="33">
        <v>0</v>
      </c>
      <c r="AU149" s="14">
        <f>SUM(AO149:AT149)</f>
        <v>1</v>
      </c>
      <c r="AV149" s="40">
        <f>AU149/AU150</f>
        <v>0.05</v>
      </c>
      <c r="AW149" s="13"/>
      <c r="AX149" s="33">
        <v>0</v>
      </c>
      <c r="AY149" s="33">
        <v>0</v>
      </c>
      <c r="AZ149" s="33">
        <v>1</v>
      </c>
      <c r="BA149" s="33">
        <v>0</v>
      </c>
      <c r="BB149" s="33">
        <v>0</v>
      </c>
      <c r="BC149" s="14">
        <f>SUM(AX149:BB149)</f>
        <v>1</v>
      </c>
      <c r="BD149" s="40">
        <f>BC149/BC150</f>
        <v>0.125</v>
      </c>
      <c r="BE149" s="13"/>
      <c r="BF149" s="9" t="s">
        <v>59</v>
      </c>
      <c r="BG149" s="15"/>
      <c r="BH149" s="16"/>
      <c r="BI149" s="15"/>
    </row>
    <row r="150" spans="1:61" ht="21.75" customHeight="1">
      <c r="A150" s="10" t="s">
        <v>9</v>
      </c>
      <c r="B150" s="45">
        <f t="shared" ref="B150:G150" si="87">SUM(B146:B149)</f>
        <v>24</v>
      </c>
      <c r="C150" s="14">
        <f t="shared" si="87"/>
        <v>7</v>
      </c>
      <c r="D150" s="14">
        <f t="shared" si="87"/>
        <v>27</v>
      </c>
      <c r="E150" s="14">
        <f t="shared" si="87"/>
        <v>15</v>
      </c>
      <c r="F150" s="14">
        <f t="shared" si="87"/>
        <v>22</v>
      </c>
      <c r="G150" s="14">
        <f t="shared" si="87"/>
        <v>18</v>
      </c>
      <c r="H150" s="32" t="s">
        <v>59</v>
      </c>
      <c r="I150" s="14">
        <f>SUM(I146:I149)</f>
        <v>19</v>
      </c>
      <c r="J150" s="14">
        <f>SUM(J146:J149)</f>
        <v>22</v>
      </c>
      <c r="K150" s="23">
        <f>SUM(K146:K149)</f>
        <v>154</v>
      </c>
      <c r="L150" s="35">
        <f>SUM(L146:L149)</f>
        <v>1</v>
      </c>
      <c r="M150" s="35">
        <f>K150/K153</f>
        <v>0.93902439024390238</v>
      </c>
      <c r="N150" s="37">
        <f>T150+AC150+AL150+AU150</f>
        <v>122</v>
      </c>
      <c r="O150" s="35">
        <f>N150/K150</f>
        <v>0.79220779220779225</v>
      </c>
      <c r="P150" s="13">
        <f>SUM(P134:P149)</f>
        <v>0</v>
      </c>
      <c r="Q150" s="45">
        <f>SUM(Q134:Q149)</f>
        <v>9</v>
      </c>
      <c r="R150" s="46">
        <f>SUM(R134:R149)</f>
        <v>0</v>
      </c>
      <c r="S150" s="46">
        <f>SUM(S134:S149)</f>
        <v>2</v>
      </c>
      <c r="T150" s="14">
        <f>SUM(T145:T149)</f>
        <v>11</v>
      </c>
      <c r="U150" s="40" t="e">
        <f>SUM(U134:U149)</f>
        <v>#DIV/0!</v>
      </c>
      <c r="V150" s="13">
        <f>SUM(V134:V149)</f>
        <v>0</v>
      </c>
      <c r="W150" s="45">
        <f t="shared" ref="W150:AC150" si="88">SUM(W146:W149)</f>
        <v>9</v>
      </c>
      <c r="X150" s="45">
        <f t="shared" si="88"/>
        <v>7</v>
      </c>
      <c r="Y150" s="45">
        <f t="shared" si="88"/>
        <v>14</v>
      </c>
      <c r="Z150" s="45">
        <f t="shared" si="88"/>
        <v>3</v>
      </c>
      <c r="AA150" s="45">
        <f t="shared" si="88"/>
        <v>8</v>
      </c>
      <c r="AB150" s="45">
        <f t="shared" si="88"/>
        <v>2</v>
      </c>
      <c r="AC150" s="45">
        <f t="shared" si="88"/>
        <v>43</v>
      </c>
      <c r="AD150" s="40">
        <f>SUM(AD134:AD149)</f>
        <v>4.333333333333333</v>
      </c>
      <c r="AE150" s="13">
        <f>SUM(AE134:AE149)</f>
        <v>0</v>
      </c>
      <c r="AF150" s="45">
        <f t="shared" ref="AF150:AL150" si="89">SUM(AF146:AF149)</f>
        <v>10</v>
      </c>
      <c r="AG150" s="45">
        <f t="shared" si="89"/>
        <v>9</v>
      </c>
      <c r="AH150" s="45">
        <f t="shared" si="89"/>
        <v>5</v>
      </c>
      <c r="AI150" s="45">
        <f t="shared" si="89"/>
        <v>6</v>
      </c>
      <c r="AJ150" s="45">
        <f t="shared" si="89"/>
        <v>1</v>
      </c>
      <c r="AK150" s="45">
        <f t="shared" si="89"/>
        <v>17</v>
      </c>
      <c r="AL150" s="45">
        <f t="shared" si="89"/>
        <v>48</v>
      </c>
      <c r="AM150" s="40">
        <f>SUM(AM134:AM149)</f>
        <v>4</v>
      </c>
      <c r="AN150" s="13">
        <f>SUM(AN134:AN149)</f>
        <v>0</v>
      </c>
      <c r="AO150" s="45">
        <f t="shared" ref="AO150:AU150" si="90">SUM(AO146:AO149)</f>
        <v>1</v>
      </c>
      <c r="AP150" s="45">
        <f t="shared" si="90"/>
        <v>3</v>
      </c>
      <c r="AQ150" s="14">
        <f t="shared" si="90"/>
        <v>4</v>
      </c>
      <c r="AR150" s="45">
        <f t="shared" si="90"/>
        <v>0</v>
      </c>
      <c r="AS150" s="45">
        <f t="shared" si="90"/>
        <v>8</v>
      </c>
      <c r="AT150" s="45">
        <f t="shared" si="90"/>
        <v>4</v>
      </c>
      <c r="AU150" s="45">
        <f t="shared" si="90"/>
        <v>20</v>
      </c>
      <c r="AV150" s="40">
        <f>SUM(AV134:AV149)</f>
        <v>3.9999999999999996</v>
      </c>
      <c r="AW150" s="13">
        <f>SUM(AW134:AW149)</f>
        <v>0</v>
      </c>
      <c r="AX150" s="45">
        <f t="shared" ref="AX150:BC150" si="91">SUM(AX146:AX149)</f>
        <v>0</v>
      </c>
      <c r="AY150" s="45">
        <f t="shared" si="91"/>
        <v>2</v>
      </c>
      <c r="AZ150" s="45">
        <f t="shared" si="91"/>
        <v>2</v>
      </c>
      <c r="BA150" s="45">
        <f t="shared" si="91"/>
        <v>1</v>
      </c>
      <c r="BB150" s="45">
        <f t="shared" si="91"/>
        <v>3</v>
      </c>
      <c r="BC150" s="45">
        <f t="shared" si="91"/>
        <v>8</v>
      </c>
      <c r="BD150" s="40">
        <f>SUM(BD134:BD149)</f>
        <v>4</v>
      </c>
      <c r="BE150" s="13">
        <f>SUM(BE134:BE149)</f>
        <v>0</v>
      </c>
      <c r="BF150" s="14"/>
      <c r="BG150" s="15"/>
      <c r="BH150" s="16"/>
      <c r="BI150" s="15"/>
    </row>
    <row r="151" spans="1:61" ht="21.75" customHeight="1">
      <c r="A151" s="8" t="s">
        <v>64</v>
      </c>
      <c r="B151" s="101">
        <v>3</v>
      </c>
      <c r="C151" s="32">
        <v>0</v>
      </c>
      <c r="D151" s="32">
        <v>3</v>
      </c>
      <c r="E151" s="32">
        <v>2</v>
      </c>
      <c r="F151" s="32">
        <v>0</v>
      </c>
      <c r="G151" s="32">
        <v>0</v>
      </c>
      <c r="H151" s="32" t="s">
        <v>59</v>
      </c>
      <c r="I151" s="32">
        <v>0</v>
      </c>
      <c r="J151" s="32">
        <v>0</v>
      </c>
      <c r="K151" s="23">
        <f>SUM(B151:J151)</f>
        <v>8</v>
      </c>
      <c r="L151" s="35">
        <f>K151/(K150+K151+K152)</f>
        <v>4.878048780487805E-2</v>
      </c>
      <c r="M151" s="35">
        <f>K151/(K153)</f>
        <v>4.878048780487805E-2</v>
      </c>
      <c r="N151" s="12"/>
      <c r="O151" s="35"/>
      <c r="P151" s="13"/>
      <c r="Q151" s="49">
        <v>0</v>
      </c>
      <c r="R151" s="59" t="s">
        <v>82</v>
      </c>
      <c r="S151" s="50">
        <v>0</v>
      </c>
      <c r="T151" s="38">
        <f>SUM(Q151:S151)</f>
        <v>0</v>
      </c>
      <c r="U151" s="15">
        <f>T151/T153</f>
        <v>0</v>
      </c>
      <c r="V151" s="13"/>
      <c r="W151" s="49">
        <v>0</v>
      </c>
      <c r="X151" s="49">
        <v>0</v>
      </c>
      <c r="Y151" s="49">
        <v>1</v>
      </c>
      <c r="Z151" s="49">
        <v>0</v>
      </c>
      <c r="AA151" s="49">
        <v>2</v>
      </c>
      <c r="AB151" s="49">
        <v>0</v>
      </c>
      <c r="AC151" s="51">
        <f>SUM(W151:AB151)</f>
        <v>3</v>
      </c>
      <c r="AD151" s="15">
        <f>AC151/AC153</f>
        <v>6.5217391304347824E-2</v>
      </c>
      <c r="AE151" s="13"/>
      <c r="AF151" s="49">
        <v>0</v>
      </c>
      <c r="AG151" s="49">
        <v>2</v>
      </c>
      <c r="AH151" s="49">
        <v>0</v>
      </c>
      <c r="AI151" s="49">
        <v>0</v>
      </c>
      <c r="AJ151" s="49">
        <v>0</v>
      </c>
      <c r="AK151" s="49">
        <v>0</v>
      </c>
      <c r="AL151" s="49">
        <f>SUM(AF151:AK151)</f>
        <v>2</v>
      </c>
      <c r="AM151" s="15">
        <f>AL151/AL153</f>
        <v>0.04</v>
      </c>
      <c r="AN151" s="13"/>
      <c r="AO151" s="49">
        <v>0</v>
      </c>
      <c r="AP151" s="49">
        <v>0</v>
      </c>
      <c r="AQ151" s="33">
        <v>0</v>
      </c>
      <c r="AR151" s="58" t="s">
        <v>82</v>
      </c>
      <c r="AS151" s="49">
        <v>0</v>
      </c>
      <c r="AT151" s="49">
        <v>0</v>
      </c>
      <c r="AU151" s="51">
        <f>SUM(AO151:AT151)</f>
        <v>0</v>
      </c>
      <c r="AV151" s="15">
        <f>AU151/AU153</f>
        <v>0</v>
      </c>
      <c r="AW151" s="13"/>
      <c r="AX151" s="49">
        <v>0</v>
      </c>
      <c r="AY151" s="49">
        <v>0</v>
      </c>
      <c r="AZ151" s="49">
        <v>0</v>
      </c>
      <c r="BA151" s="49">
        <v>0</v>
      </c>
      <c r="BB151" s="49">
        <v>0</v>
      </c>
      <c r="BC151" s="51">
        <f>SUM(AX151:BB151)</f>
        <v>0</v>
      </c>
      <c r="BD151" s="15">
        <f>BC151/BC153</f>
        <v>0</v>
      </c>
      <c r="BE151" s="13"/>
      <c r="BF151" s="38"/>
      <c r="BG151" s="42"/>
      <c r="BH151" s="42"/>
      <c r="BI151" s="42"/>
    </row>
    <row r="152" spans="1:61" ht="20.75" customHeight="1">
      <c r="A152" s="8" t="s">
        <v>65</v>
      </c>
      <c r="B152" s="32">
        <v>0</v>
      </c>
      <c r="C152" s="32">
        <v>0</v>
      </c>
      <c r="D152" s="32">
        <v>0</v>
      </c>
      <c r="E152" s="32">
        <v>0</v>
      </c>
      <c r="F152" s="32">
        <v>1</v>
      </c>
      <c r="G152" s="32">
        <v>0</v>
      </c>
      <c r="H152" s="32" t="s">
        <v>59</v>
      </c>
      <c r="I152" s="32">
        <v>1</v>
      </c>
      <c r="J152" s="32">
        <v>0</v>
      </c>
      <c r="K152" s="23">
        <f>SUM(B152:J152)</f>
        <v>2</v>
      </c>
      <c r="L152" s="35">
        <f>K152/(K151+K152+K150)</f>
        <v>1.2195121951219513E-2</v>
      </c>
      <c r="M152" s="35">
        <f>K152/(K153)</f>
        <v>1.2195121951219513E-2</v>
      </c>
      <c r="N152" s="12"/>
      <c r="O152" s="35"/>
      <c r="P152" s="13"/>
      <c r="Q152" s="14">
        <v>0</v>
      </c>
      <c r="R152" s="9" t="s">
        <v>82</v>
      </c>
      <c r="S152" s="14">
        <v>0</v>
      </c>
      <c r="T152" s="38">
        <f>SUM(Q152:S152)</f>
        <v>0</v>
      </c>
      <c r="U152" s="15">
        <f>T152/T153</f>
        <v>0</v>
      </c>
      <c r="V152" s="13"/>
      <c r="W152" s="14">
        <v>0</v>
      </c>
      <c r="X152" s="14">
        <v>0</v>
      </c>
      <c r="Y152" s="14">
        <v>0</v>
      </c>
      <c r="Z152" s="14">
        <v>0</v>
      </c>
      <c r="AA152" s="14">
        <v>0</v>
      </c>
      <c r="AB152" s="14">
        <v>0</v>
      </c>
      <c r="AC152" s="38">
        <f>SUM(W152:AB152)</f>
        <v>0</v>
      </c>
      <c r="AD152" s="15">
        <f>AC152/AC153</f>
        <v>0</v>
      </c>
      <c r="AE152" s="13"/>
      <c r="AF152" s="14">
        <v>0</v>
      </c>
      <c r="AG152" s="14">
        <v>0</v>
      </c>
      <c r="AH152" s="14">
        <v>0</v>
      </c>
      <c r="AI152" s="14">
        <v>0</v>
      </c>
      <c r="AJ152" s="14">
        <v>0</v>
      </c>
      <c r="AK152" s="14">
        <v>0</v>
      </c>
      <c r="AL152" s="14">
        <f>SUM(AF152:AK152)</f>
        <v>0</v>
      </c>
      <c r="AM152" s="15">
        <f>AL152/AL153</f>
        <v>0</v>
      </c>
      <c r="AN152" s="13"/>
      <c r="AO152" s="14">
        <v>0</v>
      </c>
      <c r="AP152" s="14">
        <v>0</v>
      </c>
      <c r="AQ152" s="33">
        <v>0</v>
      </c>
      <c r="AR152" s="9" t="s">
        <v>82</v>
      </c>
      <c r="AS152" s="14">
        <v>0</v>
      </c>
      <c r="AT152" s="14">
        <v>0</v>
      </c>
      <c r="AU152" s="38">
        <f>SUM(AO152:AT152)</f>
        <v>0</v>
      </c>
      <c r="AV152" s="15">
        <f>AU152/AU153</f>
        <v>0</v>
      </c>
      <c r="AW152" s="13"/>
      <c r="AX152" s="14">
        <v>1</v>
      </c>
      <c r="AY152" s="14">
        <v>1</v>
      </c>
      <c r="AZ152" s="14">
        <v>0</v>
      </c>
      <c r="BA152" s="14">
        <v>0</v>
      </c>
      <c r="BB152" s="14">
        <v>0</v>
      </c>
      <c r="BC152" s="38">
        <f>SUM(AX152:BB152)</f>
        <v>2</v>
      </c>
      <c r="BD152" s="15">
        <f>BC152/BC153</f>
        <v>0.2</v>
      </c>
      <c r="BE152" s="13"/>
      <c r="BF152" s="38"/>
      <c r="BG152" s="42"/>
      <c r="BH152" s="42"/>
      <c r="BI152" s="42"/>
    </row>
    <row r="153" spans="1:61" ht="20.5" customHeight="1">
      <c r="A153" s="39" t="s">
        <v>66</v>
      </c>
      <c r="B153" s="32">
        <f t="shared" ref="B153:G153" si="92">SUM(B150:B152)</f>
        <v>27</v>
      </c>
      <c r="C153" s="38">
        <f t="shared" si="92"/>
        <v>7</v>
      </c>
      <c r="D153" s="38">
        <f t="shared" si="92"/>
        <v>30</v>
      </c>
      <c r="E153" s="38">
        <f t="shared" si="92"/>
        <v>17</v>
      </c>
      <c r="F153" s="38">
        <f t="shared" si="92"/>
        <v>23</v>
      </c>
      <c r="G153" s="38">
        <f t="shared" si="92"/>
        <v>18</v>
      </c>
      <c r="H153" s="32" t="s">
        <v>59</v>
      </c>
      <c r="I153" s="38">
        <f>SUM(I150:I152)</f>
        <v>20</v>
      </c>
      <c r="J153" s="38">
        <f>SUM(J150:J152)</f>
        <v>22</v>
      </c>
      <c r="K153" s="37">
        <f>SUM(B153:J153)</f>
        <v>164</v>
      </c>
      <c r="L153" s="35">
        <f>K153/(K152+K151+K150)</f>
        <v>1</v>
      </c>
      <c r="M153" s="35">
        <f>K153/(K150+K151+K152)</f>
        <v>1</v>
      </c>
      <c r="N153" s="37">
        <f>T153+AC153+AL153+AU153+S154</f>
        <v>127</v>
      </c>
      <c r="O153" s="35">
        <f>N153/K153</f>
        <v>0.77439024390243905</v>
      </c>
      <c r="P153" s="13"/>
      <c r="Q153" s="38">
        <f>SUM(Q150:Q152)</f>
        <v>9</v>
      </c>
      <c r="R153" s="38">
        <f>SUM(R150:R152)</f>
        <v>0</v>
      </c>
      <c r="S153" s="38">
        <f>SUM(S150:S152)</f>
        <v>2</v>
      </c>
      <c r="T153" s="38">
        <f>SUM(Q153:S153)</f>
        <v>11</v>
      </c>
      <c r="U153" s="40">
        <f>T153/(T150+T151+T152)</f>
        <v>1</v>
      </c>
      <c r="V153" s="13"/>
      <c r="W153" s="38">
        <f t="shared" ref="W153:AB153" si="93">SUM(W150:W152)</f>
        <v>9</v>
      </c>
      <c r="X153" s="38">
        <f t="shared" si="93"/>
        <v>7</v>
      </c>
      <c r="Y153" s="38">
        <f t="shared" si="93"/>
        <v>15</v>
      </c>
      <c r="Z153" s="38">
        <f t="shared" si="93"/>
        <v>3</v>
      </c>
      <c r="AA153" s="38">
        <f t="shared" si="93"/>
        <v>10</v>
      </c>
      <c r="AB153" s="38">
        <f t="shared" si="93"/>
        <v>2</v>
      </c>
      <c r="AC153" s="38">
        <f>SUM(W153:AB153)</f>
        <v>46</v>
      </c>
      <c r="AD153" s="40">
        <f>AC153/(AC150+AC151+AC152)</f>
        <v>1</v>
      </c>
      <c r="AE153" s="13"/>
      <c r="AF153" s="38">
        <f t="shared" ref="AF153:AK153" si="94">SUM(AF150:AF152)</f>
        <v>10</v>
      </c>
      <c r="AG153" s="38">
        <f t="shared" si="94"/>
        <v>11</v>
      </c>
      <c r="AH153" s="38">
        <f t="shared" si="94"/>
        <v>5</v>
      </c>
      <c r="AI153" s="38">
        <f t="shared" si="94"/>
        <v>6</v>
      </c>
      <c r="AJ153" s="38">
        <f t="shared" si="94"/>
        <v>1</v>
      </c>
      <c r="AK153" s="38">
        <f t="shared" si="94"/>
        <v>17</v>
      </c>
      <c r="AL153" s="38">
        <f>SUM(AF153:AK153)</f>
        <v>50</v>
      </c>
      <c r="AM153" s="41">
        <f>AL153/(AL150+AL151+AL152)</f>
        <v>1</v>
      </c>
      <c r="AN153" s="13"/>
      <c r="AO153" s="38">
        <f t="shared" ref="AO153:AT153" si="95">SUM(AO150:AO152)</f>
        <v>1</v>
      </c>
      <c r="AP153" s="38">
        <f t="shared" si="95"/>
        <v>3</v>
      </c>
      <c r="AQ153" s="38">
        <f t="shared" si="95"/>
        <v>4</v>
      </c>
      <c r="AR153" s="38">
        <f t="shared" si="95"/>
        <v>0</v>
      </c>
      <c r="AS153" s="38">
        <f t="shared" si="95"/>
        <v>8</v>
      </c>
      <c r="AT153" s="38">
        <f t="shared" si="95"/>
        <v>4</v>
      </c>
      <c r="AU153" s="38">
        <f>SUM(AO153:AT153)</f>
        <v>20</v>
      </c>
      <c r="AV153" s="40">
        <f>AU153/(AU150+AU151+AU152)</f>
        <v>1</v>
      </c>
      <c r="AW153" s="13"/>
      <c r="AX153" s="38">
        <f>SUM(AX150:AX152)</f>
        <v>1</v>
      </c>
      <c r="AY153" s="38">
        <f>SUM(AY150:AY152)</f>
        <v>3</v>
      </c>
      <c r="AZ153" s="38">
        <f>SUM(AZ150:AZ152)</f>
        <v>2</v>
      </c>
      <c r="BA153" s="38">
        <f>SUM(BA150:BA152)</f>
        <v>1</v>
      </c>
      <c r="BB153" s="38">
        <f>SUM(BB150:BB152)</f>
        <v>3</v>
      </c>
      <c r="BC153" s="38">
        <f>SUM(AX153:BB153)</f>
        <v>10</v>
      </c>
      <c r="BD153" s="40">
        <f>BC153/(BC150+BC151+BC152)</f>
        <v>1</v>
      </c>
      <c r="BE153" s="13"/>
      <c r="BF153" s="38"/>
      <c r="BG153" s="42"/>
      <c r="BH153" s="42"/>
      <c r="BI153" s="42"/>
    </row>
    <row r="154" spans="1:61" ht="44.25" customHeight="1">
      <c r="A154" s="43" t="s">
        <v>121</v>
      </c>
      <c r="B154" s="181" t="s">
        <v>122</v>
      </c>
      <c r="C154" s="182"/>
      <c r="D154" s="182"/>
      <c r="E154" s="182"/>
      <c r="F154" s="182"/>
      <c r="G154" s="22"/>
      <c r="H154" s="22"/>
      <c r="I154" s="22"/>
      <c r="J154" s="22"/>
      <c r="K154" s="21"/>
      <c r="L154" s="24"/>
      <c r="M154" s="24"/>
      <c r="N154" s="26"/>
      <c r="O154" s="24"/>
      <c r="P154" s="27"/>
      <c r="Q154" s="28"/>
      <c r="R154" s="28"/>
      <c r="S154" s="28"/>
      <c r="T154" s="26"/>
      <c r="U154" s="24"/>
      <c r="V154" s="27"/>
      <c r="W154" s="28"/>
      <c r="X154" s="28"/>
      <c r="Y154" s="28"/>
      <c r="Z154" s="28"/>
      <c r="AA154" s="28"/>
      <c r="AB154" s="28"/>
      <c r="AC154" s="26"/>
      <c r="AD154" s="24"/>
      <c r="AE154" s="27"/>
      <c r="AF154" s="28"/>
      <c r="AG154" s="28"/>
      <c r="AH154" s="28"/>
      <c r="AI154" s="28"/>
      <c r="AJ154" s="28"/>
      <c r="AK154" s="28"/>
      <c r="AL154" s="26"/>
      <c r="AM154" s="29"/>
      <c r="AN154" s="27"/>
      <c r="AO154" s="26"/>
      <c r="AP154" s="26"/>
      <c r="AQ154" s="26"/>
      <c r="AR154" s="26"/>
      <c r="AS154" s="26"/>
      <c r="AT154" s="26"/>
      <c r="AU154" s="26"/>
      <c r="AV154" s="24"/>
      <c r="AW154" s="27"/>
      <c r="AX154" s="26"/>
      <c r="AY154" s="26"/>
      <c r="AZ154" s="26"/>
      <c r="BA154" s="26"/>
      <c r="BB154" s="26"/>
      <c r="BC154" s="26"/>
      <c r="BD154" s="24"/>
      <c r="BE154" s="27"/>
      <c r="BF154" s="26"/>
      <c r="BG154" s="22"/>
      <c r="BH154" s="21"/>
      <c r="BI154" s="22"/>
    </row>
    <row r="155" spans="1:61" ht="32.25" customHeight="1">
      <c r="A155" s="10"/>
      <c r="B155" s="30" t="s">
        <v>0</v>
      </c>
      <c r="C155" s="30" t="s">
        <v>1</v>
      </c>
      <c r="D155" s="30" t="s">
        <v>2</v>
      </c>
      <c r="E155" s="30" t="s">
        <v>3</v>
      </c>
      <c r="F155" s="30" t="s">
        <v>4</v>
      </c>
      <c r="G155" s="30" t="s">
        <v>5</v>
      </c>
      <c r="H155" s="30" t="s">
        <v>68</v>
      </c>
      <c r="I155" s="30" t="s">
        <v>7</v>
      </c>
      <c r="J155" s="30" t="s">
        <v>8</v>
      </c>
      <c r="K155" s="10" t="s">
        <v>9</v>
      </c>
      <c r="L155" s="10" t="s">
        <v>56</v>
      </c>
      <c r="M155" s="20"/>
      <c r="N155" s="12"/>
      <c r="O155" s="20"/>
      <c r="P155" s="27"/>
      <c r="Q155" s="30" t="s">
        <v>15</v>
      </c>
      <c r="R155" s="30" t="s">
        <v>16</v>
      </c>
      <c r="S155" s="30" t="s">
        <v>28</v>
      </c>
      <c r="T155" s="20"/>
      <c r="U155" s="11"/>
      <c r="V155" s="27"/>
      <c r="W155" s="30" t="s">
        <v>15</v>
      </c>
      <c r="X155" s="30" t="s">
        <v>20</v>
      </c>
      <c r="Y155" s="30" t="s">
        <v>21</v>
      </c>
      <c r="Z155" s="30" t="s">
        <v>22</v>
      </c>
      <c r="AA155" s="30" t="s">
        <v>23</v>
      </c>
      <c r="AB155" s="30" t="s">
        <v>24</v>
      </c>
      <c r="AC155" s="20"/>
      <c r="AD155" s="11"/>
      <c r="AE155" s="27"/>
      <c r="AF155" s="30" t="s">
        <v>20</v>
      </c>
      <c r="AG155" s="30" t="s">
        <v>21</v>
      </c>
      <c r="AH155" s="30" t="s">
        <v>22</v>
      </c>
      <c r="AI155" s="30" t="s">
        <v>23</v>
      </c>
      <c r="AJ155" s="30" t="s">
        <v>24</v>
      </c>
      <c r="AK155" s="30" t="s">
        <v>28</v>
      </c>
      <c r="AL155" s="20"/>
      <c r="AM155" s="44"/>
      <c r="AN155" s="27"/>
      <c r="AO155" s="30" t="s">
        <v>15</v>
      </c>
      <c r="AP155" s="30" t="s">
        <v>20</v>
      </c>
      <c r="AQ155" s="30" t="s">
        <v>21</v>
      </c>
      <c r="AR155" s="30" t="s">
        <v>16</v>
      </c>
      <c r="AS155" s="30" t="s">
        <v>22</v>
      </c>
      <c r="AT155" s="30" t="s">
        <v>24</v>
      </c>
      <c r="AU155" s="20"/>
      <c r="AV155" s="11"/>
      <c r="AW155" s="27"/>
      <c r="AX155" s="30" t="s">
        <v>15</v>
      </c>
      <c r="AY155" s="30" t="s">
        <v>20</v>
      </c>
      <c r="AZ155" s="30" t="s">
        <v>22</v>
      </c>
      <c r="BA155" s="30" t="s">
        <v>23</v>
      </c>
      <c r="BB155" s="30" t="s">
        <v>28</v>
      </c>
      <c r="BC155" s="20"/>
      <c r="BD155" s="11"/>
      <c r="BE155" s="27"/>
      <c r="BF155" s="9" t="s">
        <v>80</v>
      </c>
      <c r="BG155" s="16"/>
      <c r="BH155" s="16"/>
      <c r="BI155" s="16"/>
    </row>
    <row r="156" spans="1:61" ht="20.25" customHeight="1">
      <c r="A156" s="10" t="s">
        <v>123</v>
      </c>
      <c r="B156" s="32">
        <v>12</v>
      </c>
      <c r="C156" s="32">
        <v>1</v>
      </c>
      <c r="D156" s="32">
        <v>11</v>
      </c>
      <c r="E156" s="32">
        <v>6</v>
      </c>
      <c r="F156" s="32">
        <v>5</v>
      </c>
      <c r="G156" s="32">
        <v>8</v>
      </c>
      <c r="H156" s="32" t="s">
        <v>59</v>
      </c>
      <c r="I156" s="32">
        <v>7</v>
      </c>
      <c r="J156" s="33">
        <v>11</v>
      </c>
      <c r="K156" s="23">
        <f>SUM(B156:J156)</f>
        <v>61</v>
      </c>
      <c r="L156" s="35">
        <f>K156/K160</f>
        <v>0.4236111111111111</v>
      </c>
      <c r="M156" s="35">
        <f>K156/K163</f>
        <v>0.37195121951219512</v>
      </c>
      <c r="N156" s="37"/>
      <c r="O156" s="35"/>
      <c r="P156" s="13"/>
      <c r="Q156" s="33">
        <v>5</v>
      </c>
      <c r="R156" s="9" t="s">
        <v>82</v>
      </c>
      <c r="S156" s="14">
        <v>1</v>
      </c>
      <c r="T156" s="14">
        <f>SUM(Q156:S156)</f>
        <v>6</v>
      </c>
      <c r="U156" s="40">
        <f>T156/T160</f>
        <v>0.54545454545454541</v>
      </c>
      <c r="V156" s="13"/>
      <c r="W156" s="33">
        <v>2</v>
      </c>
      <c r="X156" s="33">
        <v>1</v>
      </c>
      <c r="Y156" s="33">
        <v>6</v>
      </c>
      <c r="Z156" s="33">
        <v>0</v>
      </c>
      <c r="AA156" s="33">
        <v>0</v>
      </c>
      <c r="AB156" s="33">
        <v>1</v>
      </c>
      <c r="AC156" s="38">
        <f>SUM(W156:AB156)</f>
        <v>10</v>
      </c>
      <c r="AD156" s="40">
        <f>AC156/AC160</f>
        <v>0.23255813953488372</v>
      </c>
      <c r="AE156" s="13"/>
      <c r="AF156" s="33">
        <v>3</v>
      </c>
      <c r="AG156" s="33">
        <v>2</v>
      </c>
      <c r="AH156" s="33">
        <v>1</v>
      </c>
      <c r="AI156" s="33">
        <v>5</v>
      </c>
      <c r="AJ156" s="33">
        <v>0</v>
      </c>
      <c r="AK156" s="33">
        <v>10</v>
      </c>
      <c r="AL156" s="14">
        <f>SUM(AF156:AK156)</f>
        <v>21</v>
      </c>
      <c r="AM156" s="40">
        <f>AL156/AL160</f>
        <v>0.47727272727272729</v>
      </c>
      <c r="AN156" s="13"/>
      <c r="AO156" s="33">
        <v>0</v>
      </c>
      <c r="AP156" s="33">
        <v>1</v>
      </c>
      <c r="AQ156" s="33">
        <v>3</v>
      </c>
      <c r="AR156" s="33" t="s">
        <v>82</v>
      </c>
      <c r="AS156" s="33">
        <v>6</v>
      </c>
      <c r="AT156" s="33">
        <v>0</v>
      </c>
      <c r="AU156" s="14">
        <f>SUM(AO156:AT156)</f>
        <v>10</v>
      </c>
      <c r="AV156" s="40">
        <f>AU156/AU160</f>
        <v>0.5</v>
      </c>
      <c r="AW156" s="13"/>
      <c r="AX156" s="33">
        <v>0</v>
      </c>
      <c r="AY156" s="33">
        <v>0</v>
      </c>
      <c r="AZ156" s="33">
        <v>1</v>
      </c>
      <c r="BA156" s="33">
        <v>1</v>
      </c>
      <c r="BB156" s="33">
        <v>0</v>
      </c>
      <c r="BC156" s="14">
        <f>SUM(AX156:BB156)</f>
        <v>2</v>
      </c>
      <c r="BD156" s="40">
        <f>BC156/BC160</f>
        <v>0.25</v>
      </c>
      <c r="BE156" s="13"/>
      <c r="BF156" s="9" t="s">
        <v>59</v>
      </c>
      <c r="BG156" s="15"/>
      <c r="BH156" s="16"/>
      <c r="BI156" s="15"/>
    </row>
    <row r="157" spans="1:61" ht="20.25" customHeight="1">
      <c r="A157" s="10" t="s">
        <v>124</v>
      </c>
      <c r="B157" s="32">
        <v>2</v>
      </c>
      <c r="C157" s="32">
        <v>2</v>
      </c>
      <c r="D157" s="32">
        <v>5</v>
      </c>
      <c r="E157" s="32">
        <v>4</v>
      </c>
      <c r="F157" s="32">
        <v>9</v>
      </c>
      <c r="G157" s="32">
        <v>7</v>
      </c>
      <c r="H157" s="32" t="s">
        <v>59</v>
      </c>
      <c r="I157" s="32">
        <v>4</v>
      </c>
      <c r="J157" s="33">
        <v>4</v>
      </c>
      <c r="K157" s="23">
        <f>SUM(B157:J157)</f>
        <v>37</v>
      </c>
      <c r="L157" s="35">
        <f>K157/K160</f>
        <v>0.25694444444444442</v>
      </c>
      <c r="M157" s="35">
        <f>K157/K163</f>
        <v>0.22560975609756098</v>
      </c>
      <c r="N157" s="37"/>
      <c r="O157" s="35"/>
      <c r="P157" s="13"/>
      <c r="Q157" s="33">
        <v>2</v>
      </c>
      <c r="R157" s="9" t="s">
        <v>82</v>
      </c>
      <c r="S157" s="14">
        <v>0</v>
      </c>
      <c r="T157" s="14">
        <f>SUM(Q157:S157)</f>
        <v>2</v>
      </c>
      <c r="U157" s="40">
        <f>T157/T160</f>
        <v>0.18181818181818182</v>
      </c>
      <c r="V157" s="13"/>
      <c r="W157" s="33">
        <v>2</v>
      </c>
      <c r="X157" s="33">
        <v>4</v>
      </c>
      <c r="Y157" s="33">
        <v>4</v>
      </c>
      <c r="Z157" s="33">
        <v>1</v>
      </c>
      <c r="AA157" s="33">
        <v>4</v>
      </c>
      <c r="AB157" s="33">
        <v>0</v>
      </c>
      <c r="AC157" s="14">
        <f>SUM(W157:AB157)</f>
        <v>15</v>
      </c>
      <c r="AD157" s="40">
        <f>AC157/AC160</f>
        <v>0.34883720930232559</v>
      </c>
      <c r="AE157" s="13"/>
      <c r="AF157" s="33">
        <v>3</v>
      </c>
      <c r="AG157" s="33">
        <v>0</v>
      </c>
      <c r="AH157" s="33">
        <v>3</v>
      </c>
      <c r="AI157" s="33">
        <v>0</v>
      </c>
      <c r="AJ157" s="33">
        <v>0</v>
      </c>
      <c r="AK157" s="33">
        <v>3</v>
      </c>
      <c r="AL157" s="14">
        <f>SUM(AF157:AK157)</f>
        <v>9</v>
      </c>
      <c r="AM157" s="40">
        <f>AL157/AL160</f>
        <v>0.20454545454545456</v>
      </c>
      <c r="AN157" s="13"/>
      <c r="AO157" s="33">
        <v>0</v>
      </c>
      <c r="AP157" s="33">
        <v>1</v>
      </c>
      <c r="AQ157" s="33">
        <v>1</v>
      </c>
      <c r="AR157" s="33" t="s">
        <v>82</v>
      </c>
      <c r="AS157" s="33">
        <v>2</v>
      </c>
      <c r="AT157" s="33">
        <v>2</v>
      </c>
      <c r="AU157" s="14">
        <f>SUM(AO157:AT157)</f>
        <v>6</v>
      </c>
      <c r="AV157" s="40">
        <f>AU157/AU160</f>
        <v>0.3</v>
      </c>
      <c r="AW157" s="13"/>
      <c r="AX157" s="33">
        <v>0</v>
      </c>
      <c r="AY157" s="33">
        <v>1</v>
      </c>
      <c r="AZ157" s="33">
        <v>1</v>
      </c>
      <c r="BA157" s="33">
        <v>0</v>
      </c>
      <c r="BB157" s="33">
        <v>1</v>
      </c>
      <c r="BC157" s="14">
        <f>SUM(AX157:BB157)</f>
        <v>3</v>
      </c>
      <c r="BD157" s="40">
        <f>BC157/BC160</f>
        <v>0.375</v>
      </c>
      <c r="BE157" s="13"/>
      <c r="BF157" s="9" t="s">
        <v>59</v>
      </c>
      <c r="BG157" s="15"/>
      <c r="BH157" s="16"/>
      <c r="BI157" s="15"/>
    </row>
    <row r="158" spans="1:61" ht="32.25" customHeight="1">
      <c r="A158" s="10" t="s">
        <v>125</v>
      </c>
      <c r="B158" s="32">
        <v>3</v>
      </c>
      <c r="C158" s="32">
        <v>2</v>
      </c>
      <c r="D158" s="32">
        <v>2</v>
      </c>
      <c r="E158" s="32">
        <v>3</v>
      </c>
      <c r="F158" s="32">
        <v>3</v>
      </c>
      <c r="G158" s="32">
        <v>3</v>
      </c>
      <c r="H158" s="32" t="s">
        <v>59</v>
      </c>
      <c r="I158" s="32">
        <v>6</v>
      </c>
      <c r="J158" s="33">
        <v>3</v>
      </c>
      <c r="K158" s="23">
        <f>SUM(B158:J158)</f>
        <v>25</v>
      </c>
      <c r="L158" s="35">
        <f>K158/K160</f>
        <v>0.1736111111111111</v>
      </c>
      <c r="M158" s="35">
        <f>K158/K163</f>
        <v>0.1524390243902439</v>
      </c>
      <c r="N158" s="37"/>
      <c r="O158" s="35"/>
      <c r="P158" s="13"/>
      <c r="Q158" s="33">
        <v>2</v>
      </c>
      <c r="R158" s="9" t="s">
        <v>82</v>
      </c>
      <c r="S158" s="14">
        <v>1</v>
      </c>
      <c r="T158" s="14">
        <f>SUM(Q158:S158)</f>
        <v>3</v>
      </c>
      <c r="U158" s="40">
        <f>T158/T160</f>
        <v>0.27272727272727271</v>
      </c>
      <c r="V158" s="13"/>
      <c r="W158" s="33">
        <v>3</v>
      </c>
      <c r="X158" s="33">
        <v>1</v>
      </c>
      <c r="Y158" s="33">
        <v>0</v>
      </c>
      <c r="Z158" s="33">
        <v>2</v>
      </c>
      <c r="AA158" s="33">
        <v>2</v>
      </c>
      <c r="AB158" s="33">
        <v>0</v>
      </c>
      <c r="AC158" s="14">
        <f>SUM(W158:AB158)</f>
        <v>8</v>
      </c>
      <c r="AD158" s="40">
        <f>AC158/AC160</f>
        <v>0.18604651162790697</v>
      </c>
      <c r="AE158" s="13"/>
      <c r="AF158" s="33">
        <v>1</v>
      </c>
      <c r="AG158" s="33">
        <v>2</v>
      </c>
      <c r="AH158" s="33">
        <v>1</v>
      </c>
      <c r="AI158" s="33">
        <v>1</v>
      </c>
      <c r="AJ158" s="33">
        <v>0</v>
      </c>
      <c r="AK158" s="33">
        <v>2</v>
      </c>
      <c r="AL158" s="14">
        <f>SUM(AF158:AK158)</f>
        <v>7</v>
      </c>
      <c r="AM158" s="40">
        <f>AL158/AL160</f>
        <v>0.15909090909090909</v>
      </c>
      <c r="AN158" s="13"/>
      <c r="AO158" s="33">
        <v>1</v>
      </c>
      <c r="AP158" s="33">
        <v>1</v>
      </c>
      <c r="AQ158" s="33">
        <v>0</v>
      </c>
      <c r="AR158" s="33" t="s">
        <v>82</v>
      </c>
      <c r="AS158" s="33">
        <v>0</v>
      </c>
      <c r="AT158" s="33">
        <v>2</v>
      </c>
      <c r="AU158" s="14">
        <f>SUM(AO158:AT158)</f>
        <v>4</v>
      </c>
      <c r="AV158" s="40">
        <f>AU158/AU160</f>
        <v>0.2</v>
      </c>
      <c r="AW158" s="13"/>
      <c r="AX158" s="33">
        <v>0</v>
      </c>
      <c r="AY158" s="33">
        <v>0</v>
      </c>
      <c r="AZ158" s="33">
        <v>0</v>
      </c>
      <c r="BA158" s="33">
        <v>0</v>
      </c>
      <c r="BB158" s="33">
        <v>0</v>
      </c>
      <c r="BC158" s="14">
        <f>SUM(AX158:BB158)</f>
        <v>0</v>
      </c>
      <c r="BD158" s="40">
        <f>BC158/BC160</f>
        <v>0</v>
      </c>
      <c r="BE158" s="13"/>
      <c r="BF158" s="9" t="s">
        <v>59</v>
      </c>
      <c r="BG158" s="15"/>
      <c r="BH158" s="16"/>
      <c r="BI158" s="15"/>
    </row>
    <row r="159" spans="1:61" ht="32.25" customHeight="1">
      <c r="A159" s="10" t="s">
        <v>126</v>
      </c>
      <c r="B159" s="32">
        <v>1</v>
      </c>
      <c r="C159" s="32">
        <v>2</v>
      </c>
      <c r="D159" s="32">
        <v>5</v>
      </c>
      <c r="E159" s="32">
        <v>3</v>
      </c>
      <c r="F159" s="32">
        <v>5</v>
      </c>
      <c r="G159" s="32">
        <v>0</v>
      </c>
      <c r="H159" s="32" t="s">
        <v>59</v>
      </c>
      <c r="I159" s="32">
        <v>2</v>
      </c>
      <c r="J159" s="33">
        <v>3</v>
      </c>
      <c r="K159" s="23">
        <f>SUM(B159:J159)</f>
        <v>21</v>
      </c>
      <c r="L159" s="35">
        <f>K159/K160</f>
        <v>0.14583333333333334</v>
      </c>
      <c r="M159" s="35">
        <f>K159/K163</f>
        <v>0.12804878048780488</v>
      </c>
      <c r="N159" s="37"/>
      <c r="O159" s="35"/>
      <c r="P159" s="13"/>
      <c r="Q159" s="33">
        <v>0</v>
      </c>
      <c r="R159" s="9" t="s">
        <v>82</v>
      </c>
      <c r="S159" s="14">
        <v>0</v>
      </c>
      <c r="T159" s="14">
        <f>SUM(Q159:S159)</f>
        <v>0</v>
      </c>
      <c r="U159" s="40">
        <f>T159/T160</f>
        <v>0</v>
      </c>
      <c r="V159" s="13"/>
      <c r="W159" s="33">
        <v>2</v>
      </c>
      <c r="X159" s="33">
        <v>1</v>
      </c>
      <c r="Y159" s="33">
        <v>3</v>
      </c>
      <c r="Z159" s="33">
        <v>0</v>
      </c>
      <c r="AA159" s="33">
        <v>3</v>
      </c>
      <c r="AB159" s="33">
        <v>1</v>
      </c>
      <c r="AC159" s="14">
        <f>SUM(W159:AB159)</f>
        <v>10</v>
      </c>
      <c r="AD159" s="40">
        <f>AC159/AC160</f>
        <v>0.23255813953488372</v>
      </c>
      <c r="AE159" s="13"/>
      <c r="AF159" s="33">
        <v>3</v>
      </c>
      <c r="AG159" s="33">
        <v>2</v>
      </c>
      <c r="AH159" s="33">
        <v>0</v>
      </c>
      <c r="AI159" s="33">
        <v>0</v>
      </c>
      <c r="AJ159" s="33">
        <v>1</v>
      </c>
      <c r="AK159" s="33">
        <v>1</v>
      </c>
      <c r="AL159" s="14">
        <f>SUM(AF159:AK159)</f>
        <v>7</v>
      </c>
      <c r="AM159" s="40">
        <f>AL159/AL160</f>
        <v>0.15909090909090909</v>
      </c>
      <c r="AN159" s="13"/>
      <c r="AO159" s="33">
        <v>0</v>
      </c>
      <c r="AP159" s="33">
        <v>0</v>
      </c>
      <c r="AQ159" s="33">
        <v>0</v>
      </c>
      <c r="AR159" s="33" t="s">
        <v>82</v>
      </c>
      <c r="AS159" s="33">
        <v>0</v>
      </c>
      <c r="AT159" s="33">
        <v>0</v>
      </c>
      <c r="AU159" s="14">
        <f>SUM(AO159:AT159)</f>
        <v>0</v>
      </c>
      <c r="AV159" s="40">
        <f>AU159/AU160</f>
        <v>0</v>
      </c>
      <c r="AW159" s="13"/>
      <c r="AX159" s="33">
        <v>0</v>
      </c>
      <c r="AY159" s="33">
        <v>1</v>
      </c>
      <c r="AZ159" s="33">
        <v>0</v>
      </c>
      <c r="BA159" s="33">
        <v>0</v>
      </c>
      <c r="BB159" s="33">
        <v>2</v>
      </c>
      <c r="BC159" s="14">
        <f>SUM(AX159:BB159)</f>
        <v>3</v>
      </c>
      <c r="BD159" s="40">
        <f>BC159/BC160</f>
        <v>0.375</v>
      </c>
      <c r="BE159" s="13"/>
      <c r="BF159" s="9" t="s">
        <v>59</v>
      </c>
      <c r="BG159" s="15"/>
      <c r="BH159" s="16"/>
      <c r="BI159" s="15"/>
    </row>
    <row r="160" spans="1:61" ht="21.75" customHeight="1">
      <c r="A160" s="10" t="s">
        <v>9</v>
      </c>
      <c r="B160" s="32">
        <f t="shared" ref="B160:G160" si="96">SUM(B154:B159)</f>
        <v>18</v>
      </c>
      <c r="C160" s="32">
        <f t="shared" si="96"/>
        <v>7</v>
      </c>
      <c r="D160" s="32">
        <f t="shared" si="96"/>
        <v>23</v>
      </c>
      <c r="E160" s="32">
        <f t="shared" si="96"/>
        <v>16</v>
      </c>
      <c r="F160" s="32">
        <f t="shared" si="96"/>
        <v>22</v>
      </c>
      <c r="G160" s="32">
        <f t="shared" si="96"/>
        <v>18</v>
      </c>
      <c r="H160" s="32" t="s">
        <v>59</v>
      </c>
      <c r="I160" s="32">
        <f>SUM(I154:I159)</f>
        <v>19</v>
      </c>
      <c r="J160" s="32">
        <f>SUM(J154:J159)</f>
        <v>21</v>
      </c>
      <c r="K160" s="23">
        <f>SUM(K154:K159)</f>
        <v>144</v>
      </c>
      <c r="L160" s="35">
        <f>SUM(L154:L159)</f>
        <v>1</v>
      </c>
      <c r="M160" s="35">
        <f>K160/K163</f>
        <v>0.87804878048780488</v>
      </c>
      <c r="N160" s="37">
        <f>T160+AC160+AL160+AU160</f>
        <v>118</v>
      </c>
      <c r="O160" s="35">
        <f>N160/K160</f>
        <v>0.81944444444444442</v>
      </c>
      <c r="P160" s="13">
        <f>SUM(P154:P159)</f>
        <v>0</v>
      </c>
      <c r="Q160" s="45">
        <f>SUM(Q154:Q159)</f>
        <v>9</v>
      </c>
      <c r="R160" s="46">
        <f>SUM(R154:R159)</f>
        <v>0</v>
      </c>
      <c r="S160" s="46">
        <f>SUM(S154:S159)</f>
        <v>2</v>
      </c>
      <c r="T160" s="14">
        <f>SUM(T155:T159)</f>
        <v>11</v>
      </c>
      <c r="U160" s="40">
        <f t="shared" ref="U160:BE160" si="97">SUM(U154:U159)</f>
        <v>1</v>
      </c>
      <c r="V160" s="13">
        <f t="shared" si="97"/>
        <v>0</v>
      </c>
      <c r="W160" s="45">
        <f t="shared" si="97"/>
        <v>9</v>
      </c>
      <c r="X160" s="45">
        <f t="shared" si="97"/>
        <v>7</v>
      </c>
      <c r="Y160" s="45">
        <f t="shared" si="97"/>
        <v>13</v>
      </c>
      <c r="Z160" s="45">
        <f t="shared" si="97"/>
        <v>3</v>
      </c>
      <c r="AA160" s="45">
        <f t="shared" si="97"/>
        <v>9</v>
      </c>
      <c r="AB160" s="45">
        <f t="shared" si="97"/>
        <v>2</v>
      </c>
      <c r="AC160" s="45">
        <f t="shared" si="97"/>
        <v>43</v>
      </c>
      <c r="AD160" s="40">
        <f t="shared" si="97"/>
        <v>1</v>
      </c>
      <c r="AE160" s="13">
        <f t="shared" si="97"/>
        <v>0</v>
      </c>
      <c r="AF160" s="45">
        <f t="shared" si="97"/>
        <v>10</v>
      </c>
      <c r="AG160" s="45">
        <f t="shared" si="97"/>
        <v>6</v>
      </c>
      <c r="AH160" s="45">
        <f t="shared" si="97"/>
        <v>5</v>
      </c>
      <c r="AI160" s="45">
        <f t="shared" si="97"/>
        <v>6</v>
      </c>
      <c r="AJ160" s="45">
        <f t="shared" si="97"/>
        <v>1</v>
      </c>
      <c r="AK160" s="45">
        <f t="shared" si="97"/>
        <v>16</v>
      </c>
      <c r="AL160" s="45">
        <f t="shared" si="97"/>
        <v>44</v>
      </c>
      <c r="AM160" s="40">
        <f t="shared" si="97"/>
        <v>1</v>
      </c>
      <c r="AN160" s="13">
        <f t="shared" si="97"/>
        <v>0</v>
      </c>
      <c r="AO160" s="45">
        <f t="shared" si="97"/>
        <v>1</v>
      </c>
      <c r="AP160" s="45">
        <f t="shared" si="97"/>
        <v>3</v>
      </c>
      <c r="AQ160" s="45">
        <f t="shared" si="97"/>
        <v>4</v>
      </c>
      <c r="AR160" s="45">
        <f t="shared" si="97"/>
        <v>0</v>
      </c>
      <c r="AS160" s="45">
        <f t="shared" si="97"/>
        <v>8</v>
      </c>
      <c r="AT160" s="45">
        <f t="shared" si="97"/>
        <v>4</v>
      </c>
      <c r="AU160" s="45">
        <f t="shared" si="97"/>
        <v>20</v>
      </c>
      <c r="AV160" s="40">
        <f t="shared" si="97"/>
        <v>1</v>
      </c>
      <c r="AW160" s="13">
        <f t="shared" si="97"/>
        <v>0</v>
      </c>
      <c r="AX160" s="45">
        <f t="shared" si="97"/>
        <v>0</v>
      </c>
      <c r="AY160" s="45">
        <f t="shared" si="97"/>
        <v>2</v>
      </c>
      <c r="AZ160" s="45">
        <f t="shared" si="97"/>
        <v>2</v>
      </c>
      <c r="BA160" s="45">
        <f t="shared" si="97"/>
        <v>1</v>
      </c>
      <c r="BB160" s="45">
        <f t="shared" si="97"/>
        <v>3</v>
      </c>
      <c r="BC160" s="45">
        <f t="shared" si="97"/>
        <v>8</v>
      </c>
      <c r="BD160" s="40">
        <f t="shared" si="97"/>
        <v>1</v>
      </c>
      <c r="BE160" s="13">
        <f t="shared" si="97"/>
        <v>0</v>
      </c>
      <c r="BF160" s="14"/>
      <c r="BG160" s="15"/>
      <c r="BH160" s="16"/>
      <c r="BI160" s="15"/>
    </row>
    <row r="161" spans="1:61" ht="21.75" customHeight="1">
      <c r="A161" s="8" t="s">
        <v>64</v>
      </c>
      <c r="B161" s="32">
        <v>9</v>
      </c>
      <c r="C161" s="32">
        <v>0</v>
      </c>
      <c r="D161" s="32">
        <v>7</v>
      </c>
      <c r="E161" s="32">
        <v>1</v>
      </c>
      <c r="F161" s="32">
        <v>0</v>
      </c>
      <c r="G161" s="32">
        <v>0</v>
      </c>
      <c r="H161" s="32" t="s">
        <v>59</v>
      </c>
      <c r="I161" s="32">
        <v>0</v>
      </c>
      <c r="J161" s="32">
        <v>1</v>
      </c>
      <c r="K161" s="23">
        <f>SUM(B161:J161)</f>
        <v>18</v>
      </c>
      <c r="L161" s="35">
        <f>K161/(K160+K161+K162)</f>
        <v>0.10975609756097561</v>
      </c>
      <c r="M161" s="35">
        <f>K161/(K163)</f>
        <v>0.10975609756097561</v>
      </c>
      <c r="N161" s="12"/>
      <c r="O161" s="35"/>
      <c r="P161" s="13"/>
      <c r="Q161" s="49">
        <v>0</v>
      </c>
      <c r="R161" s="59" t="s">
        <v>82</v>
      </c>
      <c r="S161" s="50">
        <v>0</v>
      </c>
      <c r="T161" s="38">
        <f>SUM(Q161:S161)</f>
        <v>0</v>
      </c>
      <c r="U161" s="15">
        <f>T161/T163</f>
        <v>0</v>
      </c>
      <c r="V161" s="13"/>
      <c r="W161" s="49">
        <v>0</v>
      </c>
      <c r="X161" s="49">
        <v>0</v>
      </c>
      <c r="Y161" s="49">
        <v>2</v>
      </c>
      <c r="Z161" s="49">
        <v>0</v>
      </c>
      <c r="AA161" s="49">
        <v>1</v>
      </c>
      <c r="AB161" s="49">
        <v>0</v>
      </c>
      <c r="AC161" s="51">
        <f>SUM(W161:AB161)</f>
        <v>3</v>
      </c>
      <c r="AD161" s="15">
        <f>AC161/AC163</f>
        <v>6.5217391304347824E-2</v>
      </c>
      <c r="AE161" s="13"/>
      <c r="AF161" s="49">
        <v>0</v>
      </c>
      <c r="AG161" s="49">
        <v>5</v>
      </c>
      <c r="AH161" s="49">
        <v>0</v>
      </c>
      <c r="AI161" s="49">
        <v>0</v>
      </c>
      <c r="AJ161" s="49">
        <v>0</v>
      </c>
      <c r="AK161" s="49">
        <v>1</v>
      </c>
      <c r="AL161" s="49">
        <f>SUM(AF161:AK161)</f>
        <v>6</v>
      </c>
      <c r="AM161" s="15">
        <f>AL161/AL163</f>
        <v>0.12</v>
      </c>
      <c r="AN161" s="13"/>
      <c r="AO161" s="49">
        <v>0</v>
      </c>
      <c r="AP161" s="49">
        <v>0</v>
      </c>
      <c r="AQ161" s="49">
        <v>0</v>
      </c>
      <c r="AR161" s="58" t="s">
        <v>82</v>
      </c>
      <c r="AS161" s="49">
        <v>0</v>
      </c>
      <c r="AT161" s="49">
        <v>0</v>
      </c>
      <c r="AU161" s="51">
        <f>SUM(AO161:AT161)</f>
        <v>0</v>
      </c>
      <c r="AV161" s="15">
        <f>AU161/AU163</f>
        <v>0</v>
      </c>
      <c r="AW161" s="13"/>
      <c r="AX161" s="49">
        <v>0</v>
      </c>
      <c r="AY161" s="49">
        <v>0</v>
      </c>
      <c r="AZ161" s="49">
        <v>0</v>
      </c>
      <c r="BA161" s="49">
        <v>0</v>
      </c>
      <c r="BB161" s="49">
        <v>0</v>
      </c>
      <c r="BC161" s="51">
        <f>SUM(AX161:BB161)</f>
        <v>0</v>
      </c>
      <c r="BD161" s="15">
        <f>BC161/BC163</f>
        <v>0</v>
      </c>
      <c r="BE161" s="13"/>
      <c r="BF161" s="38"/>
      <c r="BG161" s="42"/>
      <c r="BH161" s="42"/>
      <c r="BI161" s="42"/>
    </row>
    <row r="162" spans="1:61" ht="20.25" customHeight="1">
      <c r="A162" s="8" t="s">
        <v>65</v>
      </c>
      <c r="B162" s="32">
        <v>0</v>
      </c>
      <c r="C162" s="32">
        <v>0</v>
      </c>
      <c r="D162" s="32">
        <v>0</v>
      </c>
      <c r="E162" s="32">
        <v>0</v>
      </c>
      <c r="F162" s="32">
        <v>1</v>
      </c>
      <c r="G162" s="32">
        <v>0</v>
      </c>
      <c r="H162" s="32" t="s">
        <v>59</v>
      </c>
      <c r="I162" s="32">
        <v>1</v>
      </c>
      <c r="J162" s="32">
        <v>0</v>
      </c>
      <c r="K162" s="23">
        <f>SUM(B162:J162)</f>
        <v>2</v>
      </c>
      <c r="L162" s="35">
        <f>K162/(K161+K162+K160)</f>
        <v>1.2195121951219513E-2</v>
      </c>
      <c r="M162" s="35">
        <f>K162/(K163)</f>
        <v>1.2195121951219513E-2</v>
      </c>
      <c r="N162" s="12"/>
      <c r="O162" s="35"/>
      <c r="P162" s="13"/>
      <c r="Q162" s="14">
        <v>0</v>
      </c>
      <c r="R162" s="9" t="s">
        <v>82</v>
      </c>
      <c r="S162" s="14">
        <v>0</v>
      </c>
      <c r="T162" s="38">
        <f>SUM(Q162:S162)</f>
        <v>0</v>
      </c>
      <c r="U162" s="15">
        <f>T162/T163</f>
        <v>0</v>
      </c>
      <c r="V162" s="13"/>
      <c r="W162" s="14">
        <v>0</v>
      </c>
      <c r="X162" s="14">
        <v>0</v>
      </c>
      <c r="Y162" s="14">
        <v>0</v>
      </c>
      <c r="Z162" s="14">
        <v>0</v>
      </c>
      <c r="AA162" s="14">
        <v>0</v>
      </c>
      <c r="AB162" s="14">
        <v>0</v>
      </c>
      <c r="AC162" s="38">
        <f>SUM(W162:AB162)</f>
        <v>0</v>
      </c>
      <c r="AD162" s="15">
        <f>AC162/AC163</f>
        <v>0</v>
      </c>
      <c r="AE162" s="13"/>
      <c r="AF162" s="14">
        <v>0</v>
      </c>
      <c r="AG162" s="14">
        <v>0</v>
      </c>
      <c r="AH162" s="14">
        <v>0</v>
      </c>
      <c r="AI162" s="14">
        <v>0</v>
      </c>
      <c r="AJ162" s="14">
        <v>0</v>
      </c>
      <c r="AK162" s="14">
        <v>0</v>
      </c>
      <c r="AL162" s="14">
        <f>SUM(AF162:AK162)</f>
        <v>0</v>
      </c>
      <c r="AM162" s="15">
        <f>AL162/AL163</f>
        <v>0</v>
      </c>
      <c r="AN162" s="13"/>
      <c r="AO162" s="14">
        <v>0</v>
      </c>
      <c r="AP162" s="14">
        <v>0</v>
      </c>
      <c r="AQ162" s="14">
        <v>0</v>
      </c>
      <c r="AR162" s="9" t="s">
        <v>82</v>
      </c>
      <c r="AS162" s="14">
        <v>0</v>
      </c>
      <c r="AT162" s="14">
        <v>0</v>
      </c>
      <c r="AU162" s="38">
        <f>SUM(AO162:AT162)</f>
        <v>0</v>
      </c>
      <c r="AV162" s="15">
        <f>AU162/AU163</f>
        <v>0</v>
      </c>
      <c r="AW162" s="13"/>
      <c r="AX162" s="14">
        <v>1</v>
      </c>
      <c r="AY162" s="14">
        <v>1</v>
      </c>
      <c r="AZ162" s="14">
        <v>0</v>
      </c>
      <c r="BA162" s="14">
        <v>0</v>
      </c>
      <c r="BB162" s="14">
        <v>0</v>
      </c>
      <c r="BC162" s="38">
        <f>SUM(AX162:BB162)</f>
        <v>2</v>
      </c>
      <c r="BD162" s="15">
        <f>BC162/BC163</f>
        <v>0.2</v>
      </c>
      <c r="BE162" s="13"/>
      <c r="BF162" s="38"/>
      <c r="BG162" s="42"/>
      <c r="BH162" s="42"/>
      <c r="BI162" s="42"/>
    </row>
    <row r="163" spans="1:61" ht="20.25" customHeight="1">
      <c r="A163" s="39" t="s">
        <v>66</v>
      </c>
      <c r="B163" s="32">
        <f t="shared" ref="B163:G163" si="98">SUM(B160:B162)</f>
        <v>27</v>
      </c>
      <c r="C163" s="32">
        <f t="shared" si="98"/>
        <v>7</v>
      </c>
      <c r="D163" s="32">
        <f t="shared" si="98"/>
        <v>30</v>
      </c>
      <c r="E163" s="32">
        <f t="shared" si="98"/>
        <v>17</v>
      </c>
      <c r="F163" s="32">
        <f t="shared" si="98"/>
        <v>23</v>
      </c>
      <c r="G163" s="32">
        <f t="shared" si="98"/>
        <v>18</v>
      </c>
      <c r="H163" s="32" t="s">
        <v>59</v>
      </c>
      <c r="I163" s="32">
        <f>SUM(I160:I162)</f>
        <v>20</v>
      </c>
      <c r="J163" s="32">
        <f>SUM(J160:J162)</f>
        <v>22</v>
      </c>
      <c r="K163" s="23">
        <f>SUM(B163:J163)</f>
        <v>164</v>
      </c>
      <c r="L163" s="35">
        <f>K163/(K162+K161+K160)</f>
        <v>1</v>
      </c>
      <c r="M163" s="35">
        <f>K163/(K160+K161+K162)</f>
        <v>1</v>
      </c>
      <c r="N163" s="37">
        <f>T163+AC163+AL163+AU163+S164</f>
        <v>127</v>
      </c>
      <c r="O163" s="35">
        <f>N163/K163</f>
        <v>0.77439024390243905</v>
      </c>
      <c r="P163" s="13"/>
      <c r="Q163" s="38">
        <f>SUM(Q160:Q162)</f>
        <v>9</v>
      </c>
      <c r="R163" s="38">
        <f>SUM(R160:R162)</f>
        <v>0</v>
      </c>
      <c r="S163" s="38">
        <f>SUM(S160:S162)</f>
        <v>2</v>
      </c>
      <c r="T163" s="38">
        <f>SUM(Q163:S163)</f>
        <v>11</v>
      </c>
      <c r="U163" s="40">
        <f>T163/(T160+T161+T162)</f>
        <v>1</v>
      </c>
      <c r="V163" s="13"/>
      <c r="W163" s="38">
        <f t="shared" ref="W163:AB163" si="99">SUM(W160:W162)</f>
        <v>9</v>
      </c>
      <c r="X163" s="38">
        <f t="shared" si="99"/>
        <v>7</v>
      </c>
      <c r="Y163" s="38">
        <f t="shared" si="99"/>
        <v>15</v>
      </c>
      <c r="Z163" s="38">
        <f t="shared" si="99"/>
        <v>3</v>
      </c>
      <c r="AA163" s="38">
        <f t="shared" si="99"/>
        <v>10</v>
      </c>
      <c r="AB163" s="38">
        <f t="shared" si="99"/>
        <v>2</v>
      </c>
      <c r="AC163" s="38">
        <f>SUM(W163:AB163)</f>
        <v>46</v>
      </c>
      <c r="AD163" s="40">
        <f>AC163/(AC160+AC161+AC162)</f>
        <v>1</v>
      </c>
      <c r="AE163" s="13"/>
      <c r="AF163" s="38">
        <f t="shared" ref="AF163:AK163" si="100">SUM(AF160:AF162)</f>
        <v>10</v>
      </c>
      <c r="AG163" s="38">
        <f t="shared" si="100"/>
        <v>11</v>
      </c>
      <c r="AH163" s="38">
        <f t="shared" si="100"/>
        <v>5</v>
      </c>
      <c r="AI163" s="38">
        <f t="shared" si="100"/>
        <v>6</v>
      </c>
      <c r="AJ163" s="38">
        <f t="shared" si="100"/>
        <v>1</v>
      </c>
      <c r="AK163" s="38">
        <f t="shared" si="100"/>
        <v>17</v>
      </c>
      <c r="AL163" s="38">
        <f>SUM(AF163:AK163)</f>
        <v>50</v>
      </c>
      <c r="AM163" s="41">
        <f>AL163/(AL160+AL161+AL162)</f>
        <v>1</v>
      </c>
      <c r="AN163" s="13"/>
      <c r="AO163" s="38">
        <f t="shared" ref="AO163:AT163" si="101">SUM(AO160:AO162)</f>
        <v>1</v>
      </c>
      <c r="AP163" s="38">
        <f t="shared" si="101"/>
        <v>3</v>
      </c>
      <c r="AQ163" s="38">
        <f t="shared" si="101"/>
        <v>4</v>
      </c>
      <c r="AR163" s="38">
        <f t="shared" si="101"/>
        <v>0</v>
      </c>
      <c r="AS163" s="38">
        <f t="shared" si="101"/>
        <v>8</v>
      </c>
      <c r="AT163" s="38">
        <f t="shared" si="101"/>
        <v>4</v>
      </c>
      <c r="AU163" s="38">
        <f>SUM(AO163:AT163)</f>
        <v>20</v>
      </c>
      <c r="AV163" s="40">
        <f>AU163/(AU160+AU161+AU162)</f>
        <v>1</v>
      </c>
      <c r="AW163" s="13"/>
      <c r="AX163" s="38">
        <f>SUM(AX160:AX162)</f>
        <v>1</v>
      </c>
      <c r="AY163" s="38">
        <f>SUM(AY160:AY162)</f>
        <v>3</v>
      </c>
      <c r="AZ163" s="38">
        <f>SUM(AZ160:AZ162)</f>
        <v>2</v>
      </c>
      <c r="BA163" s="38">
        <f>SUM(BA160:BA162)</f>
        <v>1</v>
      </c>
      <c r="BB163" s="38">
        <f>SUM(BB160:BB162)</f>
        <v>3</v>
      </c>
      <c r="BC163" s="38">
        <f>SUM(AX163:BB163)</f>
        <v>10</v>
      </c>
      <c r="BD163" s="40">
        <f>BC163/(BC160+BC161+BC162)</f>
        <v>1</v>
      </c>
      <c r="BE163" s="13"/>
      <c r="BF163" s="38"/>
      <c r="BG163" s="42"/>
      <c r="BH163" s="42"/>
      <c r="BI163" s="42"/>
    </row>
    <row r="164" spans="1:61" ht="92.25" customHeight="1">
      <c r="A164" s="43" t="s">
        <v>127</v>
      </c>
      <c r="B164" s="181" t="s">
        <v>110</v>
      </c>
      <c r="C164" s="182"/>
      <c r="D164" s="182"/>
      <c r="E164" s="182"/>
      <c r="F164" s="182"/>
      <c r="G164" s="22"/>
      <c r="H164" s="22"/>
      <c r="I164" s="22"/>
      <c r="J164" s="22"/>
      <c r="K164" s="21"/>
      <c r="L164" s="24"/>
      <c r="M164" s="24"/>
      <c r="N164" s="26"/>
      <c r="O164" s="24"/>
      <c r="P164" s="27"/>
      <c r="Q164" s="28"/>
      <c r="R164" s="28"/>
      <c r="S164" s="28"/>
      <c r="T164" s="26"/>
      <c r="U164" s="24"/>
      <c r="V164" s="27"/>
      <c r="W164" s="28"/>
      <c r="X164" s="28"/>
      <c r="Y164" s="28"/>
      <c r="Z164" s="28"/>
      <c r="AA164" s="28"/>
      <c r="AB164" s="28"/>
      <c r="AC164" s="26"/>
      <c r="AD164" s="24"/>
      <c r="AE164" s="27"/>
      <c r="AF164" s="28"/>
      <c r="AG164" s="28"/>
      <c r="AH164" s="28"/>
      <c r="AI164" s="28"/>
      <c r="AJ164" s="28"/>
      <c r="AK164" s="28"/>
      <c r="AL164" s="26"/>
      <c r="AM164" s="29"/>
      <c r="AN164" s="27"/>
      <c r="AO164" s="26"/>
      <c r="AP164" s="26"/>
      <c r="AQ164" s="26"/>
      <c r="AR164" s="26"/>
      <c r="AS164" s="26"/>
      <c r="AT164" s="26"/>
      <c r="AU164" s="26"/>
      <c r="AV164" s="24"/>
      <c r="AW164" s="27"/>
      <c r="AX164" s="26"/>
      <c r="AY164" s="26"/>
      <c r="AZ164" s="26"/>
      <c r="BA164" s="26"/>
      <c r="BB164" s="26"/>
      <c r="BC164" s="26"/>
      <c r="BD164" s="24"/>
      <c r="BE164" s="27"/>
      <c r="BF164" s="26"/>
      <c r="BG164" s="22"/>
      <c r="BH164" s="21"/>
      <c r="BI164" s="22"/>
    </row>
    <row r="165" spans="1:61" ht="32.25" customHeight="1">
      <c r="A165" s="10"/>
      <c r="B165" s="30" t="s">
        <v>0</v>
      </c>
      <c r="C165" s="30" t="s">
        <v>1</v>
      </c>
      <c r="D165" s="30" t="s">
        <v>2</v>
      </c>
      <c r="E165" s="30" t="s">
        <v>3</v>
      </c>
      <c r="F165" s="30" t="s">
        <v>4</v>
      </c>
      <c r="G165" s="30" t="s">
        <v>5</v>
      </c>
      <c r="H165" s="30" t="s">
        <v>68</v>
      </c>
      <c r="I165" s="30" t="s">
        <v>7</v>
      </c>
      <c r="J165" s="30" t="s">
        <v>8</v>
      </c>
      <c r="K165" s="10" t="s">
        <v>9</v>
      </c>
      <c r="L165" s="10" t="s">
        <v>56</v>
      </c>
      <c r="M165" s="20"/>
      <c r="N165" s="12"/>
      <c r="O165" s="20"/>
      <c r="P165" s="27"/>
      <c r="Q165" s="30" t="s">
        <v>15</v>
      </c>
      <c r="R165" s="30" t="s">
        <v>16</v>
      </c>
      <c r="S165" s="30" t="s">
        <v>28</v>
      </c>
      <c r="T165" s="20"/>
      <c r="U165" s="11"/>
      <c r="V165" s="27"/>
      <c r="W165" s="30" t="s">
        <v>15</v>
      </c>
      <c r="X165" s="30" t="s">
        <v>20</v>
      </c>
      <c r="Y165" s="30" t="s">
        <v>21</v>
      </c>
      <c r="Z165" s="30" t="s">
        <v>22</v>
      </c>
      <c r="AA165" s="30" t="s">
        <v>23</v>
      </c>
      <c r="AB165" s="30" t="s">
        <v>24</v>
      </c>
      <c r="AC165" s="20"/>
      <c r="AD165" s="11"/>
      <c r="AE165" s="27"/>
      <c r="AF165" s="30" t="s">
        <v>20</v>
      </c>
      <c r="AG165" s="30" t="s">
        <v>21</v>
      </c>
      <c r="AH165" s="30" t="s">
        <v>22</v>
      </c>
      <c r="AI165" s="30" t="s">
        <v>23</v>
      </c>
      <c r="AJ165" s="30" t="s">
        <v>24</v>
      </c>
      <c r="AK165" s="30" t="s">
        <v>28</v>
      </c>
      <c r="AL165" s="20"/>
      <c r="AM165" s="44"/>
      <c r="AN165" s="27"/>
      <c r="AO165" s="30" t="s">
        <v>15</v>
      </c>
      <c r="AP165" s="30" t="s">
        <v>20</v>
      </c>
      <c r="AQ165" s="30" t="s">
        <v>21</v>
      </c>
      <c r="AR165" s="30" t="s">
        <v>16</v>
      </c>
      <c r="AS165" s="30" t="s">
        <v>22</v>
      </c>
      <c r="AT165" s="30" t="s">
        <v>24</v>
      </c>
      <c r="AU165" s="20"/>
      <c r="AV165" s="11"/>
      <c r="AW165" s="27"/>
      <c r="AX165" s="30" t="s">
        <v>15</v>
      </c>
      <c r="AY165" s="30" t="s">
        <v>20</v>
      </c>
      <c r="AZ165" s="30" t="s">
        <v>22</v>
      </c>
      <c r="BA165" s="30" t="s">
        <v>23</v>
      </c>
      <c r="BB165" s="30" t="s">
        <v>28</v>
      </c>
      <c r="BC165" s="20"/>
      <c r="BD165" s="11"/>
      <c r="BE165" s="27"/>
      <c r="BF165" s="9" t="s">
        <v>80</v>
      </c>
      <c r="BG165" s="16"/>
      <c r="BH165" s="16"/>
      <c r="BI165" s="16"/>
    </row>
    <row r="166" spans="1:61" ht="20.25" customHeight="1">
      <c r="A166" s="10" t="s">
        <v>97</v>
      </c>
      <c r="B166" s="32" t="s">
        <v>59</v>
      </c>
      <c r="C166" s="32">
        <v>0</v>
      </c>
      <c r="D166" s="32">
        <v>0</v>
      </c>
      <c r="E166" s="32">
        <v>0</v>
      </c>
      <c r="F166" s="32">
        <v>0</v>
      </c>
      <c r="G166" s="32">
        <v>0</v>
      </c>
      <c r="H166" s="32" t="s">
        <v>82</v>
      </c>
      <c r="I166" s="32">
        <v>0</v>
      </c>
      <c r="J166" s="33">
        <v>1</v>
      </c>
      <c r="K166" s="23">
        <f t="shared" ref="K166:K171" si="102">SUM(B166:J166)</f>
        <v>1</v>
      </c>
      <c r="L166" s="35">
        <f>K166/K172</f>
        <v>7.6335877862595417E-3</v>
      </c>
      <c r="M166" s="35">
        <f>K166/K175</f>
        <v>7.2992700729927005E-3</v>
      </c>
      <c r="N166" s="37"/>
      <c r="O166" s="35"/>
      <c r="P166" s="13"/>
      <c r="Q166" s="33">
        <v>0</v>
      </c>
      <c r="R166" s="9" t="s">
        <v>82</v>
      </c>
      <c r="S166" s="14">
        <v>0</v>
      </c>
      <c r="T166" s="14">
        <f t="shared" ref="T166:T171" si="103">SUM(Q166:S166)</f>
        <v>0</v>
      </c>
      <c r="U166" s="40">
        <f>T166/T172</f>
        <v>0</v>
      </c>
      <c r="V166" s="13"/>
      <c r="W166" s="33">
        <v>0</v>
      </c>
      <c r="X166" s="33">
        <v>0</v>
      </c>
      <c r="Y166" s="33">
        <v>0</v>
      </c>
      <c r="Z166" s="33">
        <v>0</v>
      </c>
      <c r="AA166" s="33">
        <v>0</v>
      </c>
      <c r="AB166" s="33">
        <v>0</v>
      </c>
      <c r="AC166" s="14">
        <f t="shared" ref="AC166:AC171" si="104">SUM(W166:AB166)</f>
        <v>0</v>
      </c>
      <c r="AD166" s="40">
        <f>AC166/AC172</f>
        <v>0</v>
      </c>
      <c r="AE166" s="13"/>
      <c r="AF166" s="33">
        <v>0</v>
      </c>
      <c r="AG166" s="33">
        <v>0</v>
      </c>
      <c r="AH166" s="33">
        <v>0</v>
      </c>
      <c r="AI166" s="33">
        <v>0</v>
      </c>
      <c r="AJ166" s="33">
        <v>0</v>
      </c>
      <c r="AK166" s="33">
        <v>1</v>
      </c>
      <c r="AL166" s="14">
        <f t="shared" ref="AL166:AL171" si="105">SUM(AF166:AK166)</f>
        <v>1</v>
      </c>
      <c r="AM166" s="40">
        <f>AL166/AL172</f>
        <v>2.0833333333333332E-2</v>
      </c>
      <c r="AN166" s="13"/>
      <c r="AO166" s="33">
        <v>0</v>
      </c>
      <c r="AP166" s="33">
        <v>0</v>
      </c>
      <c r="AQ166" s="33">
        <v>0</v>
      </c>
      <c r="AR166" s="33" t="s">
        <v>82</v>
      </c>
      <c r="AS166" s="33">
        <v>0</v>
      </c>
      <c r="AT166" s="33">
        <v>0</v>
      </c>
      <c r="AU166" s="14">
        <f t="shared" ref="AU166:AU171" si="106">SUM(AO166:AT166)</f>
        <v>0</v>
      </c>
      <c r="AV166" s="40">
        <f>AU166/AU172</f>
        <v>0</v>
      </c>
      <c r="AW166" s="13"/>
      <c r="AX166" s="33">
        <v>0</v>
      </c>
      <c r="AY166" s="33">
        <v>0</v>
      </c>
      <c r="AZ166" s="33">
        <v>0</v>
      </c>
      <c r="BA166" s="33">
        <v>0</v>
      </c>
      <c r="BB166" s="33">
        <v>0</v>
      </c>
      <c r="BC166" s="14">
        <f t="shared" ref="BC166:BC171" si="107">SUM(AX166:BB166)</f>
        <v>0</v>
      </c>
      <c r="BD166" s="40">
        <f>BC166/BC172</f>
        <v>0</v>
      </c>
      <c r="BE166" s="13"/>
      <c r="BF166" s="9" t="s">
        <v>59</v>
      </c>
      <c r="BG166" s="15"/>
      <c r="BH166" s="16"/>
      <c r="BI166" s="15"/>
    </row>
    <row r="167" spans="1:61" ht="20.25" customHeight="1">
      <c r="A167" s="10" t="s">
        <v>98</v>
      </c>
      <c r="B167" s="32" t="s">
        <v>59</v>
      </c>
      <c r="C167" s="32">
        <v>0</v>
      </c>
      <c r="D167" s="32">
        <v>2</v>
      </c>
      <c r="E167" s="32">
        <v>1</v>
      </c>
      <c r="F167" s="32">
        <v>0</v>
      </c>
      <c r="G167" s="32">
        <v>0</v>
      </c>
      <c r="H167" s="32" t="s">
        <v>82</v>
      </c>
      <c r="I167" s="32">
        <v>2</v>
      </c>
      <c r="J167" s="33">
        <v>1</v>
      </c>
      <c r="K167" s="23">
        <f t="shared" si="102"/>
        <v>6</v>
      </c>
      <c r="L167" s="35">
        <f>K167/K172</f>
        <v>4.5801526717557252E-2</v>
      </c>
      <c r="M167" s="35">
        <f>K167/K175</f>
        <v>4.3795620437956206E-2</v>
      </c>
      <c r="N167" s="37"/>
      <c r="O167" s="35"/>
      <c r="P167" s="13"/>
      <c r="Q167" s="33">
        <v>1</v>
      </c>
      <c r="R167" s="9" t="s">
        <v>82</v>
      </c>
      <c r="S167" s="14">
        <v>0</v>
      </c>
      <c r="T167" s="14">
        <f t="shared" si="103"/>
        <v>1</v>
      </c>
      <c r="U167" s="40">
        <f>T167/T172</f>
        <v>9.0909090909090912E-2</v>
      </c>
      <c r="V167" s="13"/>
      <c r="W167" s="33">
        <v>1</v>
      </c>
      <c r="X167" s="33">
        <v>0</v>
      </c>
      <c r="Y167" s="33">
        <v>0</v>
      </c>
      <c r="Z167" s="33">
        <v>0</v>
      </c>
      <c r="AA167" s="33">
        <v>0</v>
      </c>
      <c r="AB167" s="33">
        <v>0</v>
      </c>
      <c r="AC167" s="14">
        <f t="shared" si="104"/>
        <v>1</v>
      </c>
      <c r="AD167" s="40">
        <f>AC167/AC172</f>
        <v>2.1739130434782608E-2</v>
      </c>
      <c r="AE167" s="13"/>
      <c r="AF167" s="33">
        <v>0</v>
      </c>
      <c r="AG167" s="33">
        <v>1</v>
      </c>
      <c r="AH167" s="33">
        <v>0</v>
      </c>
      <c r="AI167" s="33">
        <v>1</v>
      </c>
      <c r="AJ167" s="33">
        <v>0</v>
      </c>
      <c r="AK167" s="33">
        <v>1</v>
      </c>
      <c r="AL167" s="14">
        <f t="shared" si="105"/>
        <v>3</v>
      </c>
      <c r="AM167" s="40">
        <f>AL167/AL172</f>
        <v>6.25E-2</v>
      </c>
      <c r="AN167" s="13"/>
      <c r="AO167" s="33">
        <v>0</v>
      </c>
      <c r="AP167" s="33">
        <v>0</v>
      </c>
      <c r="AQ167" s="33">
        <v>1</v>
      </c>
      <c r="AR167" s="33" t="s">
        <v>82</v>
      </c>
      <c r="AS167" s="33">
        <v>0</v>
      </c>
      <c r="AT167" s="33">
        <v>0</v>
      </c>
      <c r="AU167" s="14">
        <f t="shared" si="106"/>
        <v>1</v>
      </c>
      <c r="AV167" s="40">
        <f>AU167/AU172</f>
        <v>5.5555555555555552E-2</v>
      </c>
      <c r="AW167" s="13"/>
      <c r="AX167" s="33">
        <v>0</v>
      </c>
      <c r="AY167" s="33">
        <v>0</v>
      </c>
      <c r="AZ167" s="33">
        <v>0</v>
      </c>
      <c r="BA167" s="33">
        <v>0</v>
      </c>
      <c r="BB167" s="33">
        <v>0</v>
      </c>
      <c r="BC167" s="14">
        <f t="shared" si="107"/>
        <v>0</v>
      </c>
      <c r="BD167" s="40">
        <f>BC167/BC172</f>
        <v>0</v>
      </c>
      <c r="BE167" s="13"/>
      <c r="BF167" s="9" t="s">
        <v>59</v>
      </c>
      <c r="BG167" s="15"/>
      <c r="BH167" s="16"/>
      <c r="BI167" s="15"/>
    </row>
    <row r="168" spans="1:61" ht="20.25" customHeight="1">
      <c r="A168" s="10" t="s">
        <v>99</v>
      </c>
      <c r="B168" s="32" t="s">
        <v>59</v>
      </c>
      <c r="C168" s="32">
        <v>1</v>
      </c>
      <c r="D168" s="32">
        <v>2</v>
      </c>
      <c r="E168" s="32">
        <v>0</v>
      </c>
      <c r="F168" s="32">
        <v>6</v>
      </c>
      <c r="G168" s="32">
        <v>2</v>
      </c>
      <c r="H168" s="32" t="s">
        <v>82</v>
      </c>
      <c r="I168" s="32">
        <v>5</v>
      </c>
      <c r="J168" s="33">
        <v>2</v>
      </c>
      <c r="K168" s="23">
        <f t="shared" si="102"/>
        <v>18</v>
      </c>
      <c r="L168" s="35">
        <f>K168/K172</f>
        <v>0.13740458015267176</v>
      </c>
      <c r="M168" s="35">
        <f>K168/K175</f>
        <v>0.13138686131386862</v>
      </c>
      <c r="N168" s="37"/>
      <c r="O168" s="35"/>
      <c r="P168" s="13"/>
      <c r="Q168" s="33">
        <v>1</v>
      </c>
      <c r="R168" s="9" t="s">
        <v>82</v>
      </c>
      <c r="S168" s="14">
        <v>1</v>
      </c>
      <c r="T168" s="14">
        <f t="shared" si="103"/>
        <v>2</v>
      </c>
      <c r="U168" s="40">
        <f>T168/T172</f>
        <v>0.18181818181818182</v>
      </c>
      <c r="V168" s="13"/>
      <c r="W168" s="33">
        <v>3</v>
      </c>
      <c r="X168" s="33">
        <v>3</v>
      </c>
      <c r="Y168" s="33">
        <v>1</v>
      </c>
      <c r="Z168" s="33">
        <v>1</v>
      </c>
      <c r="AA168" s="33">
        <v>0</v>
      </c>
      <c r="AB168" s="33">
        <v>0</v>
      </c>
      <c r="AC168" s="14">
        <f t="shared" si="104"/>
        <v>8</v>
      </c>
      <c r="AD168" s="40">
        <f>AC168/AC172</f>
        <v>0.17391304347826086</v>
      </c>
      <c r="AE168" s="13"/>
      <c r="AF168" s="33">
        <v>1</v>
      </c>
      <c r="AG168" s="33">
        <v>1</v>
      </c>
      <c r="AH168" s="33">
        <v>0</v>
      </c>
      <c r="AI168" s="33">
        <v>0</v>
      </c>
      <c r="AJ168" s="33">
        <v>0</v>
      </c>
      <c r="AK168" s="33">
        <v>1</v>
      </c>
      <c r="AL168" s="14">
        <f t="shared" si="105"/>
        <v>3</v>
      </c>
      <c r="AM168" s="40">
        <f>AL168/AL172</f>
        <v>6.25E-2</v>
      </c>
      <c r="AN168" s="13"/>
      <c r="AO168" s="33">
        <v>1</v>
      </c>
      <c r="AP168" s="33">
        <v>1</v>
      </c>
      <c r="AQ168" s="33">
        <v>0</v>
      </c>
      <c r="AR168" s="33" t="s">
        <v>82</v>
      </c>
      <c r="AS168" s="33">
        <v>0</v>
      </c>
      <c r="AT168" s="33">
        <v>1</v>
      </c>
      <c r="AU168" s="14">
        <f t="shared" si="106"/>
        <v>3</v>
      </c>
      <c r="AV168" s="40">
        <f>AU168/AU172</f>
        <v>0.16666666666666666</v>
      </c>
      <c r="AW168" s="13"/>
      <c r="AX168" s="33">
        <v>0</v>
      </c>
      <c r="AY168" s="33">
        <v>1</v>
      </c>
      <c r="AZ168" s="33">
        <v>1</v>
      </c>
      <c r="BA168" s="33">
        <v>0</v>
      </c>
      <c r="BB168" s="33">
        <v>0</v>
      </c>
      <c r="BC168" s="14">
        <f t="shared" si="107"/>
        <v>2</v>
      </c>
      <c r="BD168" s="40">
        <f>BC168/BC172</f>
        <v>0.25</v>
      </c>
      <c r="BE168" s="13"/>
      <c r="BF168" s="9" t="s">
        <v>59</v>
      </c>
      <c r="BG168" s="15"/>
      <c r="BH168" s="16"/>
      <c r="BI168" s="15"/>
    </row>
    <row r="169" spans="1:61" ht="20.25" customHeight="1">
      <c r="A169" s="10" t="s">
        <v>100</v>
      </c>
      <c r="B169" s="32" t="s">
        <v>59</v>
      </c>
      <c r="C169" s="32">
        <v>2</v>
      </c>
      <c r="D169" s="32">
        <v>13</v>
      </c>
      <c r="E169" s="32">
        <v>6</v>
      </c>
      <c r="F169" s="32">
        <v>10</v>
      </c>
      <c r="G169" s="32" t="s">
        <v>82</v>
      </c>
      <c r="H169" s="32" t="s">
        <v>82</v>
      </c>
      <c r="I169" s="32">
        <v>5</v>
      </c>
      <c r="J169" s="33">
        <v>10</v>
      </c>
      <c r="K169" s="23">
        <f t="shared" si="102"/>
        <v>46</v>
      </c>
      <c r="L169" s="35">
        <f>K169/K172</f>
        <v>0.35114503816793891</v>
      </c>
      <c r="M169" s="35">
        <f>K169/K175</f>
        <v>0.33576642335766421</v>
      </c>
      <c r="N169" s="37"/>
      <c r="O169" s="35"/>
      <c r="P169" s="13"/>
      <c r="Q169" s="33">
        <v>3</v>
      </c>
      <c r="R169" s="9" t="s">
        <v>82</v>
      </c>
      <c r="S169" s="14">
        <v>0</v>
      </c>
      <c r="T169" s="14">
        <f t="shared" si="103"/>
        <v>3</v>
      </c>
      <c r="U169" s="40">
        <f>T169/T172</f>
        <v>0.27272727272727271</v>
      </c>
      <c r="V169" s="13"/>
      <c r="W169" s="33">
        <v>2</v>
      </c>
      <c r="X169" s="33">
        <v>2</v>
      </c>
      <c r="Y169" s="33">
        <v>6</v>
      </c>
      <c r="Z169" s="33">
        <v>1</v>
      </c>
      <c r="AA169" s="33">
        <v>2</v>
      </c>
      <c r="AB169" s="33">
        <v>1</v>
      </c>
      <c r="AC169" s="14">
        <f t="shared" si="104"/>
        <v>14</v>
      </c>
      <c r="AD169" s="40">
        <f>AC169/AC172</f>
        <v>0.30434782608695654</v>
      </c>
      <c r="AE169" s="13"/>
      <c r="AF169" s="33">
        <v>8</v>
      </c>
      <c r="AG169" s="33">
        <v>6</v>
      </c>
      <c r="AH169" s="33">
        <v>3</v>
      </c>
      <c r="AI169" s="33">
        <v>4</v>
      </c>
      <c r="AJ169" s="33">
        <v>0</v>
      </c>
      <c r="AK169" s="33">
        <v>10</v>
      </c>
      <c r="AL169" s="14">
        <f t="shared" si="105"/>
        <v>31</v>
      </c>
      <c r="AM169" s="40">
        <f>AL169/AL172</f>
        <v>0.64583333333333337</v>
      </c>
      <c r="AN169" s="13"/>
      <c r="AO169" s="33">
        <v>0</v>
      </c>
      <c r="AP169" s="33">
        <v>0</v>
      </c>
      <c r="AQ169" s="33">
        <v>1</v>
      </c>
      <c r="AR169" s="33" t="s">
        <v>82</v>
      </c>
      <c r="AS169" s="33">
        <v>4</v>
      </c>
      <c r="AT169" s="33">
        <v>1</v>
      </c>
      <c r="AU169" s="14">
        <f t="shared" si="106"/>
        <v>6</v>
      </c>
      <c r="AV169" s="40">
        <f>AU169/AU172</f>
        <v>0.33333333333333331</v>
      </c>
      <c r="AW169" s="13"/>
      <c r="AX169" s="33">
        <v>0</v>
      </c>
      <c r="AY169" s="33">
        <v>0</v>
      </c>
      <c r="AZ169" s="33">
        <v>1</v>
      </c>
      <c r="BA169" s="33">
        <v>0</v>
      </c>
      <c r="BB169" s="33">
        <v>0</v>
      </c>
      <c r="BC169" s="14">
        <f t="shared" si="107"/>
        <v>1</v>
      </c>
      <c r="BD169" s="40">
        <f>BC169/BC172</f>
        <v>0.125</v>
      </c>
      <c r="BE169" s="13"/>
      <c r="BF169" s="9" t="s">
        <v>59</v>
      </c>
      <c r="BG169" s="15"/>
      <c r="BH169" s="16"/>
      <c r="BI169" s="15"/>
    </row>
    <row r="170" spans="1:61" ht="32.25" customHeight="1">
      <c r="A170" s="10" t="s">
        <v>101</v>
      </c>
      <c r="B170" s="32" t="s">
        <v>59</v>
      </c>
      <c r="C170" s="32">
        <v>3</v>
      </c>
      <c r="D170" s="32">
        <v>11</v>
      </c>
      <c r="E170" s="32">
        <v>7</v>
      </c>
      <c r="F170" s="32">
        <v>6</v>
      </c>
      <c r="G170" s="32">
        <v>9</v>
      </c>
      <c r="H170" s="32" t="s">
        <v>82</v>
      </c>
      <c r="I170" s="32">
        <v>5</v>
      </c>
      <c r="J170" s="33">
        <v>4</v>
      </c>
      <c r="K170" s="23">
        <f t="shared" si="102"/>
        <v>45</v>
      </c>
      <c r="L170" s="35">
        <f>K170/K172</f>
        <v>0.34351145038167941</v>
      </c>
      <c r="M170" s="35">
        <f>K170/K175</f>
        <v>0.32846715328467152</v>
      </c>
      <c r="N170" s="37"/>
      <c r="O170" s="35"/>
      <c r="P170" s="13"/>
      <c r="Q170" s="33">
        <v>3</v>
      </c>
      <c r="R170" s="9" t="s">
        <v>82</v>
      </c>
      <c r="S170" s="14">
        <v>0</v>
      </c>
      <c r="T170" s="14">
        <f t="shared" si="103"/>
        <v>3</v>
      </c>
      <c r="U170" s="40">
        <f>T170/T172</f>
        <v>0.27272727272727271</v>
      </c>
      <c r="V170" s="13"/>
      <c r="W170" s="33">
        <v>2</v>
      </c>
      <c r="X170" s="33">
        <v>2</v>
      </c>
      <c r="Y170" s="33">
        <v>7</v>
      </c>
      <c r="Z170" s="33">
        <v>1</v>
      </c>
      <c r="AA170" s="33">
        <v>6</v>
      </c>
      <c r="AB170" s="33">
        <v>1</v>
      </c>
      <c r="AC170" s="14">
        <f t="shared" si="104"/>
        <v>19</v>
      </c>
      <c r="AD170" s="40">
        <f>AC170/AC172</f>
        <v>0.41304347826086957</v>
      </c>
      <c r="AE170" s="13"/>
      <c r="AF170" s="33">
        <v>1</v>
      </c>
      <c r="AG170" s="33">
        <v>2</v>
      </c>
      <c r="AH170" s="33">
        <v>1</v>
      </c>
      <c r="AI170" s="33">
        <v>1</v>
      </c>
      <c r="AJ170" s="33">
        <v>1</v>
      </c>
      <c r="AK170" s="33">
        <v>1</v>
      </c>
      <c r="AL170" s="14">
        <f t="shared" si="105"/>
        <v>7</v>
      </c>
      <c r="AM170" s="40">
        <f>AL170/AL172</f>
        <v>0.14583333333333334</v>
      </c>
      <c r="AN170" s="13"/>
      <c r="AO170" s="33">
        <v>0</v>
      </c>
      <c r="AP170" s="33">
        <v>2</v>
      </c>
      <c r="AQ170" s="33">
        <v>2</v>
      </c>
      <c r="AR170" s="33" t="s">
        <v>82</v>
      </c>
      <c r="AS170" s="33">
        <v>3</v>
      </c>
      <c r="AT170" s="33">
        <v>1</v>
      </c>
      <c r="AU170" s="14">
        <f t="shared" si="106"/>
        <v>8</v>
      </c>
      <c r="AV170" s="40">
        <f>AU170/AU172</f>
        <v>0.44444444444444442</v>
      </c>
      <c r="AW170" s="13"/>
      <c r="AX170" s="33">
        <v>0</v>
      </c>
      <c r="AY170" s="33">
        <v>1</v>
      </c>
      <c r="AZ170" s="33">
        <v>0</v>
      </c>
      <c r="BA170" s="33">
        <v>0</v>
      </c>
      <c r="BB170" s="33">
        <v>3</v>
      </c>
      <c r="BC170" s="14">
        <f t="shared" si="107"/>
        <v>4</v>
      </c>
      <c r="BD170" s="40">
        <f>BC170/BC172</f>
        <v>0.5</v>
      </c>
      <c r="BE170" s="13"/>
      <c r="BF170" s="9" t="s">
        <v>59</v>
      </c>
      <c r="BG170" s="15"/>
      <c r="BH170" s="16"/>
      <c r="BI170" s="15"/>
    </row>
    <row r="171" spans="1:61" ht="20.25" customHeight="1">
      <c r="A171" s="10" t="s">
        <v>102</v>
      </c>
      <c r="B171" s="32" t="s">
        <v>59</v>
      </c>
      <c r="C171" s="32">
        <v>0</v>
      </c>
      <c r="D171" s="32">
        <v>1</v>
      </c>
      <c r="E171" s="32">
        <v>3</v>
      </c>
      <c r="F171" s="32">
        <v>0</v>
      </c>
      <c r="G171" s="32">
        <v>5</v>
      </c>
      <c r="H171" s="32" t="s">
        <v>82</v>
      </c>
      <c r="I171" s="32">
        <v>2</v>
      </c>
      <c r="J171" s="33">
        <v>4</v>
      </c>
      <c r="K171" s="23">
        <f t="shared" si="102"/>
        <v>15</v>
      </c>
      <c r="L171" s="35">
        <f>K171/K172</f>
        <v>0.11450381679389313</v>
      </c>
      <c r="M171" s="35">
        <f>K171/K175</f>
        <v>0.10948905109489052</v>
      </c>
      <c r="N171" s="37"/>
      <c r="O171" s="35"/>
      <c r="P171" s="13"/>
      <c r="Q171" s="33">
        <v>1</v>
      </c>
      <c r="R171" s="9" t="s">
        <v>82</v>
      </c>
      <c r="S171" s="14">
        <v>1</v>
      </c>
      <c r="T171" s="14">
        <f t="shared" si="103"/>
        <v>2</v>
      </c>
      <c r="U171" s="40">
        <f>T171/T172</f>
        <v>0.18181818181818182</v>
      </c>
      <c r="V171" s="13"/>
      <c r="W171" s="33">
        <v>1</v>
      </c>
      <c r="X171" s="33">
        <v>0</v>
      </c>
      <c r="Y171" s="33">
        <v>1</v>
      </c>
      <c r="Z171" s="33">
        <v>0</v>
      </c>
      <c r="AA171" s="33">
        <v>2</v>
      </c>
      <c r="AB171" s="33">
        <v>0</v>
      </c>
      <c r="AC171" s="14">
        <f t="shared" si="104"/>
        <v>4</v>
      </c>
      <c r="AD171" s="40">
        <f>AC171/AC172</f>
        <v>8.6956521739130432E-2</v>
      </c>
      <c r="AE171" s="13"/>
      <c r="AF171" s="33">
        <v>0</v>
      </c>
      <c r="AG171" s="33">
        <v>0</v>
      </c>
      <c r="AH171" s="33">
        <v>0</v>
      </c>
      <c r="AI171" s="33">
        <v>0</v>
      </c>
      <c r="AJ171" s="33">
        <v>0</v>
      </c>
      <c r="AK171" s="33">
        <v>3</v>
      </c>
      <c r="AL171" s="14">
        <f t="shared" si="105"/>
        <v>3</v>
      </c>
      <c r="AM171" s="40">
        <f>AL171/AL172</f>
        <v>6.25E-2</v>
      </c>
      <c r="AN171" s="13"/>
      <c r="AO171" s="33">
        <v>0</v>
      </c>
      <c r="AP171" s="33">
        <v>0</v>
      </c>
      <c r="AQ171" s="33">
        <v>0</v>
      </c>
      <c r="AR171" s="33" t="s">
        <v>82</v>
      </c>
      <c r="AS171" s="33">
        <v>0</v>
      </c>
      <c r="AT171" s="33">
        <v>0</v>
      </c>
      <c r="AU171" s="14">
        <f t="shared" si="106"/>
        <v>0</v>
      </c>
      <c r="AV171" s="40">
        <f>AU171/AU172</f>
        <v>0</v>
      </c>
      <c r="AW171" s="13"/>
      <c r="AX171" s="33">
        <v>0</v>
      </c>
      <c r="AY171" s="33">
        <v>0</v>
      </c>
      <c r="AZ171" s="33">
        <v>0</v>
      </c>
      <c r="BA171" s="33">
        <v>1</v>
      </c>
      <c r="BB171" s="33">
        <v>0</v>
      </c>
      <c r="BC171" s="14">
        <f t="shared" si="107"/>
        <v>1</v>
      </c>
      <c r="BD171" s="40">
        <f>BC171/BC172</f>
        <v>0.125</v>
      </c>
      <c r="BE171" s="13"/>
      <c r="BF171" s="9" t="s">
        <v>59</v>
      </c>
      <c r="BG171" s="40"/>
      <c r="BH171" s="32"/>
      <c r="BI171" s="40"/>
    </row>
    <row r="172" spans="1:61" ht="21.75" customHeight="1">
      <c r="A172" s="10" t="s">
        <v>9</v>
      </c>
      <c r="B172" s="32" t="s">
        <v>59</v>
      </c>
      <c r="C172" s="32">
        <f t="shared" ref="C172:L172" si="108">SUM(C166:C171)</f>
        <v>6</v>
      </c>
      <c r="D172" s="32">
        <f t="shared" si="108"/>
        <v>29</v>
      </c>
      <c r="E172" s="32">
        <f t="shared" si="108"/>
        <v>17</v>
      </c>
      <c r="F172" s="32">
        <f t="shared" si="108"/>
        <v>22</v>
      </c>
      <c r="G172" s="32">
        <f t="shared" si="108"/>
        <v>16</v>
      </c>
      <c r="H172" s="32">
        <f t="shared" si="108"/>
        <v>0</v>
      </c>
      <c r="I172" s="32">
        <f t="shared" si="108"/>
        <v>19</v>
      </c>
      <c r="J172" s="32">
        <f t="shared" si="108"/>
        <v>22</v>
      </c>
      <c r="K172" s="23">
        <f t="shared" si="108"/>
        <v>131</v>
      </c>
      <c r="L172" s="35">
        <f t="shared" si="108"/>
        <v>1</v>
      </c>
      <c r="M172" s="35">
        <f>K172/K175</f>
        <v>0.95620437956204385</v>
      </c>
      <c r="N172" s="37">
        <f>T172+AC172+AL172+AU172</f>
        <v>123</v>
      </c>
      <c r="O172" s="35">
        <f>N172/K172</f>
        <v>0.93893129770992367</v>
      </c>
      <c r="P172" s="13">
        <f t="shared" ref="P172:BE172" si="109">SUM(P166:P171)</f>
        <v>0</v>
      </c>
      <c r="Q172" s="45">
        <f t="shared" si="109"/>
        <v>9</v>
      </c>
      <c r="R172" s="46">
        <f t="shared" si="109"/>
        <v>0</v>
      </c>
      <c r="S172" s="46">
        <f t="shared" si="109"/>
        <v>2</v>
      </c>
      <c r="T172" s="14">
        <f t="shared" si="109"/>
        <v>11</v>
      </c>
      <c r="U172" s="40">
        <f t="shared" si="109"/>
        <v>1</v>
      </c>
      <c r="V172" s="13">
        <f t="shared" si="109"/>
        <v>0</v>
      </c>
      <c r="W172" s="45">
        <f t="shared" si="109"/>
        <v>9</v>
      </c>
      <c r="X172" s="45">
        <f t="shared" si="109"/>
        <v>7</v>
      </c>
      <c r="Y172" s="45">
        <f t="shared" si="109"/>
        <v>15</v>
      </c>
      <c r="Z172" s="45">
        <f t="shared" si="109"/>
        <v>3</v>
      </c>
      <c r="AA172" s="45">
        <f t="shared" si="109"/>
        <v>10</v>
      </c>
      <c r="AB172" s="45">
        <f t="shared" si="109"/>
        <v>2</v>
      </c>
      <c r="AC172" s="45">
        <f t="shared" si="109"/>
        <v>46</v>
      </c>
      <c r="AD172" s="40">
        <f t="shared" si="109"/>
        <v>1</v>
      </c>
      <c r="AE172" s="13">
        <f t="shared" si="109"/>
        <v>0</v>
      </c>
      <c r="AF172" s="45">
        <f t="shared" si="109"/>
        <v>10</v>
      </c>
      <c r="AG172" s="45">
        <f t="shared" si="109"/>
        <v>10</v>
      </c>
      <c r="AH172" s="45">
        <f t="shared" si="109"/>
        <v>4</v>
      </c>
      <c r="AI172" s="45">
        <f t="shared" si="109"/>
        <v>6</v>
      </c>
      <c r="AJ172" s="45">
        <f t="shared" si="109"/>
        <v>1</v>
      </c>
      <c r="AK172" s="45">
        <f t="shared" si="109"/>
        <v>17</v>
      </c>
      <c r="AL172" s="45">
        <f t="shared" si="109"/>
        <v>48</v>
      </c>
      <c r="AM172" s="40">
        <f t="shared" si="109"/>
        <v>1</v>
      </c>
      <c r="AN172" s="13">
        <f t="shared" si="109"/>
        <v>0</v>
      </c>
      <c r="AO172" s="45">
        <f t="shared" si="109"/>
        <v>1</v>
      </c>
      <c r="AP172" s="45">
        <f t="shared" si="109"/>
        <v>3</v>
      </c>
      <c r="AQ172" s="45">
        <f t="shared" si="109"/>
        <v>4</v>
      </c>
      <c r="AR172" s="45">
        <f t="shared" si="109"/>
        <v>0</v>
      </c>
      <c r="AS172" s="45">
        <f t="shared" si="109"/>
        <v>7</v>
      </c>
      <c r="AT172" s="45">
        <f t="shared" si="109"/>
        <v>3</v>
      </c>
      <c r="AU172" s="45">
        <f t="shared" si="109"/>
        <v>18</v>
      </c>
      <c r="AV172" s="40">
        <f t="shared" si="109"/>
        <v>1</v>
      </c>
      <c r="AW172" s="13">
        <f t="shared" si="109"/>
        <v>0</v>
      </c>
      <c r="AX172" s="45">
        <f t="shared" si="109"/>
        <v>0</v>
      </c>
      <c r="AY172" s="45">
        <f t="shared" si="109"/>
        <v>2</v>
      </c>
      <c r="AZ172" s="45">
        <f t="shared" si="109"/>
        <v>2</v>
      </c>
      <c r="BA172" s="45">
        <f t="shared" si="109"/>
        <v>1</v>
      </c>
      <c r="BB172" s="45">
        <f t="shared" si="109"/>
        <v>3</v>
      </c>
      <c r="BC172" s="45">
        <f t="shared" si="109"/>
        <v>8</v>
      </c>
      <c r="BD172" s="40">
        <f t="shared" si="109"/>
        <v>1</v>
      </c>
      <c r="BE172" s="13">
        <f t="shared" si="109"/>
        <v>0</v>
      </c>
      <c r="BF172" s="38"/>
      <c r="BG172" s="40"/>
      <c r="BH172" s="32"/>
      <c r="BI172" s="40"/>
    </row>
    <row r="173" spans="1:61" ht="21.75" customHeight="1">
      <c r="A173" s="8" t="s">
        <v>64</v>
      </c>
      <c r="B173" s="32" t="s">
        <v>59</v>
      </c>
      <c r="C173" s="32">
        <v>1</v>
      </c>
      <c r="D173" s="32">
        <v>1</v>
      </c>
      <c r="E173" s="32">
        <v>0</v>
      </c>
      <c r="F173" s="32">
        <v>1</v>
      </c>
      <c r="G173" s="32">
        <v>2</v>
      </c>
      <c r="H173" s="32" t="s">
        <v>82</v>
      </c>
      <c r="I173" s="32">
        <v>0</v>
      </c>
      <c r="J173" s="32">
        <v>0</v>
      </c>
      <c r="K173" s="23">
        <f>SUM(B173:J173)</f>
        <v>5</v>
      </c>
      <c r="L173" s="35">
        <f>K173/(K172+K173+K174)</f>
        <v>3.6496350364963501E-2</v>
      </c>
      <c r="M173" s="35">
        <f>K173/(K175)</f>
        <v>3.6496350364963501E-2</v>
      </c>
      <c r="N173" s="12"/>
      <c r="O173" s="35"/>
      <c r="P173" s="13"/>
      <c r="Q173" s="49">
        <v>0</v>
      </c>
      <c r="R173" s="59" t="s">
        <v>82</v>
      </c>
      <c r="S173" s="50">
        <v>0</v>
      </c>
      <c r="T173" s="38">
        <f>SUM(Q173:S173)</f>
        <v>0</v>
      </c>
      <c r="U173" s="15">
        <f>T173/T175</f>
        <v>0</v>
      </c>
      <c r="V173" s="13"/>
      <c r="W173" s="49">
        <v>0</v>
      </c>
      <c r="X173" s="49">
        <v>0</v>
      </c>
      <c r="Y173" s="49">
        <v>0</v>
      </c>
      <c r="Z173" s="49">
        <v>0</v>
      </c>
      <c r="AA173" s="49">
        <v>0</v>
      </c>
      <c r="AB173" s="49">
        <v>0</v>
      </c>
      <c r="AC173" s="51">
        <f>SUM(W173:AB173)</f>
        <v>0</v>
      </c>
      <c r="AD173" s="15">
        <f>AC173/AC175</f>
        <v>0</v>
      </c>
      <c r="AE173" s="13"/>
      <c r="AF173" s="49">
        <v>0</v>
      </c>
      <c r="AG173" s="49">
        <v>1</v>
      </c>
      <c r="AH173" s="49">
        <v>1</v>
      </c>
      <c r="AI173" s="49">
        <v>0</v>
      </c>
      <c r="AJ173" s="49">
        <v>0</v>
      </c>
      <c r="AK173" s="49">
        <v>0</v>
      </c>
      <c r="AL173" s="49">
        <f>SUM(AF173:AK173)</f>
        <v>2</v>
      </c>
      <c r="AM173" s="15">
        <f>AL173/AL175</f>
        <v>0.04</v>
      </c>
      <c r="AN173" s="13"/>
      <c r="AO173" s="49">
        <v>0</v>
      </c>
      <c r="AP173" s="49">
        <v>0</v>
      </c>
      <c r="AQ173" s="49">
        <v>0</v>
      </c>
      <c r="AR173" s="58" t="s">
        <v>82</v>
      </c>
      <c r="AS173" s="49">
        <v>1</v>
      </c>
      <c r="AT173" s="49">
        <v>1</v>
      </c>
      <c r="AU173" s="51">
        <f>SUM(AO173:AT173)</f>
        <v>2</v>
      </c>
      <c r="AV173" s="15">
        <f>AU173/AU175</f>
        <v>0.1</v>
      </c>
      <c r="AW173" s="13"/>
      <c r="AX173" s="49">
        <v>0</v>
      </c>
      <c r="AY173" s="49">
        <v>1</v>
      </c>
      <c r="AZ173" s="49">
        <v>0</v>
      </c>
      <c r="BA173" s="49">
        <v>0</v>
      </c>
      <c r="BB173" s="49">
        <v>0</v>
      </c>
      <c r="BC173" s="51">
        <f>SUM(AX173:BB173)</f>
        <v>1</v>
      </c>
      <c r="BD173" s="15">
        <f>BC173/BC175</f>
        <v>0.1</v>
      </c>
      <c r="BE173" s="13"/>
      <c r="BF173" s="38"/>
      <c r="BG173" s="42"/>
      <c r="BH173" s="42"/>
      <c r="BI173" s="42"/>
    </row>
    <row r="174" spans="1:61" ht="20.25" customHeight="1">
      <c r="A174" s="8" t="s">
        <v>65</v>
      </c>
      <c r="B174" s="32" t="s">
        <v>59</v>
      </c>
      <c r="C174" s="32">
        <v>0</v>
      </c>
      <c r="D174" s="32">
        <v>0</v>
      </c>
      <c r="E174" s="32">
        <v>0</v>
      </c>
      <c r="F174" s="32">
        <v>0</v>
      </c>
      <c r="G174" s="32">
        <v>0</v>
      </c>
      <c r="H174" s="32" t="s">
        <v>82</v>
      </c>
      <c r="I174" s="32">
        <v>1</v>
      </c>
      <c r="J174" s="32">
        <v>0</v>
      </c>
      <c r="K174" s="23">
        <f>SUM(B174:J174)</f>
        <v>1</v>
      </c>
      <c r="L174" s="35">
        <f>K174/(K173+K174+K172)</f>
        <v>7.2992700729927005E-3</v>
      </c>
      <c r="M174" s="35">
        <f>K174/(K175)</f>
        <v>7.2992700729927005E-3</v>
      </c>
      <c r="N174" s="12"/>
      <c r="O174" s="35"/>
      <c r="P174" s="13"/>
      <c r="Q174" s="14">
        <v>0</v>
      </c>
      <c r="R174" s="9" t="s">
        <v>82</v>
      </c>
      <c r="S174" s="14">
        <v>0</v>
      </c>
      <c r="T174" s="38">
        <f>SUM(Q174:S174)</f>
        <v>0</v>
      </c>
      <c r="U174" s="15">
        <f>T174/T175</f>
        <v>0</v>
      </c>
      <c r="V174" s="13"/>
      <c r="W174" s="14">
        <v>0</v>
      </c>
      <c r="X174" s="14">
        <v>0</v>
      </c>
      <c r="Y174" s="14">
        <v>0</v>
      </c>
      <c r="Z174" s="14">
        <v>0</v>
      </c>
      <c r="AA174" s="14">
        <v>0</v>
      </c>
      <c r="AB174" s="14">
        <v>0</v>
      </c>
      <c r="AC174" s="38">
        <f>SUM(W174:AB174)</f>
        <v>0</v>
      </c>
      <c r="AD174" s="15">
        <f>AC174/AC175</f>
        <v>0</v>
      </c>
      <c r="AE174" s="13"/>
      <c r="AF174" s="14">
        <v>0</v>
      </c>
      <c r="AG174" s="14">
        <v>0</v>
      </c>
      <c r="AH174" s="14">
        <v>0</v>
      </c>
      <c r="AI174" s="14">
        <v>0</v>
      </c>
      <c r="AJ174" s="14">
        <v>0</v>
      </c>
      <c r="AK174" s="14">
        <v>0</v>
      </c>
      <c r="AL174" s="14">
        <f>SUM(AF174:AK174)</f>
        <v>0</v>
      </c>
      <c r="AM174" s="15">
        <f>AL174/AL175</f>
        <v>0</v>
      </c>
      <c r="AN174" s="13"/>
      <c r="AO174" s="14">
        <v>0</v>
      </c>
      <c r="AP174" s="14">
        <v>0</v>
      </c>
      <c r="AQ174" s="14">
        <v>0</v>
      </c>
      <c r="AR174" s="9" t="s">
        <v>82</v>
      </c>
      <c r="AS174" s="14">
        <v>0</v>
      </c>
      <c r="AT174" s="14">
        <v>0</v>
      </c>
      <c r="AU174" s="38">
        <f>SUM(AO174:AT174)</f>
        <v>0</v>
      </c>
      <c r="AV174" s="15">
        <f>AU174/AU175</f>
        <v>0</v>
      </c>
      <c r="AW174" s="13"/>
      <c r="AX174" s="14">
        <v>1</v>
      </c>
      <c r="AY174" s="14">
        <v>0</v>
      </c>
      <c r="AZ174" s="14">
        <v>0</v>
      </c>
      <c r="BA174" s="14">
        <v>0</v>
      </c>
      <c r="BB174" s="14">
        <v>0</v>
      </c>
      <c r="BC174" s="38">
        <f>SUM(AX174:BB174)</f>
        <v>1</v>
      </c>
      <c r="BD174" s="15">
        <f>BC174/BC175</f>
        <v>0.1</v>
      </c>
      <c r="BE174" s="13"/>
      <c r="BF174" s="38"/>
      <c r="BG174" s="42"/>
      <c r="BH174" s="42"/>
      <c r="BI174" s="42"/>
    </row>
    <row r="175" spans="1:61" ht="20.25" customHeight="1">
      <c r="A175" s="39" t="s">
        <v>66</v>
      </c>
      <c r="B175" s="32" t="s">
        <v>59</v>
      </c>
      <c r="C175" s="32">
        <f t="shared" ref="C175:J175" si="110">SUM(C172:C174)</f>
        <v>7</v>
      </c>
      <c r="D175" s="32">
        <f t="shared" si="110"/>
        <v>30</v>
      </c>
      <c r="E175" s="32">
        <f t="shared" si="110"/>
        <v>17</v>
      </c>
      <c r="F175" s="32">
        <f t="shared" si="110"/>
        <v>23</v>
      </c>
      <c r="G175" s="32">
        <f t="shared" si="110"/>
        <v>18</v>
      </c>
      <c r="H175" s="32">
        <f t="shared" si="110"/>
        <v>0</v>
      </c>
      <c r="I175" s="32">
        <f t="shared" si="110"/>
        <v>20</v>
      </c>
      <c r="J175" s="32">
        <f t="shared" si="110"/>
        <v>22</v>
      </c>
      <c r="K175" s="23">
        <f>SUM(B175:J175)</f>
        <v>137</v>
      </c>
      <c r="L175" s="35">
        <f>K175/(K174+K173+K172)</f>
        <v>1</v>
      </c>
      <c r="M175" s="35">
        <f>K175/(K172+K173+K174)</f>
        <v>1</v>
      </c>
      <c r="N175" s="37">
        <f>T175+AC175+AL175+AU175+S176</f>
        <v>127</v>
      </c>
      <c r="O175" s="35">
        <f>N175/K175</f>
        <v>0.92700729927007297</v>
      </c>
      <c r="P175" s="13"/>
      <c r="Q175" s="38">
        <f>SUM(Q172:Q174)</f>
        <v>9</v>
      </c>
      <c r="R175" s="38">
        <f>SUM(R172:R174)</f>
        <v>0</v>
      </c>
      <c r="S175" s="38">
        <f>SUM(S172:S174)</f>
        <v>2</v>
      </c>
      <c r="T175" s="38">
        <f>SUM(Q175:S175)</f>
        <v>11</v>
      </c>
      <c r="U175" s="40">
        <f>T175/(T172+T173+T174)</f>
        <v>1</v>
      </c>
      <c r="V175" s="13"/>
      <c r="W175" s="38">
        <f t="shared" ref="W175:AB175" si="111">SUM(W172:W174)</f>
        <v>9</v>
      </c>
      <c r="X175" s="38">
        <f t="shared" si="111"/>
        <v>7</v>
      </c>
      <c r="Y175" s="38">
        <f t="shared" si="111"/>
        <v>15</v>
      </c>
      <c r="Z175" s="38">
        <f t="shared" si="111"/>
        <v>3</v>
      </c>
      <c r="AA175" s="38">
        <f t="shared" si="111"/>
        <v>10</v>
      </c>
      <c r="AB175" s="38">
        <f t="shared" si="111"/>
        <v>2</v>
      </c>
      <c r="AC175" s="38">
        <f>SUM(W175:AB175)</f>
        <v>46</v>
      </c>
      <c r="AD175" s="40">
        <f>AC175/(AC172+AC173+AC174)</f>
        <v>1</v>
      </c>
      <c r="AE175" s="13"/>
      <c r="AF175" s="38">
        <f t="shared" ref="AF175:AK175" si="112">SUM(AF172:AF174)</f>
        <v>10</v>
      </c>
      <c r="AG175" s="38">
        <f t="shared" si="112"/>
        <v>11</v>
      </c>
      <c r="AH175" s="38">
        <f t="shared" si="112"/>
        <v>5</v>
      </c>
      <c r="AI175" s="38">
        <f t="shared" si="112"/>
        <v>6</v>
      </c>
      <c r="AJ175" s="38">
        <f t="shared" si="112"/>
        <v>1</v>
      </c>
      <c r="AK175" s="38">
        <f t="shared" si="112"/>
        <v>17</v>
      </c>
      <c r="AL175" s="38">
        <f>SUM(AF175:AK175)</f>
        <v>50</v>
      </c>
      <c r="AM175" s="41">
        <f>AL175/(AL172+AL173+AL174)</f>
        <v>1</v>
      </c>
      <c r="AN175" s="13"/>
      <c r="AO175" s="38">
        <f t="shared" ref="AO175:AT175" si="113">SUM(AO172:AO174)</f>
        <v>1</v>
      </c>
      <c r="AP175" s="38">
        <f t="shared" si="113"/>
        <v>3</v>
      </c>
      <c r="AQ175" s="38">
        <f t="shared" si="113"/>
        <v>4</v>
      </c>
      <c r="AR175" s="38">
        <f t="shared" si="113"/>
        <v>0</v>
      </c>
      <c r="AS175" s="38">
        <f t="shared" si="113"/>
        <v>8</v>
      </c>
      <c r="AT175" s="38">
        <f t="shared" si="113"/>
        <v>4</v>
      </c>
      <c r="AU175" s="38">
        <f>SUM(AO175:AT175)</f>
        <v>20</v>
      </c>
      <c r="AV175" s="40">
        <f>AU175/(AU172+AU173+AU174)</f>
        <v>1</v>
      </c>
      <c r="AW175" s="13"/>
      <c r="AX175" s="38">
        <f>SUM(AX172:AX174)</f>
        <v>1</v>
      </c>
      <c r="AY175" s="38">
        <f>SUM(AY172:AY174)</f>
        <v>3</v>
      </c>
      <c r="AZ175" s="38">
        <f>SUM(AZ172:AZ174)</f>
        <v>2</v>
      </c>
      <c r="BA175" s="38">
        <f>SUM(BA172:BA174)</f>
        <v>1</v>
      </c>
      <c r="BB175" s="38">
        <f>SUM(BB172:BB174)</f>
        <v>3</v>
      </c>
      <c r="BC175" s="38">
        <f>SUM(AX175:BB175)</f>
        <v>10</v>
      </c>
      <c r="BD175" s="40">
        <f>BC175/(BC172+BC173+BC174)</f>
        <v>1</v>
      </c>
      <c r="BE175" s="13"/>
      <c r="BF175" s="38"/>
      <c r="BG175" s="42"/>
      <c r="BH175" s="42"/>
      <c r="BI175" s="42"/>
    </row>
    <row r="176" spans="1:61" ht="104.25" customHeight="1">
      <c r="A176" s="102" t="s">
        <v>128</v>
      </c>
      <c r="B176" s="181" t="s">
        <v>110</v>
      </c>
      <c r="C176" s="182"/>
      <c r="D176" s="182"/>
      <c r="E176" s="182"/>
      <c r="F176" s="182"/>
      <c r="G176" s="22"/>
      <c r="H176" s="22"/>
      <c r="I176" s="22"/>
      <c r="J176" s="22"/>
      <c r="K176" s="21"/>
      <c r="L176" s="24"/>
      <c r="M176" s="24"/>
      <c r="N176" s="26"/>
      <c r="O176" s="24"/>
      <c r="P176" s="27"/>
      <c r="Q176" s="28"/>
      <c r="R176" s="28"/>
      <c r="S176" s="28"/>
      <c r="T176" s="26"/>
      <c r="U176" s="24"/>
      <c r="V176" s="27"/>
      <c r="W176" s="28"/>
      <c r="X176" s="28"/>
      <c r="Y176" s="28"/>
      <c r="Z176" s="28"/>
      <c r="AA176" s="28"/>
      <c r="AB176" s="28"/>
      <c r="AC176" s="26"/>
      <c r="AD176" s="24"/>
      <c r="AE176" s="27"/>
      <c r="AF176" s="28"/>
      <c r="AG176" s="28"/>
      <c r="AH176" s="28"/>
      <c r="AI176" s="28"/>
      <c r="AJ176" s="28"/>
      <c r="AK176" s="28"/>
      <c r="AL176" s="26"/>
      <c r="AM176" s="29"/>
      <c r="AN176" s="27"/>
      <c r="AO176" s="26"/>
      <c r="AP176" s="26"/>
      <c r="AQ176" s="26"/>
      <c r="AR176" s="26"/>
      <c r="AS176" s="26"/>
      <c r="AT176" s="26"/>
      <c r="AU176" s="26"/>
      <c r="AV176" s="24"/>
      <c r="AW176" s="27"/>
      <c r="AX176" s="26"/>
      <c r="AY176" s="26"/>
      <c r="AZ176" s="26"/>
      <c r="BA176" s="26"/>
      <c r="BB176" s="26"/>
      <c r="BC176" s="26"/>
      <c r="BD176" s="24"/>
      <c r="BE176" s="27"/>
      <c r="BF176" s="26"/>
      <c r="BG176" s="22"/>
      <c r="BH176" s="21"/>
      <c r="BI176" s="22"/>
    </row>
    <row r="177" spans="1:61" ht="32.25" customHeight="1">
      <c r="A177" s="10"/>
      <c r="B177" s="30" t="s">
        <v>0</v>
      </c>
      <c r="C177" s="30" t="s">
        <v>1</v>
      </c>
      <c r="D177" s="30" t="s">
        <v>2</v>
      </c>
      <c r="E177" s="30" t="s">
        <v>3</v>
      </c>
      <c r="F177" s="30" t="s">
        <v>4</v>
      </c>
      <c r="G177" s="30" t="s">
        <v>5</v>
      </c>
      <c r="H177" s="30" t="s">
        <v>68</v>
      </c>
      <c r="I177" s="30" t="s">
        <v>7</v>
      </c>
      <c r="J177" s="30" t="s">
        <v>8</v>
      </c>
      <c r="K177" s="10" t="s">
        <v>9</v>
      </c>
      <c r="L177" s="10" t="s">
        <v>56</v>
      </c>
      <c r="M177" s="20"/>
      <c r="N177" s="12"/>
      <c r="O177" s="20"/>
      <c r="P177" s="27"/>
      <c r="Q177" s="30" t="s">
        <v>15</v>
      </c>
      <c r="R177" s="30" t="s">
        <v>16</v>
      </c>
      <c r="S177" s="30" t="s">
        <v>28</v>
      </c>
      <c r="T177" s="20"/>
      <c r="U177" s="11"/>
      <c r="V177" s="27"/>
      <c r="W177" s="30" t="s">
        <v>15</v>
      </c>
      <c r="X177" s="30" t="s">
        <v>20</v>
      </c>
      <c r="Y177" s="30" t="s">
        <v>21</v>
      </c>
      <c r="Z177" s="30" t="s">
        <v>22</v>
      </c>
      <c r="AA177" s="30" t="s">
        <v>23</v>
      </c>
      <c r="AB177" s="30" t="s">
        <v>24</v>
      </c>
      <c r="AC177" s="20"/>
      <c r="AD177" s="11"/>
      <c r="AE177" s="27"/>
      <c r="AF177" s="30" t="s">
        <v>20</v>
      </c>
      <c r="AG177" s="30" t="s">
        <v>21</v>
      </c>
      <c r="AH177" s="30" t="s">
        <v>22</v>
      </c>
      <c r="AI177" s="30" t="s">
        <v>23</v>
      </c>
      <c r="AJ177" s="30" t="s">
        <v>24</v>
      </c>
      <c r="AK177" s="30" t="s">
        <v>28</v>
      </c>
      <c r="AL177" s="20"/>
      <c r="AM177" s="44"/>
      <c r="AN177" s="27"/>
      <c r="AO177" s="30" t="s">
        <v>15</v>
      </c>
      <c r="AP177" s="30" t="s">
        <v>20</v>
      </c>
      <c r="AQ177" s="30" t="s">
        <v>21</v>
      </c>
      <c r="AR177" s="30" t="s">
        <v>16</v>
      </c>
      <c r="AS177" s="30" t="s">
        <v>22</v>
      </c>
      <c r="AT177" s="30" t="s">
        <v>24</v>
      </c>
      <c r="AU177" s="20"/>
      <c r="AV177" s="11"/>
      <c r="AW177" s="27"/>
      <c r="AX177" s="30" t="s">
        <v>15</v>
      </c>
      <c r="AY177" s="30" t="s">
        <v>20</v>
      </c>
      <c r="AZ177" s="30" t="s">
        <v>22</v>
      </c>
      <c r="BA177" s="30" t="s">
        <v>23</v>
      </c>
      <c r="BB177" s="30" t="s">
        <v>28</v>
      </c>
      <c r="BC177" s="20"/>
      <c r="BD177" s="11"/>
      <c r="BE177" s="27"/>
      <c r="BF177" s="9" t="s">
        <v>80</v>
      </c>
      <c r="BG177" s="16"/>
      <c r="BH177" s="16"/>
      <c r="BI177" s="16"/>
    </row>
    <row r="178" spans="1:61" ht="20.25" customHeight="1">
      <c r="A178" s="10" t="s">
        <v>97</v>
      </c>
      <c r="B178" s="32">
        <v>2</v>
      </c>
      <c r="C178" s="32">
        <v>0</v>
      </c>
      <c r="D178" s="32">
        <v>0</v>
      </c>
      <c r="E178" s="32">
        <v>0</v>
      </c>
      <c r="F178" s="32">
        <v>0</v>
      </c>
      <c r="G178" s="32">
        <v>0</v>
      </c>
      <c r="H178" s="32" t="s">
        <v>59</v>
      </c>
      <c r="I178" s="32">
        <v>0</v>
      </c>
      <c r="J178" s="33">
        <v>1</v>
      </c>
      <c r="K178" s="23">
        <f t="shared" ref="K178:K183" si="114">SUM(B178:J178)</f>
        <v>3</v>
      </c>
      <c r="L178" s="35">
        <f>K178/K184</f>
        <v>1.8987341772151899E-2</v>
      </c>
      <c r="M178" s="35">
        <f>K178/K187</f>
        <v>1.8292682926829267E-2</v>
      </c>
      <c r="N178" s="37"/>
      <c r="O178" s="35"/>
      <c r="P178" s="13"/>
      <c r="Q178" s="33">
        <v>0</v>
      </c>
      <c r="R178" s="9" t="s">
        <v>82</v>
      </c>
      <c r="S178" s="14">
        <v>0</v>
      </c>
      <c r="T178" s="14">
        <f t="shared" ref="T178:T183" si="115">SUM(Q178:S178)</f>
        <v>0</v>
      </c>
      <c r="U178" s="40">
        <f>T178/T184</f>
        <v>0</v>
      </c>
      <c r="V178" s="13"/>
      <c r="W178" s="33">
        <v>0</v>
      </c>
      <c r="X178" s="33">
        <v>0</v>
      </c>
      <c r="Y178" s="33">
        <v>0</v>
      </c>
      <c r="Z178" s="33">
        <v>0</v>
      </c>
      <c r="AA178" s="33">
        <v>0</v>
      </c>
      <c r="AB178" s="33">
        <v>0</v>
      </c>
      <c r="AC178" s="14">
        <f t="shared" ref="AC178:AC183" si="116">SUM(W178:AB178)</f>
        <v>0</v>
      </c>
      <c r="AD178" s="40">
        <f>AC178/AC184</f>
        <v>0</v>
      </c>
      <c r="AE178" s="13"/>
      <c r="AF178" s="33">
        <v>0</v>
      </c>
      <c r="AG178" s="33">
        <v>0</v>
      </c>
      <c r="AH178" s="33">
        <v>0</v>
      </c>
      <c r="AI178" s="33">
        <v>0</v>
      </c>
      <c r="AJ178" s="33">
        <v>0</v>
      </c>
      <c r="AK178" s="33">
        <v>1</v>
      </c>
      <c r="AL178" s="14">
        <f t="shared" ref="AL178:AL183" si="117">SUM(AF178:AK178)</f>
        <v>1</v>
      </c>
      <c r="AM178" s="40">
        <f>AL178/AL184</f>
        <v>2.0833333333333332E-2</v>
      </c>
      <c r="AN178" s="13"/>
      <c r="AO178" s="33">
        <v>0</v>
      </c>
      <c r="AP178" s="33">
        <v>0</v>
      </c>
      <c r="AQ178" s="33">
        <v>0</v>
      </c>
      <c r="AR178" s="33" t="s">
        <v>82</v>
      </c>
      <c r="AS178" s="33">
        <v>0</v>
      </c>
      <c r="AT178" s="33">
        <v>0</v>
      </c>
      <c r="AU178" s="14">
        <f t="shared" ref="AU178:AU183" si="118">SUM(AO178:AT178)</f>
        <v>0</v>
      </c>
      <c r="AV178" s="40">
        <f>AU178/AU184</f>
        <v>0</v>
      </c>
      <c r="AW178" s="13"/>
      <c r="AX178" s="33">
        <v>0</v>
      </c>
      <c r="AY178" s="33">
        <v>0</v>
      </c>
      <c r="AZ178" s="33">
        <v>0</v>
      </c>
      <c r="BA178" s="33">
        <v>0</v>
      </c>
      <c r="BB178" s="33">
        <v>0</v>
      </c>
      <c r="BC178" s="14">
        <f t="shared" ref="BC178:BC183" si="119">SUM(AX178:BB178)</f>
        <v>0</v>
      </c>
      <c r="BD178" s="40">
        <f>BC178/BC184</f>
        <v>0</v>
      </c>
      <c r="BE178" s="13"/>
      <c r="BF178" s="9" t="s">
        <v>59</v>
      </c>
      <c r="BG178" s="15"/>
      <c r="BH178" s="16"/>
      <c r="BI178" s="15"/>
    </row>
    <row r="179" spans="1:61" ht="20.25" customHeight="1">
      <c r="A179" s="10" t="s">
        <v>98</v>
      </c>
      <c r="B179" s="32" t="s">
        <v>82</v>
      </c>
      <c r="C179" s="32">
        <v>0</v>
      </c>
      <c r="D179" s="32">
        <v>2</v>
      </c>
      <c r="E179" s="32">
        <v>1</v>
      </c>
      <c r="F179" s="32">
        <v>0</v>
      </c>
      <c r="G179" s="32">
        <v>0</v>
      </c>
      <c r="H179" s="32" t="s">
        <v>59</v>
      </c>
      <c r="I179" s="32">
        <v>2</v>
      </c>
      <c r="J179" s="33">
        <v>1</v>
      </c>
      <c r="K179" s="23">
        <f t="shared" si="114"/>
        <v>6</v>
      </c>
      <c r="L179" s="35">
        <f>K179/K184</f>
        <v>3.7974683544303799E-2</v>
      </c>
      <c r="M179" s="35">
        <f>K179/K187</f>
        <v>3.6585365853658534E-2</v>
      </c>
      <c r="N179" s="37"/>
      <c r="O179" s="35"/>
      <c r="P179" s="13"/>
      <c r="Q179" s="33">
        <v>1</v>
      </c>
      <c r="R179" s="9" t="s">
        <v>82</v>
      </c>
      <c r="S179" s="14">
        <v>0</v>
      </c>
      <c r="T179" s="14">
        <f t="shared" si="115"/>
        <v>1</v>
      </c>
      <c r="U179" s="40">
        <f>T179/T184</f>
        <v>9.0909090909090912E-2</v>
      </c>
      <c r="V179" s="13"/>
      <c r="W179" s="33">
        <v>1</v>
      </c>
      <c r="X179" s="33">
        <v>0</v>
      </c>
      <c r="Y179" s="33">
        <v>0</v>
      </c>
      <c r="Z179" s="33">
        <v>0</v>
      </c>
      <c r="AA179" s="33">
        <v>0</v>
      </c>
      <c r="AB179" s="33">
        <v>0</v>
      </c>
      <c r="AC179" s="14">
        <f t="shared" si="116"/>
        <v>1</v>
      </c>
      <c r="AD179" s="40">
        <f>AC179/AC184</f>
        <v>2.1739130434782608E-2</v>
      </c>
      <c r="AE179" s="13"/>
      <c r="AF179" s="33">
        <v>0</v>
      </c>
      <c r="AG179" s="33">
        <v>1</v>
      </c>
      <c r="AH179" s="33">
        <v>0</v>
      </c>
      <c r="AI179" s="33">
        <v>1</v>
      </c>
      <c r="AJ179" s="33">
        <v>0</v>
      </c>
      <c r="AK179" s="33">
        <v>1</v>
      </c>
      <c r="AL179" s="14">
        <f t="shared" si="117"/>
        <v>3</v>
      </c>
      <c r="AM179" s="40">
        <f>AL179/AL184</f>
        <v>6.25E-2</v>
      </c>
      <c r="AN179" s="13"/>
      <c r="AO179" s="33">
        <v>0</v>
      </c>
      <c r="AP179" s="33">
        <v>0</v>
      </c>
      <c r="AQ179" s="33">
        <v>1</v>
      </c>
      <c r="AR179" s="33" t="s">
        <v>82</v>
      </c>
      <c r="AS179" s="33">
        <v>0</v>
      </c>
      <c r="AT179" s="33">
        <v>0</v>
      </c>
      <c r="AU179" s="14">
        <f t="shared" si="118"/>
        <v>1</v>
      </c>
      <c r="AV179" s="40">
        <f>AU179/AU184</f>
        <v>5.5555555555555552E-2</v>
      </c>
      <c r="AW179" s="13"/>
      <c r="AX179" s="33">
        <v>0</v>
      </c>
      <c r="AY179" s="33">
        <v>0</v>
      </c>
      <c r="AZ179" s="33">
        <v>0</v>
      </c>
      <c r="BA179" s="33">
        <v>0</v>
      </c>
      <c r="BB179" s="33">
        <v>0</v>
      </c>
      <c r="BC179" s="14">
        <f t="shared" si="119"/>
        <v>0</v>
      </c>
      <c r="BD179" s="40">
        <f>BC179/BC184</f>
        <v>0</v>
      </c>
      <c r="BE179" s="13"/>
      <c r="BF179" s="9" t="s">
        <v>59</v>
      </c>
      <c r="BG179" s="15"/>
      <c r="BH179" s="16"/>
      <c r="BI179" s="15"/>
    </row>
    <row r="180" spans="1:61" ht="20.25" customHeight="1">
      <c r="A180" s="10" t="s">
        <v>99</v>
      </c>
      <c r="B180" s="32">
        <v>10</v>
      </c>
      <c r="C180" s="32">
        <v>1</v>
      </c>
      <c r="D180" s="32">
        <v>2</v>
      </c>
      <c r="E180" s="32">
        <v>0</v>
      </c>
      <c r="F180" s="32">
        <v>6</v>
      </c>
      <c r="G180" s="32">
        <v>2</v>
      </c>
      <c r="H180" s="32" t="s">
        <v>59</v>
      </c>
      <c r="I180" s="32">
        <v>5</v>
      </c>
      <c r="J180" s="33">
        <v>2</v>
      </c>
      <c r="K180" s="23">
        <f t="shared" si="114"/>
        <v>28</v>
      </c>
      <c r="L180" s="35">
        <f>K180/K184</f>
        <v>0.17721518987341772</v>
      </c>
      <c r="M180" s="35">
        <f>K180/K187</f>
        <v>0.17073170731707318</v>
      </c>
      <c r="N180" s="37"/>
      <c r="O180" s="35"/>
      <c r="P180" s="13"/>
      <c r="Q180" s="33">
        <v>1</v>
      </c>
      <c r="R180" s="9" t="s">
        <v>82</v>
      </c>
      <c r="S180" s="14">
        <v>1</v>
      </c>
      <c r="T180" s="14">
        <f t="shared" si="115"/>
        <v>2</v>
      </c>
      <c r="U180" s="40">
        <f>T180/T184</f>
        <v>0.18181818181818182</v>
      </c>
      <c r="V180" s="13"/>
      <c r="W180" s="33">
        <v>3</v>
      </c>
      <c r="X180" s="33">
        <v>3</v>
      </c>
      <c r="Y180" s="33">
        <v>1</v>
      </c>
      <c r="Z180" s="33">
        <v>1</v>
      </c>
      <c r="AA180" s="33">
        <v>0</v>
      </c>
      <c r="AB180" s="33">
        <v>0</v>
      </c>
      <c r="AC180" s="14">
        <f t="shared" si="116"/>
        <v>8</v>
      </c>
      <c r="AD180" s="40">
        <f>AC180/AC184</f>
        <v>0.17391304347826086</v>
      </c>
      <c r="AE180" s="13"/>
      <c r="AF180" s="33">
        <v>1</v>
      </c>
      <c r="AG180" s="33">
        <v>1</v>
      </c>
      <c r="AH180" s="33">
        <v>0</v>
      </c>
      <c r="AI180" s="33">
        <v>0</v>
      </c>
      <c r="AJ180" s="33">
        <v>0</v>
      </c>
      <c r="AK180" s="33">
        <v>1</v>
      </c>
      <c r="AL180" s="14">
        <f t="shared" si="117"/>
        <v>3</v>
      </c>
      <c r="AM180" s="40">
        <f>AL180/AL184</f>
        <v>6.25E-2</v>
      </c>
      <c r="AN180" s="13"/>
      <c r="AO180" s="33">
        <v>1</v>
      </c>
      <c r="AP180" s="33">
        <v>1</v>
      </c>
      <c r="AQ180" s="33">
        <v>0</v>
      </c>
      <c r="AR180" s="33" t="s">
        <v>82</v>
      </c>
      <c r="AS180" s="33">
        <v>0</v>
      </c>
      <c r="AT180" s="33">
        <v>1</v>
      </c>
      <c r="AU180" s="14">
        <f t="shared" si="118"/>
        <v>3</v>
      </c>
      <c r="AV180" s="40">
        <f>AU180/AU184</f>
        <v>0.16666666666666666</v>
      </c>
      <c r="AW180" s="13"/>
      <c r="AX180" s="33">
        <v>1</v>
      </c>
      <c r="AY180" s="33">
        <v>1</v>
      </c>
      <c r="AZ180" s="33">
        <v>1</v>
      </c>
      <c r="BA180" s="33">
        <v>0</v>
      </c>
      <c r="BB180" s="33">
        <v>0</v>
      </c>
      <c r="BC180" s="14">
        <f t="shared" si="119"/>
        <v>3</v>
      </c>
      <c r="BD180" s="40">
        <f>BC180/BC184</f>
        <v>0.3</v>
      </c>
      <c r="BE180" s="13"/>
      <c r="BF180" s="9" t="s">
        <v>59</v>
      </c>
      <c r="BG180" s="15"/>
      <c r="BH180" s="16"/>
      <c r="BI180" s="15"/>
    </row>
    <row r="181" spans="1:61" ht="20.25" customHeight="1">
      <c r="A181" s="10" t="s">
        <v>100</v>
      </c>
      <c r="B181" s="32">
        <v>12</v>
      </c>
      <c r="C181" s="32">
        <v>2</v>
      </c>
      <c r="D181" s="32">
        <v>13</v>
      </c>
      <c r="E181" s="32">
        <v>6</v>
      </c>
      <c r="F181" s="32">
        <v>10</v>
      </c>
      <c r="G181" s="32" t="s">
        <v>82</v>
      </c>
      <c r="H181" s="32" t="s">
        <v>59</v>
      </c>
      <c r="I181" s="32">
        <v>5</v>
      </c>
      <c r="J181" s="33">
        <v>10</v>
      </c>
      <c r="K181" s="23">
        <f t="shared" si="114"/>
        <v>58</v>
      </c>
      <c r="L181" s="35">
        <f>K181/K184</f>
        <v>0.36708860759493672</v>
      </c>
      <c r="M181" s="35">
        <f>K181/K187</f>
        <v>0.35365853658536583</v>
      </c>
      <c r="N181" s="37"/>
      <c r="O181" s="35"/>
      <c r="P181" s="13"/>
      <c r="Q181" s="33">
        <v>3</v>
      </c>
      <c r="R181" s="9" t="s">
        <v>82</v>
      </c>
      <c r="S181" s="14">
        <v>0</v>
      </c>
      <c r="T181" s="14">
        <f t="shared" si="115"/>
        <v>3</v>
      </c>
      <c r="U181" s="40">
        <f>T181/T184</f>
        <v>0.27272727272727271</v>
      </c>
      <c r="V181" s="13"/>
      <c r="W181" s="33">
        <v>2</v>
      </c>
      <c r="X181" s="33">
        <v>2</v>
      </c>
      <c r="Y181" s="33">
        <v>6</v>
      </c>
      <c r="Z181" s="33">
        <v>1</v>
      </c>
      <c r="AA181" s="33">
        <v>2</v>
      </c>
      <c r="AB181" s="33">
        <v>1</v>
      </c>
      <c r="AC181" s="14">
        <f t="shared" si="116"/>
        <v>14</v>
      </c>
      <c r="AD181" s="40">
        <f>AC181/AC184</f>
        <v>0.30434782608695654</v>
      </c>
      <c r="AE181" s="13"/>
      <c r="AF181" s="33">
        <v>8</v>
      </c>
      <c r="AG181" s="33">
        <v>6</v>
      </c>
      <c r="AH181" s="33">
        <v>3</v>
      </c>
      <c r="AI181" s="33">
        <v>4</v>
      </c>
      <c r="AJ181" s="33">
        <v>0</v>
      </c>
      <c r="AK181" s="33">
        <v>10</v>
      </c>
      <c r="AL181" s="14">
        <f t="shared" si="117"/>
        <v>31</v>
      </c>
      <c r="AM181" s="40">
        <f>AL181/AL184</f>
        <v>0.64583333333333337</v>
      </c>
      <c r="AN181" s="13"/>
      <c r="AO181" s="33">
        <v>0</v>
      </c>
      <c r="AP181" s="33">
        <v>0</v>
      </c>
      <c r="AQ181" s="33">
        <v>1</v>
      </c>
      <c r="AR181" s="33" t="s">
        <v>82</v>
      </c>
      <c r="AS181" s="33">
        <v>4</v>
      </c>
      <c r="AT181" s="33">
        <v>1</v>
      </c>
      <c r="AU181" s="14">
        <f t="shared" si="118"/>
        <v>6</v>
      </c>
      <c r="AV181" s="40">
        <f>AU181/AU184</f>
        <v>0.33333333333333331</v>
      </c>
      <c r="AW181" s="13"/>
      <c r="AX181" s="33">
        <v>0</v>
      </c>
      <c r="AY181" s="33">
        <v>0</v>
      </c>
      <c r="AZ181" s="33">
        <v>1</v>
      </c>
      <c r="BA181" s="33">
        <v>0</v>
      </c>
      <c r="BB181" s="33">
        <v>0</v>
      </c>
      <c r="BC181" s="14">
        <f t="shared" si="119"/>
        <v>1</v>
      </c>
      <c r="BD181" s="40">
        <f>BC181/BC184</f>
        <v>0.1</v>
      </c>
      <c r="BE181" s="13"/>
      <c r="BF181" s="9" t="s">
        <v>59</v>
      </c>
      <c r="BG181" s="15"/>
      <c r="BH181" s="16"/>
      <c r="BI181" s="15"/>
    </row>
    <row r="182" spans="1:61" ht="32.25" customHeight="1">
      <c r="A182" s="10" t="s">
        <v>101</v>
      </c>
      <c r="B182" s="32">
        <v>3</v>
      </c>
      <c r="C182" s="32">
        <v>3</v>
      </c>
      <c r="D182" s="32">
        <v>11</v>
      </c>
      <c r="E182" s="32">
        <v>7</v>
      </c>
      <c r="F182" s="32">
        <v>6</v>
      </c>
      <c r="G182" s="32">
        <v>9</v>
      </c>
      <c r="H182" s="32" t="s">
        <v>59</v>
      </c>
      <c r="I182" s="32">
        <v>5</v>
      </c>
      <c r="J182" s="33">
        <v>4</v>
      </c>
      <c r="K182" s="23">
        <f t="shared" si="114"/>
        <v>48</v>
      </c>
      <c r="L182" s="35">
        <f>K182/K184</f>
        <v>0.30379746835443039</v>
      </c>
      <c r="M182" s="35">
        <f>K182/K187</f>
        <v>0.29268292682926828</v>
      </c>
      <c r="N182" s="37"/>
      <c r="O182" s="35"/>
      <c r="P182" s="13"/>
      <c r="Q182" s="33">
        <v>3</v>
      </c>
      <c r="R182" s="9" t="s">
        <v>82</v>
      </c>
      <c r="S182" s="14">
        <v>0</v>
      </c>
      <c r="T182" s="14">
        <f t="shared" si="115"/>
        <v>3</v>
      </c>
      <c r="U182" s="40">
        <f>T182/T184</f>
        <v>0.27272727272727271</v>
      </c>
      <c r="V182" s="13"/>
      <c r="W182" s="33">
        <v>2</v>
      </c>
      <c r="X182" s="33">
        <v>2</v>
      </c>
      <c r="Y182" s="33">
        <v>7</v>
      </c>
      <c r="Z182" s="33">
        <v>1</v>
      </c>
      <c r="AA182" s="33">
        <v>6</v>
      </c>
      <c r="AB182" s="33">
        <v>1</v>
      </c>
      <c r="AC182" s="14">
        <f t="shared" si="116"/>
        <v>19</v>
      </c>
      <c r="AD182" s="40">
        <f>AC182/AC184</f>
        <v>0.41304347826086957</v>
      </c>
      <c r="AE182" s="13"/>
      <c r="AF182" s="33">
        <v>1</v>
      </c>
      <c r="AG182" s="33">
        <v>2</v>
      </c>
      <c r="AH182" s="33">
        <v>1</v>
      </c>
      <c r="AI182" s="33">
        <v>1</v>
      </c>
      <c r="AJ182" s="33">
        <v>1</v>
      </c>
      <c r="AK182" s="33">
        <v>1</v>
      </c>
      <c r="AL182" s="14">
        <f t="shared" si="117"/>
        <v>7</v>
      </c>
      <c r="AM182" s="40">
        <f>AL182/AL184</f>
        <v>0.14583333333333334</v>
      </c>
      <c r="AN182" s="13"/>
      <c r="AO182" s="33">
        <v>0</v>
      </c>
      <c r="AP182" s="33">
        <v>2</v>
      </c>
      <c r="AQ182" s="33">
        <v>2</v>
      </c>
      <c r="AR182" s="33" t="s">
        <v>82</v>
      </c>
      <c r="AS182" s="33">
        <v>3</v>
      </c>
      <c r="AT182" s="33">
        <v>1</v>
      </c>
      <c r="AU182" s="14">
        <f t="shared" si="118"/>
        <v>8</v>
      </c>
      <c r="AV182" s="40">
        <f>AU182/AU184</f>
        <v>0.44444444444444442</v>
      </c>
      <c r="AW182" s="13"/>
      <c r="AX182" s="33">
        <v>0</v>
      </c>
      <c r="AY182" s="33">
        <v>2</v>
      </c>
      <c r="AZ182" s="33">
        <v>0</v>
      </c>
      <c r="BA182" s="33">
        <v>0</v>
      </c>
      <c r="BB182" s="33">
        <v>3</v>
      </c>
      <c r="BC182" s="14">
        <f t="shared" si="119"/>
        <v>5</v>
      </c>
      <c r="BD182" s="40">
        <f>BC182/BC184</f>
        <v>0.5</v>
      </c>
      <c r="BE182" s="13"/>
      <c r="BF182" s="9" t="s">
        <v>59</v>
      </c>
      <c r="BG182" s="15"/>
      <c r="BH182" s="16"/>
      <c r="BI182" s="15"/>
    </row>
    <row r="183" spans="1:61" ht="20.25" customHeight="1">
      <c r="A183" s="10" t="s">
        <v>102</v>
      </c>
      <c r="B183" s="32" t="s">
        <v>82</v>
      </c>
      <c r="C183" s="32">
        <v>0</v>
      </c>
      <c r="D183" s="32">
        <v>1</v>
      </c>
      <c r="E183" s="32">
        <v>3</v>
      </c>
      <c r="F183" s="32">
        <v>0</v>
      </c>
      <c r="G183" s="32">
        <v>5</v>
      </c>
      <c r="H183" s="32" t="s">
        <v>59</v>
      </c>
      <c r="I183" s="32">
        <v>2</v>
      </c>
      <c r="J183" s="33">
        <v>4</v>
      </c>
      <c r="K183" s="23">
        <f t="shared" si="114"/>
        <v>15</v>
      </c>
      <c r="L183" s="35">
        <f>K183/K184</f>
        <v>9.49367088607595E-2</v>
      </c>
      <c r="M183" s="35">
        <f>K183/K187</f>
        <v>9.1463414634146339E-2</v>
      </c>
      <c r="N183" s="37"/>
      <c r="O183" s="35"/>
      <c r="P183" s="13"/>
      <c r="Q183" s="33">
        <v>1</v>
      </c>
      <c r="R183" s="9" t="s">
        <v>82</v>
      </c>
      <c r="S183" s="14">
        <v>1</v>
      </c>
      <c r="T183" s="14">
        <f t="shared" si="115"/>
        <v>2</v>
      </c>
      <c r="U183" s="40">
        <f>T183/T184</f>
        <v>0.18181818181818182</v>
      </c>
      <c r="V183" s="13"/>
      <c r="W183" s="33">
        <v>1</v>
      </c>
      <c r="X183" s="33">
        <v>0</v>
      </c>
      <c r="Y183" s="33">
        <v>1</v>
      </c>
      <c r="Z183" s="33">
        <v>0</v>
      </c>
      <c r="AA183" s="33">
        <v>2</v>
      </c>
      <c r="AB183" s="33">
        <v>0</v>
      </c>
      <c r="AC183" s="14">
        <f t="shared" si="116"/>
        <v>4</v>
      </c>
      <c r="AD183" s="40">
        <f>AC183/AC184</f>
        <v>8.6956521739130432E-2</v>
      </c>
      <c r="AE183" s="13"/>
      <c r="AF183" s="33">
        <v>0</v>
      </c>
      <c r="AG183" s="33">
        <v>0</v>
      </c>
      <c r="AH183" s="33">
        <v>0</v>
      </c>
      <c r="AI183" s="33">
        <v>0</v>
      </c>
      <c r="AJ183" s="33">
        <v>0</v>
      </c>
      <c r="AK183" s="33">
        <v>3</v>
      </c>
      <c r="AL183" s="14">
        <f t="shared" si="117"/>
        <v>3</v>
      </c>
      <c r="AM183" s="40">
        <f>AL183/AL184</f>
        <v>6.25E-2</v>
      </c>
      <c r="AN183" s="13"/>
      <c r="AO183" s="33">
        <v>0</v>
      </c>
      <c r="AP183" s="33">
        <v>0</v>
      </c>
      <c r="AQ183" s="33">
        <v>0</v>
      </c>
      <c r="AR183" s="33" t="s">
        <v>82</v>
      </c>
      <c r="AS183" s="33">
        <v>0</v>
      </c>
      <c r="AT183" s="33">
        <v>0</v>
      </c>
      <c r="AU183" s="14">
        <f t="shared" si="118"/>
        <v>0</v>
      </c>
      <c r="AV183" s="40">
        <f>AU183/AU184</f>
        <v>0</v>
      </c>
      <c r="AW183" s="13"/>
      <c r="AX183" s="33">
        <v>0</v>
      </c>
      <c r="AY183" s="33">
        <v>0</v>
      </c>
      <c r="AZ183" s="33">
        <v>0</v>
      </c>
      <c r="BA183" s="33">
        <v>1</v>
      </c>
      <c r="BB183" s="33">
        <v>0</v>
      </c>
      <c r="BC183" s="14">
        <f t="shared" si="119"/>
        <v>1</v>
      </c>
      <c r="BD183" s="40">
        <f>BC183/BC184</f>
        <v>0.1</v>
      </c>
      <c r="BE183" s="13"/>
      <c r="BF183" s="9" t="s">
        <v>59</v>
      </c>
      <c r="BG183" s="40"/>
      <c r="BH183" s="32"/>
      <c r="BI183" s="40"/>
    </row>
    <row r="184" spans="1:61" ht="21.75" customHeight="1">
      <c r="A184" s="10" t="s">
        <v>9</v>
      </c>
      <c r="B184" s="32">
        <f t="shared" ref="B184:G184" si="120">SUM(B178:B183)</f>
        <v>27</v>
      </c>
      <c r="C184" s="32">
        <f t="shared" si="120"/>
        <v>6</v>
      </c>
      <c r="D184" s="32">
        <f t="shared" si="120"/>
        <v>29</v>
      </c>
      <c r="E184" s="32">
        <f t="shared" si="120"/>
        <v>17</v>
      </c>
      <c r="F184" s="32">
        <f t="shared" si="120"/>
        <v>22</v>
      </c>
      <c r="G184" s="32">
        <f t="shared" si="120"/>
        <v>16</v>
      </c>
      <c r="H184" s="32" t="s">
        <v>59</v>
      </c>
      <c r="I184" s="32">
        <f>SUM(I178:I183)</f>
        <v>19</v>
      </c>
      <c r="J184" s="32">
        <f>SUM(J178:J183)</f>
        <v>22</v>
      </c>
      <c r="K184" s="23">
        <f>SUM(K178:K183)</f>
        <v>158</v>
      </c>
      <c r="L184" s="35">
        <f>SUM(L178:L183)</f>
        <v>1</v>
      </c>
      <c r="M184" s="35">
        <f>K184/K187</f>
        <v>0.96341463414634143</v>
      </c>
      <c r="N184" s="37">
        <f>T184+AC184+AL184+AU184</f>
        <v>123</v>
      </c>
      <c r="O184" s="35">
        <f>N184/K184</f>
        <v>0.77848101265822789</v>
      </c>
      <c r="P184" s="13">
        <f t="shared" ref="P184:BE184" si="121">SUM(P178:P183)</f>
        <v>0</v>
      </c>
      <c r="Q184" s="45">
        <f t="shared" si="121"/>
        <v>9</v>
      </c>
      <c r="R184" s="46">
        <f t="shared" si="121"/>
        <v>0</v>
      </c>
      <c r="S184" s="46">
        <f t="shared" si="121"/>
        <v>2</v>
      </c>
      <c r="T184" s="14">
        <f t="shared" si="121"/>
        <v>11</v>
      </c>
      <c r="U184" s="40">
        <f t="shared" si="121"/>
        <v>1</v>
      </c>
      <c r="V184" s="13">
        <f t="shared" si="121"/>
        <v>0</v>
      </c>
      <c r="W184" s="47">
        <f t="shared" si="121"/>
        <v>9</v>
      </c>
      <c r="X184" s="47">
        <f t="shared" si="121"/>
        <v>7</v>
      </c>
      <c r="Y184" s="47">
        <f t="shared" si="121"/>
        <v>15</v>
      </c>
      <c r="Z184" s="47">
        <f t="shared" si="121"/>
        <v>3</v>
      </c>
      <c r="AA184" s="47">
        <f t="shared" si="121"/>
        <v>10</v>
      </c>
      <c r="AB184" s="47">
        <f t="shared" si="121"/>
        <v>2</v>
      </c>
      <c r="AC184" s="45">
        <f t="shared" si="121"/>
        <v>46</v>
      </c>
      <c r="AD184" s="40">
        <f t="shared" si="121"/>
        <v>1</v>
      </c>
      <c r="AE184" s="13">
        <f t="shared" si="121"/>
        <v>0</v>
      </c>
      <c r="AF184" s="47">
        <f t="shared" si="121"/>
        <v>10</v>
      </c>
      <c r="AG184" s="47">
        <f t="shared" si="121"/>
        <v>10</v>
      </c>
      <c r="AH184" s="47">
        <f t="shared" si="121"/>
        <v>4</v>
      </c>
      <c r="AI184" s="47">
        <f t="shared" si="121"/>
        <v>6</v>
      </c>
      <c r="AJ184" s="47">
        <f t="shared" si="121"/>
        <v>1</v>
      </c>
      <c r="AK184" s="47">
        <f t="shared" si="121"/>
        <v>17</v>
      </c>
      <c r="AL184" s="45">
        <f t="shared" si="121"/>
        <v>48</v>
      </c>
      <c r="AM184" s="40">
        <f t="shared" si="121"/>
        <v>1</v>
      </c>
      <c r="AN184" s="13">
        <f t="shared" si="121"/>
        <v>0</v>
      </c>
      <c r="AO184" s="47">
        <f t="shared" si="121"/>
        <v>1</v>
      </c>
      <c r="AP184" s="47">
        <f t="shared" si="121"/>
        <v>3</v>
      </c>
      <c r="AQ184" s="47">
        <f t="shared" si="121"/>
        <v>4</v>
      </c>
      <c r="AR184" s="47">
        <f t="shared" si="121"/>
        <v>0</v>
      </c>
      <c r="AS184" s="47">
        <f t="shared" si="121"/>
        <v>7</v>
      </c>
      <c r="AT184" s="47">
        <f t="shared" si="121"/>
        <v>3</v>
      </c>
      <c r="AU184" s="45">
        <f t="shared" si="121"/>
        <v>18</v>
      </c>
      <c r="AV184" s="40">
        <f t="shared" si="121"/>
        <v>1</v>
      </c>
      <c r="AW184" s="13">
        <f t="shared" si="121"/>
        <v>0</v>
      </c>
      <c r="AX184" s="47">
        <f t="shared" si="121"/>
        <v>1</v>
      </c>
      <c r="AY184" s="47">
        <f t="shared" si="121"/>
        <v>3</v>
      </c>
      <c r="AZ184" s="47">
        <f t="shared" si="121"/>
        <v>2</v>
      </c>
      <c r="BA184" s="47">
        <f t="shared" si="121"/>
        <v>1</v>
      </c>
      <c r="BB184" s="47">
        <f t="shared" si="121"/>
        <v>3</v>
      </c>
      <c r="BC184" s="45">
        <f t="shared" si="121"/>
        <v>10</v>
      </c>
      <c r="BD184" s="40">
        <f t="shared" si="121"/>
        <v>1</v>
      </c>
      <c r="BE184" s="13">
        <f t="shared" si="121"/>
        <v>0</v>
      </c>
      <c r="BF184" s="38"/>
      <c r="BG184" s="40"/>
      <c r="BH184" s="32"/>
      <c r="BI184" s="40"/>
    </row>
    <row r="185" spans="1:61" ht="21.75" customHeight="1">
      <c r="A185" s="8" t="s">
        <v>64</v>
      </c>
      <c r="B185" s="32">
        <v>0</v>
      </c>
      <c r="C185" s="32">
        <v>1</v>
      </c>
      <c r="D185" s="32">
        <v>1</v>
      </c>
      <c r="E185" s="32">
        <v>0</v>
      </c>
      <c r="F185" s="32">
        <v>1</v>
      </c>
      <c r="G185" s="32">
        <v>2</v>
      </c>
      <c r="H185" s="32" t="s">
        <v>59</v>
      </c>
      <c r="I185" s="32">
        <v>0</v>
      </c>
      <c r="J185" s="32">
        <v>0</v>
      </c>
      <c r="K185" s="23">
        <f>SUM(B185:J185)</f>
        <v>5</v>
      </c>
      <c r="L185" s="35">
        <f>K185/(K184+K185+K186)</f>
        <v>3.048780487804878E-2</v>
      </c>
      <c r="M185" s="35">
        <f>K185/(K187)</f>
        <v>3.048780487804878E-2</v>
      </c>
      <c r="N185" s="12"/>
      <c r="O185" s="35"/>
      <c r="P185" s="13"/>
      <c r="Q185" s="49">
        <v>0</v>
      </c>
      <c r="R185" s="59" t="s">
        <v>82</v>
      </c>
      <c r="S185" s="50">
        <v>0</v>
      </c>
      <c r="T185" s="38">
        <f>SUM(Q185:S185)</f>
        <v>0</v>
      </c>
      <c r="U185" s="15">
        <f>T185/T187</f>
        <v>0</v>
      </c>
      <c r="V185" s="13"/>
      <c r="W185" s="52">
        <v>0</v>
      </c>
      <c r="X185" s="52">
        <v>0</v>
      </c>
      <c r="Y185" s="52">
        <v>0</v>
      </c>
      <c r="Z185" s="52">
        <v>0</v>
      </c>
      <c r="AA185" s="52">
        <v>0</v>
      </c>
      <c r="AB185" s="52">
        <v>0</v>
      </c>
      <c r="AC185" s="51">
        <f>SUM(W185:AB185)</f>
        <v>0</v>
      </c>
      <c r="AD185" s="15">
        <f>AC185/AC187</f>
        <v>0</v>
      </c>
      <c r="AE185" s="13"/>
      <c r="AF185" s="52">
        <v>0</v>
      </c>
      <c r="AG185" s="52">
        <v>1</v>
      </c>
      <c r="AH185" s="52">
        <v>1</v>
      </c>
      <c r="AI185" s="52">
        <v>0</v>
      </c>
      <c r="AJ185" s="52">
        <v>0</v>
      </c>
      <c r="AK185" s="52">
        <v>0</v>
      </c>
      <c r="AL185" s="49">
        <f>SUM(AF185:AK185)</f>
        <v>2</v>
      </c>
      <c r="AM185" s="15">
        <f>AL185/AL187</f>
        <v>0.04</v>
      </c>
      <c r="AN185" s="13"/>
      <c r="AO185" s="52">
        <v>0</v>
      </c>
      <c r="AP185" s="52">
        <v>0</v>
      </c>
      <c r="AQ185" s="52">
        <v>0</v>
      </c>
      <c r="AR185" s="103" t="s">
        <v>82</v>
      </c>
      <c r="AS185" s="52">
        <v>1</v>
      </c>
      <c r="AT185" s="52">
        <v>1</v>
      </c>
      <c r="AU185" s="51">
        <f>SUM(AO185:AT185)</f>
        <v>2</v>
      </c>
      <c r="AV185" s="15">
        <f>AU185/AU187</f>
        <v>0.1</v>
      </c>
      <c r="AW185" s="13"/>
      <c r="AX185" s="52">
        <v>0</v>
      </c>
      <c r="AY185" s="52">
        <v>1</v>
      </c>
      <c r="AZ185" s="52">
        <v>0</v>
      </c>
      <c r="BA185" s="52">
        <v>0</v>
      </c>
      <c r="BB185" s="52">
        <v>0</v>
      </c>
      <c r="BC185" s="51">
        <f>SUM(AX185:BB185)</f>
        <v>1</v>
      </c>
      <c r="BD185" s="15">
        <f>BC185/BC187</f>
        <v>8.3333333333333329E-2</v>
      </c>
      <c r="BE185" s="13"/>
      <c r="BF185" s="38"/>
      <c r="BG185" s="42"/>
      <c r="BH185" s="42"/>
      <c r="BI185" s="42"/>
    </row>
    <row r="186" spans="1:61" ht="21.75" customHeight="1">
      <c r="A186" s="8" t="s">
        <v>65</v>
      </c>
      <c r="B186" s="32">
        <v>0</v>
      </c>
      <c r="C186" s="32">
        <v>0</v>
      </c>
      <c r="D186" s="32">
        <v>0</v>
      </c>
      <c r="E186" s="32">
        <v>0</v>
      </c>
      <c r="F186" s="32">
        <v>0</v>
      </c>
      <c r="G186" s="32">
        <v>0</v>
      </c>
      <c r="H186" s="32" t="s">
        <v>59</v>
      </c>
      <c r="I186" s="32">
        <v>1</v>
      </c>
      <c r="J186" s="32">
        <v>0</v>
      </c>
      <c r="K186" s="23">
        <f>SUM(B186:J186)</f>
        <v>1</v>
      </c>
      <c r="L186" s="35">
        <f>K186/(K185+K186+K184)</f>
        <v>6.0975609756097563E-3</v>
      </c>
      <c r="M186" s="35">
        <f>K186/(K187)</f>
        <v>6.0975609756097563E-3</v>
      </c>
      <c r="N186" s="12"/>
      <c r="O186" s="35"/>
      <c r="P186" s="13"/>
      <c r="Q186" s="14">
        <v>0</v>
      </c>
      <c r="R186" s="9" t="s">
        <v>82</v>
      </c>
      <c r="S186" s="14">
        <v>0</v>
      </c>
      <c r="T186" s="38">
        <f>SUM(Q186:S186)</f>
        <v>0</v>
      </c>
      <c r="U186" s="15">
        <f>T186/T187</f>
        <v>0</v>
      </c>
      <c r="V186" s="13"/>
      <c r="W186" s="14">
        <v>0</v>
      </c>
      <c r="X186" s="45">
        <v>0</v>
      </c>
      <c r="Y186" s="14">
        <v>0</v>
      </c>
      <c r="Z186" s="14">
        <v>0</v>
      </c>
      <c r="AA186" s="14">
        <v>0</v>
      </c>
      <c r="AB186" s="14">
        <v>0</v>
      </c>
      <c r="AC186" s="38">
        <f>SUM(W186:AB186)</f>
        <v>0</v>
      </c>
      <c r="AD186" s="15">
        <f>AC186/AC187</f>
        <v>0</v>
      </c>
      <c r="AE186" s="13"/>
      <c r="AF186" s="14">
        <v>0</v>
      </c>
      <c r="AG186" s="14">
        <v>0</v>
      </c>
      <c r="AH186" s="14">
        <v>0</v>
      </c>
      <c r="AI186" s="14">
        <v>0</v>
      </c>
      <c r="AJ186" s="14">
        <v>0</v>
      </c>
      <c r="AK186" s="14">
        <v>0</v>
      </c>
      <c r="AL186" s="14">
        <f>SUM(AF186:AK186)</f>
        <v>0</v>
      </c>
      <c r="AM186" s="15">
        <f>AL186/AL187</f>
        <v>0</v>
      </c>
      <c r="AN186" s="13"/>
      <c r="AO186" s="14">
        <v>0</v>
      </c>
      <c r="AP186" s="14">
        <v>0</v>
      </c>
      <c r="AQ186" s="14">
        <v>0</v>
      </c>
      <c r="AR186" s="9" t="s">
        <v>82</v>
      </c>
      <c r="AS186" s="14">
        <v>0</v>
      </c>
      <c r="AT186" s="14">
        <v>0</v>
      </c>
      <c r="AU186" s="38">
        <f>SUM(AO186:AT186)</f>
        <v>0</v>
      </c>
      <c r="AV186" s="15">
        <f>AU186/AU187</f>
        <v>0</v>
      </c>
      <c r="AW186" s="13"/>
      <c r="AX186" s="14">
        <v>1</v>
      </c>
      <c r="AY186" s="14">
        <v>0</v>
      </c>
      <c r="AZ186" s="14">
        <v>0</v>
      </c>
      <c r="BA186" s="14">
        <v>0</v>
      </c>
      <c r="BB186" s="14">
        <v>0</v>
      </c>
      <c r="BC186" s="38">
        <f>SUM(AX186:BB186)</f>
        <v>1</v>
      </c>
      <c r="BD186" s="15">
        <f>BC186/BC187</f>
        <v>8.3333333333333329E-2</v>
      </c>
      <c r="BE186" s="13"/>
      <c r="BF186" s="38"/>
      <c r="BG186" s="42"/>
      <c r="BH186" s="42"/>
      <c r="BI186" s="42"/>
    </row>
    <row r="187" spans="1:61" ht="21.75" customHeight="1">
      <c r="A187" s="39" t="s">
        <v>66</v>
      </c>
      <c r="B187" s="32">
        <f t="shared" ref="B187:G187" si="122">SUM(B184:B186)</f>
        <v>27</v>
      </c>
      <c r="C187" s="32">
        <f t="shared" si="122"/>
        <v>7</v>
      </c>
      <c r="D187" s="32">
        <f t="shared" si="122"/>
        <v>30</v>
      </c>
      <c r="E187" s="32">
        <f t="shared" si="122"/>
        <v>17</v>
      </c>
      <c r="F187" s="32">
        <f t="shared" si="122"/>
        <v>23</v>
      </c>
      <c r="G187" s="32">
        <f t="shared" si="122"/>
        <v>18</v>
      </c>
      <c r="H187" s="32" t="s">
        <v>59</v>
      </c>
      <c r="I187" s="32">
        <f>SUM(I184:I186)</f>
        <v>20</v>
      </c>
      <c r="J187" s="32">
        <f>SUM(J184:J186)</f>
        <v>22</v>
      </c>
      <c r="K187" s="23">
        <f>SUM(B187:J187)</f>
        <v>164</v>
      </c>
      <c r="L187" s="35">
        <f>K187/(K186+K185+K184)</f>
        <v>1</v>
      </c>
      <c r="M187" s="35">
        <f>K187/(K184+K185+K186)</f>
        <v>1</v>
      </c>
      <c r="N187" s="37">
        <f>T187+AC187+AL187+AU187+S188</f>
        <v>127</v>
      </c>
      <c r="O187" s="35">
        <f>N187/K187</f>
        <v>0.77439024390243905</v>
      </c>
      <c r="P187" s="13"/>
      <c r="Q187" s="38">
        <f>SUM(Q184:Q186)</f>
        <v>9</v>
      </c>
      <c r="R187" s="38">
        <f>SUM(R184:R186)</f>
        <v>0</v>
      </c>
      <c r="S187" s="38">
        <f>SUM(S184:S186)</f>
        <v>2</v>
      </c>
      <c r="T187" s="38">
        <f>SUM(Q187:S187)</f>
        <v>11</v>
      </c>
      <c r="U187" s="40">
        <f>T187/(T184+T185+T186)</f>
        <v>1</v>
      </c>
      <c r="V187" s="13"/>
      <c r="W187" s="38">
        <f t="shared" ref="W187:AB187" si="123">SUM(W184:W186)</f>
        <v>9</v>
      </c>
      <c r="X187" s="51">
        <f t="shared" si="123"/>
        <v>7</v>
      </c>
      <c r="Y187" s="38">
        <f t="shared" si="123"/>
        <v>15</v>
      </c>
      <c r="Z187" s="38">
        <f t="shared" si="123"/>
        <v>3</v>
      </c>
      <c r="AA187" s="38">
        <f t="shared" si="123"/>
        <v>10</v>
      </c>
      <c r="AB187" s="38">
        <f t="shared" si="123"/>
        <v>2</v>
      </c>
      <c r="AC187" s="38">
        <f>SUM(W187:AB187)</f>
        <v>46</v>
      </c>
      <c r="AD187" s="40">
        <f>AC187/(AC184+AC185+AC186)</f>
        <v>1</v>
      </c>
      <c r="AE187" s="13"/>
      <c r="AF187" s="38">
        <f t="shared" ref="AF187:AK187" si="124">SUM(AF184:AF186)</f>
        <v>10</v>
      </c>
      <c r="AG187" s="38">
        <f t="shared" si="124"/>
        <v>11</v>
      </c>
      <c r="AH187" s="38">
        <f t="shared" si="124"/>
        <v>5</v>
      </c>
      <c r="AI187" s="38">
        <f t="shared" si="124"/>
        <v>6</v>
      </c>
      <c r="AJ187" s="38">
        <f t="shared" si="124"/>
        <v>1</v>
      </c>
      <c r="AK187" s="38">
        <f t="shared" si="124"/>
        <v>17</v>
      </c>
      <c r="AL187" s="38">
        <f>SUM(AF187:AK187)</f>
        <v>50</v>
      </c>
      <c r="AM187" s="41">
        <f>AL187/(AL184+AL185+AL186)</f>
        <v>1</v>
      </c>
      <c r="AN187" s="13"/>
      <c r="AO187" s="38">
        <f t="shared" ref="AO187:AT187" si="125">SUM(AO184:AO186)</f>
        <v>1</v>
      </c>
      <c r="AP187" s="38">
        <f t="shared" si="125"/>
        <v>3</v>
      </c>
      <c r="AQ187" s="38">
        <f t="shared" si="125"/>
        <v>4</v>
      </c>
      <c r="AR187" s="38">
        <f t="shared" si="125"/>
        <v>0</v>
      </c>
      <c r="AS187" s="38">
        <f t="shared" si="125"/>
        <v>8</v>
      </c>
      <c r="AT187" s="38">
        <f t="shared" si="125"/>
        <v>4</v>
      </c>
      <c r="AU187" s="38">
        <f>SUM(AO187:AT187)</f>
        <v>20</v>
      </c>
      <c r="AV187" s="40">
        <f>AU187/(AU184+AU185+AU186)</f>
        <v>1</v>
      </c>
      <c r="AW187" s="13"/>
      <c r="AX187" s="38">
        <f>SUM(AX184:AX186)</f>
        <v>2</v>
      </c>
      <c r="AY187" s="38">
        <f>SUM(AY184:AY186)</f>
        <v>4</v>
      </c>
      <c r="AZ187" s="38">
        <f>SUM(AZ184:AZ186)</f>
        <v>2</v>
      </c>
      <c r="BA187" s="38">
        <f>SUM(BA184:BA186)</f>
        <v>1</v>
      </c>
      <c r="BB187" s="38">
        <f>SUM(BB184:BB186)</f>
        <v>3</v>
      </c>
      <c r="BC187" s="38">
        <f>SUM(AX187:BB187)</f>
        <v>12</v>
      </c>
      <c r="BD187" s="40">
        <f>BC187/(BC184+BC185+BC186)</f>
        <v>1</v>
      </c>
      <c r="BE187" s="13"/>
      <c r="BF187" s="38"/>
      <c r="BG187" s="42"/>
      <c r="BH187" s="42"/>
      <c r="BI187" s="42"/>
    </row>
    <row r="188" spans="1:61" ht="68.25" customHeight="1">
      <c r="A188" s="102" t="s">
        <v>129</v>
      </c>
      <c r="B188" s="181" t="s">
        <v>130</v>
      </c>
      <c r="C188" s="182"/>
      <c r="D188" s="182"/>
      <c r="E188" s="182"/>
      <c r="F188" s="182"/>
      <c r="G188" s="22"/>
      <c r="H188" s="22"/>
      <c r="I188" s="22"/>
      <c r="J188" s="22"/>
      <c r="K188" s="21"/>
      <c r="L188" s="24"/>
      <c r="M188" s="24"/>
      <c r="N188" s="26"/>
      <c r="O188" s="24"/>
      <c r="P188" s="27"/>
      <c r="Q188" s="28"/>
      <c r="R188" s="28"/>
      <c r="S188" s="28"/>
      <c r="T188" s="26"/>
      <c r="U188" s="24"/>
      <c r="V188" s="27"/>
      <c r="W188" s="28"/>
      <c r="X188" s="28"/>
      <c r="Y188" s="28"/>
      <c r="Z188" s="28"/>
      <c r="AA188" s="28"/>
      <c r="AB188" s="28"/>
      <c r="AC188" s="26"/>
      <c r="AD188" s="24"/>
      <c r="AE188" s="27"/>
      <c r="AF188" s="28"/>
      <c r="AG188" s="28"/>
      <c r="AH188" s="28"/>
      <c r="AI188" s="28"/>
      <c r="AJ188" s="28"/>
      <c r="AK188" s="28"/>
      <c r="AL188" s="26"/>
      <c r="AM188" s="29"/>
      <c r="AN188" s="27"/>
      <c r="AO188" s="26"/>
      <c r="AP188" s="26"/>
      <c r="AQ188" s="26"/>
      <c r="AR188" s="26"/>
      <c r="AS188" s="26"/>
      <c r="AT188" s="26"/>
      <c r="AU188" s="26"/>
      <c r="AV188" s="24"/>
      <c r="AW188" s="27"/>
      <c r="AX188" s="26"/>
      <c r="AY188" s="26"/>
      <c r="AZ188" s="26"/>
      <c r="BA188" s="26"/>
      <c r="BB188" s="26"/>
      <c r="BC188" s="26"/>
      <c r="BD188" s="24"/>
      <c r="BE188" s="27"/>
      <c r="BF188" s="26"/>
      <c r="BG188" s="22"/>
      <c r="BH188" s="21"/>
      <c r="BI188" s="22"/>
    </row>
    <row r="189" spans="1:61" ht="32.25" customHeight="1">
      <c r="A189" s="20"/>
      <c r="B189" s="30" t="s">
        <v>0</v>
      </c>
      <c r="C189" s="30" t="s">
        <v>1</v>
      </c>
      <c r="D189" s="30" t="s">
        <v>2</v>
      </c>
      <c r="E189" s="30" t="s">
        <v>3</v>
      </c>
      <c r="F189" s="30" t="s">
        <v>4</v>
      </c>
      <c r="G189" s="30" t="s">
        <v>5</v>
      </c>
      <c r="H189" s="30" t="s">
        <v>68</v>
      </c>
      <c r="I189" s="30" t="s">
        <v>7</v>
      </c>
      <c r="J189" s="30" t="s">
        <v>8</v>
      </c>
      <c r="K189" s="10" t="s">
        <v>9</v>
      </c>
      <c r="L189" s="10" t="s">
        <v>56</v>
      </c>
      <c r="M189" s="20"/>
      <c r="N189" s="37"/>
      <c r="O189" s="35"/>
      <c r="P189" s="13"/>
      <c r="Q189" s="30" t="s">
        <v>15</v>
      </c>
      <c r="R189" s="30" t="s">
        <v>16</v>
      </c>
      <c r="S189" s="30" t="s">
        <v>28</v>
      </c>
      <c r="T189" s="38"/>
      <c r="U189" s="40"/>
      <c r="V189" s="13"/>
      <c r="W189" s="30" t="s">
        <v>15</v>
      </c>
      <c r="X189" s="30" t="s">
        <v>20</v>
      </c>
      <c r="Y189" s="30" t="s">
        <v>21</v>
      </c>
      <c r="Z189" s="30" t="s">
        <v>22</v>
      </c>
      <c r="AA189" s="30" t="s">
        <v>23</v>
      </c>
      <c r="AB189" s="30" t="s">
        <v>24</v>
      </c>
      <c r="AC189" s="38"/>
      <c r="AD189" s="40"/>
      <c r="AE189" s="13"/>
      <c r="AF189" s="30" t="s">
        <v>20</v>
      </c>
      <c r="AG189" s="30" t="s">
        <v>21</v>
      </c>
      <c r="AH189" s="30" t="s">
        <v>22</v>
      </c>
      <c r="AI189" s="30" t="s">
        <v>23</v>
      </c>
      <c r="AJ189" s="30" t="s">
        <v>24</v>
      </c>
      <c r="AK189" s="30" t="s">
        <v>28</v>
      </c>
      <c r="AL189" s="38"/>
      <c r="AM189" s="41"/>
      <c r="AN189" s="13"/>
      <c r="AO189" s="30" t="s">
        <v>15</v>
      </c>
      <c r="AP189" s="30" t="s">
        <v>20</v>
      </c>
      <c r="AQ189" s="30" t="s">
        <v>21</v>
      </c>
      <c r="AR189" s="30" t="s">
        <v>16</v>
      </c>
      <c r="AS189" s="30" t="s">
        <v>22</v>
      </c>
      <c r="AT189" s="30" t="s">
        <v>24</v>
      </c>
      <c r="AU189" s="38"/>
      <c r="AV189" s="40"/>
      <c r="AW189" s="13"/>
      <c r="AX189" s="30" t="s">
        <v>15</v>
      </c>
      <c r="AY189" s="30" t="s">
        <v>20</v>
      </c>
      <c r="AZ189" s="30" t="s">
        <v>22</v>
      </c>
      <c r="BA189" s="30" t="s">
        <v>23</v>
      </c>
      <c r="BB189" s="30" t="s">
        <v>28</v>
      </c>
      <c r="BC189" s="38"/>
      <c r="BD189" s="40"/>
      <c r="BE189" s="13"/>
      <c r="BF189" s="38"/>
      <c r="BG189" s="42"/>
      <c r="BH189" s="42"/>
      <c r="BI189" s="42"/>
    </row>
    <row r="190" spans="1:61" ht="20.25" customHeight="1">
      <c r="A190" s="10" t="s">
        <v>131</v>
      </c>
      <c r="B190" s="32">
        <v>2</v>
      </c>
      <c r="C190" s="32">
        <v>0</v>
      </c>
      <c r="D190" s="32">
        <v>1</v>
      </c>
      <c r="E190" s="32">
        <v>0</v>
      </c>
      <c r="F190" s="32">
        <v>1</v>
      </c>
      <c r="G190" s="32">
        <v>3</v>
      </c>
      <c r="H190" s="32" t="s">
        <v>82</v>
      </c>
      <c r="I190" s="32">
        <v>0</v>
      </c>
      <c r="J190" s="32">
        <v>0</v>
      </c>
      <c r="K190" s="23">
        <f>SUM(B190:J190)</f>
        <v>7</v>
      </c>
      <c r="L190" s="35">
        <f>K190/K192</f>
        <v>0.11666666666666667</v>
      </c>
      <c r="M190" s="35">
        <f>K190/K195</f>
        <v>0.1044776119402985</v>
      </c>
      <c r="N190" s="37"/>
      <c r="O190" s="35"/>
      <c r="P190" s="13"/>
      <c r="Q190" s="33">
        <v>0</v>
      </c>
      <c r="R190" s="9" t="s">
        <v>82</v>
      </c>
      <c r="S190" s="14">
        <v>0</v>
      </c>
      <c r="T190" s="38"/>
      <c r="U190" s="40"/>
      <c r="V190" s="13"/>
      <c r="W190" s="38">
        <v>0</v>
      </c>
      <c r="X190" s="38">
        <v>1</v>
      </c>
      <c r="Y190" s="38">
        <v>1</v>
      </c>
      <c r="Z190" s="38">
        <v>1</v>
      </c>
      <c r="AA190" s="38">
        <v>0</v>
      </c>
      <c r="AB190" s="38">
        <v>0</v>
      </c>
      <c r="AC190" s="14">
        <f>SUM(W190:AB190)</f>
        <v>3</v>
      </c>
      <c r="AD190" s="40">
        <f>AC190/AC192</f>
        <v>0.13636363636363635</v>
      </c>
      <c r="AE190" s="13"/>
      <c r="AF190" s="33">
        <v>0</v>
      </c>
      <c r="AG190" s="33">
        <v>0</v>
      </c>
      <c r="AH190" s="33">
        <v>1</v>
      </c>
      <c r="AI190" s="33">
        <v>0</v>
      </c>
      <c r="AJ190" s="33">
        <v>0</v>
      </c>
      <c r="AK190" s="33">
        <v>0</v>
      </c>
      <c r="AL190" s="14">
        <f>SUM(AF190:AK190)</f>
        <v>1</v>
      </c>
      <c r="AM190" s="40">
        <f>AL190/AL192</f>
        <v>0.1111111111111111</v>
      </c>
      <c r="AN190" s="13"/>
      <c r="AO190" s="38">
        <v>0</v>
      </c>
      <c r="AP190" s="38">
        <v>1</v>
      </c>
      <c r="AQ190" s="38">
        <v>0</v>
      </c>
      <c r="AR190" s="32" t="s">
        <v>82</v>
      </c>
      <c r="AS190" s="38">
        <v>0</v>
      </c>
      <c r="AT190" s="38">
        <v>0</v>
      </c>
      <c r="AU190" s="14">
        <f>SUM(AO190:AT190)</f>
        <v>1</v>
      </c>
      <c r="AV190" s="40">
        <f>AU190/AU192</f>
        <v>0.125</v>
      </c>
      <c r="AW190" s="13"/>
      <c r="AX190" s="38">
        <v>0</v>
      </c>
      <c r="AY190" s="38">
        <v>0</v>
      </c>
      <c r="AZ190" s="38">
        <v>0</v>
      </c>
      <c r="BA190" s="38">
        <v>0</v>
      </c>
      <c r="BB190" s="38">
        <v>0</v>
      </c>
      <c r="BC190" s="14">
        <f>SUM(AX190:BB190)</f>
        <v>0</v>
      </c>
      <c r="BD190" s="40">
        <f>BC190/BC192</f>
        <v>0</v>
      </c>
      <c r="BE190" s="13"/>
      <c r="BF190" s="38"/>
      <c r="BG190" s="42"/>
      <c r="BH190" s="42"/>
      <c r="BI190" s="42"/>
    </row>
    <row r="191" spans="1:61" ht="20.25" customHeight="1">
      <c r="A191" s="10" t="s">
        <v>132</v>
      </c>
      <c r="B191" s="32">
        <v>1</v>
      </c>
      <c r="C191" s="32">
        <v>3</v>
      </c>
      <c r="D191" s="32">
        <v>10</v>
      </c>
      <c r="E191" s="32">
        <v>9</v>
      </c>
      <c r="F191" s="32">
        <v>4</v>
      </c>
      <c r="G191" s="33">
        <v>11</v>
      </c>
      <c r="H191" s="32" t="s">
        <v>82</v>
      </c>
      <c r="I191" s="32">
        <v>7</v>
      </c>
      <c r="J191" s="32">
        <v>8</v>
      </c>
      <c r="K191" s="23">
        <f>SUM(B191:J191)</f>
        <v>53</v>
      </c>
      <c r="L191" s="35">
        <f>K191/K192</f>
        <v>0.8833333333333333</v>
      </c>
      <c r="M191" s="35">
        <f>K191/K195</f>
        <v>0.79104477611940294</v>
      </c>
      <c r="N191" s="37"/>
      <c r="O191" s="35"/>
      <c r="P191" s="13"/>
      <c r="Q191" s="33">
        <v>4</v>
      </c>
      <c r="R191" s="9" t="s">
        <v>82</v>
      </c>
      <c r="S191" s="14">
        <v>1</v>
      </c>
      <c r="T191" s="38"/>
      <c r="U191" s="40"/>
      <c r="V191" s="13"/>
      <c r="W191" s="38">
        <v>3</v>
      </c>
      <c r="X191" s="38">
        <v>1</v>
      </c>
      <c r="Y191" s="38">
        <v>7</v>
      </c>
      <c r="Z191" s="38">
        <v>0</v>
      </c>
      <c r="AA191" s="38">
        <v>7</v>
      </c>
      <c r="AB191" s="38">
        <v>1</v>
      </c>
      <c r="AC191" s="14">
        <f>SUM(W191:AB191)</f>
        <v>19</v>
      </c>
      <c r="AD191" s="40">
        <f>AC191/AC192</f>
        <v>0.86363636363636365</v>
      </c>
      <c r="AE191" s="13"/>
      <c r="AF191" s="33">
        <v>1</v>
      </c>
      <c r="AG191" s="33">
        <v>1</v>
      </c>
      <c r="AH191" s="33">
        <v>0</v>
      </c>
      <c r="AI191" s="33">
        <v>1</v>
      </c>
      <c r="AJ191" s="33">
        <v>1</v>
      </c>
      <c r="AK191" s="33">
        <v>4</v>
      </c>
      <c r="AL191" s="14">
        <f>SUM(AF191:AK191)</f>
        <v>8</v>
      </c>
      <c r="AM191" s="40">
        <f>AL191/AL192</f>
        <v>0.88888888888888884</v>
      </c>
      <c r="AN191" s="13"/>
      <c r="AO191" s="38">
        <v>0</v>
      </c>
      <c r="AP191" s="38">
        <v>1</v>
      </c>
      <c r="AQ191" s="38">
        <v>2</v>
      </c>
      <c r="AR191" s="32" t="s">
        <v>82</v>
      </c>
      <c r="AS191" s="38">
        <v>3</v>
      </c>
      <c r="AT191" s="38">
        <v>1</v>
      </c>
      <c r="AU191" s="14">
        <f>SUM(AO191:AT191)</f>
        <v>7</v>
      </c>
      <c r="AV191" s="40">
        <f>AU191/AU192</f>
        <v>0.875</v>
      </c>
      <c r="AW191" s="13"/>
      <c r="AX191" s="38">
        <v>0</v>
      </c>
      <c r="AY191" s="38">
        <v>0</v>
      </c>
      <c r="AZ191" s="38">
        <v>0</v>
      </c>
      <c r="BA191" s="38">
        <v>1</v>
      </c>
      <c r="BB191" s="38">
        <v>3</v>
      </c>
      <c r="BC191" s="14">
        <f>SUM(AX191:BB191)</f>
        <v>4</v>
      </c>
      <c r="BD191" s="40">
        <f>BC191/BC192</f>
        <v>1</v>
      </c>
      <c r="BE191" s="13"/>
      <c r="BF191" s="38"/>
      <c r="BG191" s="42"/>
      <c r="BH191" s="42"/>
      <c r="BI191" s="42"/>
    </row>
    <row r="192" spans="1:61" ht="21.75" customHeight="1">
      <c r="A192" s="10" t="s">
        <v>133</v>
      </c>
      <c r="B192" s="32">
        <f t="shared" ref="B192:G192" si="126">SUM(B190:B191)</f>
        <v>3</v>
      </c>
      <c r="C192" s="32">
        <f t="shared" si="126"/>
        <v>3</v>
      </c>
      <c r="D192" s="32">
        <f t="shared" si="126"/>
        <v>11</v>
      </c>
      <c r="E192" s="32">
        <f t="shared" si="126"/>
        <v>9</v>
      </c>
      <c r="F192" s="32">
        <f t="shared" si="126"/>
        <v>5</v>
      </c>
      <c r="G192" s="32">
        <f t="shared" si="126"/>
        <v>14</v>
      </c>
      <c r="H192" s="32" t="s">
        <v>82</v>
      </c>
      <c r="I192" s="32">
        <f>SUM(I190:I191)</f>
        <v>7</v>
      </c>
      <c r="J192" s="32">
        <f>SUM(J190:J191)</f>
        <v>8</v>
      </c>
      <c r="K192" s="23">
        <f>SUM(K190:K191)</f>
        <v>60</v>
      </c>
      <c r="L192" s="35">
        <f>SUM(L190:L191)</f>
        <v>1</v>
      </c>
      <c r="M192" s="35">
        <f>K192/K195</f>
        <v>0.89552238805970152</v>
      </c>
      <c r="N192" s="37">
        <f>T192+AC192+AL192+AU192</f>
        <v>39</v>
      </c>
      <c r="O192" s="35">
        <f>N192/K192</f>
        <v>0.65</v>
      </c>
      <c r="P192" s="13"/>
      <c r="Q192" s="33">
        <v>4</v>
      </c>
      <c r="R192" s="9" t="s">
        <v>82</v>
      </c>
      <c r="S192" s="14">
        <v>1</v>
      </c>
      <c r="T192" s="38"/>
      <c r="U192" s="40"/>
      <c r="V192" s="13"/>
      <c r="W192" s="38">
        <f t="shared" ref="W192:AD192" si="127">SUM(W190:W191)</f>
        <v>3</v>
      </c>
      <c r="X192" s="38">
        <f t="shared" si="127"/>
        <v>2</v>
      </c>
      <c r="Y192" s="38">
        <f t="shared" si="127"/>
        <v>8</v>
      </c>
      <c r="Z192" s="38">
        <f t="shared" si="127"/>
        <v>1</v>
      </c>
      <c r="AA192" s="38">
        <f t="shared" si="127"/>
        <v>7</v>
      </c>
      <c r="AB192" s="38">
        <f t="shared" si="127"/>
        <v>1</v>
      </c>
      <c r="AC192" s="45">
        <f t="shared" si="127"/>
        <v>22</v>
      </c>
      <c r="AD192" s="40">
        <f t="shared" si="127"/>
        <v>1</v>
      </c>
      <c r="AE192" s="13"/>
      <c r="AF192" s="45">
        <f t="shared" ref="AF192:AM192" si="128">SUM(AF190:AF191)</f>
        <v>1</v>
      </c>
      <c r="AG192" s="45">
        <f t="shared" si="128"/>
        <v>1</v>
      </c>
      <c r="AH192" s="45">
        <f t="shared" si="128"/>
        <v>1</v>
      </c>
      <c r="AI192" s="45">
        <f t="shared" si="128"/>
        <v>1</v>
      </c>
      <c r="AJ192" s="45">
        <f t="shared" si="128"/>
        <v>1</v>
      </c>
      <c r="AK192" s="45">
        <f t="shared" si="128"/>
        <v>4</v>
      </c>
      <c r="AL192" s="45">
        <f t="shared" si="128"/>
        <v>9</v>
      </c>
      <c r="AM192" s="40">
        <f t="shared" si="128"/>
        <v>1</v>
      </c>
      <c r="AN192" s="13"/>
      <c r="AO192" s="38">
        <f t="shared" ref="AO192:AV192" si="129">SUM(AO190:AO191)</f>
        <v>0</v>
      </c>
      <c r="AP192" s="38">
        <f t="shared" si="129"/>
        <v>2</v>
      </c>
      <c r="AQ192" s="38">
        <f t="shared" si="129"/>
        <v>2</v>
      </c>
      <c r="AR192" s="38">
        <f t="shared" si="129"/>
        <v>0</v>
      </c>
      <c r="AS192" s="38">
        <f t="shared" si="129"/>
        <v>3</v>
      </c>
      <c r="AT192" s="38">
        <f t="shared" si="129"/>
        <v>1</v>
      </c>
      <c r="AU192" s="45">
        <f t="shared" si="129"/>
        <v>8</v>
      </c>
      <c r="AV192" s="40">
        <f t="shared" si="129"/>
        <v>1</v>
      </c>
      <c r="AW192" s="13"/>
      <c r="AX192" s="38">
        <f t="shared" ref="AX192:BD192" si="130">SUM(AX190:AX191)</f>
        <v>0</v>
      </c>
      <c r="AY192" s="38">
        <f t="shared" si="130"/>
        <v>0</v>
      </c>
      <c r="AZ192" s="38">
        <f t="shared" si="130"/>
        <v>0</v>
      </c>
      <c r="BA192" s="38">
        <f t="shared" si="130"/>
        <v>1</v>
      </c>
      <c r="BB192" s="38">
        <f t="shared" si="130"/>
        <v>3</v>
      </c>
      <c r="BC192" s="45">
        <f t="shared" si="130"/>
        <v>4</v>
      </c>
      <c r="BD192" s="40">
        <f t="shared" si="130"/>
        <v>1</v>
      </c>
      <c r="BE192" s="13"/>
      <c r="BF192" s="38"/>
      <c r="BG192" s="42"/>
      <c r="BH192" s="42"/>
      <c r="BI192" s="42"/>
    </row>
    <row r="193" spans="1:61" ht="21.75" customHeight="1">
      <c r="A193" s="8" t="s">
        <v>64</v>
      </c>
      <c r="B193" s="32">
        <v>0</v>
      </c>
      <c r="C193" s="32">
        <v>1</v>
      </c>
      <c r="D193" s="32">
        <v>1</v>
      </c>
      <c r="E193" s="32">
        <v>1</v>
      </c>
      <c r="F193" s="32">
        <v>1</v>
      </c>
      <c r="G193" s="32">
        <v>2</v>
      </c>
      <c r="H193" s="32" t="s">
        <v>82</v>
      </c>
      <c r="I193" s="32">
        <v>0</v>
      </c>
      <c r="J193" s="32">
        <v>0</v>
      </c>
      <c r="K193" s="23">
        <f>SUM(B193:J193)</f>
        <v>6</v>
      </c>
      <c r="L193" s="35">
        <f>K193/(K192+K193+K194)</f>
        <v>8.9552238805970144E-2</v>
      </c>
      <c r="M193" s="35">
        <f>K193/(K195)</f>
        <v>8.9552238805970144E-2</v>
      </c>
      <c r="N193" s="12"/>
      <c r="O193" s="35"/>
      <c r="P193" s="13"/>
      <c r="Q193" s="47">
        <v>0</v>
      </c>
      <c r="R193" s="14">
        <f>SUM(R190:R192)</f>
        <v>0</v>
      </c>
      <c r="S193" s="14">
        <v>0</v>
      </c>
      <c r="T193" s="38"/>
      <c r="U193" s="40"/>
      <c r="V193" s="13"/>
      <c r="W193" s="14">
        <v>0</v>
      </c>
      <c r="X193" s="14">
        <v>0</v>
      </c>
      <c r="Y193" s="14">
        <v>0</v>
      </c>
      <c r="Z193" s="14">
        <v>0</v>
      </c>
      <c r="AA193" s="14">
        <v>2</v>
      </c>
      <c r="AB193" s="14">
        <v>0</v>
      </c>
      <c r="AC193" s="51">
        <f>SUM(W193:AB193)</f>
        <v>2</v>
      </c>
      <c r="AD193" s="15">
        <f>AC193/AC195</f>
        <v>8.3333333333333329E-2</v>
      </c>
      <c r="AE193" s="13"/>
      <c r="AF193" s="49">
        <v>0</v>
      </c>
      <c r="AG193" s="49">
        <v>1</v>
      </c>
      <c r="AH193" s="49">
        <v>0</v>
      </c>
      <c r="AI193" s="49">
        <v>0</v>
      </c>
      <c r="AJ193" s="49">
        <v>0</v>
      </c>
      <c r="AK193" s="49">
        <v>0</v>
      </c>
      <c r="AL193" s="49">
        <f>SUM(AF193:AK193)</f>
        <v>1</v>
      </c>
      <c r="AM193" s="15">
        <f>AL193/AL195</f>
        <v>0.1</v>
      </c>
      <c r="AN193" s="13"/>
      <c r="AO193" s="14">
        <v>0</v>
      </c>
      <c r="AP193" s="14">
        <v>0</v>
      </c>
      <c r="AQ193" s="14">
        <v>0</v>
      </c>
      <c r="AR193" s="9" t="s">
        <v>82</v>
      </c>
      <c r="AS193" s="14">
        <v>0</v>
      </c>
      <c r="AT193" s="14">
        <v>0</v>
      </c>
      <c r="AU193" s="51">
        <f>SUM(AO193:AT193)</f>
        <v>0</v>
      </c>
      <c r="AV193" s="15">
        <f>AU193/AU195</f>
        <v>0</v>
      </c>
      <c r="AW193" s="13"/>
      <c r="AX193" s="14">
        <v>0</v>
      </c>
      <c r="AY193" s="14">
        <v>2</v>
      </c>
      <c r="AZ193" s="14">
        <v>0</v>
      </c>
      <c r="BA193" s="14">
        <v>0</v>
      </c>
      <c r="BB193" s="14">
        <v>0</v>
      </c>
      <c r="BC193" s="51">
        <f>SUM(AX193:BB193)</f>
        <v>2</v>
      </c>
      <c r="BD193" s="15">
        <f>BC193/BC195</f>
        <v>0.2857142857142857</v>
      </c>
      <c r="BE193" s="13"/>
      <c r="BF193" s="38"/>
      <c r="BG193" s="42"/>
      <c r="BH193" s="42"/>
      <c r="BI193" s="42"/>
    </row>
    <row r="194" spans="1:61" ht="21.75" customHeight="1">
      <c r="A194" s="8" t="s">
        <v>65</v>
      </c>
      <c r="B194" s="32">
        <v>0</v>
      </c>
      <c r="C194" s="32">
        <v>0</v>
      </c>
      <c r="D194" s="32">
        <v>0</v>
      </c>
      <c r="E194" s="32">
        <v>0</v>
      </c>
      <c r="F194" s="32">
        <v>0</v>
      </c>
      <c r="G194" s="32">
        <v>0</v>
      </c>
      <c r="H194" s="32" t="s">
        <v>82</v>
      </c>
      <c r="I194" s="32">
        <v>1</v>
      </c>
      <c r="J194" s="32">
        <v>0</v>
      </c>
      <c r="K194" s="23">
        <f>SUM(B194:J194)</f>
        <v>1</v>
      </c>
      <c r="L194" s="35">
        <f>K194/(K193+K194+K192)</f>
        <v>1.4925373134328358E-2</v>
      </c>
      <c r="M194" s="35">
        <f>K194/(K195)</f>
        <v>1.4925373134328358E-2</v>
      </c>
      <c r="N194" s="12"/>
      <c r="O194" s="35"/>
      <c r="P194" s="13"/>
      <c r="Q194" s="52">
        <v>0</v>
      </c>
      <c r="R194" s="9" t="s">
        <v>82</v>
      </c>
      <c r="S194" s="14">
        <v>0</v>
      </c>
      <c r="T194" s="38"/>
      <c r="U194" s="40"/>
      <c r="V194" s="13"/>
      <c r="W194" s="14">
        <v>0</v>
      </c>
      <c r="X194" s="45">
        <v>0</v>
      </c>
      <c r="Y194" s="14">
        <v>0</v>
      </c>
      <c r="Z194" s="14">
        <v>0</v>
      </c>
      <c r="AA194" s="14">
        <v>0</v>
      </c>
      <c r="AB194" s="14">
        <v>0</v>
      </c>
      <c r="AC194" s="38">
        <f>SUM(W194:AB194)</f>
        <v>0</v>
      </c>
      <c r="AD194" s="15">
        <f>AC194/AC195</f>
        <v>0</v>
      </c>
      <c r="AE194" s="13"/>
      <c r="AF194" s="14">
        <v>0</v>
      </c>
      <c r="AG194" s="14">
        <v>0</v>
      </c>
      <c r="AH194" s="14">
        <v>0</v>
      </c>
      <c r="AI194" s="14">
        <v>0</v>
      </c>
      <c r="AJ194" s="14">
        <v>0</v>
      </c>
      <c r="AK194" s="14">
        <v>0</v>
      </c>
      <c r="AL194" s="14">
        <f>SUM(AF194:AK194)</f>
        <v>0</v>
      </c>
      <c r="AM194" s="15">
        <f>AL194/AL195</f>
        <v>0</v>
      </c>
      <c r="AN194" s="13"/>
      <c r="AO194" s="14">
        <v>0</v>
      </c>
      <c r="AP194" s="47">
        <v>0</v>
      </c>
      <c r="AQ194" s="14">
        <v>0</v>
      </c>
      <c r="AR194" s="9" t="s">
        <v>82</v>
      </c>
      <c r="AS194" s="14">
        <v>0</v>
      </c>
      <c r="AT194" s="14">
        <v>0</v>
      </c>
      <c r="AU194" s="38">
        <f>SUM(AO194:AT194)</f>
        <v>0</v>
      </c>
      <c r="AV194" s="15">
        <f>AU194/AU195</f>
        <v>0</v>
      </c>
      <c r="AW194" s="13"/>
      <c r="AX194" s="14">
        <v>1</v>
      </c>
      <c r="AY194" s="45">
        <v>0</v>
      </c>
      <c r="AZ194" s="14">
        <v>0</v>
      </c>
      <c r="BA194" s="14">
        <v>0</v>
      </c>
      <c r="BB194" s="14">
        <v>0</v>
      </c>
      <c r="BC194" s="38">
        <f>SUM(AX194:BB194)</f>
        <v>1</v>
      </c>
      <c r="BD194" s="15">
        <f>BC194/BC195</f>
        <v>0.14285714285714285</v>
      </c>
      <c r="BE194" s="13"/>
      <c r="BF194" s="38"/>
      <c r="BG194" s="42"/>
      <c r="BH194" s="42"/>
      <c r="BI194" s="42"/>
    </row>
    <row r="195" spans="1:61" ht="23" customHeight="1">
      <c r="A195" s="10" t="s">
        <v>66</v>
      </c>
      <c r="B195" s="32">
        <f t="shared" ref="B195:G195" si="131">SUM(B192:B194)</f>
        <v>3</v>
      </c>
      <c r="C195" s="32">
        <f t="shared" si="131"/>
        <v>4</v>
      </c>
      <c r="D195" s="32">
        <f t="shared" si="131"/>
        <v>12</v>
      </c>
      <c r="E195" s="32">
        <f t="shared" si="131"/>
        <v>10</v>
      </c>
      <c r="F195" s="32">
        <f t="shared" si="131"/>
        <v>6</v>
      </c>
      <c r="G195" s="32">
        <f t="shared" si="131"/>
        <v>16</v>
      </c>
      <c r="H195" s="32" t="s">
        <v>82</v>
      </c>
      <c r="I195" s="32">
        <f>SUM(I192:I194)</f>
        <v>8</v>
      </c>
      <c r="J195" s="32">
        <f>SUM(J192:J194)</f>
        <v>8</v>
      </c>
      <c r="K195" s="23">
        <f>SUM(B195:J195)</f>
        <v>67</v>
      </c>
      <c r="L195" s="35">
        <f>K195/(K194+K193+K192)</f>
        <v>1</v>
      </c>
      <c r="M195" s="35">
        <f>K195/(K192+K193+K194)</f>
        <v>1</v>
      </c>
      <c r="N195" s="37">
        <f>T195+AC195+AL195+AU195+S224</f>
        <v>42</v>
      </c>
      <c r="O195" s="35">
        <f>N195/K195</f>
        <v>0.62686567164179108</v>
      </c>
      <c r="P195" s="13"/>
      <c r="Q195" s="45">
        <f>SUM(Q192:Q194)</f>
        <v>4</v>
      </c>
      <c r="R195" s="14">
        <f>SUM(R192:R194)</f>
        <v>0</v>
      </c>
      <c r="S195" s="14">
        <f>SUM(S192:S194)</f>
        <v>1</v>
      </c>
      <c r="T195" s="38"/>
      <c r="U195" s="40"/>
      <c r="V195" s="13"/>
      <c r="W195" s="38">
        <f t="shared" ref="W195:AB195" si="132">SUM(W192:W194)</f>
        <v>3</v>
      </c>
      <c r="X195" s="51">
        <f t="shared" si="132"/>
        <v>2</v>
      </c>
      <c r="Y195" s="38">
        <f t="shared" si="132"/>
        <v>8</v>
      </c>
      <c r="Z195" s="38">
        <f t="shared" si="132"/>
        <v>1</v>
      </c>
      <c r="AA195" s="38">
        <f t="shared" si="132"/>
        <v>9</v>
      </c>
      <c r="AB195" s="38">
        <f t="shared" si="132"/>
        <v>1</v>
      </c>
      <c r="AC195" s="38">
        <f>SUM(W195:AB195)</f>
        <v>24</v>
      </c>
      <c r="AD195" s="40">
        <f>AC195/(AC192+AC193+AC194)</f>
        <v>1</v>
      </c>
      <c r="AE195" s="13"/>
      <c r="AF195" s="38">
        <f t="shared" ref="AF195:AK195" si="133">SUM(AF192:AF194)</f>
        <v>1</v>
      </c>
      <c r="AG195" s="38">
        <f t="shared" si="133"/>
        <v>2</v>
      </c>
      <c r="AH195" s="38">
        <f t="shared" si="133"/>
        <v>1</v>
      </c>
      <c r="AI195" s="38">
        <f t="shared" si="133"/>
        <v>1</v>
      </c>
      <c r="AJ195" s="38">
        <f t="shared" si="133"/>
        <v>1</v>
      </c>
      <c r="AK195" s="38">
        <f t="shared" si="133"/>
        <v>4</v>
      </c>
      <c r="AL195" s="38">
        <f>SUM(AF195:AK195)</f>
        <v>10</v>
      </c>
      <c r="AM195" s="41">
        <f>AL195/(AL192+AL193+AL194)</f>
        <v>1</v>
      </c>
      <c r="AN195" s="13"/>
      <c r="AO195" s="38">
        <f t="shared" ref="AO195:AT195" si="134">SUM(AO192:AO194)</f>
        <v>0</v>
      </c>
      <c r="AP195" s="104">
        <f t="shared" si="134"/>
        <v>2</v>
      </c>
      <c r="AQ195" s="38">
        <f t="shared" si="134"/>
        <v>2</v>
      </c>
      <c r="AR195" s="38">
        <f t="shared" si="134"/>
        <v>0</v>
      </c>
      <c r="AS195" s="38">
        <f t="shared" si="134"/>
        <v>3</v>
      </c>
      <c r="AT195" s="38">
        <f t="shared" si="134"/>
        <v>1</v>
      </c>
      <c r="AU195" s="38">
        <f>SUM(AO195:AT195)</f>
        <v>8</v>
      </c>
      <c r="AV195" s="40">
        <f>AU195/(AU192+AU193+AU194)</f>
        <v>1</v>
      </c>
      <c r="AW195" s="13"/>
      <c r="AX195" s="38">
        <f>SUM(AX192:AX194)</f>
        <v>1</v>
      </c>
      <c r="AY195" s="51">
        <f>SUM(AY192:AY194)</f>
        <v>2</v>
      </c>
      <c r="AZ195" s="38">
        <f>SUM(AZ192:AZ194)</f>
        <v>0</v>
      </c>
      <c r="BA195" s="38">
        <f>SUM(BA192:BA194)</f>
        <v>1</v>
      </c>
      <c r="BB195" s="38">
        <f>SUM(BB192:BB194)</f>
        <v>3</v>
      </c>
      <c r="BC195" s="38">
        <f>SUM(AX195:BB195)</f>
        <v>7</v>
      </c>
      <c r="BD195" s="40">
        <f>BC195/(BC192+BC193+BC194)</f>
        <v>1</v>
      </c>
      <c r="BE195" s="13"/>
      <c r="BF195" s="38"/>
      <c r="BG195" s="42"/>
      <c r="BH195" s="42"/>
      <c r="BI195" s="42"/>
    </row>
    <row r="196" spans="1:61" ht="23" customHeight="1">
      <c r="A196" s="105"/>
      <c r="B196" s="42"/>
      <c r="C196" s="42"/>
      <c r="D196" s="42"/>
      <c r="E196" s="42"/>
      <c r="F196" s="42"/>
      <c r="G196" s="42"/>
      <c r="H196" s="42"/>
      <c r="I196" s="42"/>
      <c r="J196" s="42"/>
      <c r="K196" s="23">
        <f>SUM(B196:J196)</f>
        <v>0</v>
      </c>
      <c r="L196" s="35"/>
      <c r="M196" s="35"/>
      <c r="N196" s="37"/>
      <c r="O196" s="35"/>
      <c r="P196" s="13"/>
      <c r="Q196" s="57"/>
      <c r="R196" s="46"/>
      <c r="S196" s="46"/>
      <c r="T196" s="38"/>
      <c r="U196" s="40"/>
      <c r="V196" s="13"/>
      <c r="W196" s="38"/>
      <c r="X196" s="38"/>
      <c r="Y196" s="38"/>
      <c r="Z196" s="38"/>
      <c r="AA196" s="38"/>
      <c r="AB196" s="38"/>
      <c r="AC196" s="38">
        <f>SUM(W196:AB196)</f>
        <v>0</v>
      </c>
      <c r="AD196" s="40"/>
      <c r="AE196" s="13"/>
      <c r="AF196" s="38"/>
      <c r="AG196" s="38"/>
      <c r="AH196" s="38"/>
      <c r="AI196" s="38"/>
      <c r="AJ196" s="38"/>
      <c r="AK196" s="38"/>
      <c r="AL196" s="38">
        <f>SUM(AF196:AK196)</f>
        <v>0</v>
      </c>
      <c r="AM196" s="41"/>
      <c r="AN196" s="13"/>
      <c r="AO196" s="38"/>
      <c r="AP196" s="38"/>
      <c r="AQ196" s="38"/>
      <c r="AR196" s="38"/>
      <c r="AS196" s="38"/>
      <c r="AT196" s="38"/>
      <c r="AU196" s="38">
        <f>SUM(AO196:AT196)</f>
        <v>0</v>
      </c>
      <c r="AV196" s="40"/>
      <c r="AW196" s="13"/>
      <c r="AX196" s="38"/>
      <c r="AY196" s="38"/>
      <c r="AZ196" s="38"/>
      <c r="BA196" s="38"/>
      <c r="BB196" s="38"/>
      <c r="BC196" s="38">
        <f>SUM(AX196:BB196)</f>
        <v>0</v>
      </c>
      <c r="BD196" s="40"/>
      <c r="BE196" s="13"/>
      <c r="BF196" s="38"/>
      <c r="BG196" s="42"/>
      <c r="BH196" s="42"/>
      <c r="BI196" s="42"/>
    </row>
    <row r="197" spans="1:61" ht="81.75" customHeight="1">
      <c r="A197" s="102" t="s">
        <v>134</v>
      </c>
      <c r="B197" s="181" t="s">
        <v>135</v>
      </c>
      <c r="C197" s="182"/>
      <c r="D197" s="182"/>
      <c r="E197" s="182"/>
      <c r="F197" s="182"/>
      <c r="G197" s="22"/>
      <c r="H197" s="22"/>
      <c r="I197" s="22"/>
      <c r="J197" s="22"/>
      <c r="K197" s="21"/>
      <c r="L197" s="24"/>
      <c r="M197" s="24"/>
      <c r="N197" s="26"/>
      <c r="O197" s="24"/>
      <c r="P197" s="27"/>
      <c r="Q197" s="106"/>
      <c r="R197" s="107"/>
      <c r="S197" s="107"/>
      <c r="T197" s="26"/>
      <c r="U197" s="24"/>
      <c r="V197" s="27"/>
      <c r="W197" s="28"/>
      <c r="X197" s="28"/>
      <c r="Y197" s="28"/>
      <c r="Z197" s="28"/>
      <c r="AA197" s="28"/>
      <c r="AB197" s="28"/>
      <c r="AC197" s="26"/>
      <c r="AD197" s="24"/>
      <c r="AE197" s="27"/>
      <c r="AF197" s="28"/>
      <c r="AG197" s="28"/>
      <c r="AH197" s="28"/>
      <c r="AI197" s="28"/>
      <c r="AJ197" s="28"/>
      <c r="AK197" s="28"/>
      <c r="AL197" s="26"/>
      <c r="AM197" s="29"/>
      <c r="AN197" s="27"/>
      <c r="AO197" s="26"/>
      <c r="AP197" s="26"/>
      <c r="AQ197" s="26"/>
      <c r="AR197" s="26"/>
      <c r="AS197" s="26"/>
      <c r="AT197" s="26"/>
      <c r="AU197" s="26"/>
      <c r="AV197" s="24"/>
      <c r="AW197" s="27"/>
      <c r="AX197" s="26"/>
      <c r="AY197" s="26"/>
      <c r="AZ197" s="26"/>
      <c r="BA197" s="26"/>
      <c r="BB197" s="26"/>
      <c r="BC197" s="26"/>
      <c r="BD197" s="24"/>
      <c r="BE197" s="27"/>
      <c r="BF197" s="26"/>
      <c r="BG197" s="22"/>
      <c r="BH197" s="21"/>
      <c r="BI197" s="22"/>
    </row>
    <row r="198" spans="1:61" ht="33.75" customHeight="1">
      <c r="A198" s="105"/>
      <c r="B198" s="30" t="s">
        <v>0</v>
      </c>
      <c r="C198" s="30" t="s">
        <v>1</v>
      </c>
      <c r="D198" s="30" t="s">
        <v>2</v>
      </c>
      <c r="E198" s="30" t="s">
        <v>3</v>
      </c>
      <c r="F198" s="30" t="s">
        <v>4</v>
      </c>
      <c r="G198" s="30" t="s">
        <v>5</v>
      </c>
      <c r="H198" s="30" t="s">
        <v>68</v>
      </c>
      <c r="I198" s="30" t="s">
        <v>7</v>
      </c>
      <c r="J198" s="30" t="s">
        <v>8</v>
      </c>
      <c r="K198" s="10" t="s">
        <v>9</v>
      </c>
      <c r="L198" s="10" t="s">
        <v>56</v>
      </c>
      <c r="M198" s="35"/>
      <c r="N198" s="37"/>
      <c r="O198" s="35"/>
      <c r="P198" s="13"/>
      <c r="Q198" s="45"/>
      <c r="R198" s="14"/>
      <c r="S198" s="14"/>
      <c r="T198" s="38"/>
      <c r="U198" s="40"/>
      <c r="V198" s="13"/>
      <c r="W198" s="38"/>
      <c r="X198" s="38"/>
      <c r="Y198" s="38"/>
      <c r="Z198" s="38"/>
      <c r="AA198" s="38"/>
      <c r="AB198" s="38"/>
      <c r="AC198" s="38">
        <f t="shared" ref="AC198:AC205" si="135">SUM(W198:AB198)</f>
        <v>0</v>
      </c>
      <c r="AD198" s="40"/>
      <c r="AE198" s="13"/>
      <c r="AF198" s="38"/>
      <c r="AG198" s="38"/>
      <c r="AH198" s="38"/>
      <c r="AI198" s="38"/>
      <c r="AJ198" s="38"/>
      <c r="AK198" s="38"/>
      <c r="AL198" s="38">
        <f t="shared" ref="AL198:AL205" si="136">SUM(AF198:AK198)</f>
        <v>0</v>
      </c>
      <c r="AM198" s="41"/>
      <c r="AN198" s="13"/>
      <c r="AO198" s="38"/>
      <c r="AP198" s="38"/>
      <c r="AQ198" s="38"/>
      <c r="AR198" s="38"/>
      <c r="AS198" s="38"/>
      <c r="AT198" s="38"/>
      <c r="AU198" s="38">
        <f t="shared" ref="AU198:AU205" si="137">SUM(AO198:AT198)</f>
        <v>0</v>
      </c>
      <c r="AV198" s="40"/>
      <c r="AW198" s="13"/>
      <c r="AX198" s="38"/>
      <c r="AY198" s="38"/>
      <c r="AZ198" s="38"/>
      <c r="BA198" s="38"/>
      <c r="BB198" s="38"/>
      <c r="BC198" s="38">
        <f t="shared" ref="BC198:BC205" si="138">SUM(AX198:BB198)</f>
        <v>0</v>
      </c>
      <c r="BD198" s="40"/>
      <c r="BE198" s="13"/>
      <c r="BF198" s="38"/>
      <c r="BG198" s="42"/>
      <c r="BH198" s="42"/>
      <c r="BI198" s="42"/>
    </row>
    <row r="199" spans="1:61" ht="23" customHeight="1">
      <c r="A199" s="108" t="s">
        <v>131</v>
      </c>
      <c r="B199" s="32">
        <v>7</v>
      </c>
      <c r="C199" s="32">
        <v>0</v>
      </c>
      <c r="D199" s="32">
        <v>2</v>
      </c>
      <c r="E199" s="32">
        <v>1</v>
      </c>
      <c r="F199" s="32">
        <v>0</v>
      </c>
      <c r="G199" s="32">
        <v>1</v>
      </c>
      <c r="H199" s="32" t="s">
        <v>82</v>
      </c>
      <c r="I199" s="32">
        <v>1</v>
      </c>
      <c r="J199" s="32">
        <v>0</v>
      </c>
      <c r="K199" s="23">
        <f t="shared" ref="K199:K204" si="139">SUM(B199:J199)</f>
        <v>12</v>
      </c>
      <c r="L199" s="35">
        <f>K199/K201</f>
        <v>0.13333333333333333</v>
      </c>
      <c r="M199" s="35">
        <f>K199/K204</f>
        <v>0.125</v>
      </c>
      <c r="N199" s="37"/>
      <c r="O199" s="35"/>
      <c r="P199" s="13"/>
      <c r="Q199" s="57"/>
      <c r="R199" s="14"/>
      <c r="S199" s="14"/>
      <c r="T199" s="38"/>
      <c r="U199" s="40"/>
      <c r="V199" s="13"/>
      <c r="W199" s="38"/>
      <c r="X199" s="38"/>
      <c r="Y199" s="38"/>
      <c r="Z199" s="38"/>
      <c r="AA199" s="38"/>
      <c r="AB199" s="38"/>
      <c r="AC199" s="38">
        <f t="shared" si="135"/>
        <v>0</v>
      </c>
      <c r="AD199" s="40"/>
      <c r="AE199" s="13"/>
      <c r="AF199" s="38"/>
      <c r="AG199" s="38"/>
      <c r="AH199" s="38"/>
      <c r="AI199" s="38"/>
      <c r="AJ199" s="38"/>
      <c r="AK199" s="38"/>
      <c r="AL199" s="38">
        <f t="shared" si="136"/>
        <v>0</v>
      </c>
      <c r="AM199" s="41"/>
      <c r="AN199" s="13"/>
      <c r="AO199" s="38"/>
      <c r="AP199" s="38"/>
      <c r="AQ199" s="38"/>
      <c r="AR199" s="38"/>
      <c r="AS199" s="38"/>
      <c r="AT199" s="38"/>
      <c r="AU199" s="38">
        <f t="shared" si="137"/>
        <v>0</v>
      </c>
      <c r="AV199" s="40"/>
      <c r="AW199" s="13"/>
      <c r="AX199" s="38"/>
      <c r="AY199" s="38"/>
      <c r="AZ199" s="38"/>
      <c r="BA199" s="38"/>
      <c r="BB199" s="38"/>
      <c r="BC199" s="38">
        <f t="shared" si="138"/>
        <v>0</v>
      </c>
      <c r="BD199" s="40"/>
      <c r="BE199" s="13"/>
      <c r="BF199" s="38"/>
      <c r="BG199" s="42"/>
      <c r="BH199" s="42"/>
      <c r="BI199" s="42"/>
    </row>
    <row r="200" spans="1:61" ht="23" customHeight="1">
      <c r="A200" s="10" t="s">
        <v>132</v>
      </c>
      <c r="B200" s="32">
        <v>14</v>
      </c>
      <c r="C200" s="32">
        <v>3</v>
      </c>
      <c r="D200" s="32">
        <v>14</v>
      </c>
      <c r="E200" s="32">
        <v>5</v>
      </c>
      <c r="F200" s="32">
        <v>16</v>
      </c>
      <c r="G200" s="32">
        <v>1</v>
      </c>
      <c r="H200" s="32" t="s">
        <v>82</v>
      </c>
      <c r="I200" s="32">
        <v>11</v>
      </c>
      <c r="J200" s="32">
        <v>14</v>
      </c>
      <c r="K200" s="23">
        <f t="shared" si="139"/>
        <v>78</v>
      </c>
      <c r="L200" s="35">
        <f>K200/K201</f>
        <v>0.8666666666666667</v>
      </c>
      <c r="M200" s="35">
        <f>K200/K204</f>
        <v>0.8125</v>
      </c>
      <c r="N200" s="37"/>
      <c r="O200" s="35"/>
      <c r="P200" s="13"/>
      <c r="Q200" s="57"/>
      <c r="R200" s="14"/>
      <c r="S200" s="14"/>
      <c r="T200" s="38"/>
      <c r="U200" s="40"/>
      <c r="V200" s="13"/>
      <c r="W200" s="38"/>
      <c r="X200" s="38"/>
      <c r="Y200" s="38"/>
      <c r="Z200" s="38"/>
      <c r="AA200" s="38"/>
      <c r="AB200" s="38"/>
      <c r="AC200" s="38">
        <f t="shared" si="135"/>
        <v>0</v>
      </c>
      <c r="AD200" s="40"/>
      <c r="AE200" s="13"/>
      <c r="AF200" s="38"/>
      <c r="AG200" s="38"/>
      <c r="AH200" s="38"/>
      <c r="AI200" s="38"/>
      <c r="AJ200" s="38"/>
      <c r="AK200" s="38"/>
      <c r="AL200" s="38">
        <f t="shared" si="136"/>
        <v>0</v>
      </c>
      <c r="AM200" s="41"/>
      <c r="AN200" s="13"/>
      <c r="AO200" s="38"/>
      <c r="AP200" s="38"/>
      <c r="AQ200" s="38"/>
      <c r="AR200" s="38"/>
      <c r="AS200" s="38"/>
      <c r="AT200" s="38"/>
      <c r="AU200" s="38">
        <f t="shared" si="137"/>
        <v>0</v>
      </c>
      <c r="AV200" s="40"/>
      <c r="AW200" s="13"/>
      <c r="AX200" s="38"/>
      <c r="AY200" s="38"/>
      <c r="AZ200" s="38"/>
      <c r="BA200" s="38"/>
      <c r="BB200" s="38"/>
      <c r="BC200" s="38">
        <f t="shared" si="138"/>
        <v>0</v>
      </c>
      <c r="BD200" s="40"/>
      <c r="BE200" s="13"/>
      <c r="BF200" s="38"/>
      <c r="BG200" s="42"/>
      <c r="BH200" s="42"/>
      <c r="BI200" s="42"/>
    </row>
    <row r="201" spans="1:61" ht="35" customHeight="1">
      <c r="A201" s="10" t="s">
        <v>136</v>
      </c>
      <c r="B201" s="32">
        <f>B199+B200</f>
        <v>21</v>
      </c>
      <c r="C201" s="32">
        <f>C199+C200</f>
        <v>3</v>
      </c>
      <c r="D201" s="32">
        <f>D199+D200</f>
        <v>16</v>
      </c>
      <c r="E201" s="32">
        <f>E199+E200</f>
        <v>6</v>
      </c>
      <c r="F201" s="32">
        <f>F199+F200</f>
        <v>16</v>
      </c>
      <c r="G201" s="32">
        <f>SUM(G199:G200)</f>
        <v>2</v>
      </c>
      <c r="H201" s="32" t="s">
        <v>82</v>
      </c>
      <c r="I201" s="32">
        <f>I199+I200</f>
        <v>12</v>
      </c>
      <c r="J201" s="32">
        <f>J199+J200</f>
        <v>14</v>
      </c>
      <c r="K201" s="23">
        <f t="shared" si="139"/>
        <v>90</v>
      </c>
      <c r="L201" s="35">
        <f>SUM(L199:L200)</f>
        <v>1</v>
      </c>
      <c r="M201" s="35">
        <f>K201/K204</f>
        <v>0.9375</v>
      </c>
      <c r="N201" s="37"/>
      <c r="O201" s="35"/>
      <c r="P201" s="13"/>
      <c r="Q201" s="57"/>
      <c r="R201" s="14"/>
      <c r="S201" s="14"/>
      <c r="T201" s="38"/>
      <c r="U201" s="40"/>
      <c r="V201" s="13"/>
      <c r="W201" s="38"/>
      <c r="X201" s="38"/>
      <c r="Y201" s="38"/>
      <c r="Z201" s="38"/>
      <c r="AA201" s="38"/>
      <c r="AB201" s="38"/>
      <c r="AC201" s="38">
        <f t="shared" si="135"/>
        <v>0</v>
      </c>
      <c r="AD201" s="40"/>
      <c r="AE201" s="13"/>
      <c r="AF201" s="38"/>
      <c r="AG201" s="38"/>
      <c r="AH201" s="38"/>
      <c r="AI201" s="38"/>
      <c r="AJ201" s="38"/>
      <c r="AK201" s="38"/>
      <c r="AL201" s="38">
        <f t="shared" si="136"/>
        <v>0</v>
      </c>
      <c r="AM201" s="41"/>
      <c r="AN201" s="13"/>
      <c r="AO201" s="38"/>
      <c r="AP201" s="38"/>
      <c r="AQ201" s="38"/>
      <c r="AR201" s="38"/>
      <c r="AS201" s="38"/>
      <c r="AT201" s="38"/>
      <c r="AU201" s="38">
        <f t="shared" si="137"/>
        <v>0</v>
      </c>
      <c r="AV201" s="40"/>
      <c r="AW201" s="13"/>
      <c r="AX201" s="38"/>
      <c r="AY201" s="38"/>
      <c r="AZ201" s="38"/>
      <c r="BA201" s="38"/>
      <c r="BB201" s="38"/>
      <c r="BC201" s="38">
        <f t="shared" si="138"/>
        <v>0</v>
      </c>
      <c r="BD201" s="40"/>
      <c r="BE201" s="13"/>
      <c r="BF201" s="38"/>
      <c r="BG201" s="42"/>
      <c r="BH201" s="42"/>
      <c r="BI201" s="42"/>
    </row>
    <row r="202" spans="1:61" ht="23" customHeight="1">
      <c r="A202" s="8" t="s">
        <v>64</v>
      </c>
      <c r="B202" s="32">
        <v>3</v>
      </c>
      <c r="C202" s="32">
        <v>0</v>
      </c>
      <c r="D202" s="32">
        <v>1</v>
      </c>
      <c r="E202" s="32">
        <v>1</v>
      </c>
      <c r="F202" s="32">
        <v>1</v>
      </c>
      <c r="G202" s="32">
        <v>0</v>
      </c>
      <c r="H202" s="32" t="s">
        <v>82</v>
      </c>
      <c r="I202" s="32">
        <v>0</v>
      </c>
      <c r="J202" s="32">
        <v>0</v>
      </c>
      <c r="K202" s="23">
        <f t="shared" si="139"/>
        <v>6</v>
      </c>
      <c r="L202" s="35">
        <f>K202/K204</f>
        <v>6.25E-2</v>
      </c>
      <c r="M202" s="35">
        <f>K202/(K204)</f>
        <v>6.25E-2</v>
      </c>
      <c r="N202" s="37"/>
      <c r="O202" s="35"/>
      <c r="P202" s="13"/>
      <c r="Q202" s="57"/>
      <c r="R202" s="14"/>
      <c r="S202" s="14"/>
      <c r="T202" s="38"/>
      <c r="U202" s="40"/>
      <c r="V202" s="13"/>
      <c r="W202" s="38"/>
      <c r="X202" s="38"/>
      <c r="Y202" s="38"/>
      <c r="Z202" s="38"/>
      <c r="AA202" s="38"/>
      <c r="AB202" s="38"/>
      <c r="AC202" s="38">
        <f t="shared" si="135"/>
        <v>0</v>
      </c>
      <c r="AD202" s="40"/>
      <c r="AE202" s="13"/>
      <c r="AF202" s="38"/>
      <c r="AG202" s="38"/>
      <c r="AH202" s="38"/>
      <c r="AI202" s="38"/>
      <c r="AJ202" s="38"/>
      <c r="AK202" s="38"/>
      <c r="AL202" s="38">
        <f t="shared" si="136"/>
        <v>0</v>
      </c>
      <c r="AM202" s="41"/>
      <c r="AN202" s="13"/>
      <c r="AO202" s="38"/>
      <c r="AP202" s="38"/>
      <c r="AQ202" s="38"/>
      <c r="AR202" s="38"/>
      <c r="AS202" s="38"/>
      <c r="AT202" s="38"/>
      <c r="AU202" s="38">
        <f t="shared" si="137"/>
        <v>0</v>
      </c>
      <c r="AV202" s="40"/>
      <c r="AW202" s="13"/>
      <c r="AX202" s="38"/>
      <c r="AY202" s="38"/>
      <c r="AZ202" s="38"/>
      <c r="BA202" s="38"/>
      <c r="BB202" s="38"/>
      <c r="BC202" s="38">
        <f t="shared" si="138"/>
        <v>0</v>
      </c>
      <c r="BD202" s="40"/>
      <c r="BE202" s="13"/>
      <c r="BF202" s="38"/>
      <c r="BG202" s="42"/>
      <c r="BH202" s="42"/>
      <c r="BI202" s="42"/>
    </row>
    <row r="203" spans="1:61" ht="23" customHeight="1">
      <c r="A203" s="8" t="s">
        <v>65</v>
      </c>
      <c r="B203" s="32">
        <v>0</v>
      </c>
      <c r="C203" s="32">
        <v>0</v>
      </c>
      <c r="D203" s="32">
        <v>0</v>
      </c>
      <c r="E203" s="32">
        <v>0</v>
      </c>
      <c r="F203" s="32">
        <v>0</v>
      </c>
      <c r="G203" s="32">
        <v>0</v>
      </c>
      <c r="H203" s="32" t="s">
        <v>82</v>
      </c>
      <c r="I203" s="32">
        <v>0</v>
      </c>
      <c r="J203" s="32">
        <v>0</v>
      </c>
      <c r="K203" s="23">
        <f t="shared" si="139"/>
        <v>0</v>
      </c>
      <c r="L203" s="35">
        <f>K203/K204</f>
        <v>0</v>
      </c>
      <c r="M203" s="35">
        <f>K203/(K204)</f>
        <v>0</v>
      </c>
      <c r="N203" s="37"/>
      <c r="O203" s="35"/>
      <c r="P203" s="13"/>
      <c r="Q203" s="57"/>
      <c r="R203" s="14"/>
      <c r="S203" s="14"/>
      <c r="T203" s="38"/>
      <c r="U203" s="40"/>
      <c r="V203" s="13"/>
      <c r="W203" s="38"/>
      <c r="X203" s="38"/>
      <c r="Y203" s="38"/>
      <c r="Z203" s="38"/>
      <c r="AA203" s="38"/>
      <c r="AB203" s="38"/>
      <c r="AC203" s="38">
        <f t="shared" si="135"/>
        <v>0</v>
      </c>
      <c r="AD203" s="40"/>
      <c r="AE203" s="13"/>
      <c r="AF203" s="38"/>
      <c r="AG203" s="38"/>
      <c r="AH203" s="38"/>
      <c r="AI203" s="38"/>
      <c r="AJ203" s="38"/>
      <c r="AK203" s="38"/>
      <c r="AL203" s="38">
        <f t="shared" si="136"/>
        <v>0</v>
      </c>
      <c r="AM203" s="41"/>
      <c r="AN203" s="13"/>
      <c r="AO203" s="38"/>
      <c r="AP203" s="38"/>
      <c r="AQ203" s="38"/>
      <c r="AR203" s="38"/>
      <c r="AS203" s="38"/>
      <c r="AT203" s="38"/>
      <c r="AU203" s="38">
        <f t="shared" si="137"/>
        <v>0</v>
      </c>
      <c r="AV203" s="40"/>
      <c r="AW203" s="13"/>
      <c r="AX203" s="38"/>
      <c r="AY203" s="38"/>
      <c r="AZ203" s="38"/>
      <c r="BA203" s="38"/>
      <c r="BB203" s="38"/>
      <c r="BC203" s="38">
        <f t="shared" si="138"/>
        <v>0</v>
      </c>
      <c r="BD203" s="40"/>
      <c r="BE203" s="13"/>
      <c r="BF203" s="38"/>
      <c r="BG203" s="42"/>
      <c r="BH203" s="42"/>
      <c r="BI203" s="42"/>
    </row>
    <row r="204" spans="1:61" ht="23" customHeight="1">
      <c r="A204" s="39" t="s">
        <v>66</v>
      </c>
      <c r="B204" s="32">
        <f t="shared" ref="B204:G204" si="140">B201+B202+B203</f>
        <v>24</v>
      </c>
      <c r="C204" s="32">
        <f t="shared" si="140"/>
        <v>3</v>
      </c>
      <c r="D204" s="32">
        <f t="shared" si="140"/>
        <v>17</v>
      </c>
      <c r="E204" s="32">
        <f t="shared" si="140"/>
        <v>7</v>
      </c>
      <c r="F204" s="32">
        <f t="shared" si="140"/>
        <v>17</v>
      </c>
      <c r="G204" s="32">
        <f t="shared" si="140"/>
        <v>2</v>
      </c>
      <c r="H204" s="32" t="s">
        <v>82</v>
      </c>
      <c r="I204" s="32">
        <f>I201+I202+I203</f>
        <v>12</v>
      </c>
      <c r="J204" s="32">
        <f>J201+J202+J203</f>
        <v>14</v>
      </c>
      <c r="K204" s="23">
        <f t="shared" si="139"/>
        <v>96</v>
      </c>
      <c r="L204" s="35">
        <f>K204/(K203+K202+K201)</f>
        <v>1</v>
      </c>
      <c r="M204" s="35">
        <f>K204/(K201+K202+K203)</f>
        <v>1</v>
      </c>
      <c r="N204" s="37"/>
      <c r="O204" s="35"/>
      <c r="P204" s="13"/>
      <c r="Q204" s="57"/>
      <c r="R204" s="14"/>
      <c r="S204" s="14"/>
      <c r="T204" s="38"/>
      <c r="U204" s="40"/>
      <c r="V204" s="13"/>
      <c r="W204" s="38"/>
      <c r="X204" s="38"/>
      <c r="Y204" s="38"/>
      <c r="Z204" s="38"/>
      <c r="AA204" s="38"/>
      <c r="AB204" s="38"/>
      <c r="AC204" s="38">
        <f t="shared" si="135"/>
        <v>0</v>
      </c>
      <c r="AD204" s="40"/>
      <c r="AE204" s="13"/>
      <c r="AF204" s="38"/>
      <c r="AG204" s="38"/>
      <c r="AH204" s="38"/>
      <c r="AI204" s="38"/>
      <c r="AJ204" s="38"/>
      <c r="AK204" s="38"/>
      <c r="AL204" s="38">
        <f t="shared" si="136"/>
        <v>0</v>
      </c>
      <c r="AM204" s="41"/>
      <c r="AN204" s="13"/>
      <c r="AO204" s="38"/>
      <c r="AP204" s="38"/>
      <c r="AQ204" s="38"/>
      <c r="AR204" s="38"/>
      <c r="AS204" s="38"/>
      <c r="AT204" s="38"/>
      <c r="AU204" s="38">
        <f t="shared" si="137"/>
        <v>0</v>
      </c>
      <c r="AV204" s="40"/>
      <c r="AW204" s="13"/>
      <c r="AX204" s="38"/>
      <c r="AY204" s="38"/>
      <c r="AZ204" s="38"/>
      <c r="BA204" s="38"/>
      <c r="BB204" s="38"/>
      <c r="BC204" s="38">
        <f t="shared" si="138"/>
        <v>0</v>
      </c>
      <c r="BD204" s="40"/>
      <c r="BE204" s="13"/>
      <c r="BF204" s="38"/>
      <c r="BG204" s="42"/>
      <c r="BH204" s="42"/>
      <c r="BI204" s="42"/>
    </row>
    <row r="205" spans="1:61" ht="23" customHeight="1">
      <c r="A205" s="109"/>
      <c r="B205" s="42"/>
      <c r="C205" s="42"/>
      <c r="D205" s="42"/>
      <c r="E205" s="42"/>
      <c r="F205" s="42"/>
      <c r="G205" s="42"/>
      <c r="H205" s="42"/>
      <c r="I205" s="42"/>
      <c r="J205" s="42"/>
      <c r="K205" s="110"/>
      <c r="L205" s="35"/>
      <c r="M205" s="35"/>
      <c r="N205" s="37"/>
      <c r="O205" s="35"/>
      <c r="P205" s="13"/>
      <c r="Q205" s="57"/>
      <c r="R205" s="46"/>
      <c r="S205" s="46"/>
      <c r="T205" s="38"/>
      <c r="U205" s="40"/>
      <c r="V205" s="13"/>
      <c r="W205" s="38"/>
      <c r="X205" s="38"/>
      <c r="Y205" s="38"/>
      <c r="Z205" s="38"/>
      <c r="AA205" s="38"/>
      <c r="AB205" s="38"/>
      <c r="AC205" s="38">
        <f t="shared" si="135"/>
        <v>0</v>
      </c>
      <c r="AD205" s="40"/>
      <c r="AE205" s="13"/>
      <c r="AF205" s="38"/>
      <c r="AG205" s="38"/>
      <c r="AH205" s="38"/>
      <c r="AI205" s="38"/>
      <c r="AJ205" s="38"/>
      <c r="AK205" s="38"/>
      <c r="AL205" s="38">
        <f t="shared" si="136"/>
        <v>0</v>
      </c>
      <c r="AM205" s="41"/>
      <c r="AN205" s="13"/>
      <c r="AO205" s="38"/>
      <c r="AP205" s="38"/>
      <c r="AQ205" s="38"/>
      <c r="AR205" s="38"/>
      <c r="AS205" s="38"/>
      <c r="AT205" s="38"/>
      <c r="AU205" s="38">
        <f t="shared" si="137"/>
        <v>0</v>
      </c>
      <c r="AV205" s="40"/>
      <c r="AW205" s="13"/>
      <c r="AX205" s="38"/>
      <c r="AY205" s="38"/>
      <c r="AZ205" s="38"/>
      <c r="BA205" s="38"/>
      <c r="BB205" s="38"/>
      <c r="BC205" s="38">
        <f t="shared" si="138"/>
        <v>0</v>
      </c>
      <c r="BD205" s="40"/>
      <c r="BE205" s="13"/>
      <c r="BF205" s="38"/>
      <c r="BG205" s="42"/>
      <c r="BH205" s="42"/>
      <c r="BI205" s="42"/>
    </row>
    <row r="206" spans="1:61" ht="69.75" customHeight="1">
      <c r="A206" s="102" t="s">
        <v>137</v>
      </c>
      <c r="B206" s="181" t="s">
        <v>130</v>
      </c>
      <c r="C206" s="182"/>
      <c r="D206" s="182"/>
      <c r="E206" s="182"/>
      <c r="F206" s="182"/>
      <c r="G206" s="22"/>
      <c r="H206" s="22"/>
      <c r="I206" s="22"/>
      <c r="J206" s="22"/>
      <c r="K206" s="21"/>
      <c r="L206" s="24"/>
      <c r="M206" s="24"/>
      <c r="N206" s="26"/>
      <c r="O206" s="24"/>
      <c r="P206" s="27"/>
      <c r="Q206" s="106"/>
      <c r="R206" s="107"/>
      <c r="S206" s="107"/>
      <c r="T206" s="26"/>
      <c r="U206" s="24"/>
      <c r="V206" s="27"/>
      <c r="W206" s="28"/>
      <c r="X206" s="28"/>
      <c r="Y206" s="28"/>
      <c r="Z206" s="28"/>
      <c r="AA206" s="28"/>
      <c r="AB206" s="28"/>
      <c r="AC206" s="26"/>
      <c r="AD206" s="24"/>
      <c r="AE206" s="27"/>
      <c r="AF206" s="28"/>
      <c r="AG206" s="28"/>
      <c r="AH206" s="28"/>
      <c r="AI206" s="28"/>
      <c r="AJ206" s="28"/>
      <c r="AK206" s="28"/>
      <c r="AL206" s="26"/>
      <c r="AM206" s="29"/>
      <c r="AN206" s="27"/>
      <c r="AO206" s="26"/>
      <c r="AP206" s="26"/>
      <c r="AQ206" s="26"/>
      <c r="AR206" s="26"/>
      <c r="AS206" s="26"/>
      <c r="AT206" s="26"/>
      <c r="AU206" s="26"/>
      <c r="AV206" s="24"/>
      <c r="AW206" s="27"/>
      <c r="AX206" s="26"/>
      <c r="AY206" s="26"/>
      <c r="AZ206" s="26"/>
      <c r="BA206" s="26"/>
      <c r="BB206" s="26"/>
      <c r="BC206" s="26"/>
      <c r="BD206" s="24"/>
      <c r="BE206" s="27"/>
      <c r="BF206" s="26"/>
      <c r="BG206" s="22"/>
      <c r="BH206" s="21"/>
      <c r="BI206" s="22"/>
    </row>
    <row r="207" spans="1:61" ht="33.75" customHeight="1">
      <c r="A207" s="105"/>
      <c r="B207" s="30" t="s">
        <v>0</v>
      </c>
      <c r="C207" s="30" t="s">
        <v>1</v>
      </c>
      <c r="D207" s="30" t="s">
        <v>2</v>
      </c>
      <c r="E207" s="30" t="s">
        <v>3</v>
      </c>
      <c r="F207" s="30" t="s">
        <v>4</v>
      </c>
      <c r="G207" s="30" t="s">
        <v>5</v>
      </c>
      <c r="H207" s="30" t="s">
        <v>68</v>
      </c>
      <c r="I207" s="30" t="s">
        <v>7</v>
      </c>
      <c r="J207" s="30" t="s">
        <v>8</v>
      </c>
      <c r="K207" s="10" t="s">
        <v>9</v>
      </c>
      <c r="L207" s="10" t="s">
        <v>56</v>
      </c>
      <c r="M207" s="35"/>
      <c r="N207" s="37"/>
      <c r="O207" s="35"/>
      <c r="P207" s="13"/>
      <c r="Q207" s="45"/>
      <c r="R207" s="14"/>
      <c r="S207" s="14"/>
      <c r="T207" s="38"/>
      <c r="U207" s="40"/>
      <c r="V207" s="13"/>
      <c r="W207" s="38"/>
      <c r="X207" s="38"/>
      <c r="Y207" s="38"/>
      <c r="Z207" s="38"/>
      <c r="AA207" s="38"/>
      <c r="AB207" s="38"/>
      <c r="AC207" s="38">
        <f t="shared" ref="AC207:AC214" si="141">SUM(W207:AB207)</f>
        <v>0</v>
      </c>
      <c r="AD207" s="40"/>
      <c r="AE207" s="13"/>
      <c r="AF207" s="38"/>
      <c r="AG207" s="38"/>
      <c r="AH207" s="38"/>
      <c r="AI207" s="38"/>
      <c r="AJ207" s="38"/>
      <c r="AK207" s="38"/>
      <c r="AL207" s="38">
        <f t="shared" ref="AL207:AL214" si="142">SUM(AF207:AK207)</f>
        <v>0</v>
      </c>
      <c r="AM207" s="41"/>
      <c r="AN207" s="13"/>
      <c r="AO207" s="38"/>
      <c r="AP207" s="38"/>
      <c r="AQ207" s="38"/>
      <c r="AR207" s="38"/>
      <c r="AS207" s="38"/>
      <c r="AT207" s="38"/>
      <c r="AU207" s="38">
        <f t="shared" ref="AU207:AU214" si="143">SUM(AO207:AT207)</f>
        <v>0</v>
      </c>
      <c r="AV207" s="40"/>
      <c r="AW207" s="13"/>
      <c r="AX207" s="38"/>
      <c r="AY207" s="38"/>
      <c r="AZ207" s="38"/>
      <c r="BA207" s="38"/>
      <c r="BB207" s="38"/>
      <c r="BC207" s="38">
        <f t="shared" ref="BC207:BC214" si="144">SUM(AX207:BB207)</f>
        <v>0</v>
      </c>
      <c r="BD207" s="40"/>
      <c r="BE207" s="13"/>
      <c r="BF207" s="38"/>
      <c r="BG207" s="42"/>
      <c r="BH207" s="42"/>
      <c r="BI207" s="42"/>
    </row>
    <row r="208" spans="1:61" ht="23" customHeight="1">
      <c r="A208" s="108" t="s">
        <v>131</v>
      </c>
      <c r="B208" s="32">
        <v>1</v>
      </c>
      <c r="C208" s="32">
        <v>0</v>
      </c>
      <c r="D208" s="32">
        <v>4</v>
      </c>
      <c r="E208" s="32">
        <v>2</v>
      </c>
      <c r="F208" s="32">
        <v>2</v>
      </c>
      <c r="G208" s="32">
        <v>7</v>
      </c>
      <c r="H208" s="32" t="s">
        <v>82</v>
      </c>
      <c r="I208" s="32">
        <v>5</v>
      </c>
      <c r="J208" s="32">
        <v>2</v>
      </c>
      <c r="K208" s="23">
        <f t="shared" ref="K208:K213" si="145">SUM(B208:J208)</f>
        <v>23</v>
      </c>
      <c r="L208" s="35">
        <f>K208/K210</f>
        <v>0.39655172413793105</v>
      </c>
      <c r="M208" s="35">
        <f>K208/K213</f>
        <v>0.34328358208955223</v>
      </c>
      <c r="N208" s="37"/>
      <c r="O208" s="35"/>
      <c r="P208" s="13"/>
      <c r="Q208" s="57"/>
      <c r="R208" s="14"/>
      <c r="S208" s="14"/>
      <c r="T208" s="38"/>
      <c r="U208" s="40"/>
      <c r="V208" s="13"/>
      <c r="W208" s="38"/>
      <c r="X208" s="38"/>
      <c r="Y208" s="38"/>
      <c r="Z208" s="38"/>
      <c r="AA208" s="38"/>
      <c r="AB208" s="38"/>
      <c r="AC208" s="38">
        <f t="shared" si="141"/>
        <v>0</v>
      </c>
      <c r="AD208" s="40"/>
      <c r="AE208" s="13"/>
      <c r="AF208" s="38"/>
      <c r="AG208" s="38"/>
      <c r="AH208" s="38"/>
      <c r="AI208" s="38"/>
      <c r="AJ208" s="38"/>
      <c r="AK208" s="38"/>
      <c r="AL208" s="38">
        <f t="shared" si="142"/>
        <v>0</v>
      </c>
      <c r="AM208" s="41"/>
      <c r="AN208" s="13"/>
      <c r="AO208" s="38"/>
      <c r="AP208" s="38"/>
      <c r="AQ208" s="38"/>
      <c r="AR208" s="38"/>
      <c r="AS208" s="38"/>
      <c r="AT208" s="38"/>
      <c r="AU208" s="38">
        <f t="shared" si="143"/>
        <v>0</v>
      </c>
      <c r="AV208" s="40"/>
      <c r="AW208" s="13"/>
      <c r="AX208" s="38"/>
      <c r="AY208" s="38"/>
      <c r="AZ208" s="38"/>
      <c r="BA208" s="38"/>
      <c r="BB208" s="38"/>
      <c r="BC208" s="38">
        <f t="shared" si="144"/>
        <v>0</v>
      </c>
      <c r="BD208" s="40"/>
      <c r="BE208" s="13"/>
      <c r="BF208" s="38"/>
      <c r="BG208" s="42"/>
      <c r="BH208" s="42"/>
      <c r="BI208" s="42"/>
    </row>
    <row r="209" spans="1:61" ht="23" customHeight="1">
      <c r="A209" s="10" t="s">
        <v>132</v>
      </c>
      <c r="B209" s="32">
        <v>2</v>
      </c>
      <c r="C209" s="32">
        <v>3</v>
      </c>
      <c r="D209" s="32">
        <v>5</v>
      </c>
      <c r="E209" s="32">
        <v>7</v>
      </c>
      <c r="F209" s="32">
        <v>3</v>
      </c>
      <c r="G209" s="32">
        <v>7</v>
      </c>
      <c r="H209" s="32" t="s">
        <v>82</v>
      </c>
      <c r="I209" s="32">
        <v>2</v>
      </c>
      <c r="J209" s="32">
        <v>6</v>
      </c>
      <c r="K209" s="23">
        <f t="shared" si="145"/>
        <v>35</v>
      </c>
      <c r="L209" s="35">
        <f>K209/K210</f>
        <v>0.60344827586206895</v>
      </c>
      <c r="M209" s="35">
        <f>K209/K213</f>
        <v>0.52238805970149249</v>
      </c>
      <c r="N209" s="37"/>
      <c r="O209" s="35"/>
      <c r="P209" s="13"/>
      <c r="Q209" s="57"/>
      <c r="R209" s="14"/>
      <c r="S209" s="14"/>
      <c r="T209" s="38"/>
      <c r="U209" s="40"/>
      <c r="V209" s="13"/>
      <c r="W209" s="38"/>
      <c r="X209" s="38"/>
      <c r="Y209" s="38"/>
      <c r="Z209" s="38"/>
      <c r="AA209" s="38"/>
      <c r="AB209" s="38"/>
      <c r="AC209" s="38">
        <f t="shared" si="141"/>
        <v>0</v>
      </c>
      <c r="AD209" s="40"/>
      <c r="AE209" s="13"/>
      <c r="AF209" s="38"/>
      <c r="AG209" s="38"/>
      <c r="AH209" s="38"/>
      <c r="AI209" s="38"/>
      <c r="AJ209" s="38"/>
      <c r="AK209" s="38"/>
      <c r="AL209" s="38">
        <f t="shared" si="142"/>
        <v>0</v>
      </c>
      <c r="AM209" s="41"/>
      <c r="AN209" s="13"/>
      <c r="AO209" s="38"/>
      <c r="AP209" s="38"/>
      <c r="AQ209" s="38"/>
      <c r="AR209" s="38"/>
      <c r="AS209" s="38"/>
      <c r="AT209" s="38"/>
      <c r="AU209" s="38">
        <f t="shared" si="143"/>
        <v>0</v>
      </c>
      <c r="AV209" s="40"/>
      <c r="AW209" s="13"/>
      <c r="AX209" s="38"/>
      <c r="AY209" s="38"/>
      <c r="AZ209" s="38"/>
      <c r="BA209" s="38"/>
      <c r="BB209" s="38"/>
      <c r="BC209" s="38">
        <f t="shared" si="144"/>
        <v>0</v>
      </c>
      <c r="BD209" s="40"/>
      <c r="BE209" s="13"/>
      <c r="BF209" s="38"/>
      <c r="BG209" s="42"/>
      <c r="BH209" s="42"/>
      <c r="BI209" s="42"/>
    </row>
    <row r="210" spans="1:61" ht="23" customHeight="1">
      <c r="A210" s="10" t="s">
        <v>133</v>
      </c>
      <c r="B210" s="32">
        <f t="shared" ref="B210:G210" si="146">B208+B209</f>
        <v>3</v>
      </c>
      <c r="C210" s="32">
        <f t="shared" si="146"/>
        <v>3</v>
      </c>
      <c r="D210" s="32">
        <f t="shared" si="146"/>
        <v>9</v>
      </c>
      <c r="E210" s="32">
        <f t="shared" si="146"/>
        <v>9</v>
      </c>
      <c r="F210" s="32">
        <f t="shared" si="146"/>
        <v>5</v>
      </c>
      <c r="G210" s="32">
        <f t="shared" si="146"/>
        <v>14</v>
      </c>
      <c r="H210" s="32" t="s">
        <v>82</v>
      </c>
      <c r="I210" s="32">
        <f>I208+I209</f>
        <v>7</v>
      </c>
      <c r="J210" s="32">
        <f>J208+J209</f>
        <v>8</v>
      </c>
      <c r="K210" s="23">
        <f t="shared" si="145"/>
        <v>58</v>
      </c>
      <c r="L210" s="35">
        <f>SUM(L208:L209)</f>
        <v>1</v>
      </c>
      <c r="M210" s="35">
        <f>K210/K213</f>
        <v>0.86567164179104472</v>
      </c>
      <c r="N210" s="37"/>
      <c r="O210" s="35"/>
      <c r="P210" s="13"/>
      <c r="Q210" s="57"/>
      <c r="R210" s="14"/>
      <c r="S210" s="14"/>
      <c r="T210" s="38"/>
      <c r="U210" s="40"/>
      <c r="V210" s="13"/>
      <c r="W210" s="38"/>
      <c r="X210" s="38"/>
      <c r="Y210" s="38"/>
      <c r="Z210" s="38"/>
      <c r="AA210" s="38"/>
      <c r="AB210" s="38"/>
      <c r="AC210" s="38">
        <f t="shared" si="141"/>
        <v>0</v>
      </c>
      <c r="AD210" s="40"/>
      <c r="AE210" s="13"/>
      <c r="AF210" s="38"/>
      <c r="AG210" s="38"/>
      <c r="AH210" s="38"/>
      <c r="AI210" s="38"/>
      <c r="AJ210" s="38"/>
      <c r="AK210" s="38"/>
      <c r="AL210" s="38">
        <f t="shared" si="142"/>
        <v>0</v>
      </c>
      <c r="AM210" s="41"/>
      <c r="AN210" s="13"/>
      <c r="AO210" s="38"/>
      <c r="AP210" s="38"/>
      <c r="AQ210" s="38"/>
      <c r="AR210" s="38"/>
      <c r="AS210" s="38"/>
      <c r="AT210" s="38"/>
      <c r="AU210" s="38">
        <f t="shared" si="143"/>
        <v>0</v>
      </c>
      <c r="AV210" s="40"/>
      <c r="AW210" s="13"/>
      <c r="AX210" s="38"/>
      <c r="AY210" s="38"/>
      <c r="AZ210" s="38"/>
      <c r="BA210" s="38"/>
      <c r="BB210" s="38"/>
      <c r="BC210" s="38">
        <f t="shared" si="144"/>
        <v>0</v>
      </c>
      <c r="BD210" s="40"/>
      <c r="BE210" s="13"/>
      <c r="BF210" s="38"/>
      <c r="BG210" s="42"/>
      <c r="BH210" s="42"/>
      <c r="BI210" s="42"/>
    </row>
    <row r="211" spans="1:61" ht="23" customHeight="1">
      <c r="A211" s="8" t="s">
        <v>64</v>
      </c>
      <c r="B211" s="32">
        <v>0</v>
      </c>
      <c r="C211" s="32">
        <v>1</v>
      </c>
      <c r="D211" s="32">
        <v>3</v>
      </c>
      <c r="E211" s="32">
        <v>1</v>
      </c>
      <c r="F211" s="32">
        <v>0</v>
      </c>
      <c r="G211" s="32">
        <v>2</v>
      </c>
      <c r="H211" s="32" t="s">
        <v>82</v>
      </c>
      <c r="I211" s="32">
        <v>0</v>
      </c>
      <c r="J211" s="32">
        <v>0</v>
      </c>
      <c r="K211" s="23">
        <f t="shared" si="145"/>
        <v>7</v>
      </c>
      <c r="L211" s="35">
        <f>K211/K213</f>
        <v>0.1044776119402985</v>
      </c>
      <c r="M211" s="35">
        <f>K211/(K213)</f>
        <v>0.1044776119402985</v>
      </c>
      <c r="N211" s="37"/>
      <c r="O211" s="35"/>
      <c r="P211" s="13"/>
      <c r="Q211" s="57"/>
      <c r="R211" s="14"/>
      <c r="S211" s="14"/>
      <c r="T211" s="38"/>
      <c r="U211" s="40"/>
      <c r="V211" s="13"/>
      <c r="W211" s="38"/>
      <c r="X211" s="38"/>
      <c r="Y211" s="38"/>
      <c r="Z211" s="38"/>
      <c r="AA211" s="38"/>
      <c r="AB211" s="38"/>
      <c r="AC211" s="38">
        <f t="shared" si="141"/>
        <v>0</v>
      </c>
      <c r="AD211" s="40"/>
      <c r="AE211" s="13"/>
      <c r="AF211" s="38"/>
      <c r="AG211" s="38"/>
      <c r="AH211" s="38"/>
      <c r="AI211" s="38"/>
      <c r="AJ211" s="38"/>
      <c r="AK211" s="38"/>
      <c r="AL211" s="38">
        <f t="shared" si="142"/>
        <v>0</v>
      </c>
      <c r="AM211" s="41"/>
      <c r="AN211" s="13"/>
      <c r="AO211" s="38"/>
      <c r="AP211" s="38"/>
      <c r="AQ211" s="38"/>
      <c r="AR211" s="38"/>
      <c r="AS211" s="38"/>
      <c r="AT211" s="38"/>
      <c r="AU211" s="38">
        <f t="shared" si="143"/>
        <v>0</v>
      </c>
      <c r="AV211" s="40"/>
      <c r="AW211" s="13"/>
      <c r="AX211" s="38"/>
      <c r="AY211" s="38"/>
      <c r="AZ211" s="38"/>
      <c r="BA211" s="38"/>
      <c r="BB211" s="38"/>
      <c r="BC211" s="38">
        <f t="shared" si="144"/>
        <v>0</v>
      </c>
      <c r="BD211" s="40"/>
      <c r="BE211" s="13"/>
      <c r="BF211" s="38"/>
      <c r="BG211" s="42"/>
      <c r="BH211" s="42"/>
      <c r="BI211" s="42"/>
    </row>
    <row r="212" spans="1:61" ht="23" customHeight="1">
      <c r="A212" s="8" t="s">
        <v>65</v>
      </c>
      <c r="B212" s="32">
        <v>0</v>
      </c>
      <c r="C212" s="32">
        <v>0</v>
      </c>
      <c r="D212" s="32">
        <v>0</v>
      </c>
      <c r="E212" s="32">
        <v>0</v>
      </c>
      <c r="F212" s="32">
        <v>1</v>
      </c>
      <c r="G212" s="32">
        <v>0</v>
      </c>
      <c r="H212" s="32" t="s">
        <v>82</v>
      </c>
      <c r="I212" s="32">
        <v>1</v>
      </c>
      <c r="J212" s="32">
        <v>0</v>
      </c>
      <c r="K212" s="23">
        <f t="shared" si="145"/>
        <v>2</v>
      </c>
      <c r="L212" s="35">
        <f>K212/K213</f>
        <v>2.9850746268656716E-2</v>
      </c>
      <c r="M212" s="35">
        <f>K212/(K213)</f>
        <v>2.9850746268656716E-2</v>
      </c>
      <c r="N212" s="37"/>
      <c r="O212" s="35"/>
      <c r="P212" s="13"/>
      <c r="Q212" s="57"/>
      <c r="R212" s="14"/>
      <c r="S212" s="14"/>
      <c r="T212" s="38"/>
      <c r="U212" s="40"/>
      <c r="V212" s="13"/>
      <c r="W212" s="38"/>
      <c r="X212" s="38"/>
      <c r="Y212" s="38"/>
      <c r="Z212" s="38"/>
      <c r="AA212" s="38"/>
      <c r="AB212" s="38"/>
      <c r="AC212" s="38">
        <f t="shared" si="141"/>
        <v>0</v>
      </c>
      <c r="AD212" s="40"/>
      <c r="AE212" s="13"/>
      <c r="AF212" s="38"/>
      <c r="AG212" s="38"/>
      <c r="AH212" s="38"/>
      <c r="AI212" s="38"/>
      <c r="AJ212" s="38"/>
      <c r="AK212" s="38"/>
      <c r="AL212" s="38">
        <f t="shared" si="142"/>
        <v>0</v>
      </c>
      <c r="AM212" s="41"/>
      <c r="AN212" s="13"/>
      <c r="AO212" s="38"/>
      <c r="AP212" s="38"/>
      <c r="AQ212" s="38"/>
      <c r="AR212" s="38"/>
      <c r="AS212" s="38"/>
      <c r="AT212" s="38"/>
      <c r="AU212" s="38">
        <f t="shared" si="143"/>
        <v>0</v>
      </c>
      <c r="AV212" s="40"/>
      <c r="AW212" s="13"/>
      <c r="AX212" s="38"/>
      <c r="AY212" s="38"/>
      <c r="AZ212" s="38"/>
      <c r="BA212" s="38"/>
      <c r="BB212" s="38"/>
      <c r="BC212" s="38">
        <f t="shared" si="144"/>
        <v>0</v>
      </c>
      <c r="BD212" s="40"/>
      <c r="BE212" s="13"/>
      <c r="BF212" s="38"/>
      <c r="BG212" s="42"/>
      <c r="BH212" s="42"/>
      <c r="BI212" s="42"/>
    </row>
    <row r="213" spans="1:61" ht="23" customHeight="1">
      <c r="A213" s="39" t="s">
        <v>66</v>
      </c>
      <c r="B213" s="32">
        <f t="shared" ref="B213:G213" si="147">B210+B211+B212</f>
        <v>3</v>
      </c>
      <c r="C213" s="32">
        <f t="shared" si="147"/>
        <v>4</v>
      </c>
      <c r="D213" s="32">
        <f t="shared" si="147"/>
        <v>12</v>
      </c>
      <c r="E213" s="32">
        <f t="shared" si="147"/>
        <v>10</v>
      </c>
      <c r="F213" s="32">
        <f t="shared" si="147"/>
        <v>6</v>
      </c>
      <c r="G213" s="32">
        <f t="shared" si="147"/>
        <v>16</v>
      </c>
      <c r="H213" s="32" t="s">
        <v>82</v>
      </c>
      <c r="I213" s="32">
        <f>I210+I211+I212</f>
        <v>8</v>
      </c>
      <c r="J213" s="32">
        <f>J210+J211+J212</f>
        <v>8</v>
      </c>
      <c r="K213" s="23">
        <f t="shared" si="145"/>
        <v>67</v>
      </c>
      <c r="L213" s="35">
        <f>K213/(K212+K211+K210)</f>
        <v>1</v>
      </c>
      <c r="M213" s="35">
        <f>K213/(K210+K211+K212)</f>
        <v>1</v>
      </c>
      <c r="N213" s="37"/>
      <c r="O213" s="35"/>
      <c r="P213" s="13"/>
      <c r="Q213" s="57"/>
      <c r="R213" s="46"/>
      <c r="S213" s="46"/>
      <c r="T213" s="38"/>
      <c r="U213" s="40"/>
      <c r="V213" s="13"/>
      <c r="W213" s="38"/>
      <c r="X213" s="38"/>
      <c r="Y213" s="38"/>
      <c r="Z213" s="38"/>
      <c r="AA213" s="38"/>
      <c r="AB213" s="38"/>
      <c r="AC213" s="38">
        <f t="shared" si="141"/>
        <v>0</v>
      </c>
      <c r="AD213" s="40"/>
      <c r="AE213" s="13"/>
      <c r="AF213" s="38"/>
      <c r="AG213" s="38"/>
      <c r="AH213" s="38"/>
      <c r="AI213" s="38"/>
      <c r="AJ213" s="38"/>
      <c r="AK213" s="38"/>
      <c r="AL213" s="38">
        <f t="shared" si="142"/>
        <v>0</v>
      </c>
      <c r="AM213" s="41"/>
      <c r="AN213" s="13"/>
      <c r="AO213" s="38"/>
      <c r="AP213" s="38"/>
      <c r="AQ213" s="38"/>
      <c r="AR213" s="38"/>
      <c r="AS213" s="38"/>
      <c r="AT213" s="38"/>
      <c r="AU213" s="38">
        <f t="shared" si="143"/>
        <v>0</v>
      </c>
      <c r="AV213" s="40"/>
      <c r="AW213" s="13"/>
      <c r="AX213" s="38"/>
      <c r="AY213" s="38"/>
      <c r="AZ213" s="38"/>
      <c r="BA213" s="38"/>
      <c r="BB213" s="38"/>
      <c r="BC213" s="38">
        <f t="shared" si="144"/>
        <v>0</v>
      </c>
      <c r="BD213" s="40"/>
      <c r="BE213" s="13"/>
      <c r="BF213" s="38"/>
      <c r="BG213" s="42"/>
      <c r="BH213" s="42"/>
      <c r="BI213" s="42"/>
    </row>
    <row r="214" spans="1:61" ht="23" customHeight="1">
      <c r="A214" s="109"/>
      <c r="B214" s="42"/>
      <c r="C214" s="42"/>
      <c r="D214" s="42"/>
      <c r="E214" s="42"/>
      <c r="F214" s="42"/>
      <c r="G214" s="42"/>
      <c r="H214" s="42"/>
      <c r="I214" s="42"/>
      <c r="J214" s="42"/>
      <c r="K214" s="110"/>
      <c r="L214" s="35"/>
      <c r="M214" s="35"/>
      <c r="N214" s="37"/>
      <c r="O214" s="35"/>
      <c r="P214" s="13"/>
      <c r="Q214" s="57"/>
      <c r="R214" s="111"/>
      <c r="S214" s="111"/>
      <c r="T214" s="38"/>
      <c r="U214" s="40"/>
      <c r="V214" s="13"/>
      <c r="W214" s="38"/>
      <c r="X214" s="38"/>
      <c r="Y214" s="38"/>
      <c r="Z214" s="38"/>
      <c r="AA214" s="38"/>
      <c r="AB214" s="38"/>
      <c r="AC214" s="38">
        <f t="shared" si="141"/>
        <v>0</v>
      </c>
      <c r="AD214" s="40"/>
      <c r="AE214" s="13"/>
      <c r="AF214" s="38"/>
      <c r="AG214" s="38"/>
      <c r="AH214" s="38"/>
      <c r="AI214" s="38"/>
      <c r="AJ214" s="38"/>
      <c r="AK214" s="38"/>
      <c r="AL214" s="38">
        <f t="shared" si="142"/>
        <v>0</v>
      </c>
      <c r="AM214" s="41"/>
      <c r="AN214" s="13"/>
      <c r="AO214" s="38"/>
      <c r="AP214" s="38"/>
      <c r="AQ214" s="38"/>
      <c r="AR214" s="38"/>
      <c r="AS214" s="38"/>
      <c r="AT214" s="38"/>
      <c r="AU214" s="38">
        <f t="shared" si="143"/>
        <v>0</v>
      </c>
      <c r="AV214" s="40"/>
      <c r="AW214" s="13"/>
      <c r="AX214" s="38"/>
      <c r="AY214" s="38"/>
      <c r="AZ214" s="38"/>
      <c r="BA214" s="38"/>
      <c r="BB214" s="38"/>
      <c r="BC214" s="38">
        <f t="shared" si="144"/>
        <v>0</v>
      </c>
      <c r="BD214" s="40"/>
      <c r="BE214" s="13"/>
      <c r="BF214" s="38"/>
      <c r="BG214" s="42"/>
      <c r="BH214" s="42"/>
      <c r="BI214" s="42"/>
    </row>
    <row r="215" spans="1:61" ht="69.75" customHeight="1">
      <c r="A215" s="102" t="s">
        <v>138</v>
      </c>
      <c r="B215" s="181" t="s">
        <v>135</v>
      </c>
      <c r="C215" s="182"/>
      <c r="D215" s="182"/>
      <c r="E215" s="182"/>
      <c r="F215" s="182"/>
      <c r="G215" s="22"/>
      <c r="H215" s="22"/>
      <c r="I215" s="22"/>
      <c r="J215" s="22"/>
      <c r="K215" s="21"/>
      <c r="L215" s="24"/>
      <c r="M215" s="24"/>
      <c r="N215" s="26"/>
      <c r="O215" s="24"/>
      <c r="P215" s="27"/>
      <c r="Q215" s="106"/>
      <c r="R215" s="107"/>
      <c r="S215" s="107"/>
      <c r="T215" s="26"/>
      <c r="U215" s="24"/>
      <c r="V215" s="27"/>
      <c r="W215" s="28"/>
      <c r="X215" s="28"/>
      <c r="Y215" s="28"/>
      <c r="Z215" s="28"/>
      <c r="AA215" s="28"/>
      <c r="AB215" s="28"/>
      <c r="AC215" s="26"/>
      <c r="AD215" s="24"/>
      <c r="AE215" s="27"/>
      <c r="AF215" s="28"/>
      <c r="AG215" s="28"/>
      <c r="AH215" s="28"/>
      <c r="AI215" s="28"/>
      <c r="AJ215" s="28"/>
      <c r="AK215" s="28"/>
      <c r="AL215" s="26"/>
      <c r="AM215" s="29"/>
      <c r="AN215" s="27"/>
      <c r="AO215" s="26"/>
      <c r="AP215" s="26"/>
      <c r="AQ215" s="26"/>
      <c r="AR215" s="26"/>
      <c r="AS215" s="26"/>
      <c r="AT215" s="26"/>
      <c r="AU215" s="26"/>
      <c r="AV215" s="24"/>
      <c r="AW215" s="27"/>
      <c r="AX215" s="26"/>
      <c r="AY215" s="26"/>
      <c r="AZ215" s="26"/>
      <c r="BA215" s="26"/>
      <c r="BB215" s="26"/>
      <c r="BC215" s="26"/>
      <c r="BD215" s="24"/>
      <c r="BE215" s="27"/>
      <c r="BF215" s="26"/>
      <c r="BG215" s="22"/>
      <c r="BH215" s="21"/>
      <c r="BI215" s="22"/>
    </row>
    <row r="216" spans="1:61" ht="33.75" customHeight="1">
      <c r="A216" s="105"/>
      <c r="B216" s="30" t="s">
        <v>0</v>
      </c>
      <c r="C216" s="30" t="s">
        <v>1</v>
      </c>
      <c r="D216" s="30" t="s">
        <v>2</v>
      </c>
      <c r="E216" s="30" t="s">
        <v>3</v>
      </c>
      <c r="F216" s="30" t="s">
        <v>4</v>
      </c>
      <c r="G216" s="30" t="s">
        <v>5</v>
      </c>
      <c r="H216" s="30" t="s">
        <v>68</v>
      </c>
      <c r="I216" s="30" t="s">
        <v>7</v>
      </c>
      <c r="J216" s="30" t="s">
        <v>8</v>
      </c>
      <c r="K216" s="10" t="s">
        <v>9</v>
      </c>
      <c r="L216" s="10" t="s">
        <v>56</v>
      </c>
      <c r="M216" s="35"/>
      <c r="N216" s="37"/>
      <c r="O216" s="35"/>
      <c r="P216" s="13"/>
      <c r="Q216" s="45"/>
      <c r="R216" s="14"/>
      <c r="S216" s="14"/>
      <c r="T216" s="38"/>
      <c r="U216" s="40"/>
      <c r="V216" s="13"/>
      <c r="W216" s="38"/>
      <c r="X216" s="38"/>
      <c r="Y216" s="38"/>
      <c r="Z216" s="38"/>
      <c r="AA216" s="38"/>
      <c r="AB216" s="38"/>
      <c r="AC216" s="38">
        <f t="shared" ref="AC216:AC223" si="148">SUM(W216:AB216)</f>
        <v>0</v>
      </c>
      <c r="AD216" s="40"/>
      <c r="AE216" s="13"/>
      <c r="AF216" s="38"/>
      <c r="AG216" s="38"/>
      <c r="AH216" s="38"/>
      <c r="AI216" s="38"/>
      <c r="AJ216" s="38"/>
      <c r="AK216" s="38"/>
      <c r="AL216" s="38">
        <f t="shared" ref="AL216:AL223" si="149">SUM(AF216:AK216)</f>
        <v>0</v>
      </c>
      <c r="AM216" s="41"/>
      <c r="AN216" s="13"/>
      <c r="AO216" s="38"/>
      <c r="AP216" s="38"/>
      <c r="AQ216" s="38"/>
      <c r="AR216" s="38"/>
      <c r="AS216" s="38"/>
      <c r="AT216" s="38"/>
      <c r="AU216" s="38">
        <f t="shared" ref="AU216:AU223" si="150">SUM(AO216:AT216)</f>
        <v>0</v>
      </c>
      <c r="AV216" s="40"/>
      <c r="AW216" s="13"/>
      <c r="AX216" s="38"/>
      <c r="AY216" s="38"/>
      <c r="AZ216" s="38"/>
      <c r="BA216" s="38"/>
      <c r="BB216" s="38"/>
      <c r="BC216" s="38">
        <f t="shared" ref="BC216:BC223" si="151">SUM(AX216:BB216)</f>
        <v>0</v>
      </c>
      <c r="BD216" s="40"/>
      <c r="BE216" s="13"/>
      <c r="BF216" s="38"/>
      <c r="BG216" s="42"/>
      <c r="BH216" s="42"/>
      <c r="BI216" s="42"/>
    </row>
    <row r="217" spans="1:61" ht="23" customHeight="1">
      <c r="A217" s="108" t="s">
        <v>131</v>
      </c>
      <c r="B217" s="32">
        <v>11</v>
      </c>
      <c r="C217" s="32">
        <v>1</v>
      </c>
      <c r="D217" s="32">
        <v>7</v>
      </c>
      <c r="E217" s="32">
        <v>4</v>
      </c>
      <c r="F217" s="32">
        <v>3</v>
      </c>
      <c r="G217" s="32">
        <v>1</v>
      </c>
      <c r="H217" s="32" t="s">
        <v>82</v>
      </c>
      <c r="I217" s="32">
        <v>2</v>
      </c>
      <c r="J217" s="32">
        <v>9</v>
      </c>
      <c r="K217" s="23">
        <f t="shared" ref="K217:K222" si="152">SUM(B217:J217)</f>
        <v>38</v>
      </c>
      <c r="L217" s="35">
        <f>K217/K219</f>
        <v>0.46341463414634149</v>
      </c>
      <c r="M217" s="35">
        <f>K217/K222</f>
        <v>0.39583333333333331</v>
      </c>
      <c r="N217" s="37"/>
      <c r="O217" s="35"/>
      <c r="P217" s="13"/>
      <c r="Q217" s="57"/>
      <c r="R217" s="14"/>
      <c r="S217" s="14"/>
      <c r="T217" s="38"/>
      <c r="U217" s="40"/>
      <c r="V217" s="13"/>
      <c r="W217" s="38"/>
      <c r="X217" s="38"/>
      <c r="Y217" s="38"/>
      <c r="Z217" s="38"/>
      <c r="AA217" s="38"/>
      <c r="AB217" s="38"/>
      <c r="AC217" s="38">
        <f t="shared" si="148"/>
        <v>0</v>
      </c>
      <c r="AD217" s="40"/>
      <c r="AE217" s="13"/>
      <c r="AF217" s="38"/>
      <c r="AG217" s="38"/>
      <c r="AH217" s="38"/>
      <c r="AI217" s="38"/>
      <c r="AJ217" s="38"/>
      <c r="AK217" s="38"/>
      <c r="AL217" s="38">
        <f t="shared" si="149"/>
        <v>0</v>
      </c>
      <c r="AM217" s="41"/>
      <c r="AN217" s="13"/>
      <c r="AO217" s="38"/>
      <c r="AP217" s="38"/>
      <c r="AQ217" s="38"/>
      <c r="AR217" s="38"/>
      <c r="AS217" s="38"/>
      <c r="AT217" s="38"/>
      <c r="AU217" s="38">
        <f t="shared" si="150"/>
        <v>0</v>
      </c>
      <c r="AV217" s="40"/>
      <c r="AW217" s="13"/>
      <c r="AX217" s="38"/>
      <c r="AY217" s="38"/>
      <c r="AZ217" s="38"/>
      <c r="BA217" s="38"/>
      <c r="BB217" s="38"/>
      <c r="BC217" s="38">
        <f t="shared" si="151"/>
        <v>0</v>
      </c>
      <c r="BD217" s="40"/>
      <c r="BE217" s="13"/>
      <c r="BF217" s="38"/>
      <c r="BG217" s="42"/>
      <c r="BH217" s="42"/>
      <c r="BI217" s="42"/>
    </row>
    <row r="218" spans="1:61" ht="23" customHeight="1">
      <c r="A218" s="10" t="s">
        <v>132</v>
      </c>
      <c r="B218" s="32">
        <v>4</v>
      </c>
      <c r="C218" s="32">
        <v>2</v>
      </c>
      <c r="D218" s="32">
        <v>7</v>
      </c>
      <c r="E218" s="32">
        <v>3</v>
      </c>
      <c r="F218" s="32">
        <v>13</v>
      </c>
      <c r="G218" s="32">
        <v>1</v>
      </c>
      <c r="H218" s="32" t="s">
        <v>82</v>
      </c>
      <c r="I218" s="32">
        <v>10</v>
      </c>
      <c r="J218" s="32">
        <v>4</v>
      </c>
      <c r="K218" s="23">
        <f t="shared" si="152"/>
        <v>44</v>
      </c>
      <c r="L218" s="35">
        <f>K218/K219</f>
        <v>0.53658536585365857</v>
      </c>
      <c r="M218" s="35">
        <f>K218/K222</f>
        <v>0.45833333333333331</v>
      </c>
      <c r="N218" s="37"/>
      <c r="O218" s="35"/>
      <c r="P218" s="13"/>
      <c r="Q218" s="57"/>
      <c r="R218" s="14"/>
      <c r="S218" s="14"/>
      <c r="T218" s="38"/>
      <c r="U218" s="40"/>
      <c r="V218" s="13"/>
      <c r="W218" s="38"/>
      <c r="X218" s="38"/>
      <c r="Y218" s="38"/>
      <c r="Z218" s="38"/>
      <c r="AA218" s="38"/>
      <c r="AB218" s="38"/>
      <c r="AC218" s="38">
        <f t="shared" si="148"/>
        <v>0</v>
      </c>
      <c r="AD218" s="40"/>
      <c r="AE218" s="13"/>
      <c r="AF218" s="38"/>
      <c r="AG218" s="38"/>
      <c r="AH218" s="38"/>
      <c r="AI218" s="38"/>
      <c r="AJ218" s="38"/>
      <c r="AK218" s="38"/>
      <c r="AL218" s="38">
        <f t="shared" si="149"/>
        <v>0</v>
      </c>
      <c r="AM218" s="41"/>
      <c r="AN218" s="13"/>
      <c r="AO218" s="38"/>
      <c r="AP218" s="38"/>
      <c r="AQ218" s="38"/>
      <c r="AR218" s="38"/>
      <c r="AS218" s="38"/>
      <c r="AT218" s="38"/>
      <c r="AU218" s="38">
        <f t="shared" si="150"/>
        <v>0</v>
      </c>
      <c r="AV218" s="40"/>
      <c r="AW218" s="13"/>
      <c r="AX218" s="38"/>
      <c r="AY218" s="38"/>
      <c r="AZ218" s="38"/>
      <c r="BA218" s="38"/>
      <c r="BB218" s="38"/>
      <c r="BC218" s="38">
        <f t="shared" si="151"/>
        <v>0</v>
      </c>
      <c r="BD218" s="40"/>
      <c r="BE218" s="13"/>
      <c r="BF218" s="38"/>
      <c r="BG218" s="42"/>
      <c r="BH218" s="42"/>
      <c r="BI218" s="42"/>
    </row>
    <row r="219" spans="1:61" ht="23" customHeight="1">
      <c r="A219" s="10" t="s">
        <v>133</v>
      </c>
      <c r="B219" s="32">
        <f t="shared" ref="B219:G219" si="153">B217+B218</f>
        <v>15</v>
      </c>
      <c r="C219" s="32">
        <f t="shared" si="153"/>
        <v>3</v>
      </c>
      <c r="D219" s="32">
        <f t="shared" si="153"/>
        <v>14</v>
      </c>
      <c r="E219" s="32">
        <f t="shared" si="153"/>
        <v>7</v>
      </c>
      <c r="F219" s="32">
        <f t="shared" si="153"/>
        <v>16</v>
      </c>
      <c r="G219" s="32">
        <f t="shared" si="153"/>
        <v>2</v>
      </c>
      <c r="H219" s="32" t="s">
        <v>82</v>
      </c>
      <c r="I219" s="32">
        <f>I217+I218</f>
        <v>12</v>
      </c>
      <c r="J219" s="32">
        <f>J217+J218</f>
        <v>13</v>
      </c>
      <c r="K219" s="23">
        <f t="shared" si="152"/>
        <v>82</v>
      </c>
      <c r="L219" s="35">
        <f>SUM(L217:L218)</f>
        <v>1</v>
      </c>
      <c r="M219" s="35">
        <f>K219/K222</f>
        <v>0.85416666666666663</v>
      </c>
      <c r="N219" s="37"/>
      <c r="O219" s="35"/>
      <c r="P219" s="13"/>
      <c r="Q219" s="57"/>
      <c r="R219" s="14"/>
      <c r="S219" s="14"/>
      <c r="T219" s="38"/>
      <c r="U219" s="40"/>
      <c r="V219" s="13"/>
      <c r="W219" s="38"/>
      <c r="X219" s="38"/>
      <c r="Y219" s="38"/>
      <c r="Z219" s="38"/>
      <c r="AA219" s="38"/>
      <c r="AB219" s="38"/>
      <c r="AC219" s="38">
        <f t="shared" si="148"/>
        <v>0</v>
      </c>
      <c r="AD219" s="40"/>
      <c r="AE219" s="13"/>
      <c r="AF219" s="38"/>
      <c r="AG219" s="38"/>
      <c r="AH219" s="38"/>
      <c r="AI219" s="38"/>
      <c r="AJ219" s="38"/>
      <c r="AK219" s="38"/>
      <c r="AL219" s="38">
        <f t="shared" si="149"/>
        <v>0</v>
      </c>
      <c r="AM219" s="41"/>
      <c r="AN219" s="13"/>
      <c r="AO219" s="38"/>
      <c r="AP219" s="38"/>
      <c r="AQ219" s="38"/>
      <c r="AR219" s="38"/>
      <c r="AS219" s="38"/>
      <c r="AT219" s="38"/>
      <c r="AU219" s="38">
        <f t="shared" si="150"/>
        <v>0</v>
      </c>
      <c r="AV219" s="40"/>
      <c r="AW219" s="13"/>
      <c r="AX219" s="38"/>
      <c r="AY219" s="38"/>
      <c r="AZ219" s="38"/>
      <c r="BA219" s="38"/>
      <c r="BB219" s="38"/>
      <c r="BC219" s="38">
        <f t="shared" si="151"/>
        <v>0</v>
      </c>
      <c r="BD219" s="40"/>
      <c r="BE219" s="13"/>
      <c r="BF219" s="38"/>
      <c r="BG219" s="42"/>
      <c r="BH219" s="42"/>
      <c r="BI219" s="42"/>
    </row>
    <row r="220" spans="1:61" ht="23" customHeight="1">
      <c r="A220" s="8" t="s">
        <v>64</v>
      </c>
      <c r="B220" s="32">
        <v>9</v>
      </c>
      <c r="C220" s="32">
        <v>0</v>
      </c>
      <c r="D220" s="32">
        <v>3</v>
      </c>
      <c r="E220" s="32">
        <v>0</v>
      </c>
      <c r="F220" s="32">
        <v>1</v>
      </c>
      <c r="G220" s="32">
        <v>0</v>
      </c>
      <c r="H220" s="32" t="s">
        <v>82</v>
      </c>
      <c r="I220" s="32">
        <v>0</v>
      </c>
      <c r="J220" s="32">
        <v>1</v>
      </c>
      <c r="K220" s="23">
        <f t="shared" si="152"/>
        <v>14</v>
      </c>
      <c r="L220" s="35">
        <f>K220/K222</f>
        <v>0.14583333333333334</v>
      </c>
      <c r="M220" s="35">
        <f>K220/(K222)</f>
        <v>0.14583333333333334</v>
      </c>
      <c r="N220" s="37"/>
      <c r="O220" s="35"/>
      <c r="P220" s="13"/>
      <c r="Q220" s="57"/>
      <c r="R220" s="14"/>
      <c r="S220" s="14"/>
      <c r="T220" s="38"/>
      <c r="U220" s="40"/>
      <c r="V220" s="13"/>
      <c r="W220" s="38"/>
      <c r="X220" s="38"/>
      <c r="Y220" s="38"/>
      <c r="Z220" s="38"/>
      <c r="AA220" s="38"/>
      <c r="AB220" s="38"/>
      <c r="AC220" s="38">
        <f t="shared" si="148"/>
        <v>0</v>
      </c>
      <c r="AD220" s="40"/>
      <c r="AE220" s="13"/>
      <c r="AF220" s="38"/>
      <c r="AG220" s="38"/>
      <c r="AH220" s="38"/>
      <c r="AI220" s="38"/>
      <c r="AJ220" s="38"/>
      <c r="AK220" s="38"/>
      <c r="AL220" s="38">
        <f t="shared" si="149"/>
        <v>0</v>
      </c>
      <c r="AM220" s="41"/>
      <c r="AN220" s="13"/>
      <c r="AO220" s="38"/>
      <c r="AP220" s="38"/>
      <c r="AQ220" s="38"/>
      <c r="AR220" s="38"/>
      <c r="AS220" s="38"/>
      <c r="AT220" s="38"/>
      <c r="AU220" s="38">
        <f t="shared" si="150"/>
        <v>0</v>
      </c>
      <c r="AV220" s="40"/>
      <c r="AW220" s="13"/>
      <c r="AX220" s="38"/>
      <c r="AY220" s="38"/>
      <c r="AZ220" s="38"/>
      <c r="BA220" s="38"/>
      <c r="BB220" s="38"/>
      <c r="BC220" s="38">
        <f t="shared" si="151"/>
        <v>0</v>
      </c>
      <c r="BD220" s="40"/>
      <c r="BE220" s="13"/>
      <c r="BF220" s="38"/>
      <c r="BG220" s="42"/>
      <c r="BH220" s="42"/>
      <c r="BI220" s="42"/>
    </row>
    <row r="221" spans="1:61" ht="23" customHeight="1">
      <c r="A221" s="8" t="s">
        <v>65</v>
      </c>
      <c r="B221" s="32">
        <v>0</v>
      </c>
      <c r="C221" s="32">
        <v>0</v>
      </c>
      <c r="D221" s="32">
        <v>0</v>
      </c>
      <c r="E221" s="32">
        <v>0</v>
      </c>
      <c r="F221" s="32">
        <v>0</v>
      </c>
      <c r="G221" s="32">
        <v>0</v>
      </c>
      <c r="H221" s="32" t="s">
        <v>82</v>
      </c>
      <c r="I221" s="32">
        <v>0</v>
      </c>
      <c r="J221" s="32">
        <v>0</v>
      </c>
      <c r="K221" s="23">
        <f t="shared" si="152"/>
        <v>0</v>
      </c>
      <c r="L221" s="35">
        <f>K221/K222</f>
        <v>0</v>
      </c>
      <c r="M221" s="35">
        <f>K221/(K222)</f>
        <v>0</v>
      </c>
      <c r="N221" s="37"/>
      <c r="O221" s="35"/>
      <c r="P221" s="13"/>
      <c r="Q221" s="57"/>
      <c r="R221" s="14"/>
      <c r="S221" s="14"/>
      <c r="T221" s="38"/>
      <c r="U221" s="40"/>
      <c r="V221" s="13"/>
      <c r="W221" s="38"/>
      <c r="X221" s="38"/>
      <c r="Y221" s="38"/>
      <c r="Z221" s="38"/>
      <c r="AA221" s="38"/>
      <c r="AB221" s="38"/>
      <c r="AC221" s="38">
        <f t="shared" si="148"/>
        <v>0</v>
      </c>
      <c r="AD221" s="40"/>
      <c r="AE221" s="13"/>
      <c r="AF221" s="38"/>
      <c r="AG221" s="38"/>
      <c r="AH221" s="38"/>
      <c r="AI221" s="38"/>
      <c r="AJ221" s="38"/>
      <c r="AK221" s="38"/>
      <c r="AL221" s="38">
        <f t="shared" si="149"/>
        <v>0</v>
      </c>
      <c r="AM221" s="41"/>
      <c r="AN221" s="13"/>
      <c r="AO221" s="38"/>
      <c r="AP221" s="38"/>
      <c r="AQ221" s="38"/>
      <c r="AR221" s="38"/>
      <c r="AS221" s="38"/>
      <c r="AT221" s="38"/>
      <c r="AU221" s="38">
        <f t="shared" si="150"/>
        <v>0</v>
      </c>
      <c r="AV221" s="40"/>
      <c r="AW221" s="13"/>
      <c r="AX221" s="38"/>
      <c r="AY221" s="38"/>
      <c r="AZ221" s="38"/>
      <c r="BA221" s="38"/>
      <c r="BB221" s="38"/>
      <c r="BC221" s="38">
        <f t="shared" si="151"/>
        <v>0</v>
      </c>
      <c r="BD221" s="40"/>
      <c r="BE221" s="13"/>
      <c r="BF221" s="38"/>
      <c r="BG221" s="42"/>
      <c r="BH221" s="42"/>
      <c r="BI221" s="42"/>
    </row>
    <row r="222" spans="1:61" ht="23" customHeight="1">
      <c r="A222" s="39" t="s">
        <v>66</v>
      </c>
      <c r="B222" s="32">
        <f t="shared" ref="B222:G222" si="154">B219+B220+B221</f>
        <v>24</v>
      </c>
      <c r="C222" s="32">
        <f t="shared" si="154"/>
        <v>3</v>
      </c>
      <c r="D222" s="32">
        <f t="shared" si="154"/>
        <v>17</v>
      </c>
      <c r="E222" s="32">
        <f t="shared" si="154"/>
        <v>7</v>
      </c>
      <c r="F222" s="32">
        <f t="shared" si="154"/>
        <v>17</v>
      </c>
      <c r="G222" s="32">
        <f t="shared" si="154"/>
        <v>2</v>
      </c>
      <c r="H222" s="32" t="s">
        <v>82</v>
      </c>
      <c r="I222" s="32">
        <f>I219+I220+I221</f>
        <v>12</v>
      </c>
      <c r="J222" s="32">
        <f>J219+J220+J221</f>
        <v>14</v>
      </c>
      <c r="K222" s="23">
        <f t="shared" si="152"/>
        <v>96</v>
      </c>
      <c r="L222" s="35">
        <f>K222/(K221+K220+K219)</f>
        <v>1</v>
      </c>
      <c r="M222" s="35">
        <f>K222/(K219+K220+K221)</f>
        <v>1</v>
      </c>
      <c r="N222" s="37"/>
      <c r="O222" s="35"/>
      <c r="P222" s="13"/>
      <c r="Q222" s="57"/>
      <c r="R222" s="46"/>
      <c r="S222" s="46"/>
      <c r="T222" s="38"/>
      <c r="U222" s="40"/>
      <c r="V222" s="13"/>
      <c r="W222" s="38"/>
      <c r="X222" s="38"/>
      <c r="Y222" s="38"/>
      <c r="Z222" s="38"/>
      <c r="AA222" s="38"/>
      <c r="AB222" s="38"/>
      <c r="AC222" s="38">
        <f t="shared" si="148"/>
        <v>0</v>
      </c>
      <c r="AD222" s="40"/>
      <c r="AE222" s="13"/>
      <c r="AF222" s="38"/>
      <c r="AG222" s="38"/>
      <c r="AH222" s="38"/>
      <c r="AI222" s="38"/>
      <c r="AJ222" s="38"/>
      <c r="AK222" s="38"/>
      <c r="AL222" s="38">
        <f t="shared" si="149"/>
        <v>0</v>
      </c>
      <c r="AM222" s="41"/>
      <c r="AN222" s="13"/>
      <c r="AO222" s="38"/>
      <c r="AP222" s="38"/>
      <c r="AQ222" s="38"/>
      <c r="AR222" s="38"/>
      <c r="AS222" s="38"/>
      <c r="AT222" s="38"/>
      <c r="AU222" s="38">
        <f t="shared" si="150"/>
        <v>0</v>
      </c>
      <c r="AV222" s="40"/>
      <c r="AW222" s="13"/>
      <c r="AX222" s="38"/>
      <c r="AY222" s="38"/>
      <c r="AZ222" s="38"/>
      <c r="BA222" s="38"/>
      <c r="BB222" s="38"/>
      <c r="BC222" s="38">
        <f t="shared" si="151"/>
        <v>0</v>
      </c>
      <c r="BD222" s="40"/>
      <c r="BE222" s="13"/>
      <c r="BF222" s="38"/>
      <c r="BG222" s="42"/>
      <c r="BH222" s="42"/>
      <c r="BI222" s="42"/>
    </row>
    <row r="223" spans="1:61" ht="23" customHeight="1">
      <c r="A223" s="109"/>
      <c r="B223" s="42"/>
      <c r="C223" s="42"/>
      <c r="D223" s="42"/>
      <c r="E223" s="42"/>
      <c r="F223" s="42"/>
      <c r="G223" s="42"/>
      <c r="H223" s="42"/>
      <c r="I223" s="42"/>
      <c r="J223" s="42"/>
      <c r="K223" s="110"/>
      <c r="L223" s="35"/>
      <c r="M223" s="35"/>
      <c r="N223" s="37"/>
      <c r="O223" s="35"/>
      <c r="P223" s="13"/>
      <c r="Q223" s="57"/>
      <c r="R223" s="111"/>
      <c r="S223" s="111"/>
      <c r="T223" s="38"/>
      <c r="U223" s="40"/>
      <c r="V223" s="13"/>
      <c r="W223" s="38"/>
      <c r="X223" s="38"/>
      <c r="Y223" s="38"/>
      <c r="Z223" s="38"/>
      <c r="AA223" s="38"/>
      <c r="AB223" s="38"/>
      <c r="AC223" s="38">
        <f t="shared" si="148"/>
        <v>0</v>
      </c>
      <c r="AD223" s="40"/>
      <c r="AE223" s="13"/>
      <c r="AF223" s="38"/>
      <c r="AG223" s="38"/>
      <c r="AH223" s="38"/>
      <c r="AI223" s="38"/>
      <c r="AJ223" s="38"/>
      <c r="AK223" s="38"/>
      <c r="AL223" s="38">
        <f t="shared" si="149"/>
        <v>0</v>
      </c>
      <c r="AM223" s="41"/>
      <c r="AN223" s="13"/>
      <c r="AO223" s="38"/>
      <c r="AP223" s="38"/>
      <c r="AQ223" s="38"/>
      <c r="AR223" s="38"/>
      <c r="AS223" s="38"/>
      <c r="AT223" s="38"/>
      <c r="AU223" s="38">
        <f t="shared" si="150"/>
        <v>0</v>
      </c>
      <c r="AV223" s="40"/>
      <c r="AW223" s="13"/>
      <c r="AX223" s="38"/>
      <c r="AY223" s="38"/>
      <c r="AZ223" s="38"/>
      <c r="BA223" s="38"/>
      <c r="BB223" s="38"/>
      <c r="BC223" s="38">
        <f t="shared" si="151"/>
        <v>0</v>
      </c>
      <c r="BD223" s="40"/>
      <c r="BE223" s="13"/>
      <c r="BF223" s="38"/>
      <c r="BG223" s="42"/>
      <c r="BH223" s="42"/>
      <c r="BI223" s="42"/>
    </row>
    <row r="224" spans="1:61" ht="81.75" customHeight="1">
      <c r="A224" s="43" t="s">
        <v>139</v>
      </c>
      <c r="B224" s="181" t="s">
        <v>140</v>
      </c>
      <c r="C224" s="182"/>
      <c r="D224" s="182"/>
      <c r="E224" s="182"/>
      <c r="F224" s="182"/>
      <c r="G224" s="22"/>
      <c r="H224" s="22"/>
      <c r="I224" s="22"/>
      <c r="J224" s="22"/>
      <c r="K224" s="21"/>
      <c r="L224" s="24"/>
      <c r="M224" s="24"/>
      <c r="N224" s="26"/>
      <c r="O224" s="24"/>
      <c r="P224" s="27"/>
      <c r="Q224" s="106"/>
      <c r="R224" s="107"/>
      <c r="S224" s="107"/>
      <c r="T224" s="26"/>
      <c r="U224" s="24"/>
      <c r="V224" s="27"/>
      <c r="W224" s="28"/>
      <c r="X224" s="28"/>
      <c r="Y224" s="28"/>
      <c r="Z224" s="28"/>
      <c r="AA224" s="28"/>
      <c r="AB224" s="28"/>
      <c r="AC224" s="26"/>
      <c r="AD224" s="24"/>
      <c r="AE224" s="27"/>
      <c r="AF224" s="28"/>
      <c r="AG224" s="28"/>
      <c r="AH224" s="28"/>
      <c r="AI224" s="28"/>
      <c r="AJ224" s="28"/>
      <c r="AK224" s="28"/>
      <c r="AL224" s="26"/>
      <c r="AM224" s="29"/>
      <c r="AN224" s="27"/>
      <c r="AO224" s="26"/>
      <c r="AP224" s="26"/>
      <c r="AQ224" s="26"/>
      <c r="AR224" s="26"/>
      <c r="AS224" s="26"/>
      <c r="AT224" s="26"/>
      <c r="AU224" s="26"/>
      <c r="AV224" s="24"/>
      <c r="AW224" s="27"/>
      <c r="AX224" s="26"/>
      <c r="AY224" s="26"/>
      <c r="AZ224" s="26"/>
      <c r="BA224" s="26"/>
      <c r="BB224" s="26"/>
      <c r="BC224" s="26"/>
      <c r="BD224" s="24"/>
      <c r="BE224" s="27"/>
      <c r="BF224" s="26"/>
      <c r="BG224" s="22"/>
      <c r="BH224" s="21"/>
      <c r="BI224" s="22"/>
    </row>
    <row r="225" spans="1:61" ht="32.25" customHeight="1">
      <c r="A225" s="10"/>
      <c r="B225" s="30" t="s">
        <v>0</v>
      </c>
      <c r="C225" s="30" t="s">
        <v>1</v>
      </c>
      <c r="D225" s="30" t="s">
        <v>2</v>
      </c>
      <c r="E225" s="30" t="s">
        <v>3</v>
      </c>
      <c r="F225" s="30" t="s">
        <v>4</v>
      </c>
      <c r="G225" s="30" t="s">
        <v>5</v>
      </c>
      <c r="H225" s="30" t="s">
        <v>68</v>
      </c>
      <c r="I225" s="30" t="s">
        <v>7</v>
      </c>
      <c r="J225" s="30" t="s">
        <v>8</v>
      </c>
      <c r="K225" s="10" t="s">
        <v>9</v>
      </c>
      <c r="L225" s="10" t="s">
        <v>56</v>
      </c>
      <c r="M225" s="20"/>
      <c r="N225" s="12"/>
      <c r="O225" s="20"/>
      <c r="P225" s="27"/>
      <c r="Q225" s="30" t="s">
        <v>15</v>
      </c>
      <c r="R225" s="30" t="s">
        <v>16</v>
      </c>
      <c r="S225" s="30" t="s">
        <v>28</v>
      </c>
      <c r="T225" s="20"/>
      <c r="U225" s="11"/>
      <c r="V225" s="27"/>
      <c r="W225" s="30" t="s">
        <v>15</v>
      </c>
      <c r="X225" s="30" t="s">
        <v>20</v>
      </c>
      <c r="Y225" s="30" t="s">
        <v>21</v>
      </c>
      <c r="Z225" s="30" t="s">
        <v>22</v>
      </c>
      <c r="AA225" s="30" t="s">
        <v>23</v>
      </c>
      <c r="AB225" s="30" t="s">
        <v>24</v>
      </c>
      <c r="AC225" s="20"/>
      <c r="AD225" s="11"/>
      <c r="AE225" s="27"/>
      <c r="AF225" s="30" t="s">
        <v>20</v>
      </c>
      <c r="AG225" s="30" t="s">
        <v>21</v>
      </c>
      <c r="AH225" s="30" t="s">
        <v>22</v>
      </c>
      <c r="AI225" s="30" t="s">
        <v>23</v>
      </c>
      <c r="AJ225" s="30" t="s">
        <v>24</v>
      </c>
      <c r="AK225" s="30" t="s">
        <v>28</v>
      </c>
      <c r="AL225" s="20"/>
      <c r="AM225" s="44"/>
      <c r="AN225" s="27"/>
      <c r="AO225" s="30" t="s">
        <v>15</v>
      </c>
      <c r="AP225" s="30" t="s">
        <v>20</v>
      </c>
      <c r="AQ225" s="30" t="s">
        <v>21</v>
      </c>
      <c r="AR225" s="30" t="s">
        <v>16</v>
      </c>
      <c r="AS225" s="30" t="s">
        <v>22</v>
      </c>
      <c r="AT225" s="30" t="s">
        <v>24</v>
      </c>
      <c r="AU225" s="20"/>
      <c r="AV225" s="11"/>
      <c r="AW225" s="27"/>
      <c r="AX225" s="30" t="s">
        <v>15</v>
      </c>
      <c r="AY225" s="30" t="s">
        <v>20</v>
      </c>
      <c r="AZ225" s="30" t="s">
        <v>22</v>
      </c>
      <c r="BA225" s="30" t="s">
        <v>23</v>
      </c>
      <c r="BB225" s="30" t="s">
        <v>28</v>
      </c>
      <c r="BC225" s="20"/>
      <c r="BD225" s="11"/>
      <c r="BE225" s="27"/>
      <c r="BF225" s="10" t="s">
        <v>38</v>
      </c>
      <c r="BG225" s="10" t="s">
        <v>39</v>
      </c>
      <c r="BH225" s="9" t="s">
        <v>40</v>
      </c>
      <c r="BI225" s="9" t="s">
        <v>41</v>
      </c>
    </row>
    <row r="226" spans="1:61" ht="20.25" customHeight="1">
      <c r="A226" s="10" t="s">
        <v>97</v>
      </c>
      <c r="B226" s="32" t="s">
        <v>59</v>
      </c>
      <c r="C226" s="32">
        <v>0</v>
      </c>
      <c r="D226" s="32">
        <v>0</v>
      </c>
      <c r="E226" s="32">
        <v>1</v>
      </c>
      <c r="F226" s="32">
        <v>0</v>
      </c>
      <c r="G226" s="32" t="s">
        <v>59</v>
      </c>
      <c r="H226" s="32">
        <v>0</v>
      </c>
      <c r="I226" s="32">
        <v>0</v>
      </c>
      <c r="J226" s="33">
        <v>1</v>
      </c>
      <c r="K226" s="23">
        <f t="shared" ref="K226:K231" si="155">SUM(B226:J226)</f>
        <v>2</v>
      </c>
      <c r="L226" s="35">
        <f>K226/K232</f>
        <v>3.3333333333333333E-2</v>
      </c>
      <c r="M226" s="35">
        <f>K226/K235</f>
        <v>3.125E-2</v>
      </c>
      <c r="N226" s="37"/>
      <c r="O226" s="35"/>
      <c r="P226" s="13"/>
      <c r="Q226" s="33">
        <v>0</v>
      </c>
      <c r="R226" s="33">
        <v>0</v>
      </c>
      <c r="S226" s="33">
        <v>0</v>
      </c>
      <c r="T226" s="14">
        <f t="shared" ref="T226:T231" si="156">SUM(Q226:S226)</f>
        <v>0</v>
      </c>
      <c r="U226" s="40">
        <f>T226/T232</f>
        <v>0</v>
      </c>
      <c r="V226" s="13"/>
      <c r="W226" s="33">
        <v>0</v>
      </c>
      <c r="X226" s="33">
        <v>0</v>
      </c>
      <c r="Y226" s="33">
        <v>0</v>
      </c>
      <c r="Z226" s="33" t="s">
        <v>82</v>
      </c>
      <c r="AA226" s="33">
        <v>0</v>
      </c>
      <c r="AB226" s="33">
        <v>0</v>
      </c>
      <c r="AC226" s="14">
        <f t="shared" ref="AC226:AC231" si="157">SUM(W226:AB226)</f>
        <v>0</v>
      </c>
      <c r="AD226" s="40">
        <f>AC226/AC232</f>
        <v>0</v>
      </c>
      <c r="AE226" s="13"/>
      <c r="AF226" s="33">
        <v>0</v>
      </c>
      <c r="AG226" s="33">
        <v>0</v>
      </c>
      <c r="AH226" s="9" t="s">
        <v>82</v>
      </c>
      <c r="AI226" s="33">
        <v>1</v>
      </c>
      <c r="AJ226" s="33">
        <v>0</v>
      </c>
      <c r="AK226" s="33">
        <v>0</v>
      </c>
      <c r="AL226" s="14">
        <f t="shared" ref="AL226:AL231" si="158">SUM(AF226:AK226)</f>
        <v>1</v>
      </c>
      <c r="AM226" s="40">
        <f>AL226/AL232</f>
        <v>4.3478260869565216E-2</v>
      </c>
      <c r="AN226" s="13"/>
      <c r="AO226" s="33">
        <v>0</v>
      </c>
      <c r="AP226" s="33">
        <v>0</v>
      </c>
      <c r="AQ226" s="33">
        <v>0</v>
      </c>
      <c r="AR226" s="33">
        <v>0</v>
      </c>
      <c r="AS226" s="9" t="s">
        <v>82</v>
      </c>
      <c r="AT226" s="33">
        <v>0</v>
      </c>
      <c r="AU226" s="14">
        <f t="shared" ref="AU226:AU231" si="159">SUM(AO226:AT226)</f>
        <v>0</v>
      </c>
      <c r="AV226" s="40">
        <f>AU226/AU232</f>
        <v>0</v>
      </c>
      <c r="AW226" s="13"/>
      <c r="AX226" s="33">
        <v>0</v>
      </c>
      <c r="AY226" s="33">
        <v>0</v>
      </c>
      <c r="AZ226" s="9" t="s">
        <v>82</v>
      </c>
      <c r="BA226" s="33">
        <v>0</v>
      </c>
      <c r="BB226" s="33">
        <v>1</v>
      </c>
      <c r="BC226" s="14">
        <f t="shared" ref="BC226:BC231" si="160">SUM(AX226:BB226)</f>
        <v>1</v>
      </c>
      <c r="BD226" s="40">
        <f>BC226/BC232</f>
        <v>0.5</v>
      </c>
      <c r="BE226" s="13"/>
      <c r="BF226" s="14">
        <v>0</v>
      </c>
      <c r="BG226" s="15">
        <f>BF226/BF232</f>
        <v>0</v>
      </c>
      <c r="BH226" s="16"/>
      <c r="BI226" s="15"/>
    </row>
    <row r="227" spans="1:61" ht="20.25" customHeight="1">
      <c r="A227" s="10" t="s">
        <v>98</v>
      </c>
      <c r="B227" s="32" t="s">
        <v>59</v>
      </c>
      <c r="C227" s="32">
        <v>0</v>
      </c>
      <c r="D227" s="32">
        <v>0</v>
      </c>
      <c r="E227" s="32">
        <v>0</v>
      </c>
      <c r="F227" s="32">
        <v>0</v>
      </c>
      <c r="G227" s="32" t="s">
        <v>59</v>
      </c>
      <c r="H227" s="32">
        <v>0</v>
      </c>
      <c r="I227" s="32">
        <v>0</v>
      </c>
      <c r="J227" s="33">
        <v>0</v>
      </c>
      <c r="K227" s="23">
        <f t="shared" si="155"/>
        <v>0</v>
      </c>
      <c r="L227" s="35">
        <f>K227/K232</f>
        <v>0</v>
      </c>
      <c r="M227" s="35">
        <f>K227/K235</f>
        <v>0</v>
      </c>
      <c r="N227" s="37"/>
      <c r="O227" s="35"/>
      <c r="P227" s="13"/>
      <c r="Q227" s="33">
        <v>0</v>
      </c>
      <c r="R227" s="33">
        <v>0</v>
      </c>
      <c r="S227" s="33">
        <v>0</v>
      </c>
      <c r="T227" s="14">
        <f t="shared" si="156"/>
        <v>0</v>
      </c>
      <c r="U227" s="40">
        <f>T227/T232</f>
        <v>0</v>
      </c>
      <c r="V227" s="13"/>
      <c r="W227" s="33">
        <v>0</v>
      </c>
      <c r="X227" s="33">
        <v>0</v>
      </c>
      <c r="Y227" s="33">
        <v>0</v>
      </c>
      <c r="Z227" s="33" t="s">
        <v>82</v>
      </c>
      <c r="AA227" s="33">
        <v>0</v>
      </c>
      <c r="AB227" s="33">
        <v>0</v>
      </c>
      <c r="AC227" s="14">
        <f t="shared" si="157"/>
        <v>0</v>
      </c>
      <c r="AD227" s="40">
        <f>AC227/AC232</f>
        <v>0</v>
      </c>
      <c r="AE227" s="13"/>
      <c r="AF227" s="33">
        <v>0</v>
      </c>
      <c r="AG227" s="33">
        <v>0</v>
      </c>
      <c r="AH227" s="9" t="s">
        <v>82</v>
      </c>
      <c r="AI227" s="33">
        <v>0</v>
      </c>
      <c r="AJ227" s="33">
        <v>0</v>
      </c>
      <c r="AK227" s="33">
        <v>0</v>
      </c>
      <c r="AL227" s="14">
        <f t="shared" si="158"/>
        <v>0</v>
      </c>
      <c r="AM227" s="40">
        <f>AL227/AL232</f>
        <v>0</v>
      </c>
      <c r="AN227" s="13"/>
      <c r="AO227" s="33">
        <v>0</v>
      </c>
      <c r="AP227" s="33">
        <v>0</v>
      </c>
      <c r="AQ227" s="33">
        <v>0</v>
      </c>
      <c r="AR227" s="33">
        <v>0</v>
      </c>
      <c r="AS227" s="9" t="s">
        <v>82</v>
      </c>
      <c r="AT227" s="33">
        <v>0</v>
      </c>
      <c r="AU227" s="14">
        <f t="shared" si="159"/>
        <v>0</v>
      </c>
      <c r="AV227" s="40">
        <f>AU227/AU232</f>
        <v>0</v>
      </c>
      <c r="AW227" s="13"/>
      <c r="AX227" s="33">
        <v>0</v>
      </c>
      <c r="AY227" s="33">
        <v>0</v>
      </c>
      <c r="AZ227" s="9" t="s">
        <v>82</v>
      </c>
      <c r="BA227" s="33">
        <v>0</v>
      </c>
      <c r="BB227" s="33">
        <v>0</v>
      </c>
      <c r="BC227" s="14">
        <f t="shared" si="160"/>
        <v>0</v>
      </c>
      <c r="BD227" s="40">
        <f>BC227/BC232</f>
        <v>0</v>
      </c>
      <c r="BE227" s="13"/>
      <c r="BF227" s="14">
        <v>1</v>
      </c>
      <c r="BG227" s="15">
        <f>BF227/BF232</f>
        <v>0.125</v>
      </c>
      <c r="BH227" s="16"/>
      <c r="BI227" s="15"/>
    </row>
    <row r="228" spans="1:61" ht="20.25" customHeight="1">
      <c r="A228" s="10" t="s">
        <v>99</v>
      </c>
      <c r="B228" s="32" t="s">
        <v>59</v>
      </c>
      <c r="C228" s="32">
        <v>0</v>
      </c>
      <c r="D228" s="32">
        <v>0</v>
      </c>
      <c r="E228" s="32">
        <v>1</v>
      </c>
      <c r="F228" s="32">
        <v>0</v>
      </c>
      <c r="G228" s="32" t="s">
        <v>59</v>
      </c>
      <c r="H228" s="32">
        <v>1</v>
      </c>
      <c r="I228" s="32">
        <v>1</v>
      </c>
      <c r="J228" s="33">
        <v>0</v>
      </c>
      <c r="K228" s="23">
        <f t="shared" si="155"/>
        <v>3</v>
      </c>
      <c r="L228" s="35">
        <f>K228/K232</f>
        <v>0.05</v>
      </c>
      <c r="M228" s="35">
        <f>K228/K235</f>
        <v>4.6875E-2</v>
      </c>
      <c r="N228" s="37"/>
      <c r="O228" s="35"/>
      <c r="P228" s="13"/>
      <c r="Q228" s="33">
        <v>0</v>
      </c>
      <c r="R228" s="33">
        <v>1</v>
      </c>
      <c r="S228" s="33">
        <v>0</v>
      </c>
      <c r="T228" s="14">
        <f t="shared" si="156"/>
        <v>1</v>
      </c>
      <c r="U228" s="40">
        <f>T228/T232</f>
        <v>8.3333333333333329E-2</v>
      </c>
      <c r="V228" s="13"/>
      <c r="W228" s="33">
        <v>1</v>
      </c>
      <c r="X228" s="33">
        <v>0</v>
      </c>
      <c r="Y228" s="33">
        <v>0</v>
      </c>
      <c r="Z228" s="33" t="s">
        <v>82</v>
      </c>
      <c r="AA228" s="33">
        <v>1</v>
      </c>
      <c r="AB228" s="33">
        <v>0</v>
      </c>
      <c r="AC228" s="14">
        <f t="shared" si="157"/>
        <v>2</v>
      </c>
      <c r="AD228" s="40">
        <f>AC228/AC232</f>
        <v>0.10526315789473684</v>
      </c>
      <c r="AE228" s="13"/>
      <c r="AF228" s="33">
        <v>0</v>
      </c>
      <c r="AG228" s="33">
        <v>0</v>
      </c>
      <c r="AH228" s="9" t="s">
        <v>82</v>
      </c>
      <c r="AI228" s="33">
        <v>0</v>
      </c>
      <c r="AJ228" s="33">
        <v>0</v>
      </c>
      <c r="AK228" s="33">
        <v>0</v>
      </c>
      <c r="AL228" s="14">
        <f t="shared" si="158"/>
        <v>0</v>
      </c>
      <c r="AM228" s="40">
        <f>AL228/AL232</f>
        <v>0</v>
      </c>
      <c r="AN228" s="13"/>
      <c r="AO228" s="33">
        <v>0</v>
      </c>
      <c r="AP228" s="33">
        <v>0</v>
      </c>
      <c r="AQ228" s="33">
        <v>0</v>
      </c>
      <c r="AR228" s="33">
        <v>0</v>
      </c>
      <c r="AS228" s="9" t="s">
        <v>82</v>
      </c>
      <c r="AT228" s="33">
        <v>0</v>
      </c>
      <c r="AU228" s="14">
        <f t="shared" si="159"/>
        <v>0</v>
      </c>
      <c r="AV228" s="40">
        <f>AU228/AU232</f>
        <v>0</v>
      </c>
      <c r="AW228" s="13"/>
      <c r="AX228" s="33">
        <v>0</v>
      </c>
      <c r="AY228" s="33">
        <v>0</v>
      </c>
      <c r="AZ228" s="9" t="s">
        <v>82</v>
      </c>
      <c r="BA228" s="33">
        <v>0</v>
      </c>
      <c r="BB228" s="33">
        <v>0</v>
      </c>
      <c r="BC228" s="14">
        <f t="shared" si="160"/>
        <v>0</v>
      </c>
      <c r="BD228" s="40">
        <f>BC228/BC232</f>
        <v>0</v>
      </c>
      <c r="BE228" s="13"/>
      <c r="BF228" s="14">
        <v>0</v>
      </c>
      <c r="BG228" s="15">
        <f>BF228/BF232</f>
        <v>0</v>
      </c>
      <c r="BH228" s="16"/>
      <c r="BI228" s="15"/>
    </row>
    <row r="229" spans="1:61" ht="20.25" customHeight="1">
      <c r="A229" s="10" t="s">
        <v>100</v>
      </c>
      <c r="B229" s="32" t="s">
        <v>59</v>
      </c>
      <c r="C229" s="32">
        <v>1</v>
      </c>
      <c r="D229" s="32">
        <v>3</v>
      </c>
      <c r="E229" s="32">
        <v>5</v>
      </c>
      <c r="F229" s="32">
        <v>2</v>
      </c>
      <c r="G229" s="32" t="s">
        <v>59</v>
      </c>
      <c r="H229" s="32">
        <v>0</v>
      </c>
      <c r="I229" s="32">
        <v>2</v>
      </c>
      <c r="J229" s="33">
        <v>4</v>
      </c>
      <c r="K229" s="23">
        <f t="shared" si="155"/>
        <v>17</v>
      </c>
      <c r="L229" s="35">
        <f>K229/K232</f>
        <v>0.28333333333333333</v>
      </c>
      <c r="M229" s="35">
        <f>K229/K235</f>
        <v>0.265625</v>
      </c>
      <c r="N229" s="37"/>
      <c r="O229" s="35"/>
      <c r="P229" s="13"/>
      <c r="Q229" s="33">
        <v>2</v>
      </c>
      <c r="R229" s="33">
        <v>0</v>
      </c>
      <c r="S229" s="33">
        <v>0</v>
      </c>
      <c r="T229" s="14">
        <f t="shared" si="156"/>
        <v>2</v>
      </c>
      <c r="U229" s="40">
        <f>T229/T232</f>
        <v>0.16666666666666666</v>
      </c>
      <c r="V229" s="13"/>
      <c r="W229" s="33">
        <v>0</v>
      </c>
      <c r="X229" s="33">
        <v>1</v>
      </c>
      <c r="Y229" s="33">
        <v>1</v>
      </c>
      <c r="Z229" s="33" t="s">
        <v>82</v>
      </c>
      <c r="AA229" s="33">
        <v>2</v>
      </c>
      <c r="AB229" s="33">
        <v>1</v>
      </c>
      <c r="AC229" s="14">
        <f t="shared" si="157"/>
        <v>5</v>
      </c>
      <c r="AD229" s="40">
        <f>AC229/AC232</f>
        <v>0.26315789473684209</v>
      </c>
      <c r="AE229" s="13"/>
      <c r="AF229" s="33">
        <v>1</v>
      </c>
      <c r="AG229" s="33">
        <v>1</v>
      </c>
      <c r="AH229" s="9" t="s">
        <v>82</v>
      </c>
      <c r="AI229" s="33">
        <v>3</v>
      </c>
      <c r="AJ229" s="33">
        <v>0</v>
      </c>
      <c r="AK229" s="33">
        <v>4</v>
      </c>
      <c r="AL229" s="14">
        <f t="shared" si="158"/>
        <v>9</v>
      </c>
      <c r="AM229" s="40">
        <f>AL229/AL232</f>
        <v>0.39130434782608697</v>
      </c>
      <c r="AN229" s="13"/>
      <c r="AO229" s="33">
        <v>0</v>
      </c>
      <c r="AP229" s="33">
        <v>0</v>
      </c>
      <c r="AQ229" s="33">
        <v>1</v>
      </c>
      <c r="AR229" s="33">
        <v>0</v>
      </c>
      <c r="AS229" s="9" t="s">
        <v>82</v>
      </c>
      <c r="AT229" s="33">
        <v>0</v>
      </c>
      <c r="AU229" s="14">
        <f t="shared" si="159"/>
        <v>1</v>
      </c>
      <c r="AV229" s="40">
        <f>AU229/AU232</f>
        <v>0.25</v>
      </c>
      <c r="AW229" s="13"/>
      <c r="AX229" s="33">
        <v>0</v>
      </c>
      <c r="AY229" s="33">
        <v>0</v>
      </c>
      <c r="AZ229" s="9" t="s">
        <v>82</v>
      </c>
      <c r="BA229" s="33">
        <v>0</v>
      </c>
      <c r="BB229" s="33">
        <v>0</v>
      </c>
      <c r="BC229" s="14">
        <f t="shared" si="160"/>
        <v>0</v>
      </c>
      <c r="BD229" s="40">
        <f>BC229/BC232</f>
        <v>0</v>
      </c>
      <c r="BE229" s="13"/>
      <c r="BF229" s="14">
        <v>2</v>
      </c>
      <c r="BG229" s="15">
        <f>BF229/BF232</f>
        <v>0.25</v>
      </c>
      <c r="BH229" s="16"/>
      <c r="BI229" s="15"/>
    </row>
    <row r="230" spans="1:61" ht="32.25" customHeight="1">
      <c r="A230" s="10" t="s">
        <v>101</v>
      </c>
      <c r="B230" s="32" t="s">
        <v>59</v>
      </c>
      <c r="C230" s="32">
        <v>3</v>
      </c>
      <c r="D230" s="32">
        <v>5</v>
      </c>
      <c r="E230" s="32">
        <v>3</v>
      </c>
      <c r="F230" s="32">
        <v>3</v>
      </c>
      <c r="G230" s="32" t="s">
        <v>59</v>
      </c>
      <c r="H230" s="32">
        <v>2</v>
      </c>
      <c r="I230" s="32">
        <v>5</v>
      </c>
      <c r="J230" s="33">
        <v>4</v>
      </c>
      <c r="K230" s="23">
        <f t="shared" si="155"/>
        <v>25</v>
      </c>
      <c r="L230" s="35">
        <f>K230/K232</f>
        <v>0.41666666666666669</v>
      </c>
      <c r="M230" s="35">
        <f>K230/K235</f>
        <v>0.390625</v>
      </c>
      <c r="N230" s="37"/>
      <c r="O230" s="35"/>
      <c r="P230" s="13"/>
      <c r="Q230" s="33">
        <v>3</v>
      </c>
      <c r="R230" s="33">
        <v>2</v>
      </c>
      <c r="S230" s="33">
        <v>0</v>
      </c>
      <c r="T230" s="14">
        <f t="shared" si="156"/>
        <v>5</v>
      </c>
      <c r="U230" s="40">
        <f>T230/T232</f>
        <v>0.41666666666666669</v>
      </c>
      <c r="V230" s="13"/>
      <c r="W230" s="33">
        <v>2</v>
      </c>
      <c r="X230" s="33">
        <v>2</v>
      </c>
      <c r="Y230" s="33">
        <v>3</v>
      </c>
      <c r="Z230" s="33" t="s">
        <v>82</v>
      </c>
      <c r="AA230" s="33">
        <v>1</v>
      </c>
      <c r="AB230" s="33">
        <v>0</v>
      </c>
      <c r="AC230" s="14">
        <f t="shared" si="157"/>
        <v>8</v>
      </c>
      <c r="AD230" s="40">
        <f>AC230/AC232</f>
        <v>0.42105263157894735</v>
      </c>
      <c r="AE230" s="13"/>
      <c r="AF230" s="33">
        <v>1</v>
      </c>
      <c r="AG230" s="33">
        <v>2</v>
      </c>
      <c r="AH230" s="9" t="s">
        <v>82</v>
      </c>
      <c r="AI230" s="33">
        <v>1</v>
      </c>
      <c r="AJ230" s="33">
        <v>1</v>
      </c>
      <c r="AK230" s="33">
        <v>4</v>
      </c>
      <c r="AL230" s="14">
        <f t="shared" si="158"/>
        <v>9</v>
      </c>
      <c r="AM230" s="40">
        <f>AL230/AL232</f>
        <v>0.39130434782608697</v>
      </c>
      <c r="AN230" s="13"/>
      <c r="AO230" s="33">
        <v>0</v>
      </c>
      <c r="AP230" s="33">
        <v>0</v>
      </c>
      <c r="AQ230" s="33">
        <v>0</v>
      </c>
      <c r="AR230" s="33">
        <v>0</v>
      </c>
      <c r="AS230" s="9" t="s">
        <v>82</v>
      </c>
      <c r="AT230" s="33">
        <v>2</v>
      </c>
      <c r="AU230" s="14">
        <f t="shared" si="159"/>
        <v>2</v>
      </c>
      <c r="AV230" s="40">
        <f>AU230/AU232</f>
        <v>0.5</v>
      </c>
      <c r="AW230" s="13"/>
      <c r="AX230" s="33">
        <v>0</v>
      </c>
      <c r="AY230" s="33">
        <v>0</v>
      </c>
      <c r="AZ230" s="9" t="s">
        <v>82</v>
      </c>
      <c r="BA230" s="33">
        <v>1</v>
      </c>
      <c r="BB230" s="33">
        <v>0</v>
      </c>
      <c r="BC230" s="14">
        <f t="shared" si="160"/>
        <v>1</v>
      </c>
      <c r="BD230" s="40">
        <f>BC230/BC232</f>
        <v>0.5</v>
      </c>
      <c r="BE230" s="13"/>
      <c r="BF230" s="14">
        <v>5</v>
      </c>
      <c r="BG230" s="15">
        <f>BF230/BF232</f>
        <v>0.625</v>
      </c>
      <c r="BH230" s="16"/>
      <c r="BI230" s="15"/>
    </row>
    <row r="231" spans="1:61" ht="20.25" customHeight="1">
      <c r="A231" s="10" t="s">
        <v>102</v>
      </c>
      <c r="B231" s="32" t="s">
        <v>59</v>
      </c>
      <c r="C231" s="32">
        <v>0</v>
      </c>
      <c r="D231" s="32">
        <v>3</v>
      </c>
      <c r="E231" s="32">
        <v>1</v>
      </c>
      <c r="F231" s="32">
        <v>3</v>
      </c>
      <c r="G231" s="32" t="s">
        <v>59</v>
      </c>
      <c r="H231" s="32">
        <v>2</v>
      </c>
      <c r="I231" s="32">
        <v>2</v>
      </c>
      <c r="J231" s="33">
        <v>2</v>
      </c>
      <c r="K231" s="23">
        <f t="shared" si="155"/>
        <v>13</v>
      </c>
      <c r="L231" s="35">
        <f>K231/K232</f>
        <v>0.21666666666666667</v>
      </c>
      <c r="M231" s="35">
        <f>K231/K235</f>
        <v>0.203125</v>
      </c>
      <c r="N231" s="37"/>
      <c r="O231" s="35"/>
      <c r="P231" s="13"/>
      <c r="Q231" s="33">
        <v>1</v>
      </c>
      <c r="R231" s="33">
        <v>2</v>
      </c>
      <c r="S231" s="33">
        <v>1</v>
      </c>
      <c r="T231" s="14">
        <f t="shared" si="156"/>
        <v>4</v>
      </c>
      <c r="U231" s="40">
        <f>T231/T232</f>
        <v>0.33333333333333331</v>
      </c>
      <c r="V231" s="13"/>
      <c r="W231" s="33">
        <v>1</v>
      </c>
      <c r="X231" s="33">
        <v>1</v>
      </c>
      <c r="Y231" s="33">
        <v>1</v>
      </c>
      <c r="Z231" s="33" t="s">
        <v>82</v>
      </c>
      <c r="AA231" s="33">
        <v>1</v>
      </c>
      <c r="AB231" s="33">
        <v>0</v>
      </c>
      <c r="AC231" s="14">
        <f t="shared" si="157"/>
        <v>4</v>
      </c>
      <c r="AD231" s="40">
        <f>AC231/AC232</f>
        <v>0.21052631578947367</v>
      </c>
      <c r="AE231" s="13"/>
      <c r="AF231" s="33">
        <v>1</v>
      </c>
      <c r="AG231" s="33">
        <v>2</v>
      </c>
      <c r="AH231" s="9" t="s">
        <v>82</v>
      </c>
      <c r="AI231" s="33">
        <v>0</v>
      </c>
      <c r="AJ231" s="33">
        <v>0</v>
      </c>
      <c r="AK231" s="33">
        <v>1</v>
      </c>
      <c r="AL231" s="14">
        <f t="shared" si="158"/>
        <v>4</v>
      </c>
      <c r="AM231" s="40">
        <f>AL231/AL232</f>
        <v>0.17391304347826086</v>
      </c>
      <c r="AN231" s="13"/>
      <c r="AO231" s="33">
        <v>0</v>
      </c>
      <c r="AP231" s="33">
        <v>1</v>
      </c>
      <c r="AQ231" s="33">
        <v>0</v>
      </c>
      <c r="AR231" s="33">
        <v>0</v>
      </c>
      <c r="AS231" s="9" t="s">
        <v>82</v>
      </c>
      <c r="AT231" s="33">
        <v>0</v>
      </c>
      <c r="AU231" s="14">
        <f t="shared" si="159"/>
        <v>1</v>
      </c>
      <c r="AV231" s="40">
        <f>AU231/AU232</f>
        <v>0.25</v>
      </c>
      <c r="AW231" s="13"/>
      <c r="AX231" s="33">
        <v>0</v>
      </c>
      <c r="AY231" s="33">
        <v>0</v>
      </c>
      <c r="AZ231" s="9" t="s">
        <v>82</v>
      </c>
      <c r="BA231" s="33">
        <v>0</v>
      </c>
      <c r="BB231" s="33">
        <v>0</v>
      </c>
      <c r="BC231" s="14">
        <f t="shared" si="160"/>
        <v>0</v>
      </c>
      <c r="BD231" s="40">
        <f>BC231/BC232</f>
        <v>0</v>
      </c>
      <c r="BE231" s="13"/>
      <c r="BF231" s="38">
        <v>0</v>
      </c>
      <c r="BG231" s="40">
        <f>BF231/BF232</f>
        <v>0</v>
      </c>
      <c r="BH231" s="32"/>
      <c r="BI231" s="40"/>
    </row>
    <row r="232" spans="1:61" ht="21.75" customHeight="1">
      <c r="A232" s="10" t="s">
        <v>9</v>
      </c>
      <c r="B232" s="32" t="s">
        <v>59</v>
      </c>
      <c r="C232" s="32">
        <f>SUM(C226:C231)</f>
        <v>4</v>
      </c>
      <c r="D232" s="32">
        <f>SUM(D226:D231)</f>
        <v>11</v>
      </c>
      <c r="E232" s="32">
        <f>SUM(E226:E231)</f>
        <v>11</v>
      </c>
      <c r="F232" s="32">
        <f>SUM(F226:F231)</f>
        <v>8</v>
      </c>
      <c r="G232" s="32" t="s">
        <v>59</v>
      </c>
      <c r="H232" s="32">
        <f>SUM(H226:H231)</f>
        <v>5</v>
      </c>
      <c r="I232" s="32">
        <f>SUM(I226:I231)</f>
        <v>10</v>
      </c>
      <c r="J232" s="32">
        <f>SUM(J226:J231)</f>
        <v>11</v>
      </c>
      <c r="K232" s="23">
        <f>SUM(K226:K231)</f>
        <v>60</v>
      </c>
      <c r="L232" s="35">
        <f>SUM(L226:L231)</f>
        <v>1</v>
      </c>
      <c r="M232" s="35">
        <f>K232/K235</f>
        <v>0.9375</v>
      </c>
      <c r="N232" s="37">
        <f>T232+AC232+AL232+AU232</f>
        <v>58</v>
      </c>
      <c r="O232" s="35">
        <f>N232/K232</f>
        <v>0.96666666666666667</v>
      </c>
      <c r="P232" s="13">
        <f t="shared" ref="P232:Y232" si="161">SUM(P226:P231)</f>
        <v>0</v>
      </c>
      <c r="Q232" s="47">
        <f t="shared" si="161"/>
        <v>6</v>
      </c>
      <c r="R232" s="14">
        <f t="shared" si="161"/>
        <v>5</v>
      </c>
      <c r="S232" s="14">
        <f t="shared" si="161"/>
        <v>1</v>
      </c>
      <c r="T232" s="14">
        <f t="shared" si="161"/>
        <v>12</v>
      </c>
      <c r="U232" s="40">
        <f t="shared" si="161"/>
        <v>1</v>
      </c>
      <c r="V232" s="13">
        <f t="shared" si="161"/>
        <v>0</v>
      </c>
      <c r="W232" s="47">
        <f t="shared" si="161"/>
        <v>4</v>
      </c>
      <c r="X232" s="47">
        <f t="shared" si="161"/>
        <v>4</v>
      </c>
      <c r="Y232" s="47">
        <f t="shared" si="161"/>
        <v>5</v>
      </c>
      <c r="Z232" s="112" t="s">
        <v>82</v>
      </c>
      <c r="AA232" s="47">
        <f t="shared" ref="AA232:AG232" si="162">SUM(AA226:AA231)</f>
        <v>5</v>
      </c>
      <c r="AB232" s="47">
        <f t="shared" si="162"/>
        <v>1</v>
      </c>
      <c r="AC232" s="45">
        <f t="shared" si="162"/>
        <v>19</v>
      </c>
      <c r="AD232" s="40">
        <f t="shared" si="162"/>
        <v>1</v>
      </c>
      <c r="AE232" s="13">
        <f t="shared" si="162"/>
        <v>0</v>
      </c>
      <c r="AF232" s="47">
        <f t="shared" si="162"/>
        <v>3</v>
      </c>
      <c r="AG232" s="47">
        <f t="shared" si="162"/>
        <v>5</v>
      </c>
      <c r="AH232" s="113" t="s">
        <v>82</v>
      </c>
      <c r="AI232" s="47">
        <f t="shared" ref="AI232:AR232" si="163">SUM(AI226:AI231)</f>
        <v>5</v>
      </c>
      <c r="AJ232" s="47">
        <f t="shared" si="163"/>
        <v>1</v>
      </c>
      <c r="AK232" s="47">
        <f t="shared" si="163"/>
        <v>9</v>
      </c>
      <c r="AL232" s="45">
        <f t="shared" si="163"/>
        <v>23</v>
      </c>
      <c r="AM232" s="40">
        <f t="shared" si="163"/>
        <v>1</v>
      </c>
      <c r="AN232" s="13">
        <f t="shared" si="163"/>
        <v>0</v>
      </c>
      <c r="AO232" s="47">
        <f t="shared" si="163"/>
        <v>0</v>
      </c>
      <c r="AP232" s="47">
        <f t="shared" si="163"/>
        <v>1</v>
      </c>
      <c r="AQ232" s="47">
        <f t="shared" si="163"/>
        <v>1</v>
      </c>
      <c r="AR232" s="47">
        <f t="shared" si="163"/>
        <v>0</v>
      </c>
      <c r="AS232" s="113" t="s">
        <v>82</v>
      </c>
      <c r="AT232" s="47">
        <f t="shared" ref="AT232:AY232" si="164">SUM(AT226:AT231)</f>
        <v>2</v>
      </c>
      <c r="AU232" s="45">
        <f t="shared" si="164"/>
        <v>4</v>
      </c>
      <c r="AV232" s="40">
        <f t="shared" si="164"/>
        <v>1</v>
      </c>
      <c r="AW232" s="13">
        <f t="shared" si="164"/>
        <v>0</v>
      </c>
      <c r="AX232" s="47">
        <f t="shared" si="164"/>
        <v>0</v>
      </c>
      <c r="AY232" s="47">
        <f t="shared" si="164"/>
        <v>0</v>
      </c>
      <c r="AZ232" s="113" t="s">
        <v>82</v>
      </c>
      <c r="BA232" s="47">
        <f t="shared" ref="BA232:BG232" si="165">SUM(BA226:BA231)</f>
        <v>1</v>
      </c>
      <c r="BB232" s="47">
        <f t="shared" si="165"/>
        <v>1</v>
      </c>
      <c r="BC232" s="45">
        <f t="shared" si="165"/>
        <v>2</v>
      </c>
      <c r="BD232" s="40">
        <f t="shared" si="165"/>
        <v>1</v>
      </c>
      <c r="BE232" s="13">
        <f t="shared" si="165"/>
        <v>0</v>
      </c>
      <c r="BF232" s="38">
        <f t="shared" si="165"/>
        <v>8</v>
      </c>
      <c r="BG232" s="40">
        <f t="shared" si="165"/>
        <v>1</v>
      </c>
      <c r="BH232" s="32"/>
      <c r="BI232" s="40"/>
    </row>
    <row r="233" spans="1:61" ht="21.75" customHeight="1">
      <c r="A233" s="8" t="s">
        <v>64</v>
      </c>
      <c r="B233" s="32" t="s">
        <v>59</v>
      </c>
      <c r="C233" s="14">
        <v>0</v>
      </c>
      <c r="D233" s="32">
        <v>1</v>
      </c>
      <c r="E233" s="32">
        <v>0</v>
      </c>
      <c r="F233" s="32">
        <v>3</v>
      </c>
      <c r="G233" s="32" t="s">
        <v>59</v>
      </c>
      <c r="H233" s="32">
        <v>0</v>
      </c>
      <c r="I233" s="32">
        <v>0</v>
      </c>
      <c r="J233" s="32">
        <v>0</v>
      </c>
      <c r="K233" s="23">
        <f>SUM(B233:J233)</f>
        <v>4</v>
      </c>
      <c r="L233" s="35">
        <f>K233/(K232+K233+K234)</f>
        <v>6.25E-2</v>
      </c>
      <c r="M233" s="35">
        <f>K233/(K235)</f>
        <v>6.25E-2</v>
      </c>
      <c r="N233" s="12"/>
      <c r="O233" s="35"/>
      <c r="P233" s="13"/>
      <c r="Q233" s="52">
        <v>0</v>
      </c>
      <c r="R233" s="14">
        <v>0</v>
      </c>
      <c r="S233" s="14">
        <v>0</v>
      </c>
      <c r="T233" s="38">
        <f>SUM(Q233:S233)</f>
        <v>0</v>
      </c>
      <c r="U233" s="15">
        <f>T233/T235</f>
        <v>0</v>
      </c>
      <c r="V233" s="13"/>
      <c r="W233" s="52">
        <v>0</v>
      </c>
      <c r="X233" s="52">
        <v>0</v>
      </c>
      <c r="Y233" s="52">
        <v>0</v>
      </c>
      <c r="Z233" s="114" t="s">
        <v>82</v>
      </c>
      <c r="AA233" s="52">
        <v>0</v>
      </c>
      <c r="AB233" s="52">
        <v>0</v>
      </c>
      <c r="AC233" s="51">
        <f>SUM(W233:AB233)</f>
        <v>0</v>
      </c>
      <c r="AD233" s="15">
        <f>AC233/AC235</f>
        <v>0</v>
      </c>
      <c r="AE233" s="13"/>
      <c r="AF233" s="52">
        <v>1</v>
      </c>
      <c r="AG233" s="52">
        <v>0</v>
      </c>
      <c r="AH233" s="103" t="s">
        <v>82</v>
      </c>
      <c r="AI233" s="52">
        <v>0</v>
      </c>
      <c r="AJ233" s="52">
        <v>0</v>
      </c>
      <c r="AK233" s="52">
        <v>0</v>
      </c>
      <c r="AL233" s="49">
        <f>SUM(AF233:AK233)</f>
        <v>1</v>
      </c>
      <c r="AM233" s="15">
        <f>AL233/AL235</f>
        <v>4.1666666666666664E-2</v>
      </c>
      <c r="AN233" s="13"/>
      <c r="AO233" s="52">
        <v>0</v>
      </c>
      <c r="AP233" s="52">
        <v>0</v>
      </c>
      <c r="AQ233" s="52">
        <v>1</v>
      </c>
      <c r="AR233" s="52">
        <v>0</v>
      </c>
      <c r="AS233" s="103" t="s">
        <v>82</v>
      </c>
      <c r="AT233" s="52">
        <v>0</v>
      </c>
      <c r="AU233" s="51">
        <f>SUM(AO233:AT233)</f>
        <v>1</v>
      </c>
      <c r="AV233" s="15">
        <f>AU233/AU235</f>
        <v>0.2</v>
      </c>
      <c r="AW233" s="13"/>
      <c r="AX233" s="52">
        <v>0</v>
      </c>
      <c r="AY233" s="52">
        <v>2</v>
      </c>
      <c r="AZ233" s="103" t="s">
        <v>82</v>
      </c>
      <c r="BA233" s="52">
        <v>0</v>
      </c>
      <c r="BB233" s="52">
        <v>0</v>
      </c>
      <c r="BC233" s="51">
        <f>SUM(AX233:BB233)</f>
        <v>2</v>
      </c>
      <c r="BD233" s="15">
        <f>BC233/BC235</f>
        <v>0.5</v>
      </c>
      <c r="BE233" s="13"/>
      <c r="BF233" s="38"/>
      <c r="BG233" s="42"/>
      <c r="BH233" s="42"/>
      <c r="BI233" s="42"/>
    </row>
    <row r="234" spans="1:61" ht="21.75" customHeight="1">
      <c r="A234" s="8" t="s">
        <v>65</v>
      </c>
      <c r="B234" s="32" t="s">
        <v>59</v>
      </c>
      <c r="C234" s="45">
        <v>0</v>
      </c>
      <c r="D234" s="32">
        <v>0</v>
      </c>
      <c r="E234" s="32">
        <v>0</v>
      </c>
      <c r="F234" s="32">
        <v>0</v>
      </c>
      <c r="G234" s="32" t="s">
        <v>59</v>
      </c>
      <c r="H234" s="32">
        <v>0</v>
      </c>
      <c r="I234" s="32">
        <v>0</v>
      </c>
      <c r="J234" s="32">
        <v>0</v>
      </c>
      <c r="K234" s="23">
        <f>SUM(B234:J234)</f>
        <v>0</v>
      </c>
      <c r="L234" s="35">
        <f>K234/(K233+K234+K232)</f>
        <v>0</v>
      </c>
      <c r="M234" s="35">
        <f>K234/(K235)</f>
        <v>0</v>
      </c>
      <c r="N234" s="12"/>
      <c r="O234" s="35"/>
      <c r="P234" s="13"/>
      <c r="Q234" s="14">
        <v>0</v>
      </c>
      <c r="R234" s="14">
        <v>0</v>
      </c>
      <c r="S234" s="14">
        <v>0</v>
      </c>
      <c r="T234" s="38">
        <f>SUM(Q234:S234)</f>
        <v>0</v>
      </c>
      <c r="U234" s="15">
        <f>T234/T235</f>
        <v>0</v>
      </c>
      <c r="V234" s="13"/>
      <c r="W234" s="14">
        <v>0</v>
      </c>
      <c r="X234" s="14">
        <v>0</v>
      </c>
      <c r="Y234" s="14">
        <v>0</v>
      </c>
      <c r="Z234" s="33" t="s">
        <v>82</v>
      </c>
      <c r="AA234" s="14">
        <v>0</v>
      </c>
      <c r="AB234" s="45">
        <v>0</v>
      </c>
      <c r="AC234" s="38">
        <f>SUM(W234:AB234)</f>
        <v>0</v>
      </c>
      <c r="AD234" s="15">
        <f>AC234/AC235</f>
        <v>0</v>
      </c>
      <c r="AE234" s="13"/>
      <c r="AF234" s="14">
        <v>0</v>
      </c>
      <c r="AG234" s="14">
        <v>0</v>
      </c>
      <c r="AH234" s="9" t="s">
        <v>82</v>
      </c>
      <c r="AI234" s="14">
        <v>0</v>
      </c>
      <c r="AJ234" s="14">
        <v>0</v>
      </c>
      <c r="AK234" s="14">
        <v>0</v>
      </c>
      <c r="AL234" s="14">
        <f>SUM(AF234:AK234)</f>
        <v>0</v>
      </c>
      <c r="AM234" s="15">
        <f>AL234/AL235</f>
        <v>0</v>
      </c>
      <c r="AN234" s="13"/>
      <c r="AO234" s="14">
        <v>0</v>
      </c>
      <c r="AP234" s="14">
        <v>0</v>
      </c>
      <c r="AQ234" s="14">
        <v>0</v>
      </c>
      <c r="AR234" s="14">
        <v>0</v>
      </c>
      <c r="AS234" s="9" t="s">
        <v>82</v>
      </c>
      <c r="AT234" s="14">
        <v>0</v>
      </c>
      <c r="AU234" s="38">
        <f>SUM(AO234:AT234)</f>
        <v>0</v>
      </c>
      <c r="AV234" s="15">
        <f>AU234/AU235</f>
        <v>0</v>
      </c>
      <c r="AW234" s="13"/>
      <c r="AX234" s="14">
        <v>0</v>
      </c>
      <c r="AY234" s="14">
        <v>0</v>
      </c>
      <c r="AZ234" s="9" t="s">
        <v>82</v>
      </c>
      <c r="BA234" s="14">
        <v>0</v>
      </c>
      <c r="BB234" s="14">
        <v>0</v>
      </c>
      <c r="BC234" s="38">
        <f>SUM(AX234:BB234)</f>
        <v>0</v>
      </c>
      <c r="BD234" s="15">
        <f>BC234/BC235</f>
        <v>0</v>
      </c>
      <c r="BE234" s="13"/>
      <c r="BF234" s="38"/>
      <c r="BG234" s="42"/>
      <c r="BH234" s="42"/>
      <c r="BI234" s="42"/>
    </row>
    <row r="235" spans="1:61" ht="21.5" customHeight="1">
      <c r="A235" s="39" t="s">
        <v>66</v>
      </c>
      <c r="B235" s="32" t="s">
        <v>59</v>
      </c>
      <c r="C235" s="51">
        <f>SUM(C232:C234)</f>
        <v>4</v>
      </c>
      <c r="D235" s="32">
        <f>SUM(D232:D234)</f>
        <v>12</v>
      </c>
      <c r="E235" s="32">
        <f>SUM(E232:E234)</f>
        <v>11</v>
      </c>
      <c r="F235" s="32">
        <f>SUM(F232:F234)</f>
        <v>11</v>
      </c>
      <c r="G235" s="32" t="s">
        <v>59</v>
      </c>
      <c r="H235" s="32">
        <f>SUM(H232:H234)</f>
        <v>5</v>
      </c>
      <c r="I235" s="32">
        <f>SUM(I232:I234)</f>
        <v>10</v>
      </c>
      <c r="J235" s="32">
        <f>SUM(J232:J234)</f>
        <v>11</v>
      </c>
      <c r="K235" s="23">
        <f>SUM(B235:J235)</f>
        <v>64</v>
      </c>
      <c r="L235" s="35">
        <f>K235/(K234+K233+K232)</f>
        <v>1</v>
      </c>
      <c r="M235" s="35">
        <f>K235/(K232+K233+K234)</f>
        <v>1</v>
      </c>
      <c r="N235" s="37">
        <f>T235+AC235+AL235+AU235+S236</f>
        <v>60</v>
      </c>
      <c r="O235" s="35"/>
      <c r="P235" s="13"/>
      <c r="Q235" s="38">
        <f>SUM(Q232:Q234)</f>
        <v>6</v>
      </c>
      <c r="R235" s="38">
        <f>SUM(R232:R234)</f>
        <v>5</v>
      </c>
      <c r="S235" s="38">
        <f>SUM(S232:S234)</f>
        <v>1</v>
      </c>
      <c r="T235" s="38">
        <f>SUM(Q235:S235)</f>
        <v>12</v>
      </c>
      <c r="U235" s="40">
        <f>T235/(T232+T233+T234)</f>
        <v>1</v>
      </c>
      <c r="V235" s="13"/>
      <c r="W235" s="38">
        <f>SUM(W232:W234)</f>
        <v>4</v>
      </c>
      <c r="X235" s="38">
        <f>SUM(X232:X234)</f>
        <v>4</v>
      </c>
      <c r="Y235" s="38">
        <f>SUM(Y232:Y234)</f>
        <v>5</v>
      </c>
      <c r="Z235" s="33" t="s">
        <v>82</v>
      </c>
      <c r="AA235" s="38">
        <f>SUM(AA232:AA234)</f>
        <v>5</v>
      </c>
      <c r="AB235" s="51">
        <f>SUM(AB232:AB234)</f>
        <v>1</v>
      </c>
      <c r="AC235" s="38">
        <f>SUM(W235:AB235)</f>
        <v>19</v>
      </c>
      <c r="AD235" s="40">
        <f>AC235/(AC232+AC233+AC234)</f>
        <v>1</v>
      </c>
      <c r="AE235" s="13"/>
      <c r="AF235" s="38">
        <f>SUM(AF232:AF234)</f>
        <v>4</v>
      </c>
      <c r="AG235" s="38">
        <f>SUM(AG232:AG234)</f>
        <v>5</v>
      </c>
      <c r="AH235" s="9" t="s">
        <v>82</v>
      </c>
      <c r="AI235" s="38">
        <f>SUM(AI232:AI234)</f>
        <v>5</v>
      </c>
      <c r="AJ235" s="38">
        <f>SUM(AJ232:AJ234)</f>
        <v>1</v>
      </c>
      <c r="AK235" s="38">
        <f>SUM(AK232:AK234)</f>
        <v>9</v>
      </c>
      <c r="AL235" s="38">
        <f>SUM(AF235:AK235)</f>
        <v>24</v>
      </c>
      <c r="AM235" s="41">
        <f>AL235/(AL232+AL233+AL234)</f>
        <v>1</v>
      </c>
      <c r="AN235" s="13"/>
      <c r="AO235" s="38">
        <f>SUM(AO232:AO234)</f>
        <v>0</v>
      </c>
      <c r="AP235" s="38">
        <f>SUM(AP232:AP234)</f>
        <v>1</v>
      </c>
      <c r="AQ235" s="38">
        <f>SUM(AQ232:AQ234)</f>
        <v>2</v>
      </c>
      <c r="AR235" s="38">
        <f>SUM(AR232:AR234)</f>
        <v>0</v>
      </c>
      <c r="AS235" s="9" t="s">
        <v>82</v>
      </c>
      <c r="AT235" s="38">
        <f>SUM(AT232:AT234)</f>
        <v>2</v>
      </c>
      <c r="AU235" s="38">
        <f>SUM(AO235:AT235)</f>
        <v>5</v>
      </c>
      <c r="AV235" s="40">
        <f>AU235/(AU232+AU233+AU234)</f>
        <v>1</v>
      </c>
      <c r="AW235" s="13"/>
      <c r="AX235" s="38">
        <f>SUM(AX232:AX234)</f>
        <v>0</v>
      </c>
      <c r="AY235" s="38">
        <f>SUM(AY232:AY234)</f>
        <v>2</v>
      </c>
      <c r="AZ235" s="9" t="s">
        <v>82</v>
      </c>
      <c r="BA235" s="38">
        <f>SUM(BA232:BA234)</f>
        <v>1</v>
      </c>
      <c r="BB235" s="38">
        <f>SUM(BB232:BB234)</f>
        <v>1</v>
      </c>
      <c r="BC235" s="38">
        <f>SUM(AX235:BB235)</f>
        <v>4</v>
      </c>
      <c r="BD235" s="40">
        <f>BC235/(BC232+BC233+BC234)</f>
        <v>1</v>
      </c>
      <c r="BE235" s="13"/>
      <c r="BF235" s="38"/>
      <c r="BG235" s="42"/>
      <c r="BH235" s="42"/>
      <c r="BI235" s="42"/>
    </row>
    <row r="236" spans="1:61" ht="68.25" customHeight="1">
      <c r="A236" s="102" t="s">
        <v>141</v>
      </c>
      <c r="B236" s="181" t="s">
        <v>140</v>
      </c>
      <c r="C236" s="182"/>
      <c r="D236" s="182"/>
      <c r="E236" s="182"/>
      <c r="F236" s="182"/>
      <c r="G236" s="22"/>
      <c r="H236" s="22"/>
      <c r="I236" s="22"/>
      <c r="J236" s="22"/>
      <c r="K236" s="21"/>
      <c r="L236" s="24"/>
      <c r="M236" s="24"/>
      <c r="N236" s="26"/>
      <c r="O236" s="24"/>
      <c r="P236" s="27"/>
      <c r="Q236" s="28"/>
      <c r="R236" s="28"/>
      <c r="S236" s="28"/>
      <c r="T236" s="26"/>
      <c r="U236" s="24"/>
      <c r="V236" s="27"/>
      <c r="W236" s="28"/>
      <c r="X236" s="28"/>
      <c r="Y236" s="28"/>
      <c r="Z236" s="28"/>
      <c r="AA236" s="28"/>
      <c r="AB236" s="28"/>
      <c r="AC236" s="26"/>
      <c r="AD236" s="24"/>
      <c r="AE236" s="27"/>
      <c r="AF236" s="28"/>
      <c r="AG236" s="28"/>
      <c r="AH236" s="28"/>
      <c r="AI236" s="28"/>
      <c r="AJ236" s="28"/>
      <c r="AK236" s="28"/>
      <c r="AL236" s="26"/>
      <c r="AM236" s="29"/>
      <c r="AN236" s="27"/>
      <c r="AO236" s="26"/>
      <c r="AP236" s="26"/>
      <c r="AQ236" s="26"/>
      <c r="AR236" s="26"/>
      <c r="AS236" s="26"/>
      <c r="AT236" s="26"/>
      <c r="AU236" s="26"/>
      <c r="AV236" s="24"/>
      <c r="AW236" s="27"/>
      <c r="AX236" s="26"/>
      <c r="AY236" s="26"/>
      <c r="AZ236" s="26"/>
      <c r="BA236" s="26"/>
      <c r="BB236" s="26"/>
      <c r="BC236" s="26"/>
      <c r="BD236" s="24"/>
      <c r="BE236" s="27"/>
      <c r="BF236" s="26"/>
      <c r="BG236" s="22"/>
      <c r="BH236" s="21"/>
      <c r="BI236" s="22"/>
    </row>
    <row r="237" spans="1:61" ht="32.25" customHeight="1">
      <c r="A237" s="10"/>
      <c r="B237" s="30" t="s">
        <v>0</v>
      </c>
      <c r="C237" s="30" t="s">
        <v>1</v>
      </c>
      <c r="D237" s="30" t="s">
        <v>2</v>
      </c>
      <c r="E237" s="30" t="s">
        <v>3</v>
      </c>
      <c r="F237" s="30" t="s">
        <v>4</v>
      </c>
      <c r="G237" s="30" t="s">
        <v>5</v>
      </c>
      <c r="H237" s="30" t="s">
        <v>68</v>
      </c>
      <c r="I237" s="30" t="s">
        <v>7</v>
      </c>
      <c r="J237" s="30" t="s">
        <v>8</v>
      </c>
      <c r="K237" s="10" t="s">
        <v>9</v>
      </c>
      <c r="L237" s="10" t="s">
        <v>56</v>
      </c>
      <c r="M237" s="20"/>
      <c r="N237" s="12"/>
      <c r="O237" s="20"/>
      <c r="P237" s="27"/>
      <c r="Q237" s="30" t="s">
        <v>15</v>
      </c>
      <c r="R237" s="30" t="s">
        <v>16</v>
      </c>
      <c r="S237" s="30" t="s">
        <v>28</v>
      </c>
      <c r="T237" s="20"/>
      <c r="U237" s="11"/>
      <c r="V237" s="27"/>
      <c r="W237" s="30" t="s">
        <v>15</v>
      </c>
      <c r="X237" s="30" t="s">
        <v>20</v>
      </c>
      <c r="Y237" s="30" t="s">
        <v>21</v>
      </c>
      <c r="Z237" s="30" t="s">
        <v>22</v>
      </c>
      <c r="AA237" s="30" t="s">
        <v>23</v>
      </c>
      <c r="AB237" s="30" t="s">
        <v>24</v>
      </c>
      <c r="AC237" s="20"/>
      <c r="AD237" s="11"/>
      <c r="AE237" s="27"/>
      <c r="AF237" s="30" t="s">
        <v>20</v>
      </c>
      <c r="AG237" s="30" t="s">
        <v>21</v>
      </c>
      <c r="AH237" s="30" t="s">
        <v>22</v>
      </c>
      <c r="AI237" s="30" t="s">
        <v>23</v>
      </c>
      <c r="AJ237" s="30" t="s">
        <v>24</v>
      </c>
      <c r="AK237" s="30" t="s">
        <v>28</v>
      </c>
      <c r="AL237" s="20"/>
      <c r="AM237" s="44"/>
      <c r="AN237" s="27"/>
      <c r="AO237" s="30" t="s">
        <v>15</v>
      </c>
      <c r="AP237" s="30" t="s">
        <v>20</v>
      </c>
      <c r="AQ237" s="30" t="s">
        <v>21</v>
      </c>
      <c r="AR237" s="30" t="s">
        <v>16</v>
      </c>
      <c r="AS237" s="30" t="s">
        <v>22</v>
      </c>
      <c r="AT237" s="30" t="s">
        <v>24</v>
      </c>
      <c r="AU237" s="20"/>
      <c r="AV237" s="11"/>
      <c r="AW237" s="27"/>
      <c r="AX237" s="30" t="s">
        <v>15</v>
      </c>
      <c r="AY237" s="30" t="s">
        <v>20</v>
      </c>
      <c r="AZ237" s="30" t="s">
        <v>22</v>
      </c>
      <c r="BA237" s="30" t="s">
        <v>23</v>
      </c>
      <c r="BB237" s="30" t="s">
        <v>28</v>
      </c>
      <c r="BC237" s="20"/>
      <c r="BD237" s="11"/>
      <c r="BE237" s="27"/>
      <c r="BF237" s="10" t="s">
        <v>38</v>
      </c>
      <c r="BG237" s="10" t="s">
        <v>39</v>
      </c>
      <c r="BH237" s="9" t="s">
        <v>40</v>
      </c>
      <c r="BI237" s="9" t="s">
        <v>41</v>
      </c>
    </row>
    <row r="238" spans="1:61" ht="20.25" customHeight="1">
      <c r="A238" s="10" t="s">
        <v>97</v>
      </c>
      <c r="B238" s="32" t="s">
        <v>59</v>
      </c>
      <c r="C238" s="32">
        <v>0</v>
      </c>
      <c r="D238" s="32">
        <v>0</v>
      </c>
      <c r="E238" s="32">
        <v>1</v>
      </c>
      <c r="F238" s="32">
        <v>0</v>
      </c>
      <c r="G238" s="32" t="s">
        <v>59</v>
      </c>
      <c r="H238" s="32">
        <v>0</v>
      </c>
      <c r="I238" s="32">
        <v>0</v>
      </c>
      <c r="J238" s="33">
        <v>1</v>
      </c>
      <c r="K238" s="23">
        <f t="shared" ref="K238:K243" si="166">SUM(B238:J238)</f>
        <v>2</v>
      </c>
      <c r="L238" s="35">
        <f>K238/K244</f>
        <v>2.5316455696202531E-2</v>
      </c>
      <c r="M238" s="35">
        <f>K238/K247</f>
        <v>2.4096385542168676E-2</v>
      </c>
      <c r="N238" s="37"/>
      <c r="O238" s="35"/>
      <c r="P238" s="13"/>
      <c r="Q238" s="33">
        <v>0</v>
      </c>
      <c r="R238" s="33">
        <v>0</v>
      </c>
      <c r="S238" s="33">
        <v>0</v>
      </c>
      <c r="T238" s="14">
        <f t="shared" ref="T238:T243" si="167">SUM(Q238:S238)</f>
        <v>0</v>
      </c>
      <c r="U238" s="40">
        <f>T238/T244</f>
        <v>0</v>
      </c>
      <c r="V238" s="13"/>
      <c r="W238" s="33">
        <v>0</v>
      </c>
      <c r="X238" s="33">
        <v>0</v>
      </c>
      <c r="Y238" s="33">
        <v>0</v>
      </c>
      <c r="Z238" s="33" t="s">
        <v>82</v>
      </c>
      <c r="AA238" s="33">
        <v>0</v>
      </c>
      <c r="AB238" s="33">
        <v>0</v>
      </c>
      <c r="AC238" s="14">
        <f t="shared" ref="AC238:AC243" si="168">SUM(W238:AB238)</f>
        <v>0</v>
      </c>
      <c r="AD238" s="40">
        <f>AC238/AC244</f>
        <v>0</v>
      </c>
      <c r="AE238" s="13"/>
      <c r="AF238" s="33">
        <v>0</v>
      </c>
      <c r="AG238" s="33">
        <v>0</v>
      </c>
      <c r="AH238" s="9" t="s">
        <v>82</v>
      </c>
      <c r="AI238" s="33">
        <v>1</v>
      </c>
      <c r="AJ238" s="33">
        <v>0</v>
      </c>
      <c r="AK238" s="33">
        <v>0</v>
      </c>
      <c r="AL238" s="14">
        <f t="shared" ref="AL238:AL243" si="169">SUM(AF238:AK238)</f>
        <v>1</v>
      </c>
      <c r="AM238" s="40">
        <f>AL238/AL244</f>
        <v>3.8461538461538464E-2</v>
      </c>
      <c r="AN238" s="13"/>
      <c r="AO238" s="33" t="s">
        <v>82</v>
      </c>
      <c r="AP238" s="33">
        <v>0</v>
      </c>
      <c r="AQ238" s="33">
        <v>0</v>
      </c>
      <c r="AR238" s="33" t="s">
        <v>82</v>
      </c>
      <c r="AS238" s="9" t="s">
        <v>82</v>
      </c>
      <c r="AT238" s="33">
        <v>0</v>
      </c>
      <c r="AU238" s="14">
        <f t="shared" ref="AU238:AU243" si="170">SUM(AO238:AT238)</f>
        <v>0</v>
      </c>
      <c r="AV238" s="40">
        <f>AU238/AU244</f>
        <v>0</v>
      </c>
      <c r="AW238" s="13"/>
      <c r="AX238" s="33" t="s">
        <v>82</v>
      </c>
      <c r="AY238" s="33">
        <v>0</v>
      </c>
      <c r="AZ238" s="9" t="s">
        <v>82</v>
      </c>
      <c r="BA238" s="33">
        <v>0</v>
      </c>
      <c r="BB238" s="33">
        <v>1</v>
      </c>
      <c r="BC238" s="14">
        <f t="shared" ref="BC238:BC243" si="171">SUM(AX238:BB238)</f>
        <v>1</v>
      </c>
      <c r="BD238" s="40">
        <f>BC238/BC244</f>
        <v>0.5</v>
      </c>
      <c r="BE238" s="13"/>
      <c r="BF238" s="14">
        <v>0</v>
      </c>
      <c r="BG238" s="15">
        <f>BF238/BF244</f>
        <v>0</v>
      </c>
      <c r="BH238" s="16"/>
      <c r="BI238" s="15"/>
    </row>
    <row r="239" spans="1:61" ht="20.25" customHeight="1">
      <c r="A239" s="10" t="s">
        <v>98</v>
      </c>
      <c r="B239" s="32">
        <v>1</v>
      </c>
      <c r="C239" s="32">
        <v>0</v>
      </c>
      <c r="D239" s="32">
        <v>0</v>
      </c>
      <c r="E239" s="32">
        <v>0</v>
      </c>
      <c r="F239" s="32">
        <v>0</v>
      </c>
      <c r="G239" s="32">
        <v>1</v>
      </c>
      <c r="H239" s="32">
        <v>0</v>
      </c>
      <c r="I239" s="32">
        <v>0</v>
      </c>
      <c r="J239" s="33">
        <v>0</v>
      </c>
      <c r="K239" s="23">
        <f t="shared" si="166"/>
        <v>2</v>
      </c>
      <c r="L239" s="35">
        <f>K239/K244</f>
        <v>2.5316455696202531E-2</v>
      </c>
      <c r="M239" s="35">
        <f>K239/K247</f>
        <v>2.4096385542168676E-2</v>
      </c>
      <c r="N239" s="37"/>
      <c r="O239" s="35"/>
      <c r="P239" s="13"/>
      <c r="Q239" s="33">
        <v>0</v>
      </c>
      <c r="R239" s="33">
        <v>0</v>
      </c>
      <c r="S239" s="33">
        <v>0</v>
      </c>
      <c r="T239" s="14">
        <f t="shared" si="167"/>
        <v>0</v>
      </c>
      <c r="U239" s="40">
        <f>T239/T244</f>
        <v>0</v>
      </c>
      <c r="V239" s="13"/>
      <c r="W239" s="33">
        <v>0</v>
      </c>
      <c r="X239" s="33">
        <v>0</v>
      </c>
      <c r="Y239" s="33">
        <v>0</v>
      </c>
      <c r="Z239" s="33">
        <v>0</v>
      </c>
      <c r="AA239" s="33">
        <v>0</v>
      </c>
      <c r="AB239" s="33">
        <v>0</v>
      </c>
      <c r="AC239" s="14">
        <f t="shared" si="168"/>
        <v>0</v>
      </c>
      <c r="AD239" s="40">
        <f>AC239/AC244</f>
        <v>0</v>
      </c>
      <c r="AE239" s="13"/>
      <c r="AF239" s="33">
        <v>0</v>
      </c>
      <c r="AG239" s="33">
        <v>0</v>
      </c>
      <c r="AH239" s="14">
        <v>1</v>
      </c>
      <c r="AI239" s="33">
        <v>0</v>
      </c>
      <c r="AJ239" s="33">
        <v>0</v>
      </c>
      <c r="AK239" s="33">
        <v>0</v>
      </c>
      <c r="AL239" s="14">
        <f t="shared" si="169"/>
        <v>1</v>
      </c>
      <c r="AM239" s="40">
        <f>AL239/AL244</f>
        <v>3.8461538461538464E-2</v>
      </c>
      <c r="AN239" s="13"/>
      <c r="AO239" s="33" t="s">
        <v>82</v>
      </c>
      <c r="AP239" s="33">
        <v>0</v>
      </c>
      <c r="AQ239" s="33">
        <v>0</v>
      </c>
      <c r="AR239" s="33" t="s">
        <v>82</v>
      </c>
      <c r="AS239" s="14">
        <v>0</v>
      </c>
      <c r="AT239" s="33">
        <v>0</v>
      </c>
      <c r="AU239" s="14">
        <f t="shared" si="170"/>
        <v>0</v>
      </c>
      <c r="AV239" s="40">
        <f>AU239/AU244</f>
        <v>0</v>
      </c>
      <c r="AW239" s="13"/>
      <c r="AX239" s="33" t="s">
        <v>82</v>
      </c>
      <c r="AY239" s="33">
        <v>0</v>
      </c>
      <c r="AZ239" s="14">
        <v>0</v>
      </c>
      <c r="BA239" s="33">
        <v>0</v>
      </c>
      <c r="BB239" s="33">
        <v>0</v>
      </c>
      <c r="BC239" s="14">
        <f t="shared" si="171"/>
        <v>0</v>
      </c>
      <c r="BD239" s="40">
        <f>BC239/BC244</f>
        <v>0</v>
      </c>
      <c r="BE239" s="13"/>
      <c r="BF239" s="14">
        <v>1</v>
      </c>
      <c r="BG239" s="15">
        <f>BF239/BF244</f>
        <v>0.125</v>
      </c>
      <c r="BH239" s="16"/>
      <c r="BI239" s="15"/>
    </row>
    <row r="240" spans="1:61" ht="20.25" customHeight="1">
      <c r="A240" s="10" t="s">
        <v>99</v>
      </c>
      <c r="B240" s="32" t="s">
        <v>59</v>
      </c>
      <c r="C240" s="32">
        <v>0</v>
      </c>
      <c r="D240" s="32">
        <v>0</v>
      </c>
      <c r="E240" s="32">
        <v>1</v>
      </c>
      <c r="F240" s="32">
        <v>0</v>
      </c>
      <c r="G240" s="32" t="s">
        <v>59</v>
      </c>
      <c r="H240" s="32">
        <v>1</v>
      </c>
      <c r="I240" s="32">
        <v>1</v>
      </c>
      <c r="J240" s="33">
        <v>0</v>
      </c>
      <c r="K240" s="23">
        <f t="shared" si="166"/>
        <v>3</v>
      </c>
      <c r="L240" s="35">
        <f>K240/K244</f>
        <v>3.7974683544303799E-2</v>
      </c>
      <c r="M240" s="35">
        <f>K240/K247</f>
        <v>3.614457831325301E-2</v>
      </c>
      <c r="N240" s="37"/>
      <c r="O240" s="35"/>
      <c r="P240" s="13"/>
      <c r="Q240" s="33">
        <v>0</v>
      </c>
      <c r="R240" s="33">
        <v>1</v>
      </c>
      <c r="S240" s="33">
        <v>0</v>
      </c>
      <c r="T240" s="14">
        <f t="shared" si="167"/>
        <v>1</v>
      </c>
      <c r="U240" s="40">
        <f>T240/T244</f>
        <v>8.3333333333333329E-2</v>
      </c>
      <c r="V240" s="13"/>
      <c r="W240" s="33">
        <v>1</v>
      </c>
      <c r="X240" s="33">
        <v>0</v>
      </c>
      <c r="Y240" s="33">
        <v>0</v>
      </c>
      <c r="Z240" s="33" t="s">
        <v>82</v>
      </c>
      <c r="AA240" s="33">
        <v>1</v>
      </c>
      <c r="AB240" s="33">
        <v>0</v>
      </c>
      <c r="AC240" s="14">
        <f t="shared" si="168"/>
        <v>2</v>
      </c>
      <c r="AD240" s="40">
        <f>AC240/AC244</f>
        <v>9.5238095238095233E-2</v>
      </c>
      <c r="AE240" s="13"/>
      <c r="AF240" s="33">
        <v>0</v>
      </c>
      <c r="AG240" s="33">
        <v>0</v>
      </c>
      <c r="AH240" s="9" t="s">
        <v>82</v>
      </c>
      <c r="AI240" s="33">
        <v>0</v>
      </c>
      <c r="AJ240" s="33">
        <v>0</v>
      </c>
      <c r="AK240" s="33">
        <v>0</v>
      </c>
      <c r="AL240" s="14">
        <f t="shared" si="169"/>
        <v>0</v>
      </c>
      <c r="AM240" s="40">
        <f>AL240/AL244</f>
        <v>0</v>
      </c>
      <c r="AN240" s="13"/>
      <c r="AO240" s="33" t="s">
        <v>82</v>
      </c>
      <c r="AP240" s="33">
        <v>0</v>
      </c>
      <c r="AQ240" s="33">
        <v>0</v>
      </c>
      <c r="AR240" s="33" t="s">
        <v>82</v>
      </c>
      <c r="AS240" s="9" t="s">
        <v>82</v>
      </c>
      <c r="AT240" s="33">
        <v>0</v>
      </c>
      <c r="AU240" s="14">
        <f t="shared" si="170"/>
        <v>0</v>
      </c>
      <c r="AV240" s="40">
        <f>AU240/AU244</f>
        <v>0</v>
      </c>
      <c r="AW240" s="13"/>
      <c r="AX240" s="33" t="s">
        <v>82</v>
      </c>
      <c r="AY240" s="33">
        <v>0</v>
      </c>
      <c r="AZ240" s="9" t="s">
        <v>82</v>
      </c>
      <c r="BA240" s="33">
        <v>0</v>
      </c>
      <c r="BB240" s="33">
        <v>0</v>
      </c>
      <c r="BC240" s="14">
        <f t="shared" si="171"/>
        <v>0</v>
      </c>
      <c r="BD240" s="40">
        <f>BC240/BC244</f>
        <v>0</v>
      </c>
      <c r="BE240" s="13"/>
      <c r="BF240" s="14">
        <v>0</v>
      </c>
      <c r="BG240" s="15">
        <f>BF240/BF244</f>
        <v>0</v>
      </c>
      <c r="BH240" s="16"/>
      <c r="BI240" s="15"/>
    </row>
    <row r="241" spans="1:61" ht="20.25" customHeight="1">
      <c r="A241" s="10" t="s">
        <v>100</v>
      </c>
      <c r="B241" s="32">
        <v>3</v>
      </c>
      <c r="C241" s="32">
        <v>1</v>
      </c>
      <c r="D241" s="32">
        <v>3</v>
      </c>
      <c r="E241" s="32">
        <v>5</v>
      </c>
      <c r="F241" s="32">
        <v>2</v>
      </c>
      <c r="G241" s="32">
        <v>3</v>
      </c>
      <c r="H241" s="32">
        <v>0</v>
      </c>
      <c r="I241" s="32">
        <v>2</v>
      </c>
      <c r="J241" s="33">
        <v>4</v>
      </c>
      <c r="K241" s="23">
        <f t="shared" si="166"/>
        <v>23</v>
      </c>
      <c r="L241" s="35">
        <f>K241/K244</f>
        <v>0.29113924050632911</v>
      </c>
      <c r="M241" s="35">
        <f>K241/K247</f>
        <v>0.27710843373493976</v>
      </c>
      <c r="N241" s="37"/>
      <c r="O241" s="35"/>
      <c r="P241" s="13"/>
      <c r="Q241" s="33">
        <v>2</v>
      </c>
      <c r="R241" s="33">
        <v>0</v>
      </c>
      <c r="S241" s="33">
        <v>0</v>
      </c>
      <c r="T241" s="14">
        <f t="shared" si="167"/>
        <v>2</v>
      </c>
      <c r="U241" s="40">
        <f>T241/T244</f>
        <v>0.16666666666666666</v>
      </c>
      <c r="V241" s="13"/>
      <c r="W241" s="33">
        <v>0</v>
      </c>
      <c r="X241" s="33">
        <v>1</v>
      </c>
      <c r="Y241" s="33">
        <v>1</v>
      </c>
      <c r="Z241" s="33">
        <v>0</v>
      </c>
      <c r="AA241" s="33">
        <v>2</v>
      </c>
      <c r="AB241" s="33">
        <v>1</v>
      </c>
      <c r="AC241" s="14">
        <f t="shared" si="168"/>
        <v>5</v>
      </c>
      <c r="AD241" s="40">
        <f>AC241/AC244</f>
        <v>0.23809523809523808</v>
      </c>
      <c r="AE241" s="13"/>
      <c r="AF241" s="33">
        <v>1</v>
      </c>
      <c r="AG241" s="33">
        <v>1</v>
      </c>
      <c r="AH241" s="14">
        <v>2</v>
      </c>
      <c r="AI241" s="33">
        <v>3</v>
      </c>
      <c r="AJ241" s="33">
        <v>0</v>
      </c>
      <c r="AK241" s="33">
        <v>4</v>
      </c>
      <c r="AL241" s="14">
        <f t="shared" si="169"/>
        <v>11</v>
      </c>
      <c r="AM241" s="40">
        <f>AL241/AL244</f>
        <v>0.42307692307692307</v>
      </c>
      <c r="AN241" s="13"/>
      <c r="AO241" s="33" t="s">
        <v>82</v>
      </c>
      <c r="AP241" s="33">
        <v>0</v>
      </c>
      <c r="AQ241" s="33">
        <v>1</v>
      </c>
      <c r="AR241" s="33" t="s">
        <v>82</v>
      </c>
      <c r="AS241" s="14">
        <v>1</v>
      </c>
      <c r="AT241" s="33">
        <v>0</v>
      </c>
      <c r="AU241" s="14">
        <f t="shared" si="170"/>
        <v>2</v>
      </c>
      <c r="AV241" s="40">
        <f>AU241/AU244</f>
        <v>0.2857142857142857</v>
      </c>
      <c r="AW241" s="13"/>
      <c r="AX241" s="33" t="s">
        <v>82</v>
      </c>
      <c r="AY241" s="33">
        <v>0</v>
      </c>
      <c r="AZ241" s="14">
        <v>0</v>
      </c>
      <c r="BA241" s="33">
        <v>0</v>
      </c>
      <c r="BB241" s="33">
        <v>0</v>
      </c>
      <c r="BC241" s="14">
        <f t="shared" si="171"/>
        <v>0</v>
      </c>
      <c r="BD241" s="40">
        <f>BC241/BC244</f>
        <v>0</v>
      </c>
      <c r="BE241" s="13"/>
      <c r="BF241" s="14">
        <v>2</v>
      </c>
      <c r="BG241" s="15">
        <f>BF241/BF244</f>
        <v>0.25</v>
      </c>
      <c r="BH241" s="16"/>
      <c r="BI241" s="15"/>
    </row>
    <row r="242" spans="1:61" ht="32.25" customHeight="1">
      <c r="A242" s="10" t="s">
        <v>101</v>
      </c>
      <c r="B242" s="32">
        <v>7</v>
      </c>
      <c r="C242" s="32">
        <v>3</v>
      </c>
      <c r="D242" s="32">
        <v>5</v>
      </c>
      <c r="E242" s="32">
        <v>3</v>
      </c>
      <c r="F242" s="32">
        <v>3</v>
      </c>
      <c r="G242" s="32">
        <v>4</v>
      </c>
      <c r="H242" s="32">
        <v>2</v>
      </c>
      <c r="I242" s="32">
        <v>5</v>
      </c>
      <c r="J242" s="33">
        <v>4</v>
      </c>
      <c r="K242" s="23">
        <f t="shared" si="166"/>
        <v>36</v>
      </c>
      <c r="L242" s="35">
        <f>K242/K244</f>
        <v>0.45569620253164556</v>
      </c>
      <c r="M242" s="35">
        <f>K242/K247</f>
        <v>0.43373493975903615</v>
      </c>
      <c r="N242" s="37"/>
      <c r="O242" s="35"/>
      <c r="P242" s="13"/>
      <c r="Q242" s="33">
        <v>3</v>
      </c>
      <c r="R242" s="33">
        <v>2</v>
      </c>
      <c r="S242" s="33">
        <v>0</v>
      </c>
      <c r="T242" s="14">
        <f t="shared" si="167"/>
        <v>5</v>
      </c>
      <c r="U242" s="40">
        <f>T242/T244</f>
        <v>0.41666666666666669</v>
      </c>
      <c r="V242" s="13"/>
      <c r="W242" s="33">
        <v>2</v>
      </c>
      <c r="X242" s="33">
        <v>2</v>
      </c>
      <c r="Y242" s="33">
        <v>3</v>
      </c>
      <c r="Z242" s="33">
        <v>2</v>
      </c>
      <c r="AA242" s="33">
        <v>1</v>
      </c>
      <c r="AB242" s="33">
        <v>0</v>
      </c>
      <c r="AC242" s="14">
        <f t="shared" si="168"/>
        <v>10</v>
      </c>
      <c r="AD242" s="40">
        <f>AC242/AC244</f>
        <v>0.47619047619047616</v>
      </c>
      <c r="AE242" s="13"/>
      <c r="AF242" s="33">
        <v>1</v>
      </c>
      <c r="AG242" s="33">
        <v>2</v>
      </c>
      <c r="AH242" s="14">
        <v>0</v>
      </c>
      <c r="AI242" s="33">
        <v>1</v>
      </c>
      <c r="AJ242" s="33">
        <v>1</v>
      </c>
      <c r="AK242" s="33">
        <v>4</v>
      </c>
      <c r="AL242" s="14">
        <f t="shared" si="169"/>
        <v>9</v>
      </c>
      <c r="AM242" s="40">
        <f>AL242/AL244</f>
        <v>0.34615384615384615</v>
      </c>
      <c r="AN242" s="13"/>
      <c r="AO242" s="33" t="s">
        <v>82</v>
      </c>
      <c r="AP242" s="33">
        <v>0</v>
      </c>
      <c r="AQ242" s="33">
        <v>0</v>
      </c>
      <c r="AR242" s="33" t="s">
        <v>82</v>
      </c>
      <c r="AS242" s="14">
        <v>2</v>
      </c>
      <c r="AT242" s="33">
        <v>2</v>
      </c>
      <c r="AU242" s="14">
        <f t="shared" si="170"/>
        <v>4</v>
      </c>
      <c r="AV242" s="40">
        <f>AU242/AU244</f>
        <v>0.5714285714285714</v>
      </c>
      <c r="AW242" s="13"/>
      <c r="AX242" s="33" t="s">
        <v>82</v>
      </c>
      <c r="AY242" s="33">
        <v>0</v>
      </c>
      <c r="AZ242" s="14">
        <v>0</v>
      </c>
      <c r="BA242" s="33">
        <v>1</v>
      </c>
      <c r="BB242" s="33">
        <v>0</v>
      </c>
      <c r="BC242" s="14">
        <f t="shared" si="171"/>
        <v>1</v>
      </c>
      <c r="BD242" s="40">
        <f>BC242/BC244</f>
        <v>0.5</v>
      </c>
      <c r="BE242" s="13"/>
      <c r="BF242" s="14">
        <v>5</v>
      </c>
      <c r="BG242" s="15">
        <f>BF242/BF244</f>
        <v>0.625</v>
      </c>
      <c r="BH242" s="16"/>
      <c r="BI242" s="15"/>
    </row>
    <row r="243" spans="1:61" ht="20.25" customHeight="1">
      <c r="A243" s="10" t="s">
        <v>102</v>
      </c>
      <c r="B243" s="32" t="s">
        <v>59</v>
      </c>
      <c r="C243" s="32">
        <v>0</v>
      </c>
      <c r="D243" s="32">
        <v>3</v>
      </c>
      <c r="E243" s="32">
        <v>1</v>
      </c>
      <c r="F243" s="32">
        <v>3</v>
      </c>
      <c r="G243" s="32" t="s">
        <v>59</v>
      </c>
      <c r="H243" s="32">
        <v>2</v>
      </c>
      <c r="I243" s="32">
        <v>2</v>
      </c>
      <c r="J243" s="33">
        <v>2</v>
      </c>
      <c r="K243" s="23">
        <f t="shared" si="166"/>
        <v>13</v>
      </c>
      <c r="L243" s="35">
        <f>K243/K244</f>
        <v>0.16455696202531644</v>
      </c>
      <c r="M243" s="35">
        <f>K243/K247</f>
        <v>0.15662650602409639</v>
      </c>
      <c r="N243" s="37"/>
      <c r="O243" s="35"/>
      <c r="P243" s="13"/>
      <c r="Q243" s="33">
        <v>1</v>
      </c>
      <c r="R243" s="33">
        <v>2</v>
      </c>
      <c r="S243" s="33">
        <v>1</v>
      </c>
      <c r="T243" s="14">
        <f t="shared" si="167"/>
        <v>4</v>
      </c>
      <c r="U243" s="40">
        <f>T243/T244</f>
        <v>0.33333333333333331</v>
      </c>
      <c r="V243" s="13"/>
      <c r="W243" s="33">
        <v>1</v>
      </c>
      <c r="X243" s="33">
        <v>1</v>
      </c>
      <c r="Y243" s="33">
        <v>1</v>
      </c>
      <c r="Z243" s="33" t="s">
        <v>82</v>
      </c>
      <c r="AA243" s="33">
        <v>1</v>
      </c>
      <c r="AB243" s="33">
        <v>0</v>
      </c>
      <c r="AC243" s="14">
        <f t="shared" si="168"/>
        <v>4</v>
      </c>
      <c r="AD243" s="40">
        <f>AC243/AC244</f>
        <v>0.19047619047619047</v>
      </c>
      <c r="AE243" s="13"/>
      <c r="AF243" s="33">
        <v>1</v>
      </c>
      <c r="AG243" s="33">
        <v>2</v>
      </c>
      <c r="AH243" s="9" t="s">
        <v>82</v>
      </c>
      <c r="AI243" s="33">
        <v>0</v>
      </c>
      <c r="AJ243" s="33">
        <v>0</v>
      </c>
      <c r="AK243" s="33">
        <v>1</v>
      </c>
      <c r="AL243" s="14">
        <f t="shared" si="169"/>
        <v>4</v>
      </c>
      <c r="AM243" s="40">
        <f>AL243/AL244</f>
        <v>0.15384615384615385</v>
      </c>
      <c r="AN243" s="13"/>
      <c r="AO243" s="33" t="s">
        <v>82</v>
      </c>
      <c r="AP243" s="33">
        <v>1</v>
      </c>
      <c r="AQ243" s="33">
        <v>0</v>
      </c>
      <c r="AR243" s="33" t="s">
        <v>82</v>
      </c>
      <c r="AS243" s="9" t="s">
        <v>82</v>
      </c>
      <c r="AT243" s="33">
        <v>0</v>
      </c>
      <c r="AU243" s="14">
        <f t="shared" si="170"/>
        <v>1</v>
      </c>
      <c r="AV243" s="40">
        <f>AU243/AU244</f>
        <v>0.14285714285714285</v>
      </c>
      <c r="AW243" s="13"/>
      <c r="AX243" s="33" t="s">
        <v>82</v>
      </c>
      <c r="AY243" s="33">
        <v>0</v>
      </c>
      <c r="AZ243" s="9" t="s">
        <v>82</v>
      </c>
      <c r="BA243" s="33">
        <v>0</v>
      </c>
      <c r="BB243" s="33">
        <v>0</v>
      </c>
      <c r="BC243" s="14">
        <f t="shared" si="171"/>
        <v>0</v>
      </c>
      <c r="BD243" s="40">
        <f>BC243/BC244</f>
        <v>0</v>
      </c>
      <c r="BE243" s="13"/>
      <c r="BF243" s="38">
        <v>0</v>
      </c>
      <c r="BG243" s="40">
        <f>BF243/BF244</f>
        <v>0</v>
      </c>
      <c r="BH243" s="32"/>
      <c r="BI243" s="40"/>
    </row>
    <row r="244" spans="1:61" ht="21.75" customHeight="1">
      <c r="A244" s="10" t="s">
        <v>9</v>
      </c>
      <c r="B244" s="32">
        <f t="shared" ref="B244:L244" si="172">SUM(B238:B243)</f>
        <v>11</v>
      </c>
      <c r="C244" s="32">
        <f t="shared" si="172"/>
        <v>4</v>
      </c>
      <c r="D244" s="32">
        <f t="shared" si="172"/>
        <v>11</v>
      </c>
      <c r="E244" s="32">
        <f t="shared" si="172"/>
        <v>11</v>
      </c>
      <c r="F244" s="32">
        <f t="shared" si="172"/>
        <v>8</v>
      </c>
      <c r="G244" s="32">
        <f t="shared" si="172"/>
        <v>8</v>
      </c>
      <c r="H244" s="32">
        <f t="shared" si="172"/>
        <v>5</v>
      </c>
      <c r="I244" s="32">
        <f t="shared" si="172"/>
        <v>10</v>
      </c>
      <c r="J244" s="32">
        <f t="shared" si="172"/>
        <v>11</v>
      </c>
      <c r="K244" s="23">
        <f t="shared" si="172"/>
        <v>79</v>
      </c>
      <c r="L244" s="35">
        <f t="shared" si="172"/>
        <v>1</v>
      </c>
      <c r="M244" s="35">
        <f>K244/K247</f>
        <v>0.95180722891566261</v>
      </c>
      <c r="N244" s="37">
        <f>T244+AC244+AL244+AU244</f>
        <v>66</v>
      </c>
      <c r="O244" s="35">
        <f>N244/K244</f>
        <v>0.83544303797468356</v>
      </c>
      <c r="P244" s="13">
        <f t="shared" ref="P244:BG244" si="173">SUM(P238:P243)</f>
        <v>0</v>
      </c>
      <c r="Q244" s="47">
        <f t="shared" si="173"/>
        <v>6</v>
      </c>
      <c r="R244" s="14">
        <f t="shared" si="173"/>
        <v>5</v>
      </c>
      <c r="S244" s="14">
        <f t="shared" si="173"/>
        <v>1</v>
      </c>
      <c r="T244" s="14">
        <f t="shared" si="173"/>
        <v>12</v>
      </c>
      <c r="U244" s="40">
        <f t="shared" si="173"/>
        <v>1</v>
      </c>
      <c r="V244" s="13">
        <f t="shared" si="173"/>
        <v>0</v>
      </c>
      <c r="W244" s="47">
        <f t="shared" si="173"/>
        <v>4</v>
      </c>
      <c r="X244" s="47">
        <f t="shared" si="173"/>
        <v>4</v>
      </c>
      <c r="Y244" s="47">
        <f t="shared" si="173"/>
        <v>5</v>
      </c>
      <c r="Z244" s="47">
        <f t="shared" si="173"/>
        <v>2</v>
      </c>
      <c r="AA244" s="47">
        <f t="shared" si="173"/>
        <v>5</v>
      </c>
      <c r="AB244" s="47">
        <f t="shared" si="173"/>
        <v>1</v>
      </c>
      <c r="AC244" s="45">
        <f t="shared" si="173"/>
        <v>21</v>
      </c>
      <c r="AD244" s="40">
        <f t="shared" si="173"/>
        <v>1</v>
      </c>
      <c r="AE244" s="13">
        <f t="shared" si="173"/>
        <v>0</v>
      </c>
      <c r="AF244" s="47">
        <f t="shared" si="173"/>
        <v>3</v>
      </c>
      <c r="AG244" s="47">
        <f t="shared" si="173"/>
        <v>5</v>
      </c>
      <c r="AH244" s="47">
        <f t="shared" si="173"/>
        <v>3</v>
      </c>
      <c r="AI244" s="47">
        <f t="shared" si="173"/>
        <v>5</v>
      </c>
      <c r="AJ244" s="47">
        <f t="shared" si="173"/>
        <v>1</v>
      </c>
      <c r="AK244" s="47">
        <f t="shared" si="173"/>
        <v>9</v>
      </c>
      <c r="AL244" s="45">
        <f t="shared" si="173"/>
        <v>26</v>
      </c>
      <c r="AM244" s="40">
        <f t="shared" si="173"/>
        <v>1</v>
      </c>
      <c r="AN244" s="13">
        <f t="shared" si="173"/>
        <v>0</v>
      </c>
      <c r="AO244" s="47">
        <f t="shared" si="173"/>
        <v>0</v>
      </c>
      <c r="AP244" s="47">
        <f t="shared" si="173"/>
        <v>1</v>
      </c>
      <c r="AQ244" s="47">
        <f t="shared" si="173"/>
        <v>1</v>
      </c>
      <c r="AR244" s="47">
        <f t="shared" si="173"/>
        <v>0</v>
      </c>
      <c r="AS244" s="47">
        <f t="shared" si="173"/>
        <v>3</v>
      </c>
      <c r="AT244" s="47">
        <f t="shared" si="173"/>
        <v>2</v>
      </c>
      <c r="AU244" s="45">
        <f t="shared" si="173"/>
        <v>7</v>
      </c>
      <c r="AV244" s="40">
        <f t="shared" si="173"/>
        <v>1</v>
      </c>
      <c r="AW244" s="13">
        <f t="shared" si="173"/>
        <v>0</v>
      </c>
      <c r="AX244" s="47">
        <f t="shared" si="173"/>
        <v>0</v>
      </c>
      <c r="AY244" s="47">
        <f t="shared" si="173"/>
        <v>0</v>
      </c>
      <c r="AZ244" s="47">
        <f t="shared" si="173"/>
        <v>0</v>
      </c>
      <c r="BA244" s="47">
        <f t="shared" si="173"/>
        <v>1</v>
      </c>
      <c r="BB244" s="47">
        <f t="shared" si="173"/>
        <v>1</v>
      </c>
      <c r="BC244" s="45">
        <f t="shared" si="173"/>
        <v>2</v>
      </c>
      <c r="BD244" s="40">
        <f t="shared" si="173"/>
        <v>1</v>
      </c>
      <c r="BE244" s="13">
        <f t="shared" si="173"/>
        <v>0</v>
      </c>
      <c r="BF244" s="38">
        <f t="shared" si="173"/>
        <v>8</v>
      </c>
      <c r="BG244" s="40">
        <f t="shared" si="173"/>
        <v>1</v>
      </c>
      <c r="BH244" s="32"/>
      <c r="BI244" s="40"/>
    </row>
    <row r="245" spans="1:61" ht="21.75" customHeight="1">
      <c r="A245" s="8" t="s">
        <v>64</v>
      </c>
      <c r="B245" s="32">
        <v>0</v>
      </c>
      <c r="C245" s="14">
        <v>0</v>
      </c>
      <c r="D245" s="32">
        <v>1</v>
      </c>
      <c r="E245" s="32">
        <v>0</v>
      </c>
      <c r="F245" s="32">
        <v>3</v>
      </c>
      <c r="G245" s="32">
        <v>0</v>
      </c>
      <c r="H245" s="32">
        <v>0</v>
      </c>
      <c r="I245" s="32">
        <v>0</v>
      </c>
      <c r="J245" s="32">
        <v>0</v>
      </c>
      <c r="K245" s="37">
        <f>SUM(B245:J245)</f>
        <v>4</v>
      </c>
      <c r="L245" s="35">
        <f>K245/(K244+K245+K246)</f>
        <v>4.8192771084337352E-2</v>
      </c>
      <c r="M245" s="35">
        <f>K245/(K247)</f>
        <v>4.8192771084337352E-2</v>
      </c>
      <c r="N245" s="12"/>
      <c r="O245" s="35"/>
      <c r="P245" s="13"/>
      <c r="Q245" s="52">
        <v>0</v>
      </c>
      <c r="R245" s="14">
        <v>0</v>
      </c>
      <c r="S245" s="14">
        <v>0</v>
      </c>
      <c r="T245" s="38">
        <f>SUM(Q245:S245)</f>
        <v>0</v>
      </c>
      <c r="U245" s="15">
        <f>T245/T247</f>
        <v>0</v>
      </c>
      <c r="V245" s="13"/>
      <c r="W245" s="52">
        <v>0</v>
      </c>
      <c r="X245" s="52">
        <v>0</v>
      </c>
      <c r="Y245" s="52">
        <v>0</v>
      </c>
      <c r="Z245" s="52">
        <v>0</v>
      </c>
      <c r="AA245" s="52">
        <v>0</v>
      </c>
      <c r="AB245" s="52">
        <v>0</v>
      </c>
      <c r="AC245" s="51">
        <f>SUM(W245:AB245)</f>
        <v>0</v>
      </c>
      <c r="AD245" s="15">
        <f>AC245/AC247</f>
        <v>0</v>
      </c>
      <c r="AE245" s="13"/>
      <c r="AF245" s="52">
        <v>1</v>
      </c>
      <c r="AG245" s="52">
        <v>0</v>
      </c>
      <c r="AH245" s="52">
        <v>0</v>
      </c>
      <c r="AI245" s="52">
        <v>0</v>
      </c>
      <c r="AJ245" s="52">
        <v>0</v>
      </c>
      <c r="AK245" s="52">
        <v>0</v>
      </c>
      <c r="AL245" s="49">
        <f>SUM(AF245:AK245)</f>
        <v>1</v>
      </c>
      <c r="AM245" s="15">
        <f>AL245/AL247</f>
        <v>3.7037037037037035E-2</v>
      </c>
      <c r="AN245" s="13"/>
      <c r="AO245" s="103" t="s">
        <v>82</v>
      </c>
      <c r="AP245" s="52">
        <v>0</v>
      </c>
      <c r="AQ245" s="52">
        <v>1</v>
      </c>
      <c r="AR245" s="103" t="s">
        <v>82</v>
      </c>
      <c r="AS245" s="52">
        <v>0</v>
      </c>
      <c r="AT245" s="52">
        <v>0</v>
      </c>
      <c r="AU245" s="51">
        <f>SUM(AO245:AT245)</f>
        <v>1</v>
      </c>
      <c r="AV245" s="15">
        <f>AU245/AU247</f>
        <v>0.125</v>
      </c>
      <c r="AW245" s="13"/>
      <c r="AX245" s="103" t="s">
        <v>82</v>
      </c>
      <c r="AY245" s="52">
        <v>2</v>
      </c>
      <c r="AZ245" s="52">
        <v>0</v>
      </c>
      <c r="BA245" s="52">
        <v>0</v>
      </c>
      <c r="BB245" s="52">
        <v>0</v>
      </c>
      <c r="BC245" s="51">
        <f>SUM(AX245:BB245)</f>
        <v>2</v>
      </c>
      <c r="BD245" s="15">
        <f>BC245/BC247</f>
        <v>0.5</v>
      </c>
      <c r="BE245" s="13"/>
      <c r="BF245" s="38"/>
      <c r="BG245" s="42"/>
      <c r="BH245" s="42"/>
      <c r="BI245" s="42"/>
    </row>
    <row r="246" spans="1:61" ht="21.75" customHeight="1">
      <c r="A246" s="8" t="s">
        <v>65</v>
      </c>
      <c r="B246" s="32">
        <v>0</v>
      </c>
      <c r="C246" s="45">
        <v>0</v>
      </c>
      <c r="D246" s="32">
        <v>0</v>
      </c>
      <c r="E246" s="32">
        <v>0</v>
      </c>
      <c r="F246" s="32">
        <v>0</v>
      </c>
      <c r="G246" s="32">
        <v>0</v>
      </c>
      <c r="H246" s="32">
        <v>0</v>
      </c>
      <c r="I246" s="32">
        <v>0</v>
      </c>
      <c r="J246" s="32">
        <v>0</v>
      </c>
      <c r="K246" s="23">
        <f>SUM(B246:J246)</f>
        <v>0</v>
      </c>
      <c r="L246" s="35">
        <f>K246/(K245+K246+K244)</f>
        <v>0</v>
      </c>
      <c r="M246" s="35">
        <f>K246/(K247)</f>
        <v>0</v>
      </c>
      <c r="N246" s="12"/>
      <c r="O246" s="35"/>
      <c r="P246" s="13"/>
      <c r="Q246" s="14">
        <v>0</v>
      </c>
      <c r="R246" s="14">
        <v>0</v>
      </c>
      <c r="S246" s="14">
        <v>0</v>
      </c>
      <c r="T246" s="38">
        <f>SUM(Q246:S246)</f>
        <v>0</v>
      </c>
      <c r="U246" s="15">
        <f>T246/T247</f>
        <v>0</v>
      </c>
      <c r="V246" s="13"/>
      <c r="W246" s="14">
        <v>0</v>
      </c>
      <c r="X246" s="14">
        <v>0</v>
      </c>
      <c r="Y246" s="14">
        <v>0</v>
      </c>
      <c r="Z246" s="14">
        <v>0</v>
      </c>
      <c r="AA246" s="14">
        <v>0</v>
      </c>
      <c r="AB246" s="45">
        <v>0</v>
      </c>
      <c r="AC246" s="38">
        <f>SUM(W246:AB246)</f>
        <v>0</v>
      </c>
      <c r="AD246" s="15">
        <f>AC246/AC247</f>
        <v>0</v>
      </c>
      <c r="AE246" s="13"/>
      <c r="AF246" s="14">
        <v>0</v>
      </c>
      <c r="AG246" s="14">
        <v>0</v>
      </c>
      <c r="AH246" s="14">
        <v>0</v>
      </c>
      <c r="AI246" s="14">
        <v>0</v>
      </c>
      <c r="AJ246" s="14">
        <v>0</v>
      </c>
      <c r="AK246" s="14">
        <v>0</v>
      </c>
      <c r="AL246" s="14">
        <f>SUM(AF246:AK246)</f>
        <v>0</v>
      </c>
      <c r="AM246" s="15">
        <f>AL246/AL247</f>
        <v>0</v>
      </c>
      <c r="AN246" s="13"/>
      <c r="AO246" s="9" t="s">
        <v>82</v>
      </c>
      <c r="AP246" s="14">
        <v>0</v>
      </c>
      <c r="AQ246" s="14">
        <v>0</v>
      </c>
      <c r="AR246" s="9" t="s">
        <v>82</v>
      </c>
      <c r="AS246" s="14">
        <v>0</v>
      </c>
      <c r="AT246" s="45">
        <v>0</v>
      </c>
      <c r="AU246" s="38">
        <f>SUM(AO246:AT246)</f>
        <v>0</v>
      </c>
      <c r="AV246" s="15">
        <f>AU246/AU247</f>
        <v>0</v>
      </c>
      <c r="AW246" s="13"/>
      <c r="AX246" s="9" t="s">
        <v>82</v>
      </c>
      <c r="AY246" s="14">
        <v>0</v>
      </c>
      <c r="AZ246" s="14">
        <v>0</v>
      </c>
      <c r="BA246" s="14">
        <v>0</v>
      </c>
      <c r="BB246" s="14">
        <v>0</v>
      </c>
      <c r="BC246" s="38">
        <f>SUM(AX246:BB246)</f>
        <v>0</v>
      </c>
      <c r="BD246" s="15">
        <f>BC246/BC247</f>
        <v>0</v>
      </c>
      <c r="BE246" s="13"/>
      <c r="BF246" s="38"/>
      <c r="BG246" s="42"/>
      <c r="BH246" s="42"/>
      <c r="BI246" s="42"/>
    </row>
    <row r="247" spans="1:61" ht="21.75" customHeight="1">
      <c r="A247" s="39" t="s">
        <v>66</v>
      </c>
      <c r="B247" s="32">
        <f t="shared" ref="B247:J247" si="174">SUM(B244:B246)</f>
        <v>11</v>
      </c>
      <c r="C247" s="51">
        <f t="shared" si="174"/>
        <v>4</v>
      </c>
      <c r="D247" s="32">
        <f t="shared" si="174"/>
        <v>12</v>
      </c>
      <c r="E247" s="32">
        <f t="shared" si="174"/>
        <v>11</v>
      </c>
      <c r="F247" s="32">
        <f t="shared" si="174"/>
        <v>11</v>
      </c>
      <c r="G247" s="32">
        <f t="shared" si="174"/>
        <v>8</v>
      </c>
      <c r="H247" s="32">
        <f t="shared" si="174"/>
        <v>5</v>
      </c>
      <c r="I247" s="32">
        <f t="shared" si="174"/>
        <v>10</v>
      </c>
      <c r="J247" s="32">
        <f t="shared" si="174"/>
        <v>11</v>
      </c>
      <c r="K247" s="23">
        <f>SUM(B247:J247)</f>
        <v>83</v>
      </c>
      <c r="L247" s="35">
        <f>K247/(K246+K245+K244)</f>
        <v>1</v>
      </c>
      <c r="M247" s="35">
        <f>K247/(K244+K245+K246)</f>
        <v>1</v>
      </c>
      <c r="N247" s="37">
        <f>T247+AC247+AL247+AU247</f>
        <v>68</v>
      </c>
      <c r="O247" s="35">
        <f>N247/K247</f>
        <v>0.81927710843373491</v>
      </c>
      <c r="P247" s="13"/>
      <c r="Q247" s="38">
        <f>SUM(Q244:Q246)</f>
        <v>6</v>
      </c>
      <c r="R247" s="38">
        <f>SUM(R244:R246)</f>
        <v>5</v>
      </c>
      <c r="S247" s="38">
        <f>SUM(S244:S246)</f>
        <v>1</v>
      </c>
      <c r="T247" s="38">
        <f>SUM(Q247:S247)</f>
        <v>12</v>
      </c>
      <c r="U247" s="40">
        <f>T247/(T244+T245+T246)</f>
        <v>1</v>
      </c>
      <c r="V247" s="13"/>
      <c r="W247" s="38">
        <f t="shared" ref="W247:AB247" si="175">SUM(W244:W246)</f>
        <v>4</v>
      </c>
      <c r="X247" s="38">
        <f t="shared" si="175"/>
        <v>4</v>
      </c>
      <c r="Y247" s="38">
        <f t="shared" si="175"/>
        <v>5</v>
      </c>
      <c r="Z247" s="38">
        <f t="shared" si="175"/>
        <v>2</v>
      </c>
      <c r="AA247" s="38">
        <f t="shared" si="175"/>
        <v>5</v>
      </c>
      <c r="AB247" s="51">
        <f t="shared" si="175"/>
        <v>1</v>
      </c>
      <c r="AC247" s="38">
        <f>SUM(W247:AB247)</f>
        <v>21</v>
      </c>
      <c r="AD247" s="40">
        <f>AC247/(AC244+AC245+AC246)</f>
        <v>1</v>
      </c>
      <c r="AE247" s="13"/>
      <c r="AF247" s="38">
        <f t="shared" ref="AF247:AK247" si="176">SUM(AF244:AF246)</f>
        <v>4</v>
      </c>
      <c r="AG247" s="38">
        <f t="shared" si="176"/>
        <v>5</v>
      </c>
      <c r="AH247" s="38">
        <f t="shared" si="176"/>
        <v>3</v>
      </c>
      <c r="AI247" s="38">
        <f t="shared" si="176"/>
        <v>5</v>
      </c>
      <c r="AJ247" s="38">
        <f t="shared" si="176"/>
        <v>1</v>
      </c>
      <c r="AK247" s="38">
        <f t="shared" si="176"/>
        <v>9</v>
      </c>
      <c r="AL247" s="38">
        <f>SUM(AF247:AK247)</f>
        <v>27</v>
      </c>
      <c r="AM247" s="41">
        <f>AL247/(AL244+AL245+AL246)</f>
        <v>1</v>
      </c>
      <c r="AN247" s="13"/>
      <c r="AO247" s="38">
        <f t="shared" ref="AO247:AT247" si="177">SUM(AO244:AO246)</f>
        <v>0</v>
      </c>
      <c r="AP247" s="38">
        <f t="shared" si="177"/>
        <v>1</v>
      </c>
      <c r="AQ247" s="38">
        <f t="shared" si="177"/>
        <v>2</v>
      </c>
      <c r="AR247" s="38">
        <f t="shared" si="177"/>
        <v>0</v>
      </c>
      <c r="AS247" s="38">
        <f t="shared" si="177"/>
        <v>3</v>
      </c>
      <c r="AT247" s="51">
        <f t="shared" si="177"/>
        <v>2</v>
      </c>
      <c r="AU247" s="38">
        <f>SUM(AO247:AT247)</f>
        <v>8</v>
      </c>
      <c r="AV247" s="40">
        <f>AU247/(AU244+AU245+AU246)</f>
        <v>1</v>
      </c>
      <c r="AW247" s="13"/>
      <c r="AX247" s="38">
        <f>SUM(AX244:AX246)</f>
        <v>0</v>
      </c>
      <c r="AY247" s="38">
        <f>SUM(AY244:AY246)</f>
        <v>2</v>
      </c>
      <c r="AZ247" s="38">
        <f>SUM(AZ244:AZ246)</f>
        <v>0</v>
      </c>
      <c r="BA247" s="38">
        <f>SUM(BA244:BA246)</f>
        <v>1</v>
      </c>
      <c r="BB247" s="38">
        <f>SUM(BB244:BB246)</f>
        <v>1</v>
      </c>
      <c r="BC247" s="38">
        <f>SUM(AX247:BB247)</f>
        <v>4</v>
      </c>
      <c r="BD247" s="40">
        <f>BC247/(BC244+BC245+BC246)</f>
        <v>1</v>
      </c>
      <c r="BE247" s="13"/>
      <c r="BF247" s="38"/>
      <c r="BG247" s="42"/>
      <c r="BH247" s="42"/>
      <c r="BI247" s="42"/>
    </row>
    <row r="248" spans="1:61" ht="56.25" customHeight="1">
      <c r="A248" s="43" t="s">
        <v>142</v>
      </c>
      <c r="B248" s="181" t="s">
        <v>143</v>
      </c>
      <c r="C248" s="182"/>
      <c r="D248" s="182"/>
      <c r="E248" s="182"/>
      <c r="F248" s="182"/>
      <c r="G248" s="22"/>
      <c r="H248" s="22"/>
      <c r="I248" s="22"/>
      <c r="J248" s="22"/>
      <c r="K248" s="21"/>
      <c r="L248" s="24"/>
      <c r="M248" s="24"/>
      <c r="N248" s="26"/>
      <c r="O248" s="24"/>
      <c r="P248" s="27"/>
      <c r="Q248" s="28"/>
      <c r="R248" s="28"/>
      <c r="S248" s="28"/>
      <c r="T248" s="26"/>
      <c r="U248" s="24"/>
      <c r="V248" s="27"/>
      <c r="W248" s="28"/>
      <c r="X248" s="28"/>
      <c r="Y248" s="28"/>
      <c r="Z248" s="28"/>
      <c r="AA248" s="28"/>
      <c r="AB248" s="28"/>
      <c r="AC248" s="26"/>
      <c r="AD248" s="24"/>
      <c r="AE248" s="27"/>
      <c r="AF248" s="28"/>
      <c r="AG248" s="28"/>
      <c r="AH248" s="28"/>
      <c r="AI248" s="28"/>
      <c r="AJ248" s="28"/>
      <c r="AK248" s="28"/>
      <c r="AL248" s="26"/>
      <c r="AM248" s="29"/>
      <c r="AN248" s="27"/>
      <c r="AO248" s="26"/>
      <c r="AP248" s="26"/>
      <c r="AQ248" s="26"/>
      <c r="AR248" s="26"/>
      <c r="AS248" s="26"/>
      <c r="AT248" s="26"/>
      <c r="AU248" s="26"/>
      <c r="AV248" s="24"/>
      <c r="AW248" s="27"/>
      <c r="AX248" s="26"/>
      <c r="AY248" s="26"/>
      <c r="AZ248" s="26"/>
      <c r="BA248" s="26"/>
      <c r="BB248" s="26"/>
      <c r="BC248" s="26"/>
      <c r="BD248" s="24"/>
      <c r="BE248" s="27"/>
      <c r="BF248" s="26"/>
      <c r="BG248" s="22"/>
      <c r="BH248" s="21"/>
      <c r="BI248" s="22"/>
    </row>
    <row r="249" spans="1:61" ht="32.25" customHeight="1">
      <c r="A249" s="10"/>
      <c r="B249" s="30" t="s">
        <v>0</v>
      </c>
      <c r="C249" s="30" t="s">
        <v>1</v>
      </c>
      <c r="D249" s="30" t="s">
        <v>2</v>
      </c>
      <c r="E249" s="30" t="s">
        <v>3</v>
      </c>
      <c r="F249" s="30" t="s">
        <v>4</v>
      </c>
      <c r="G249" s="30" t="s">
        <v>5</v>
      </c>
      <c r="H249" s="30" t="s">
        <v>68</v>
      </c>
      <c r="I249" s="30" t="s">
        <v>7</v>
      </c>
      <c r="J249" s="30" t="s">
        <v>8</v>
      </c>
      <c r="K249" s="10" t="s">
        <v>9</v>
      </c>
      <c r="L249" s="10" t="s">
        <v>56</v>
      </c>
      <c r="M249" s="20"/>
      <c r="N249" s="12"/>
      <c r="O249" s="20"/>
      <c r="P249" s="27"/>
      <c r="Q249" s="30" t="s">
        <v>15</v>
      </c>
      <c r="R249" s="30" t="s">
        <v>16</v>
      </c>
      <c r="S249" s="30" t="s">
        <v>28</v>
      </c>
      <c r="T249" s="20"/>
      <c r="U249" s="11"/>
      <c r="V249" s="27"/>
      <c r="W249" s="30" t="s">
        <v>15</v>
      </c>
      <c r="X249" s="30" t="s">
        <v>20</v>
      </c>
      <c r="Y249" s="30" t="s">
        <v>21</v>
      </c>
      <c r="Z249" s="30" t="s">
        <v>22</v>
      </c>
      <c r="AA249" s="30" t="s">
        <v>23</v>
      </c>
      <c r="AB249" s="30" t="s">
        <v>24</v>
      </c>
      <c r="AC249" s="20"/>
      <c r="AD249" s="11"/>
      <c r="AE249" s="27"/>
      <c r="AF249" s="30" t="s">
        <v>20</v>
      </c>
      <c r="AG249" s="30" t="s">
        <v>21</v>
      </c>
      <c r="AH249" s="30" t="s">
        <v>22</v>
      </c>
      <c r="AI249" s="30" t="s">
        <v>23</v>
      </c>
      <c r="AJ249" s="30" t="s">
        <v>24</v>
      </c>
      <c r="AK249" s="30" t="s">
        <v>28</v>
      </c>
      <c r="AL249" s="20"/>
      <c r="AM249" s="44"/>
      <c r="AN249" s="27"/>
      <c r="AO249" s="30" t="s">
        <v>15</v>
      </c>
      <c r="AP249" s="30" t="s">
        <v>20</v>
      </c>
      <c r="AQ249" s="30" t="s">
        <v>21</v>
      </c>
      <c r="AR249" s="30" t="s">
        <v>16</v>
      </c>
      <c r="AS249" s="30" t="s">
        <v>22</v>
      </c>
      <c r="AT249" s="30" t="s">
        <v>24</v>
      </c>
      <c r="AU249" s="20"/>
      <c r="AV249" s="11"/>
      <c r="AW249" s="27"/>
      <c r="AX249" s="30" t="s">
        <v>15</v>
      </c>
      <c r="AY249" s="30" t="s">
        <v>20</v>
      </c>
      <c r="AZ249" s="30" t="s">
        <v>22</v>
      </c>
      <c r="BA249" s="30" t="s">
        <v>23</v>
      </c>
      <c r="BB249" s="30" t="s">
        <v>28</v>
      </c>
      <c r="BC249" s="20"/>
      <c r="BD249" s="11"/>
      <c r="BE249" s="27"/>
      <c r="BF249" s="10" t="s">
        <v>38</v>
      </c>
      <c r="BG249" s="10" t="s">
        <v>39</v>
      </c>
      <c r="BH249" s="9" t="s">
        <v>40</v>
      </c>
      <c r="BI249" s="9" t="s">
        <v>41</v>
      </c>
    </row>
    <row r="250" spans="1:61" ht="56.25" customHeight="1">
      <c r="A250" s="10" t="s">
        <v>144</v>
      </c>
      <c r="B250" s="32" t="s">
        <v>59</v>
      </c>
      <c r="C250" s="32">
        <v>1</v>
      </c>
      <c r="D250" s="32">
        <v>1</v>
      </c>
      <c r="E250" s="32">
        <v>3</v>
      </c>
      <c r="F250" s="32">
        <v>1</v>
      </c>
      <c r="G250" s="32" t="s">
        <v>59</v>
      </c>
      <c r="H250" s="32">
        <v>3</v>
      </c>
      <c r="I250" s="32">
        <v>1</v>
      </c>
      <c r="J250" s="33">
        <v>2</v>
      </c>
      <c r="K250" s="23">
        <f>SUM(B250:J250)</f>
        <v>12</v>
      </c>
      <c r="L250" s="35">
        <f>K250/K254</f>
        <v>0.21052631578947367</v>
      </c>
      <c r="M250" s="35">
        <f>K250/K257</f>
        <v>0.19047619047619047</v>
      </c>
      <c r="N250" s="37"/>
      <c r="O250" s="35"/>
      <c r="P250" s="13"/>
      <c r="Q250" s="33">
        <v>1</v>
      </c>
      <c r="R250" s="33">
        <v>3</v>
      </c>
      <c r="S250" s="33">
        <v>0</v>
      </c>
      <c r="T250" s="14">
        <f>SUM(Q250:S250)</f>
        <v>4</v>
      </c>
      <c r="U250" s="40">
        <f>T250/T254</f>
        <v>0.36363636363636365</v>
      </c>
      <c r="V250" s="13"/>
      <c r="W250" s="33">
        <v>0</v>
      </c>
      <c r="X250" s="33">
        <v>0</v>
      </c>
      <c r="Y250" s="33">
        <v>0</v>
      </c>
      <c r="Z250" s="33" t="s">
        <v>82</v>
      </c>
      <c r="AA250" s="33">
        <v>1</v>
      </c>
      <c r="AB250" s="33">
        <v>0</v>
      </c>
      <c r="AC250" s="14">
        <f>SUM(W250:AB250)</f>
        <v>1</v>
      </c>
      <c r="AD250" s="40">
        <f>AC250/AC254</f>
        <v>5.5555555555555552E-2</v>
      </c>
      <c r="AE250" s="13"/>
      <c r="AF250" s="33">
        <v>1</v>
      </c>
      <c r="AG250" s="33">
        <v>1</v>
      </c>
      <c r="AH250" s="9" t="s">
        <v>82</v>
      </c>
      <c r="AI250" s="33">
        <v>1</v>
      </c>
      <c r="AJ250" s="33">
        <v>1</v>
      </c>
      <c r="AK250" s="33">
        <v>2</v>
      </c>
      <c r="AL250" s="14">
        <f>SUM(AF250:AK250)</f>
        <v>6</v>
      </c>
      <c r="AM250" s="40">
        <f>AL250/AL254</f>
        <v>0.27272727272727271</v>
      </c>
      <c r="AN250" s="13"/>
      <c r="AO250" s="14">
        <v>0</v>
      </c>
      <c r="AP250" s="14">
        <v>0</v>
      </c>
      <c r="AQ250" s="33">
        <v>0</v>
      </c>
      <c r="AR250" s="33">
        <v>0</v>
      </c>
      <c r="AS250" s="9" t="s">
        <v>82</v>
      </c>
      <c r="AT250" s="33">
        <v>0</v>
      </c>
      <c r="AU250" s="14">
        <f>SUM(AO250:AT250)</f>
        <v>0</v>
      </c>
      <c r="AV250" s="40">
        <f>AU250/AU254</f>
        <v>0</v>
      </c>
      <c r="AW250" s="13"/>
      <c r="AX250" s="14">
        <v>0</v>
      </c>
      <c r="AY250" s="14">
        <v>0</v>
      </c>
      <c r="AZ250" s="9" t="s">
        <v>82</v>
      </c>
      <c r="BA250" s="33">
        <v>1</v>
      </c>
      <c r="BB250" s="33">
        <v>0</v>
      </c>
      <c r="BC250" s="14">
        <f>SUM(AX250:BB250)</f>
        <v>1</v>
      </c>
      <c r="BD250" s="40">
        <f>BC250/BC254</f>
        <v>0.5</v>
      </c>
      <c r="BE250" s="13"/>
      <c r="BF250" s="14">
        <v>5</v>
      </c>
      <c r="BG250" s="15">
        <f>BF250/BF254</f>
        <v>0.625</v>
      </c>
      <c r="BH250" s="16"/>
      <c r="BI250" s="15"/>
    </row>
    <row r="251" spans="1:61" ht="32.25" customHeight="1">
      <c r="A251" s="10" t="s">
        <v>145</v>
      </c>
      <c r="B251" s="32" t="s">
        <v>59</v>
      </c>
      <c r="C251" s="32">
        <v>0</v>
      </c>
      <c r="D251" s="32">
        <v>0</v>
      </c>
      <c r="E251" s="32">
        <v>3</v>
      </c>
      <c r="F251" s="32">
        <v>1</v>
      </c>
      <c r="G251" s="32" t="s">
        <v>59</v>
      </c>
      <c r="H251" s="32">
        <v>0</v>
      </c>
      <c r="I251" s="32">
        <v>4</v>
      </c>
      <c r="J251" s="33">
        <v>2</v>
      </c>
      <c r="K251" s="23">
        <f>SUM(B251:J251)</f>
        <v>10</v>
      </c>
      <c r="L251" s="35">
        <f>K251/K254</f>
        <v>0.17543859649122806</v>
      </c>
      <c r="M251" s="35">
        <f>K251/K257</f>
        <v>0.15873015873015872</v>
      </c>
      <c r="N251" s="37"/>
      <c r="O251" s="35"/>
      <c r="P251" s="13"/>
      <c r="Q251" s="33">
        <v>1</v>
      </c>
      <c r="R251" s="33">
        <v>0</v>
      </c>
      <c r="S251" s="33">
        <v>0</v>
      </c>
      <c r="T251" s="14">
        <f>SUM(Q251:S251)</f>
        <v>1</v>
      </c>
      <c r="U251" s="40">
        <f>T251/T254</f>
        <v>9.0909090909090912E-2</v>
      </c>
      <c r="V251" s="13"/>
      <c r="W251" s="33">
        <v>3</v>
      </c>
      <c r="X251" s="33">
        <v>1</v>
      </c>
      <c r="Y251" s="33">
        <v>0</v>
      </c>
      <c r="Z251" s="33" t="s">
        <v>82</v>
      </c>
      <c r="AA251" s="33">
        <v>1</v>
      </c>
      <c r="AB251" s="33">
        <v>0</v>
      </c>
      <c r="AC251" s="14">
        <f>SUM(W251:AB251)</f>
        <v>5</v>
      </c>
      <c r="AD251" s="40">
        <f>AC251/AC254</f>
        <v>0.27777777777777779</v>
      </c>
      <c r="AE251" s="13"/>
      <c r="AF251" s="33">
        <v>0</v>
      </c>
      <c r="AG251" s="33">
        <v>0</v>
      </c>
      <c r="AH251" s="9" t="s">
        <v>82</v>
      </c>
      <c r="AI251" s="33">
        <v>2</v>
      </c>
      <c r="AJ251" s="33">
        <v>0</v>
      </c>
      <c r="AK251" s="33">
        <v>1</v>
      </c>
      <c r="AL251" s="14">
        <f>SUM(AF251:AK251)</f>
        <v>3</v>
      </c>
      <c r="AM251" s="40">
        <f>AL251/AL254</f>
        <v>0.13636363636363635</v>
      </c>
      <c r="AN251" s="13"/>
      <c r="AO251" s="14">
        <v>0</v>
      </c>
      <c r="AP251" s="14">
        <v>0</v>
      </c>
      <c r="AQ251" s="33">
        <v>0</v>
      </c>
      <c r="AR251" s="33">
        <v>0</v>
      </c>
      <c r="AS251" s="9" t="s">
        <v>82</v>
      </c>
      <c r="AT251" s="33">
        <v>0</v>
      </c>
      <c r="AU251" s="14">
        <f>SUM(AO251:AT251)</f>
        <v>0</v>
      </c>
      <c r="AV251" s="40">
        <f>AU251/AU254</f>
        <v>0</v>
      </c>
      <c r="AW251" s="13"/>
      <c r="AX251" s="14">
        <v>0</v>
      </c>
      <c r="AY251" s="14">
        <v>0</v>
      </c>
      <c r="AZ251" s="9" t="s">
        <v>82</v>
      </c>
      <c r="BA251" s="33">
        <v>0</v>
      </c>
      <c r="BB251" s="33">
        <v>1</v>
      </c>
      <c r="BC251" s="14">
        <f>SUM(AX251:BB251)</f>
        <v>1</v>
      </c>
      <c r="BD251" s="40">
        <f>BC251/BC254</f>
        <v>0.5</v>
      </c>
      <c r="BE251" s="13"/>
      <c r="BF251" s="14">
        <v>1</v>
      </c>
      <c r="BG251" s="15">
        <f>BF251/BF254</f>
        <v>0.125</v>
      </c>
      <c r="BH251" s="16"/>
      <c r="BI251" s="15"/>
    </row>
    <row r="252" spans="1:61" ht="32.25" customHeight="1">
      <c r="A252" s="10" t="s">
        <v>146</v>
      </c>
      <c r="B252" s="32" t="s">
        <v>59</v>
      </c>
      <c r="C252" s="32">
        <v>2</v>
      </c>
      <c r="D252" s="32">
        <v>0</v>
      </c>
      <c r="E252" s="32">
        <v>1</v>
      </c>
      <c r="F252" s="32">
        <v>0</v>
      </c>
      <c r="G252" s="32" t="s">
        <v>59</v>
      </c>
      <c r="H252" s="32">
        <v>2</v>
      </c>
      <c r="I252" s="32">
        <v>0</v>
      </c>
      <c r="J252" s="33">
        <v>0</v>
      </c>
      <c r="K252" s="23">
        <f>SUM(B252:J252)</f>
        <v>5</v>
      </c>
      <c r="L252" s="35">
        <f>K252/K254</f>
        <v>8.771929824561403E-2</v>
      </c>
      <c r="M252" s="35">
        <f>K252/K257</f>
        <v>7.9365079365079361E-2</v>
      </c>
      <c r="N252" s="37"/>
      <c r="O252" s="35"/>
      <c r="P252" s="13"/>
      <c r="Q252" s="33">
        <v>0</v>
      </c>
      <c r="R252" s="33">
        <v>2</v>
      </c>
      <c r="S252" s="33">
        <v>0</v>
      </c>
      <c r="T252" s="14">
        <f>SUM(Q252:S252)</f>
        <v>2</v>
      </c>
      <c r="U252" s="40">
        <f>T252/T254</f>
        <v>0.18181818181818182</v>
      </c>
      <c r="V252" s="13"/>
      <c r="W252" s="33">
        <v>0</v>
      </c>
      <c r="X252" s="33">
        <v>0</v>
      </c>
      <c r="Y252" s="33">
        <v>0</v>
      </c>
      <c r="Z252" s="33" t="s">
        <v>82</v>
      </c>
      <c r="AA252" s="33">
        <v>1</v>
      </c>
      <c r="AB252" s="33">
        <v>0</v>
      </c>
      <c r="AC252" s="14">
        <f>SUM(W252:AB252)</f>
        <v>1</v>
      </c>
      <c r="AD252" s="40">
        <f>AC252/AC254</f>
        <v>5.5555555555555552E-2</v>
      </c>
      <c r="AE252" s="13"/>
      <c r="AF252" s="33">
        <v>0</v>
      </c>
      <c r="AG252" s="33">
        <v>0</v>
      </c>
      <c r="AH252" s="9" t="s">
        <v>82</v>
      </c>
      <c r="AI252" s="33">
        <v>0</v>
      </c>
      <c r="AJ252" s="33">
        <v>0</v>
      </c>
      <c r="AK252" s="33">
        <v>0</v>
      </c>
      <c r="AL252" s="14">
        <f>SUM(AF252:AK252)</f>
        <v>0</v>
      </c>
      <c r="AM252" s="40">
        <f>AL252/AL254</f>
        <v>0</v>
      </c>
      <c r="AN252" s="13"/>
      <c r="AO252" s="14">
        <v>0</v>
      </c>
      <c r="AP252" s="14">
        <v>0</v>
      </c>
      <c r="AQ252" s="33">
        <v>0</v>
      </c>
      <c r="AR252" s="33">
        <v>0</v>
      </c>
      <c r="AS252" s="9" t="s">
        <v>82</v>
      </c>
      <c r="AT252" s="33">
        <v>2</v>
      </c>
      <c r="AU252" s="14">
        <f>SUM(AO252:AT252)</f>
        <v>2</v>
      </c>
      <c r="AV252" s="40">
        <f>AU252/AU254</f>
        <v>0.5</v>
      </c>
      <c r="AW252" s="13"/>
      <c r="AX252" s="14">
        <v>0</v>
      </c>
      <c r="AY252" s="14">
        <v>0</v>
      </c>
      <c r="AZ252" s="9" t="s">
        <v>82</v>
      </c>
      <c r="BA252" s="33">
        <v>0</v>
      </c>
      <c r="BB252" s="33">
        <v>0</v>
      </c>
      <c r="BC252" s="14">
        <f>SUM(AX252:BB252)</f>
        <v>0</v>
      </c>
      <c r="BD252" s="40">
        <f>BC252/BC254</f>
        <v>0</v>
      </c>
      <c r="BE252" s="13"/>
      <c r="BF252" s="14">
        <v>1</v>
      </c>
      <c r="BG252" s="15">
        <f>BF252/BF254</f>
        <v>0.125</v>
      </c>
      <c r="BH252" s="16"/>
      <c r="BI252" s="15"/>
    </row>
    <row r="253" spans="1:61" ht="56.25" customHeight="1">
      <c r="A253" s="115" t="s">
        <v>147</v>
      </c>
      <c r="B253" s="32" t="s">
        <v>59</v>
      </c>
      <c r="C253" s="32">
        <v>1</v>
      </c>
      <c r="D253" s="32">
        <v>10</v>
      </c>
      <c r="E253" s="32">
        <v>2</v>
      </c>
      <c r="F253" s="32">
        <v>6</v>
      </c>
      <c r="G253" s="32" t="s">
        <v>59</v>
      </c>
      <c r="H253" s="32">
        <v>0</v>
      </c>
      <c r="I253" s="32">
        <v>5</v>
      </c>
      <c r="J253" s="33">
        <v>6</v>
      </c>
      <c r="K253" s="23">
        <f>SUM(B253:J253)</f>
        <v>30</v>
      </c>
      <c r="L253" s="35">
        <f>K253/K254</f>
        <v>0.52631578947368418</v>
      </c>
      <c r="M253" s="35">
        <f>K253/K257</f>
        <v>0.47619047619047616</v>
      </c>
      <c r="N253" s="37"/>
      <c r="O253" s="35"/>
      <c r="P253" s="13"/>
      <c r="Q253" s="33">
        <v>4</v>
      </c>
      <c r="R253" s="33">
        <v>0</v>
      </c>
      <c r="S253" s="33">
        <v>0</v>
      </c>
      <c r="T253" s="14">
        <f>SUM(Q253:S253)</f>
        <v>4</v>
      </c>
      <c r="U253" s="40">
        <f>T253/T254</f>
        <v>0.36363636363636365</v>
      </c>
      <c r="V253" s="13"/>
      <c r="W253" s="33">
        <v>1</v>
      </c>
      <c r="X253" s="33">
        <v>3</v>
      </c>
      <c r="Y253" s="33">
        <v>5</v>
      </c>
      <c r="Z253" s="33" t="s">
        <v>82</v>
      </c>
      <c r="AA253" s="33">
        <v>1</v>
      </c>
      <c r="AB253" s="33">
        <v>1</v>
      </c>
      <c r="AC253" s="14">
        <f>SUM(W253:AB253)</f>
        <v>11</v>
      </c>
      <c r="AD253" s="40">
        <f>AC253/AC254</f>
        <v>0.61111111111111116</v>
      </c>
      <c r="AE253" s="13"/>
      <c r="AF253" s="33">
        <v>3</v>
      </c>
      <c r="AG253" s="33">
        <v>3</v>
      </c>
      <c r="AH253" s="9" t="s">
        <v>82</v>
      </c>
      <c r="AI253" s="33">
        <v>1</v>
      </c>
      <c r="AJ253" s="33">
        <v>0</v>
      </c>
      <c r="AK253" s="33">
        <v>6</v>
      </c>
      <c r="AL253" s="14">
        <f>SUM(AF253:AK253)</f>
        <v>13</v>
      </c>
      <c r="AM253" s="40">
        <f>AL253/AL254</f>
        <v>0.59090909090909094</v>
      </c>
      <c r="AN253" s="13"/>
      <c r="AO253" s="14">
        <v>0</v>
      </c>
      <c r="AP253" s="14">
        <v>0</v>
      </c>
      <c r="AQ253" s="33">
        <v>2</v>
      </c>
      <c r="AR253" s="33">
        <v>0</v>
      </c>
      <c r="AS253" s="9" t="s">
        <v>82</v>
      </c>
      <c r="AT253" s="33">
        <v>0</v>
      </c>
      <c r="AU253" s="14">
        <f>SUM(AO253:AT253)</f>
        <v>2</v>
      </c>
      <c r="AV253" s="40">
        <f>AU253/AU254</f>
        <v>0.5</v>
      </c>
      <c r="AW253" s="13"/>
      <c r="AX253" s="14">
        <v>0</v>
      </c>
      <c r="AY253" s="14">
        <v>0</v>
      </c>
      <c r="AZ253" s="9" t="s">
        <v>82</v>
      </c>
      <c r="BA253" s="33">
        <v>0</v>
      </c>
      <c r="BB253" s="33">
        <v>0</v>
      </c>
      <c r="BC253" s="14">
        <f>SUM(AX253:BB253)</f>
        <v>0</v>
      </c>
      <c r="BD253" s="40">
        <f>BC253/BC254</f>
        <v>0</v>
      </c>
      <c r="BE253" s="13"/>
      <c r="BF253" s="14">
        <v>1</v>
      </c>
      <c r="BG253" s="15">
        <f>BF253/BF254</f>
        <v>0.125</v>
      </c>
      <c r="BH253" s="16"/>
      <c r="BI253" s="15"/>
    </row>
    <row r="254" spans="1:61" ht="21.75" customHeight="1">
      <c r="A254" s="10" t="s">
        <v>9</v>
      </c>
      <c r="B254" s="32" t="s">
        <v>59</v>
      </c>
      <c r="C254" s="32">
        <f>SUM(C248:C253)</f>
        <v>4</v>
      </c>
      <c r="D254" s="32">
        <f>SUM(D248:D253)</f>
        <v>11</v>
      </c>
      <c r="E254" s="32">
        <f>SUM(E248:E253)</f>
        <v>9</v>
      </c>
      <c r="F254" s="32">
        <f>SUM(F248:F253)</f>
        <v>8</v>
      </c>
      <c r="G254" s="32" t="s">
        <v>59</v>
      </c>
      <c r="H254" s="32">
        <f>SUM(H248:H253)</f>
        <v>5</v>
      </c>
      <c r="I254" s="32">
        <f>SUM(I248:I253)</f>
        <v>10</v>
      </c>
      <c r="J254" s="32">
        <f>SUM(J248:J253)</f>
        <v>10</v>
      </c>
      <c r="K254" s="23">
        <f>SUM(K248:K253)</f>
        <v>57</v>
      </c>
      <c r="L254" s="35">
        <f>SUM(L248:L253)</f>
        <v>1</v>
      </c>
      <c r="M254" s="35">
        <f>K254/K257</f>
        <v>0.90476190476190477</v>
      </c>
      <c r="N254" s="37">
        <f>T254+AC254+AL254+AU254</f>
        <v>55</v>
      </c>
      <c r="O254" s="35">
        <f>N254/K254</f>
        <v>0.96491228070175439</v>
      </c>
      <c r="P254" s="13">
        <f t="shared" ref="P254:Y254" si="178">SUM(P248:P253)</f>
        <v>0</v>
      </c>
      <c r="Q254" s="47">
        <f t="shared" si="178"/>
        <v>6</v>
      </c>
      <c r="R254" s="14">
        <f t="shared" si="178"/>
        <v>5</v>
      </c>
      <c r="S254" s="14">
        <f t="shared" si="178"/>
        <v>0</v>
      </c>
      <c r="T254" s="14">
        <f t="shared" si="178"/>
        <v>11</v>
      </c>
      <c r="U254" s="40">
        <f t="shared" si="178"/>
        <v>1</v>
      </c>
      <c r="V254" s="13">
        <f t="shared" si="178"/>
        <v>0</v>
      </c>
      <c r="W254" s="47">
        <f t="shared" si="178"/>
        <v>4</v>
      </c>
      <c r="X254" s="47">
        <f t="shared" si="178"/>
        <v>4</v>
      </c>
      <c r="Y254" s="47">
        <f t="shared" si="178"/>
        <v>5</v>
      </c>
      <c r="Z254" s="112" t="s">
        <v>82</v>
      </c>
      <c r="AA254" s="47">
        <f t="shared" ref="AA254:AG254" si="179">SUM(AA248:AA253)</f>
        <v>4</v>
      </c>
      <c r="AB254" s="47">
        <f t="shared" si="179"/>
        <v>1</v>
      </c>
      <c r="AC254" s="45">
        <f t="shared" si="179"/>
        <v>18</v>
      </c>
      <c r="AD254" s="40">
        <f t="shared" si="179"/>
        <v>1</v>
      </c>
      <c r="AE254" s="13">
        <f t="shared" si="179"/>
        <v>0</v>
      </c>
      <c r="AF254" s="47">
        <f t="shared" si="179"/>
        <v>4</v>
      </c>
      <c r="AG254" s="47">
        <f t="shared" si="179"/>
        <v>4</v>
      </c>
      <c r="AH254" s="113" t="s">
        <v>82</v>
      </c>
      <c r="AI254" s="47">
        <f t="shared" ref="AI254:AR254" si="180">SUM(AI248:AI253)</f>
        <v>4</v>
      </c>
      <c r="AJ254" s="47">
        <f t="shared" si="180"/>
        <v>1</v>
      </c>
      <c r="AK254" s="47">
        <f t="shared" si="180"/>
        <v>9</v>
      </c>
      <c r="AL254" s="45">
        <f t="shared" si="180"/>
        <v>22</v>
      </c>
      <c r="AM254" s="40">
        <f t="shared" si="180"/>
        <v>1</v>
      </c>
      <c r="AN254" s="13">
        <f t="shared" si="180"/>
        <v>0</v>
      </c>
      <c r="AO254" s="47">
        <f t="shared" si="180"/>
        <v>0</v>
      </c>
      <c r="AP254" s="47">
        <f t="shared" si="180"/>
        <v>0</v>
      </c>
      <c r="AQ254" s="47">
        <f t="shared" si="180"/>
        <v>2</v>
      </c>
      <c r="AR254" s="47">
        <f t="shared" si="180"/>
        <v>0</v>
      </c>
      <c r="AS254" s="113" t="s">
        <v>82</v>
      </c>
      <c r="AT254" s="47">
        <f t="shared" ref="AT254:BE254" si="181">SUM(AT248:AT253)</f>
        <v>2</v>
      </c>
      <c r="AU254" s="45">
        <f t="shared" si="181"/>
        <v>4</v>
      </c>
      <c r="AV254" s="40">
        <f t="shared" si="181"/>
        <v>1</v>
      </c>
      <c r="AW254" s="13">
        <f t="shared" si="181"/>
        <v>0</v>
      </c>
      <c r="AX254" s="47">
        <f t="shared" si="181"/>
        <v>0</v>
      </c>
      <c r="AY254" s="47">
        <f t="shared" si="181"/>
        <v>0</v>
      </c>
      <c r="AZ254" s="47">
        <f t="shared" si="181"/>
        <v>0</v>
      </c>
      <c r="BA254" s="47">
        <f t="shared" si="181"/>
        <v>1</v>
      </c>
      <c r="BB254" s="47">
        <f t="shared" si="181"/>
        <v>1</v>
      </c>
      <c r="BC254" s="45">
        <f t="shared" si="181"/>
        <v>2</v>
      </c>
      <c r="BD254" s="40">
        <f t="shared" si="181"/>
        <v>1</v>
      </c>
      <c r="BE254" s="13">
        <f t="shared" si="181"/>
        <v>0</v>
      </c>
      <c r="BF254" s="14">
        <f>SUM(BF250:BF253)</f>
        <v>8</v>
      </c>
      <c r="BG254" s="15">
        <f>SUM(BG250:BG253)</f>
        <v>1</v>
      </c>
      <c r="BH254" s="16"/>
      <c r="BI254" s="15"/>
    </row>
    <row r="255" spans="1:61" ht="21.75" customHeight="1">
      <c r="A255" s="8" t="s">
        <v>64</v>
      </c>
      <c r="B255" s="32" t="s">
        <v>59</v>
      </c>
      <c r="C255" s="14">
        <v>0</v>
      </c>
      <c r="D255" s="32">
        <v>1</v>
      </c>
      <c r="E255" s="32">
        <v>2</v>
      </c>
      <c r="F255" s="32">
        <v>2</v>
      </c>
      <c r="G255" s="32" t="s">
        <v>59</v>
      </c>
      <c r="H255" s="32">
        <v>0</v>
      </c>
      <c r="I255" s="32">
        <v>0</v>
      </c>
      <c r="J255" s="32">
        <v>1</v>
      </c>
      <c r="K255" s="23">
        <f>SUM(B255:J255)</f>
        <v>6</v>
      </c>
      <c r="L255" s="35">
        <f>K255/(K254+K255+K256)</f>
        <v>9.5238095238095233E-2</v>
      </c>
      <c r="M255" s="35">
        <f>K255/(K257)</f>
        <v>9.5238095238095233E-2</v>
      </c>
      <c r="N255" s="37"/>
      <c r="O255" s="35"/>
      <c r="P255" s="13"/>
      <c r="Q255" s="52">
        <v>0</v>
      </c>
      <c r="R255" s="14">
        <v>0</v>
      </c>
      <c r="S255" s="14">
        <v>1</v>
      </c>
      <c r="T255" s="38">
        <f>SUM(Q255:S255)</f>
        <v>1</v>
      </c>
      <c r="U255" s="15">
        <f>T255/T257</f>
        <v>8.3333333333333329E-2</v>
      </c>
      <c r="V255" s="13"/>
      <c r="W255" s="52">
        <v>0</v>
      </c>
      <c r="X255" s="52">
        <v>0</v>
      </c>
      <c r="Y255" s="52">
        <v>0</v>
      </c>
      <c r="Z255" s="114" t="s">
        <v>82</v>
      </c>
      <c r="AA255" s="52">
        <v>1</v>
      </c>
      <c r="AB255" s="52">
        <v>0</v>
      </c>
      <c r="AC255" s="51">
        <f>SUM(W255:AB255)</f>
        <v>1</v>
      </c>
      <c r="AD255" s="15">
        <f>AC255/AC257</f>
        <v>5.2631578947368418E-2</v>
      </c>
      <c r="AE255" s="13"/>
      <c r="AF255" s="52">
        <v>0</v>
      </c>
      <c r="AG255" s="52">
        <v>1</v>
      </c>
      <c r="AH255" s="103" t="s">
        <v>82</v>
      </c>
      <c r="AI255" s="52">
        <v>1</v>
      </c>
      <c r="AJ255" s="52">
        <v>0</v>
      </c>
      <c r="AK255" s="52">
        <v>0</v>
      </c>
      <c r="AL255" s="49">
        <f>SUM(AF255:AK255)</f>
        <v>2</v>
      </c>
      <c r="AM255" s="15">
        <f>AL255/AL257</f>
        <v>8.3333333333333329E-2</v>
      </c>
      <c r="AN255" s="13"/>
      <c r="AO255" s="52">
        <v>0</v>
      </c>
      <c r="AP255" s="52">
        <v>1</v>
      </c>
      <c r="AQ255" s="52">
        <v>0</v>
      </c>
      <c r="AR255" s="52">
        <v>0</v>
      </c>
      <c r="AS255" s="103" t="s">
        <v>82</v>
      </c>
      <c r="AT255" s="52">
        <v>0</v>
      </c>
      <c r="AU255" s="51">
        <f>SUM(AO255:AT255)</f>
        <v>1</v>
      </c>
      <c r="AV255" s="15">
        <f>AU255/AU257</f>
        <v>0.2</v>
      </c>
      <c r="AW255" s="13"/>
      <c r="AX255" s="52">
        <v>0</v>
      </c>
      <c r="AY255" s="52">
        <v>1</v>
      </c>
      <c r="AZ255" s="52"/>
      <c r="BA255" s="52">
        <v>0</v>
      </c>
      <c r="BB255" s="52">
        <v>0</v>
      </c>
      <c r="BC255" s="51">
        <f>SUM(AX255:BB255)</f>
        <v>1</v>
      </c>
      <c r="BD255" s="15">
        <f>BC255/BC257</f>
        <v>0.33333333333333331</v>
      </c>
      <c r="BE255" s="13"/>
      <c r="BF255" s="38"/>
      <c r="BG255" s="42"/>
      <c r="BH255" s="42"/>
      <c r="BI255" s="42"/>
    </row>
    <row r="256" spans="1:61" ht="21.75" customHeight="1">
      <c r="A256" s="8" t="s">
        <v>65</v>
      </c>
      <c r="B256" s="32" t="s">
        <v>59</v>
      </c>
      <c r="C256" s="45">
        <v>0</v>
      </c>
      <c r="D256" s="32">
        <v>0</v>
      </c>
      <c r="E256" s="32">
        <v>0</v>
      </c>
      <c r="F256" s="32">
        <v>0</v>
      </c>
      <c r="G256" s="32" t="s">
        <v>59</v>
      </c>
      <c r="H256" s="32">
        <v>0</v>
      </c>
      <c r="I256" s="32">
        <v>0</v>
      </c>
      <c r="J256" s="32">
        <v>0</v>
      </c>
      <c r="K256" s="23">
        <f>SUM(B256:J256)</f>
        <v>0</v>
      </c>
      <c r="L256" s="35">
        <f>K256/(K255+K256+K254)</f>
        <v>0</v>
      </c>
      <c r="M256" s="35">
        <f>K256/(K257)</f>
        <v>0</v>
      </c>
      <c r="N256" s="23"/>
      <c r="O256" s="35"/>
      <c r="P256" s="13"/>
      <c r="Q256" s="14">
        <v>0</v>
      </c>
      <c r="R256" s="14">
        <v>0</v>
      </c>
      <c r="S256" s="14">
        <v>0</v>
      </c>
      <c r="T256" s="38">
        <f>SUM(Q256:S256)</f>
        <v>0</v>
      </c>
      <c r="U256" s="15">
        <f>T256/T257</f>
        <v>0</v>
      </c>
      <c r="V256" s="13"/>
      <c r="W256" s="14">
        <v>0</v>
      </c>
      <c r="X256" s="14">
        <v>0</v>
      </c>
      <c r="Y256" s="14">
        <v>0</v>
      </c>
      <c r="Z256" s="33" t="s">
        <v>82</v>
      </c>
      <c r="AA256" s="14">
        <v>0</v>
      </c>
      <c r="AB256" s="45">
        <v>0</v>
      </c>
      <c r="AC256" s="38">
        <f>SUM(W256:AB256)</f>
        <v>0</v>
      </c>
      <c r="AD256" s="15">
        <f>AC256/AC257</f>
        <v>0</v>
      </c>
      <c r="AE256" s="13"/>
      <c r="AF256" s="14">
        <v>0</v>
      </c>
      <c r="AG256" s="14">
        <v>0</v>
      </c>
      <c r="AH256" s="9" t="s">
        <v>82</v>
      </c>
      <c r="AI256" s="14">
        <v>0</v>
      </c>
      <c r="AJ256" s="14">
        <v>0</v>
      </c>
      <c r="AK256" s="14">
        <v>0</v>
      </c>
      <c r="AL256" s="14">
        <f>SUM(AF256:AK256)</f>
        <v>0</v>
      </c>
      <c r="AM256" s="15">
        <f>AL256/AL257</f>
        <v>0</v>
      </c>
      <c r="AN256" s="13"/>
      <c r="AO256" s="14">
        <v>0</v>
      </c>
      <c r="AP256" s="14">
        <v>0</v>
      </c>
      <c r="AQ256" s="14">
        <v>0</v>
      </c>
      <c r="AR256" s="14">
        <v>0</v>
      </c>
      <c r="AS256" s="9" t="s">
        <v>82</v>
      </c>
      <c r="AT256" s="45">
        <v>0</v>
      </c>
      <c r="AU256" s="38">
        <f>SUM(AO256:AT256)</f>
        <v>0</v>
      </c>
      <c r="AV256" s="15">
        <f>AU256/AU257</f>
        <v>0</v>
      </c>
      <c r="AW256" s="13"/>
      <c r="AX256" s="14">
        <v>0</v>
      </c>
      <c r="AY256" s="14">
        <v>0</v>
      </c>
      <c r="AZ256" s="14"/>
      <c r="BA256" s="14">
        <v>0</v>
      </c>
      <c r="BB256" s="14">
        <v>0</v>
      </c>
      <c r="BC256" s="38">
        <f>SUM(AX256:BB256)</f>
        <v>0</v>
      </c>
      <c r="BD256" s="15">
        <f>BC256/BC257</f>
        <v>0</v>
      </c>
      <c r="BE256" s="13"/>
      <c r="BF256" s="38"/>
      <c r="BG256" s="42"/>
      <c r="BH256" s="42"/>
      <c r="BI256" s="42"/>
    </row>
    <row r="257" spans="1:61" ht="21.75" customHeight="1">
      <c r="A257" s="39" t="s">
        <v>66</v>
      </c>
      <c r="B257" s="32" t="s">
        <v>59</v>
      </c>
      <c r="C257" s="51">
        <f>SUM(C254:C256)</f>
        <v>4</v>
      </c>
      <c r="D257" s="32">
        <f>SUM(D254:D256)</f>
        <v>12</v>
      </c>
      <c r="E257" s="32">
        <f>SUM(E254:E256)</f>
        <v>11</v>
      </c>
      <c r="F257" s="32">
        <f>SUM(F254:F256)</f>
        <v>10</v>
      </c>
      <c r="G257" s="32" t="s">
        <v>59</v>
      </c>
      <c r="H257" s="32">
        <f>SUM(H254:H256)</f>
        <v>5</v>
      </c>
      <c r="I257" s="32">
        <f>SUM(I254:I256)</f>
        <v>10</v>
      </c>
      <c r="J257" s="32">
        <f>SUM(J254:J256)</f>
        <v>11</v>
      </c>
      <c r="K257" s="23">
        <f>SUM(B257:J257)</f>
        <v>63</v>
      </c>
      <c r="L257" s="35">
        <f>K257/(K256+K255+K254)</f>
        <v>1</v>
      </c>
      <c r="M257" s="35">
        <f>K257/(K254+K255+K256)</f>
        <v>1</v>
      </c>
      <c r="N257" s="37">
        <f>T257+AC257+AL257+AU257</f>
        <v>60</v>
      </c>
      <c r="O257" s="35">
        <f>N257/K257</f>
        <v>0.95238095238095233</v>
      </c>
      <c r="P257" s="13"/>
      <c r="Q257" s="38">
        <f>SUM(Q254:Q256)</f>
        <v>6</v>
      </c>
      <c r="R257" s="38">
        <f>SUM(R254:R256)</f>
        <v>5</v>
      </c>
      <c r="S257" s="38">
        <f>SUM(S254:S256)</f>
        <v>1</v>
      </c>
      <c r="T257" s="38">
        <f>SUM(Q257:S257)</f>
        <v>12</v>
      </c>
      <c r="U257" s="40">
        <f>T257/(T254+T255+T256)</f>
        <v>1</v>
      </c>
      <c r="V257" s="13"/>
      <c r="W257" s="38">
        <f>SUM(W254:W256)</f>
        <v>4</v>
      </c>
      <c r="X257" s="38">
        <f>SUM(X254:X256)</f>
        <v>4</v>
      </c>
      <c r="Y257" s="38">
        <f>SUM(Y254:Y256)</f>
        <v>5</v>
      </c>
      <c r="Z257" s="33" t="s">
        <v>82</v>
      </c>
      <c r="AA257" s="38">
        <f>SUM(AA254:AA256)</f>
        <v>5</v>
      </c>
      <c r="AB257" s="51">
        <f>SUM(AB254:AB256)</f>
        <v>1</v>
      </c>
      <c r="AC257" s="38">
        <f>SUM(W257:AB257)</f>
        <v>19</v>
      </c>
      <c r="AD257" s="40">
        <f>AC257/(AC254+AC255+AC256)</f>
        <v>1</v>
      </c>
      <c r="AE257" s="13"/>
      <c r="AF257" s="38">
        <f>SUM(AF254:AF256)</f>
        <v>4</v>
      </c>
      <c r="AG257" s="38">
        <f>SUM(AG254:AG256)</f>
        <v>5</v>
      </c>
      <c r="AH257" s="9" t="s">
        <v>82</v>
      </c>
      <c r="AI257" s="38">
        <f>SUM(AI254:AI256)</f>
        <v>5</v>
      </c>
      <c r="AJ257" s="38">
        <f>SUM(AJ254:AJ256)</f>
        <v>1</v>
      </c>
      <c r="AK257" s="38">
        <f>SUM(AK254:AK256)</f>
        <v>9</v>
      </c>
      <c r="AL257" s="38">
        <f>SUM(AF257:AK257)</f>
        <v>24</v>
      </c>
      <c r="AM257" s="41">
        <f>AL257/(AL254+AL255+AL256)</f>
        <v>1</v>
      </c>
      <c r="AN257" s="13"/>
      <c r="AO257" s="38">
        <f>SUM(AO254:AO256)</f>
        <v>0</v>
      </c>
      <c r="AP257" s="38">
        <f>SUM(AP254:AP256)</f>
        <v>1</v>
      </c>
      <c r="AQ257" s="38">
        <f>SUM(AQ254:AQ256)</f>
        <v>2</v>
      </c>
      <c r="AR257" s="38">
        <f>SUM(AR254:AR256)</f>
        <v>0</v>
      </c>
      <c r="AS257" s="9" t="s">
        <v>82</v>
      </c>
      <c r="AT257" s="51">
        <f>SUM(AT254:AT256)</f>
        <v>2</v>
      </c>
      <c r="AU257" s="38">
        <f>SUM(AO257:AT257)</f>
        <v>5</v>
      </c>
      <c r="AV257" s="40">
        <f>AU257/(AU254+AU255+AU256)</f>
        <v>1</v>
      </c>
      <c r="AW257" s="13"/>
      <c r="AX257" s="38">
        <f>SUM(AX254:AX256)</f>
        <v>0</v>
      </c>
      <c r="AY257" s="38">
        <f>SUM(AY254:AY256)</f>
        <v>1</v>
      </c>
      <c r="AZ257" s="38">
        <f>SUM(AZ254:AZ256)</f>
        <v>0</v>
      </c>
      <c r="BA257" s="38">
        <f>SUM(BA254:BA256)</f>
        <v>1</v>
      </c>
      <c r="BB257" s="38">
        <f>SUM(BB254:BB256)</f>
        <v>1</v>
      </c>
      <c r="BC257" s="38">
        <f>SUM(AX257:BB257)</f>
        <v>3</v>
      </c>
      <c r="BD257" s="40">
        <f>BC257/(BC254+BC255+BC256)</f>
        <v>1</v>
      </c>
      <c r="BE257" s="13"/>
      <c r="BF257" s="38"/>
      <c r="BG257" s="42"/>
      <c r="BH257" s="42"/>
      <c r="BI257" s="42"/>
    </row>
    <row r="258" spans="1:61" ht="44.25" customHeight="1">
      <c r="A258" s="53" t="s">
        <v>148</v>
      </c>
      <c r="B258" s="181" t="s">
        <v>143</v>
      </c>
      <c r="C258" s="182"/>
      <c r="D258" s="182"/>
      <c r="E258" s="182"/>
      <c r="F258" s="182"/>
      <c r="G258" s="22"/>
      <c r="H258" s="22"/>
      <c r="I258" s="22"/>
      <c r="J258" s="22"/>
      <c r="K258" s="21"/>
      <c r="L258" s="24"/>
      <c r="M258" s="24"/>
      <c r="N258" s="26"/>
      <c r="O258" s="24"/>
      <c r="P258" s="27"/>
      <c r="Q258" s="28"/>
      <c r="R258" s="28"/>
      <c r="S258" s="28"/>
      <c r="T258" s="26"/>
      <c r="U258" s="24"/>
      <c r="V258" s="27"/>
      <c r="W258" s="28"/>
      <c r="X258" s="28"/>
      <c r="Y258" s="28"/>
      <c r="Z258" s="28"/>
      <c r="AA258" s="28"/>
      <c r="AB258" s="28"/>
      <c r="AC258" s="26"/>
      <c r="AD258" s="24"/>
      <c r="AE258" s="27"/>
      <c r="AF258" s="28"/>
      <c r="AG258" s="28"/>
      <c r="AH258" s="28"/>
      <c r="AI258" s="28"/>
      <c r="AJ258" s="28"/>
      <c r="AK258" s="28"/>
      <c r="AL258" s="26"/>
      <c r="AM258" s="29"/>
      <c r="AN258" s="27"/>
      <c r="AO258" s="26"/>
      <c r="AP258" s="26"/>
      <c r="AQ258" s="26"/>
      <c r="AR258" s="26"/>
      <c r="AS258" s="26"/>
      <c r="AT258" s="26"/>
      <c r="AU258" s="26"/>
      <c r="AV258" s="24"/>
      <c r="AW258" s="27"/>
      <c r="AX258" s="26"/>
      <c r="AY258" s="26"/>
      <c r="AZ258" s="26"/>
      <c r="BA258" s="26"/>
      <c r="BB258" s="26"/>
      <c r="BC258" s="26"/>
      <c r="BD258" s="24"/>
      <c r="BE258" s="27"/>
      <c r="BF258" s="26"/>
      <c r="BG258" s="22"/>
      <c r="BH258" s="21"/>
      <c r="BI258" s="22"/>
    </row>
    <row r="259" spans="1:61" ht="32.5" customHeight="1">
      <c r="A259" s="16"/>
      <c r="B259" s="30" t="s">
        <v>0</v>
      </c>
      <c r="C259" s="30" t="s">
        <v>1</v>
      </c>
      <c r="D259" s="30" t="s">
        <v>2</v>
      </c>
      <c r="E259" s="30" t="s">
        <v>3</v>
      </c>
      <c r="F259" s="30" t="s">
        <v>4</v>
      </c>
      <c r="G259" s="30" t="s">
        <v>5</v>
      </c>
      <c r="H259" s="30" t="s">
        <v>68</v>
      </c>
      <c r="I259" s="30" t="s">
        <v>7</v>
      </c>
      <c r="J259" s="30" t="s">
        <v>8</v>
      </c>
      <c r="K259" s="10" t="s">
        <v>9</v>
      </c>
      <c r="L259" s="10" t="s">
        <v>56</v>
      </c>
      <c r="M259" s="20"/>
      <c r="N259" s="37"/>
      <c r="O259" s="35"/>
      <c r="P259" s="13"/>
      <c r="Q259" s="38"/>
      <c r="R259" s="38"/>
      <c r="S259" s="38"/>
      <c r="T259" s="110"/>
      <c r="U259" s="40"/>
      <c r="V259" s="13"/>
      <c r="W259" s="30" t="s">
        <v>15</v>
      </c>
      <c r="X259" s="30" t="s">
        <v>20</v>
      </c>
      <c r="Y259" s="30" t="s">
        <v>21</v>
      </c>
      <c r="Z259" s="30" t="s">
        <v>22</v>
      </c>
      <c r="AA259" s="30" t="s">
        <v>23</v>
      </c>
      <c r="AB259" s="30" t="s">
        <v>24</v>
      </c>
      <c r="AC259" s="110"/>
      <c r="AD259" s="40"/>
      <c r="AE259" s="13"/>
      <c r="AF259" s="30" t="s">
        <v>20</v>
      </c>
      <c r="AG259" s="30" t="s">
        <v>21</v>
      </c>
      <c r="AH259" s="30" t="s">
        <v>22</v>
      </c>
      <c r="AI259" s="30" t="s">
        <v>23</v>
      </c>
      <c r="AJ259" s="30" t="s">
        <v>24</v>
      </c>
      <c r="AK259" s="30" t="s">
        <v>28</v>
      </c>
      <c r="AL259" s="110"/>
      <c r="AM259" s="41"/>
      <c r="AN259" s="13"/>
      <c r="AO259" s="30" t="s">
        <v>15</v>
      </c>
      <c r="AP259" s="30" t="s">
        <v>20</v>
      </c>
      <c r="AQ259" s="30" t="s">
        <v>21</v>
      </c>
      <c r="AR259" s="30" t="s">
        <v>16</v>
      </c>
      <c r="AS259" s="30" t="s">
        <v>22</v>
      </c>
      <c r="AT259" s="30" t="s">
        <v>24</v>
      </c>
      <c r="AU259" s="110"/>
      <c r="AV259" s="40"/>
      <c r="AW259" s="13"/>
      <c r="AX259" s="30" t="s">
        <v>15</v>
      </c>
      <c r="AY259" s="30" t="s">
        <v>20</v>
      </c>
      <c r="AZ259" s="30" t="s">
        <v>22</v>
      </c>
      <c r="BA259" s="30" t="s">
        <v>24</v>
      </c>
      <c r="BB259" s="30" t="s">
        <v>28</v>
      </c>
      <c r="BC259" s="110"/>
      <c r="BD259" s="40"/>
      <c r="BE259" s="13"/>
      <c r="BF259" s="38"/>
      <c r="BG259" s="32"/>
      <c r="BH259" s="32"/>
      <c r="BI259" s="32"/>
    </row>
    <row r="260" spans="1:61" ht="56.75" customHeight="1">
      <c r="A260" s="10" t="s">
        <v>149</v>
      </c>
      <c r="B260" s="32">
        <v>1</v>
      </c>
      <c r="C260" s="32" t="s">
        <v>59</v>
      </c>
      <c r="D260" s="32" t="s">
        <v>59</v>
      </c>
      <c r="E260" s="32" t="s">
        <v>59</v>
      </c>
      <c r="F260" s="32" t="s">
        <v>59</v>
      </c>
      <c r="G260" s="32">
        <v>2</v>
      </c>
      <c r="H260" s="32" t="s">
        <v>59</v>
      </c>
      <c r="I260" s="32" t="s">
        <v>59</v>
      </c>
      <c r="J260" s="32" t="s">
        <v>59</v>
      </c>
      <c r="K260" s="23">
        <f t="shared" ref="K260:K266" si="182">SUM(B260:J260)</f>
        <v>3</v>
      </c>
      <c r="L260" s="35">
        <f>K260/K263</f>
        <v>0.15789473684210525</v>
      </c>
      <c r="M260" s="35">
        <f>K260/K266</f>
        <v>0.15789473684210525</v>
      </c>
      <c r="N260" s="37"/>
      <c r="O260" s="35"/>
      <c r="P260" s="13"/>
      <c r="Q260" s="9" t="s">
        <v>82</v>
      </c>
      <c r="R260" s="9" t="s">
        <v>82</v>
      </c>
      <c r="S260" s="16"/>
      <c r="T260" s="14">
        <f>SUM(Q260:S260)</f>
        <v>0</v>
      </c>
      <c r="U260" s="40"/>
      <c r="V260" s="13"/>
      <c r="W260" s="9" t="s">
        <v>82</v>
      </c>
      <c r="X260" s="9" t="s">
        <v>82</v>
      </c>
      <c r="Y260" s="9" t="s">
        <v>82</v>
      </c>
      <c r="Z260" s="14">
        <v>0</v>
      </c>
      <c r="AA260" s="9" t="s">
        <v>82</v>
      </c>
      <c r="AB260" s="9" t="s">
        <v>82</v>
      </c>
      <c r="AC260" s="14">
        <f>SUM(W260:AB260)</f>
        <v>0</v>
      </c>
      <c r="AD260" s="40"/>
      <c r="AE260" s="13"/>
      <c r="AF260" s="9" t="s">
        <v>82</v>
      </c>
      <c r="AG260" s="9" t="s">
        <v>82</v>
      </c>
      <c r="AH260" s="14">
        <v>2</v>
      </c>
      <c r="AI260" s="9" t="s">
        <v>82</v>
      </c>
      <c r="AJ260" s="9" t="s">
        <v>82</v>
      </c>
      <c r="AK260" s="9" t="s">
        <v>82</v>
      </c>
      <c r="AL260" s="14">
        <f>SUM(AF260:AK260)</f>
        <v>2</v>
      </c>
      <c r="AM260" s="41">
        <f>AL260/AL263</f>
        <v>0.66666666666666663</v>
      </c>
      <c r="AN260" s="13"/>
      <c r="AO260" s="9" t="s">
        <v>82</v>
      </c>
      <c r="AP260" s="9" t="s">
        <v>82</v>
      </c>
      <c r="AQ260" s="9" t="s">
        <v>82</v>
      </c>
      <c r="AR260" s="9" t="s">
        <v>82</v>
      </c>
      <c r="AS260" s="33">
        <v>0</v>
      </c>
      <c r="AT260" s="9" t="s">
        <v>82</v>
      </c>
      <c r="AU260" s="14">
        <f>SUM(AO260:AT260)</f>
        <v>0</v>
      </c>
      <c r="AV260" s="40">
        <f>AU260/AU263</f>
        <v>0</v>
      </c>
      <c r="AW260" s="13"/>
      <c r="AX260" s="9" t="s">
        <v>82</v>
      </c>
      <c r="AY260" s="9" t="s">
        <v>82</v>
      </c>
      <c r="AZ260" s="33">
        <v>0</v>
      </c>
      <c r="BA260" s="9" t="s">
        <v>82</v>
      </c>
      <c r="BB260" s="9" t="s">
        <v>82</v>
      </c>
      <c r="BC260" s="14">
        <f>SUM(AX260:BB260)</f>
        <v>0</v>
      </c>
      <c r="BD260" s="40" t="e">
        <f>BC260/BC263</f>
        <v>#DIV/0!</v>
      </c>
      <c r="BE260" s="13"/>
      <c r="BF260" s="38"/>
      <c r="BG260" s="42"/>
      <c r="BH260" s="42"/>
      <c r="BI260" s="42"/>
    </row>
    <row r="261" spans="1:61" ht="56.75" customHeight="1">
      <c r="A261" s="10" t="s">
        <v>150</v>
      </c>
      <c r="B261" s="32">
        <v>8</v>
      </c>
      <c r="C261" s="32" t="s">
        <v>59</v>
      </c>
      <c r="D261" s="32" t="s">
        <v>59</v>
      </c>
      <c r="E261" s="32" t="s">
        <v>59</v>
      </c>
      <c r="F261" s="32" t="s">
        <v>59</v>
      </c>
      <c r="G261" s="32">
        <v>6</v>
      </c>
      <c r="H261" s="32" t="s">
        <v>59</v>
      </c>
      <c r="I261" s="32" t="s">
        <v>59</v>
      </c>
      <c r="J261" s="32" t="s">
        <v>59</v>
      </c>
      <c r="K261" s="23">
        <f t="shared" si="182"/>
        <v>14</v>
      </c>
      <c r="L261" s="35">
        <f>K261/K263</f>
        <v>0.73684210526315785</v>
      </c>
      <c r="M261" s="35">
        <f>K261/K266</f>
        <v>0.73684210526315785</v>
      </c>
      <c r="N261" s="37"/>
      <c r="O261" s="35"/>
      <c r="P261" s="13"/>
      <c r="Q261" s="9" t="s">
        <v>82</v>
      </c>
      <c r="R261" s="9" t="s">
        <v>82</v>
      </c>
      <c r="S261" s="16"/>
      <c r="T261" s="14">
        <f>SUM(Q261:S261)</f>
        <v>0</v>
      </c>
      <c r="U261" s="40"/>
      <c r="V261" s="13"/>
      <c r="W261" s="9" t="s">
        <v>82</v>
      </c>
      <c r="X261" s="9" t="s">
        <v>82</v>
      </c>
      <c r="Y261" s="9" t="s">
        <v>82</v>
      </c>
      <c r="Z261" s="14">
        <v>2</v>
      </c>
      <c r="AA261" s="9" t="s">
        <v>82</v>
      </c>
      <c r="AB261" s="9" t="s">
        <v>82</v>
      </c>
      <c r="AC261" s="14">
        <f>SUM(W261:AB261)</f>
        <v>2</v>
      </c>
      <c r="AD261" s="40"/>
      <c r="AE261" s="13"/>
      <c r="AF261" s="9" t="s">
        <v>82</v>
      </c>
      <c r="AG261" s="9" t="s">
        <v>82</v>
      </c>
      <c r="AH261" s="14">
        <v>1</v>
      </c>
      <c r="AI261" s="9" t="s">
        <v>82</v>
      </c>
      <c r="AJ261" s="9" t="s">
        <v>82</v>
      </c>
      <c r="AK261" s="9" t="s">
        <v>82</v>
      </c>
      <c r="AL261" s="14">
        <f>SUM(AF261:AK261)</f>
        <v>1</v>
      </c>
      <c r="AM261" s="41">
        <f>AL261/AL263</f>
        <v>0.33333333333333331</v>
      </c>
      <c r="AN261" s="13"/>
      <c r="AO261" s="9" t="s">
        <v>82</v>
      </c>
      <c r="AP261" s="9" t="s">
        <v>82</v>
      </c>
      <c r="AQ261" s="9" t="s">
        <v>82</v>
      </c>
      <c r="AR261" s="9" t="s">
        <v>82</v>
      </c>
      <c r="AS261" s="33">
        <v>3</v>
      </c>
      <c r="AT261" s="9" t="s">
        <v>82</v>
      </c>
      <c r="AU261" s="14">
        <f>SUM(AO261:AT261)</f>
        <v>3</v>
      </c>
      <c r="AV261" s="40">
        <f>AU261/AU263</f>
        <v>1</v>
      </c>
      <c r="AW261" s="13"/>
      <c r="AX261" s="9" t="s">
        <v>82</v>
      </c>
      <c r="AY261" s="9" t="s">
        <v>82</v>
      </c>
      <c r="AZ261" s="33">
        <v>0</v>
      </c>
      <c r="BA261" s="9" t="s">
        <v>82</v>
      </c>
      <c r="BB261" s="9" t="s">
        <v>82</v>
      </c>
      <c r="BC261" s="14">
        <f>SUM(AX261:BB261)</f>
        <v>0</v>
      </c>
      <c r="BD261" s="40" t="e">
        <f>BC261/BC263</f>
        <v>#DIV/0!</v>
      </c>
      <c r="BE261" s="13"/>
      <c r="BF261" s="38"/>
      <c r="BG261" s="42"/>
      <c r="BH261" s="42"/>
      <c r="BI261" s="42"/>
    </row>
    <row r="262" spans="1:61" ht="56.75" customHeight="1">
      <c r="A262" s="10" t="s">
        <v>151</v>
      </c>
      <c r="B262" s="32">
        <v>2</v>
      </c>
      <c r="C262" s="32" t="s">
        <v>59</v>
      </c>
      <c r="D262" s="32" t="s">
        <v>59</v>
      </c>
      <c r="E262" s="32" t="s">
        <v>59</v>
      </c>
      <c r="F262" s="32" t="s">
        <v>59</v>
      </c>
      <c r="G262" s="32">
        <v>0</v>
      </c>
      <c r="H262" s="32" t="s">
        <v>59</v>
      </c>
      <c r="I262" s="32" t="s">
        <v>59</v>
      </c>
      <c r="J262" s="32" t="s">
        <v>59</v>
      </c>
      <c r="K262" s="23">
        <f t="shared" si="182"/>
        <v>2</v>
      </c>
      <c r="L262" s="35">
        <f>K262/K263</f>
        <v>0.10526315789473684</v>
      </c>
      <c r="M262" s="35">
        <f>K262/K266</f>
        <v>0.10526315789473684</v>
      </c>
      <c r="N262" s="37"/>
      <c r="O262" s="35"/>
      <c r="P262" s="13"/>
      <c r="Q262" s="9" t="s">
        <v>82</v>
      </c>
      <c r="R262" s="9" t="s">
        <v>82</v>
      </c>
      <c r="S262" s="16"/>
      <c r="T262" s="14">
        <f>SUM(Q262:S262)</f>
        <v>0</v>
      </c>
      <c r="U262" s="40"/>
      <c r="V262" s="13"/>
      <c r="W262" s="9" t="s">
        <v>82</v>
      </c>
      <c r="X262" s="9" t="s">
        <v>82</v>
      </c>
      <c r="Y262" s="9" t="s">
        <v>82</v>
      </c>
      <c r="Z262" s="14">
        <v>0</v>
      </c>
      <c r="AA262" s="9" t="s">
        <v>82</v>
      </c>
      <c r="AB262" s="9" t="s">
        <v>82</v>
      </c>
      <c r="AC262" s="14">
        <f>SUM(W262:AB262)</f>
        <v>0</v>
      </c>
      <c r="AD262" s="40"/>
      <c r="AE262" s="13"/>
      <c r="AF262" s="9" t="s">
        <v>82</v>
      </c>
      <c r="AG262" s="9" t="s">
        <v>82</v>
      </c>
      <c r="AH262" s="14">
        <v>0</v>
      </c>
      <c r="AI262" s="9" t="s">
        <v>82</v>
      </c>
      <c r="AJ262" s="9" t="s">
        <v>82</v>
      </c>
      <c r="AK262" s="9" t="s">
        <v>82</v>
      </c>
      <c r="AL262" s="14">
        <f>SUM(AF262:AK262)</f>
        <v>0</v>
      </c>
      <c r="AM262" s="41">
        <f>AL262/AL263</f>
        <v>0</v>
      </c>
      <c r="AN262" s="13"/>
      <c r="AO262" s="9" t="s">
        <v>82</v>
      </c>
      <c r="AP262" s="9" t="s">
        <v>82</v>
      </c>
      <c r="AQ262" s="9" t="s">
        <v>82</v>
      </c>
      <c r="AR262" s="9" t="s">
        <v>82</v>
      </c>
      <c r="AS262" s="33">
        <v>0</v>
      </c>
      <c r="AT262" s="9" t="s">
        <v>82</v>
      </c>
      <c r="AU262" s="14">
        <f>SUM(AO262:AT262)</f>
        <v>0</v>
      </c>
      <c r="AV262" s="40">
        <f>AU262/AU263</f>
        <v>0</v>
      </c>
      <c r="AW262" s="13"/>
      <c r="AX262" s="9" t="s">
        <v>82</v>
      </c>
      <c r="AY262" s="9" t="s">
        <v>82</v>
      </c>
      <c r="AZ262" s="33">
        <v>0</v>
      </c>
      <c r="BA262" s="9" t="s">
        <v>82</v>
      </c>
      <c r="BB262" s="9" t="s">
        <v>82</v>
      </c>
      <c r="BC262" s="14">
        <f>SUM(AX262:BB262)</f>
        <v>0</v>
      </c>
      <c r="BD262" s="40" t="e">
        <f>BC262/BC263</f>
        <v>#DIV/0!</v>
      </c>
      <c r="BE262" s="13"/>
      <c r="BF262" s="38"/>
      <c r="BG262" s="42"/>
      <c r="BH262" s="42"/>
      <c r="BI262" s="42"/>
    </row>
    <row r="263" spans="1:61" ht="21.75" customHeight="1">
      <c r="A263" s="10" t="s">
        <v>9</v>
      </c>
      <c r="B263" s="32">
        <f>SUM(B260:B262)</f>
        <v>11</v>
      </c>
      <c r="C263" s="32" t="s">
        <v>59</v>
      </c>
      <c r="D263" s="32" t="s">
        <v>59</v>
      </c>
      <c r="E263" s="32" t="s">
        <v>59</v>
      </c>
      <c r="F263" s="32" t="s">
        <v>59</v>
      </c>
      <c r="G263" s="32">
        <f>SUM(G260:G262)</f>
        <v>8</v>
      </c>
      <c r="H263" s="32" t="s">
        <v>59</v>
      </c>
      <c r="I263" s="32" t="s">
        <v>59</v>
      </c>
      <c r="J263" s="32" t="s">
        <v>59</v>
      </c>
      <c r="K263" s="23">
        <f t="shared" si="182"/>
        <v>19</v>
      </c>
      <c r="L263" s="35">
        <f>SUM(L260:L262)</f>
        <v>0.99999999999999989</v>
      </c>
      <c r="M263" s="35">
        <f>K263/K266</f>
        <v>1</v>
      </c>
      <c r="N263" s="37">
        <f>T263+AC263+AL263+AU263</f>
        <v>8</v>
      </c>
      <c r="O263" s="35">
        <f>N263/K263</f>
        <v>0.42105263157894735</v>
      </c>
      <c r="P263" s="13"/>
      <c r="Q263" s="45">
        <f>SUM(Q260:Q262)</f>
        <v>0</v>
      </c>
      <c r="R263" s="46">
        <f>SUM(R260:R262)</f>
        <v>0</v>
      </c>
      <c r="S263" s="46">
        <f>SUM(S260:S262)</f>
        <v>0</v>
      </c>
      <c r="T263" s="14">
        <f>SUM(T260:T262)</f>
        <v>0</v>
      </c>
      <c r="U263" s="40"/>
      <c r="V263" s="13"/>
      <c r="W263" s="45">
        <f t="shared" ref="W263:AC263" si="183">SUM(W260:W262)</f>
        <v>0</v>
      </c>
      <c r="X263" s="45">
        <f t="shared" si="183"/>
        <v>0</v>
      </c>
      <c r="Y263" s="45">
        <f t="shared" si="183"/>
        <v>0</v>
      </c>
      <c r="Z263" s="45">
        <f t="shared" si="183"/>
        <v>2</v>
      </c>
      <c r="AA263" s="45">
        <f t="shared" si="183"/>
        <v>0</v>
      </c>
      <c r="AB263" s="45">
        <f t="shared" si="183"/>
        <v>0</v>
      </c>
      <c r="AC263" s="45">
        <f t="shared" si="183"/>
        <v>2</v>
      </c>
      <c r="AD263" s="40"/>
      <c r="AE263" s="13"/>
      <c r="AF263" s="45">
        <f t="shared" ref="AF263:AM263" si="184">SUM(AF260:AF262)</f>
        <v>0</v>
      </c>
      <c r="AG263" s="45">
        <f t="shared" si="184"/>
        <v>0</v>
      </c>
      <c r="AH263" s="45">
        <f t="shared" si="184"/>
        <v>3</v>
      </c>
      <c r="AI263" s="45">
        <f t="shared" si="184"/>
        <v>0</v>
      </c>
      <c r="AJ263" s="45">
        <f t="shared" si="184"/>
        <v>0</v>
      </c>
      <c r="AK263" s="45">
        <f t="shared" si="184"/>
        <v>0</v>
      </c>
      <c r="AL263" s="45">
        <f t="shared" si="184"/>
        <v>3</v>
      </c>
      <c r="AM263" s="41">
        <f t="shared" si="184"/>
        <v>1</v>
      </c>
      <c r="AN263" s="13"/>
      <c r="AO263" s="45">
        <f t="shared" ref="AO263:AV263" si="185">SUM(AO260:AO262)</f>
        <v>0</v>
      </c>
      <c r="AP263" s="45">
        <f t="shared" si="185"/>
        <v>0</v>
      </c>
      <c r="AQ263" s="45">
        <f t="shared" si="185"/>
        <v>0</v>
      </c>
      <c r="AR263" s="45">
        <f t="shared" si="185"/>
        <v>0</v>
      </c>
      <c r="AS263" s="45">
        <f t="shared" si="185"/>
        <v>3</v>
      </c>
      <c r="AT263" s="45">
        <f t="shared" si="185"/>
        <v>0</v>
      </c>
      <c r="AU263" s="45">
        <f t="shared" si="185"/>
        <v>3</v>
      </c>
      <c r="AV263" s="40">
        <f t="shared" si="185"/>
        <v>1</v>
      </c>
      <c r="AW263" s="13"/>
      <c r="AX263" s="45">
        <f t="shared" ref="AX263:BD263" si="186">SUM(AX260:AX262)</f>
        <v>0</v>
      </c>
      <c r="AY263" s="45">
        <f t="shared" si="186"/>
        <v>0</v>
      </c>
      <c r="AZ263" s="45">
        <f t="shared" si="186"/>
        <v>0</v>
      </c>
      <c r="BA263" s="45">
        <f t="shared" si="186"/>
        <v>0</v>
      </c>
      <c r="BB263" s="45">
        <f t="shared" si="186"/>
        <v>0</v>
      </c>
      <c r="BC263" s="45">
        <f t="shared" si="186"/>
        <v>0</v>
      </c>
      <c r="BD263" s="40" t="e">
        <f t="shared" si="186"/>
        <v>#DIV/0!</v>
      </c>
      <c r="BE263" s="13"/>
      <c r="BF263" s="38"/>
      <c r="BG263" s="42"/>
      <c r="BH263" s="42"/>
      <c r="BI263" s="42"/>
    </row>
    <row r="264" spans="1:61" ht="21.75" customHeight="1">
      <c r="A264" s="8" t="s">
        <v>64</v>
      </c>
      <c r="B264" s="32">
        <v>0</v>
      </c>
      <c r="C264" s="32" t="s">
        <v>59</v>
      </c>
      <c r="D264" s="32" t="s">
        <v>59</v>
      </c>
      <c r="E264" s="32" t="s">
        <v>59</v>
      </c>
      <c r="F264" s="32" t="s">
        <v>59</v>
      </c>
      <c r="G264" s="32">
        <v>0</v>
      </c>
      <c r="H264" s="32" t="s">
        <v>59</v>
      </c>
      <c r="I264" s="32" t="s">
        <v>59</v>
      </c>
      <c r="J264" s="32" t="s">
        <v>59</v>
      </c>
      <c r="K264" s="23">
        <f t="shared" si="182"/>
        <v>0</v>
      </c>
      <c r="L264" s="35">
        <f>K264/(K263+K264+K265)</f>
        <v>0</v>
      </c>
      <c r="M264" s="35">
        <f>K264/(K266)</f>
        <v>0</v>
      </c>
      <c r="N264" s="37"/>
      <c r="O264" s="35"/>
      <c r="P264" s="13"/>
      <c r="Q264" s="49"/>
      <c r="R264" s="50"/>
      <c r="S264" s="50"/>
      <c r="T264" s="38">
        <f>SUM(Q264:S264)</f>
        <v>0</v>
      </c>
      <c r="U264" s="15" t="e">
        <f>T264/T266</f>
        <v>#DIV/0!</v>
      </c>
      <c r="V264" s="13"/>
      <c r="W264" s="49"/>
      <c r="X264" s="49"/>
      <c r="Y264" s="49"/>
      <c r="Z264" s="49">
        <v>0</v>
      </c>
      <c r="AA264" s="49"/>
      <c r="AB264" s="49">
        <v>0</v>
      </c>
      <c r="AC264" s="51">
        <f>SUM(W264:AB264)</f>
        <v>0</v>
      </c>
      <c r="AD264" s="15">
        <f>AC264/AC266</f>
        <v>0</v>
      </c>
      <c r="AE264" s="13"/>
      <c r="AF264" s="58" t="s">
        <v>82</v>
      </c>
      <c r="AG264" s="58" t="s">
        <v>82</v>
      </c>
      <c r="AH264" s="49">
        <v>0</v>
      </c>
      <c r="AI264" s="58" t="s">
        <v>82</v>
      </c>
      <c r="AJ264" s="58" t="s">
        <v>82</v>
      </c>
      <c r="AK264" s="58" t="s">
        <v>82</v>
      </c>
      <c r="AL264" s="49">
        <f>SUM(AF264:AK264)</f>
        <v>0</v>
      </c>
      <c r="AM264" s="15">
        <f>AL264/AL266</f>
        <v>0</v>
      </c>
      <c r="AN264" s="13"/>
      <c r="AO264" s="58" t="s">
        <v>82</v>
      </c>
      <c r="AP264" s="58" t="s">
        <v>82</v>
      </c>
      <c r="AQ264" s="58" t="s">
        <v>82</v>
      </c>
      <c r="AR264" s="58" t="s">
        <v>82</v>
      </c>
      <c r="AS264" s="49">
        <v>0</v>
      </c>
      <c r="AT264" s="49">
        <v>0</v>
      </c>
      <c r="AU264" s="51">
        <f>SUM(AO264:AT264)</f>
        <v>0</v>
      </c>
      <c r="AV264" s="15">
        <f>AU264/AU266</f>
        <v>0</v>
      </c>
      <c r="AW264" s="13"/>
      <c r="AX264" s="49"/>
      <c r="AY264" s="58" t="s">
        <v>82</v>
      </c>
      <c r="AZ264" s="49">
        <v>0</v>
      </c>
      <c r="BA264" s="58" t="s">
        <v>82</v>
      </c>
      <c r="BB264" s="58" t="s">
        <v>82</v>
      </c>
      <c r="BC264" s="51">
        <f>SUM(AX264:BB264)</f>
        <v>0</v>
      </c>
      <c r="BD264" s="15" t="e">
        <f>BC264/BC266</f>
        <v>#DIV/0!</v>
      </c>
      <c r="BE264" s="13"/>
      <c r="BF264" s="38"/>
      <c r="BG264" s="42"/>
      <c r="BH264" s="42"/>
      <c r="BI264" s="42"/>
    </row>
    <row r="265" spans="1:61" ht="21.75" customHeight="1">
      <c r="A265" s="8" t="s">
        <v>65</v>
      </c>
      <c r="B265" s="32">
        <v>0</v>
      </c>
      <c r="C265" s="116" t="s">
        <v>59</v>
      </c>
      <c r="D265" s="32" t="s">
        <v>59</v>
      </c>
      <c r="E265" s="32" t="s">
        <v>59</v>
      </c>
      <c r="F265" s="32" t="s">
        <v>59</v>
      </c>
      <c r="G265" s="32">
        <v>0</v>
      </c>
      <c r="H265" s="32" t="s">
        <v>59</v>
      </c>
      <c r="I265" s="32" t="s">
        <v>59</v>
      </c>
      <c r="J265" s="32" t="s">
        <v>59</v>
      </c>
      <c r="K265" s="23">
        <f t="shared" si="182"/>
        <v>0</v>
      </c>
      <c r="L265" s="35">
        <f>K265/(K264+K265+K263)</f>
        <v>0</v>
      </c>
      <c r="M265" s="35">
        <f>K265/(K266)</f>
        <v>0</v>
      </c>
      <c r="N265" s="23"/>
      <c r="O265" s="35"/>
      <c r="P265" s="13"/>
      <c r="Q265" s="14"/>
      <c r="R265" s="14"/>
      <c r="S265" s="14"/>
      <c r="T265" s="38">
        <f>SUM(Q265:S265)</f>
        <v>0</v>
      </c>
      <c r="U265" s="15" t="e">
        <f>T265/T266</f>
        <v>#DIV/0!</v>
      </c>
      <c r="V265" s="13"/>
      <c r="W265" s="14"/>
      <c r="X265" s="14"/>
      <c r="Y265" s="14"/>
      <c r="Z265" s="14">
        <v>0</v>
      </c>
      <c r="AA265" s="14"/>
      <c r="AB265" s="45">
        <v>0</v>
      </c>
      <c r="AC265" s="38">
        <f>SUM(W265:AB265)</f>
        <v>0</v>
      </c>
      <c r="AD265" s="15">
        <f>AC265/AC266</f>
        <v>0</v>
      </c>
      <c r="AE265" s="13"/>
      <c r="AF265" s="9" t="s">
        <v>82</v>
      </c>
      <c r="AG265" s="9" t="s">
        <v>82</v>
      </c>
      <c r="AH265" s="14">
        <v>0</v>
      </c>
      <c r="AI265" s="9" t="s">
        <v>82</v>
      </c>
      <c r="AJ265" s="9" t="s">
        <v>82</v>
      </c>
      <c r="AK265" s="9" t="s">
        <v>82</v>
      </c>
      <c r="AL265" s="14">
        <f>SUM(AF265:AK265)</f>
        <v>0</v>
      </c>
      <c r="AM265" s="15">
        <f>AL265/AL266</f>
        <v>0</v>
      </c>
      <c r="AN265" s="13"/>
      <c r="AO265" s="9" t="s">
        <v>82</v>
      </c>
      <c r="AP265" s="9" t="s">
        <v>82</v>
      </c>
      <c r="AQ265" s="9" t="s">
        <v>82</v>
      </c>
      <c r="AR265" s="9" t="s">
        <v>82</v>
      </c>
      <c r="AS265" s="14">
        <v>0</v>
      </c>
      <c r="AT265" s="45">
        <v>0</v>
      </c>
      <c r="AU265" s="38">
        <f>SUM(AO265:AT265)</f>
        <v>0</v>
      </c>
      <c r="AV265" s="15">
        <f>AU265/AU266</f>
        <v>0</v>
      </c>
      <c r="AW265" s="13"/>
      <c r="AX265" s="14"/>
      <c r="AY265" s="9" t="s">
        <v>82</v>
      </c>
      <c r="AZ265" s="14">
        <v>0</v>
      </c>
      <c r="BA265" s="9" t="s">
        <v>82</v>
      </c>
      <c r="BB265" s="9" t="s">
        <v>82</v>
      </c>
      <c r="BC265" s="38">
        <f>SUM(AX265:BB265)</f>
        <v>0</v>
      </c>
      <c r="BD265" s="15" t="e">
        <f>BC265/BC266</f>
        <v>#DIV/0!</v>
      </c>
      <c r="BE265" s="13"/>
      <c r="BF265" s="38"/>
      <c r="BG265" s="42"/>
      <c r="BH265" s="42"/>
      <c r="BI265" s="42"/>
    </row>
    <row r="266" spans="1:61" ht="21.75" customHeight="1">
      <c r="A266" s="39" t="s">
        <v>66</v>
      </c>
      <c r="B266" s="32">
        <f>SUM(B263:B265)</f>
        <v>11</v>
      </c>
      <c r="C266" s="101" t="s">
        <v>59</v>
      </c>
      <c r="D266" s="32" t="s">
        <v>59</v>
      </c>
      <c r="E266" s="32" t="s">
        <v>59</v>
      </c>
      <c r="F266" s="32" t="s">
        <v>59</v>
      </c>
      <c r="G266" s="32">
        <f>SUM(G263:G265)</f>
        <v>8</v>
      </c>
      <c r="H266" s="32" t="s">
        <v>59</v>
      </c>
      <c r="I266" s="32" t="s">
        <v>59</v>
      </c>
      <c r="J266" s="32" t="s">
        <v>59</v>
      </c>
      <c r="K266" s="23">
        <f t="shared" si="182"/>
        <v>19</v>
      </c>
      <c r="L266" s="35">
        <f>K266/(K265+K264+K263)</f>
        <v>1</v>
      </c>
      <c r="M266" s="35">
        <f>K266/(K263+K264+K265)</f>
        <v>1</v>
      </c>
      <c r="N266" s="37">
        <f>T266+AC266+AL266+AU266</f>
        <v>8</v>
      </c>
      <c r="O266" s="35">
        <f>N266/K266</f>
        <v>0.42105263157894735</v>
      </c>
      <c r="P266" s="13"/>
      <c r="Q266" s="38">
        <f>SUM(Q263:Q265)</f>
        <v>0</v>
      </c>
      <c r="R266" s="38">
        <f>SUM(R263:R265)</f>
        <v>0</v>
      </c>
      <c r="S266" s="38">
        <f>SUM(S263:S265)</f>
        <v>0</v>
      </c>
      <c r="T266" s="38">
        <f>SUM(Q266:S266)</f>
        <v>0</v>
      </c>
      <c r="U266" s="40" t="e">
        <f>T266/(T263+T264+T265)</f>
        <v>#DIV/0!</v>
      </c>
      <c r="V266" s="13"/>
      <c r="W266" s="38">
        <f t="shared" ref="W266:AB266" si="187">SUM(W263:W265)</f>
        <v>0</v>
      </c>
      <c r="X266" s="38">
        <f t="shared" si="187"/>
        <v>0</v>
      </c>
      <c r="Y266" s="38">
        <f t="shared" si="187"/>
        <v>0</v>
      </c>
      <c r="Z266" s="38">
        <f t="shared" si="187"/>
        <v>2</v>
      </c>
      <c r="AA266" s="38">
        <f t="shared" si="187"/>
        <v>0</v>
      </c>
      <c r="AB266" s="51">
        <f t="shared" si="187"/>
        <v>0</v>
      </c>
      <c r="AC266" s="38">
        <f>SUM(W266:AB266)</f>
        <v>2</v>
      </c>
      <c r="AD266" s="40">
        <f>AC266/(AC263+AC264+AC265)</f>
        <v>1</v>
      </c>
      <c r="AE266" s="13"/>
      <c r="AF266" s="38">
        <f t="shared" ref="AF266:AK266" si="188">SUM(AF263:AF265)</f>
        <v>0</v>
      </c>
      <c r="AG266" s="38">
        <f t="shared" si="188"/>
        <v>0</v>
      </c>
      <c r="AH266" s="38">
        <f t="shared" si="188"/>
        <v>3</v>
      </c>
      <c r="AI266" s="38">
        <f t="shared" si="188"/>
        <v>0</v>
      </c>
      <c r="AJ266" s="38">
        <f t="shared" si="188"/>
        <v>0</v>
      </c>
      <c r="AK266" s="38">
        <f t="shared" si="188"/>
        <v>0</v>
      </c>
      <c r="AL266" s="38">
        <f>SUM(AF266:AK266)</f>
        <v>3</v>
      </c>
      <c r="AM266" s="41">
        <f>AL266/(AL263+AL264+AL265)</f>
        <v>1</v>
      </c>
      <c r="AN266" s="13"/>
      <c r="AO266" s="38">
        <f t="shared" ref="AO266:AT266" si="189">SUM(AO263:AO265)</f>
        <v>0</v>
      </c>
      <c r="AP266" s="38">
        <f t="shared" si="189"/>
        <v>0</v>
      </c>
      <c r="AQ266" s="38">
        <f t="shared" si="189"/>
        <v>0</v>
      </c>
      <c r="AR266" s="38">
        <f t="shared" si="189"/>
        <v>0</v>
      </c>
      <c r="AS266" s="38">
        <f t="shared" si="189"/>
        <v>3</v>
      </c>
      <c r="AT266" s="51">
        <f t="shared" si="189"/>
        <v>0</v>
      </c>
      <c r="AU266" s="38">
        <f>SUM(AO266:AT266)</f>
        <v>3</v>
      </c>
      <c r="AV266" s="40">
        <f>AU266/(AU263+AU264+AU265)</f>
        <v>1</v>
      </c>
      <c r="AW266" s="13"/>
      <c r="AX266" s="38">
        <f>SUM(AX263:AX265)</f>
        <v>0</v>
      </c>
      <c r="AY266" s="38">
        <f>SUM(AY263:AY265)</f>
        <v>0</v>
      </c>
      <c r="AZ266" s="38">
        <f>SUM(AZ263:AZ265)</f>
        <v>0</v>
      </c>
      <c r="BA266" s="38">
        <f>SUM(BA263:BA265)</f>
        <v>0</v>
      </c>
      <c r="BB266" s="38">
        <f>SUM(BB263:BB265)</f>
        <v>0</v>
      </c>
      <c r="BC266" s="38">
        <f>SUM(AX266:BB266)</f>
        <v>0</v>
      </c>
      <c r="BD266" s="40" t="e">
        <f>BC266/(BC263+BC264+BC265)</f>
        <v>#DIV/0!</v>
      </c>
      <c r="BE266" s="13"/>
      <c r="BF266" s="38"/>
      <c r="BG266" s="42"/>
      <c r="BH266" s="42"/>
      <c r="BI266" s="42"/>
    </row>
    <row r="267" spans="1:61" ht="56.25" customHeight="1">
      <c r="A267" s="43" t="s">
        <v>152</v>
      </c>
      <c r="B267" s="181" t="s">
        <v>153</v>
      </c>
      <c r="C267" s="182"/>
      <c r="D267" s="182"/>
      <c r="E267" s="182"/>
      <c r="F267" s="182"/>
      <c r="G267" s="22"/>
      <c r="H267" s="22"/>
      <c r="I267" s="22"/>
      <c r="J267" s="22"/>
      <c r="K267" s="21"/>
      <c r="L267" s="24"/>
      <c r="M267" s="24"/>
      <c r="N267" s="26"/>
      <c r="O267" s="24"/>
      <c r="P267" s="27"/>
      <c r="Q267" s="28"/>
      <c r="R267" s="28"/>
      <c r="S267" s="28"/>
      <c r="T267" s="26"/>
      <c r="U267" s="24"/>
      <c r="V267" s="27"/>
      <c r="W267" s="28"/>
      <c r="X267" s="28"/>
      <c r="Y267" s="28"/>
      <c r="Z267" s="28"/>
      <c r="AA267" s="28"/>
      <c r="AB267" s="28"/>
      <c r="AC267" s="26"/>
      <c r="AD267" s="24"/>
      <c r="AE267" s="27"/>
      <c r="AF267" s="28"/>
      <c r="AG267" s="28"/>
      <c r="AH267" s="28"/>
      <c r="AI267" s="28"/>
      <c r="AJ267" s="28"/>
      <c r="AK267" s="28"/>
      <c r="AL267" s="26"/>
      <c r="AM267" s="29"/>
      <c r="AN267" s="27"/>
      <c r="AO267" s="26"/>
      <c r="AP267" s="26"/>
      <c r="AQ267" s="26"/>
      <c r="AR267" s="26"/>
      <c r="AS267" s="26"/>
      <c r="AT267" s="26"/>
      <c r="AU267" s="26"/>
      <c r="AV267" s="24"/>
      <c r="AW267" s="27"/>
      <c r="AX267" s="26"/>
      <c r="AY267" s="26"/>
      <c r="AZ267" s="26"/>
      <c r="BA267" s="26"/>
      <c r="BB267" s="26"/>
      <c r="BC267" s="26"/>
      <c r="BD267" s="24"/>
      <c r="BE267" s="27"/>
      <c r="BF267" s="26"/>
      <c r="BG267" s="22"/>
      <c r="BH267" s="21"/>
      <c r="BI267" s="22"/>
    </row>
    <row r="268" spans="1:61" ht="32.25" customHeight="1">
      <c r="A268" s="10"/>
      <c r="B268" s="30" t="s">
        <v>0</v>
      </c>
      <c r="C268" s="30" t="s">
        <v>1</v>
      </c>
      <c r="D268" s="30" t="s">
        <v>2</v>
      </c>
      <c r="E268" s="30" t="s">
        <v>3</v>
      </c>
      <c r="F268" s="30" t="s">
        <v>4</v>
      </c>
      <c r="G268" s="30" t="s">
        <v>5</v>
      </c>
      <c r="H268" s="30" t="s">
        <v>68</v>
      </c>
      <c r="I268" s="30" t="s">
        <v>7</v>
      </c>
      <c r="J268" s="30" t="s">
        <v>8</v>
      </c>
      <c r="K268" s="10" t="s">
        <v>9</v>
      </c>
      <c r="L268" s="10" t="s">
        <v>56</v>
      </c>
      <c r="M268" s="20"/>
      <c r="N268" s="12"/>
      <c r="O268" s="20"/>
      <c r="P268" s="27"/>
      <c r="Q268" s="30" t="s">
        <v>15</v>
      </c>
      <c r="R268" s="30" t="s">
        <v>16</v>
      </c>
      <c r="S268" s="30" t="s">
        <v>28</v>
      </c>
      <c r="T268" s="20"/>
      <c r="U268" s="11"/>
      <c r="V268" s="27"/>
      <c r="W268" s="30" t="s">
        <v>15</v>
      </c>
      <c r="X268" s="30" t="s">
        <v>20</v>
      </c>
      <c r="Y268" s="30" t="s">
        <v>21</v>
      </c>
      <c r="Z268" s="30" t="s">
        <v>22</v>
      </c>
      <c r="AA268" s="30" t="s">
        <v>23</v>
      </c>
      <c r="AB268" s="30" t="s">
        <v>24</v>
      </c>
      <c r="AC268" s="20"/>
      <c r="AD268" s="11"/>
      <c r="AE268" s="27"/>
      <c r="AF268" s="30" t="s">
        <v>20</v>
      </c>
      <c r="AG268" s="30" t="s">
        <v>21</v>
      </c>
      <c r="AH268" s="30" t="s">
        <v>22</v>
      </c>
      <c r="AI268" s="30" t="s">
        <v>23</v>
      </c>
      <c r="AJ268" s="30" t="s">
        <v>24</v>
      </c>
      <c r="AK268" s="30" t="s">
        <v>28</v>
      </c>
      <c r="AL268" s="20"/>
      <c r="AM268" s="44"/>
      <c r="AN268" s="27"/>
      <c r="AO268" s="30" t="s">
        <v>15</v>
      </c>
      <c r="AP268" s="30" t="s">
        <v>20</v>
      </c>
      <c r="AQ268" s="30" t="s">
        <v>21</v>
      </c>
      <c r="AR268" s="30" t="s">
        <v>16</v>
      </c>
      <c r="AS268" s="30" t="s">
        <v>22</v>
      </c>
      <c r="AT268" s="30" t="s">
        <v>24</v>
      </c>
      <c r="AU268" s="20"/>
      <c r="AV268" s="11"/>
      <c r="AW268" s="27"/>
      <c r="AX268" s="30" t="s">
        <v>15</v>
      </c>
      <c r="AY268" s="30" t="s">
        <v>20</v>
      </c>
      <c r="AZ268" s="30" t="s">
        <v>22</v>
      </c>
      <c r="BA268" s="30" t="s">
        <v>23</v>
      </c>
      <c r="BB268" s="30" t="s">
        <v>28</v>
      </c>
      <c r="BC268" s="20"/>
      <c r="BD268" s="11"/>
      <c r="BE268" s="27"/>
      <c r="BF268" s="10" t="s">
        <v>38</v>
      </c>
      <c r="BG268" s="10" t="s">
        <v>39</v>
      </c>
      <c r="BH268" s="9" t="s">
        <v>40</v>
      </c>
      <c r="BI268" s="9" t="s">
        <v>41</v>
      </c>
    </row>
    <row r="269" spans="1:61" ht="20.25" customHeight="1">
      <c r="A269" s="10" t="s">
        <v>97</v>
      </c>
      <c r="B269" s="32" t="s">
        <v>59</v>
      </c>
      <c r="C269" s="32">
        <v>0</v>
      </c>
      <c r="D269" s="32">
        <v>0</v>
      </c>
      <c r="E269" s="32">
        <v>0</v>
      </c>
      <c r="F269" s="32">
        <v>0</v>
      </c>
      <c r="G269" s="32" t="s">
        <v>59</v>
      </c>
      <c r="H269" s="32">
        <v>0</v>
      </c>
      <c r="I269" s="32">
        <v>0</v>
      </c>
      <c r="J269" s="33">
        <v>0</v>
      </c>
      <c r="K269" s="23">
        <f t="shared" ref="K269:K274" si="190">SUM(B269:J269)</f>
        <v>0</v>
      </c>
      <c r="L269" s="35">
        <f>K269/K275</f>
        <v>0</v>
      </c>
      <c r="M269" s="35">
        <f>K269/K278</f>
        <v>0</v>
      </c>
      <c r="N269" s="37"/>
      <c r="O269" s="35"/>
      <c r="P269" s="13"/>
      <c r="Q269" s="33">
        <v>0</v>
      </c>
      <c r="R269" s="33">
        <v>0</v>
      </c>
      <c r="S269" s="33">
        <v>0</v>
      </c>
      <c r="T269" s="14">
        <f t="shared" ref="T269:T274" si="191">SUM(Q269:S269)</f>
        <v>0</v>
      </c>
      <c r="U269" s="40">
        <f>T269/T275</f>
        <v>0</v>
      </c>
      <c r="V269" s="13"/>
      <c r="W269" s="33">
        <v>0</v>
      </c>
      <c r="X269" s="33">
        <v>0</v>
      </c>
      <c r="Y269" s="33">
        <v>0</v>
      </c>
      <c r="Z269" s="33" t="s">
        <v>82</v>
      </c>
      <c r="AA269" s="33">
        <v>0</v>
      </c>
      <c r="AB269" s="33">
        <v>0</v>
      </c>
      <c r="AC269" s="14">
        <f t="shared" ref="AC269:AC274" si="192">SUM(W269:AB269)</f>
        <v>0</v>
      </c>
      <c r="AD269" s="40">
        <f>AC269/AC275</f>
        <v>0</v>
      </c>
      <c r="AE269" s="13"/>
      <c r="AF269" s="33">
        <v>0</v>
      </c>
      <c r="AG269" s="33">
        <v>0</v>
      </c>
      <c r="AH269" s="9" t="s">
        <v>82</v>
      </c>
      <c r="AI269" s="33">
        <v>0</v>
      </c>
      <c r="AJ269" s="33">
        <v>0</v>
      </c>
      <c r="AK269" s="33">
        <v>0</v>
      </c>
      <c r="AL269" s="14">
        <f t="shared" ref="AL269:AL274" si="193">SUM(AF269:AK269)</f>
        <v>0</v>
      </c>
      <c r="AM269" s="40">
        <f>AL269/AL275</f>
        <v>0</v>
      </c>
      <c r="AN269" s="13"/>
      <c r="AO269" s="33">
        <v>0</v>
      </c>
      <c r="AP269" s="33">
        <v>0</v>
      </c>
      <c r="AQ269" s="33">
        <v>0</v>
      </c>
      <c r="AR269" s="33">
        <v>0</v>
      </c>
      <c r="AS269" s="9" t="s">
        <v>82</v>
      </c>
      <c r="AT269" s="33">
        <v>0</v>
      </c>
      <c r="AU269" s="14">
        <f t="shared" ref="AU269:AU274" si="194">SUM(AO269:AT269)</f>
        <v>0</v>
      </c>
      <c r="AV269" s="40">
        <f>AU269/AU275</f>
        <v>0</v>
      </c>
      <c r="AW269" s="13"/>
      <c r="AX269" s="33">
        <v>0</v>
      </c>
      <c r="AY269" s="33">
        <v>0</v>
      </c>
      <c r="AZ269" s="9" t="s">
        <v>82</v>
      </c>
      <c r="BA269" s="33">
        <v>0</v>
      </c>
      <c r="BB269" s="33">
        <v>0</v>
      </c>
      <c r="BC269" s="14">
        <f t="shared" ref="BC269:BC274" si="195">SUM(AX269:BB269)</f>
        <v>0</v>
      </c>
      <c r="BD269" s="40">
        <f>BC269/BC275</f>
        <v>0</v>
      </c>
      <c r="BE269" s="13"/>
      <c r="BF269" s="14">
        <v>0</v>
      </c>
      <c r="BG269" s="15">
        <f>BF269/BF275</f>
        <v>0</v>
      </c>
      <c r="BH269" s="16"/>
      <c r="BI269" s="15"/>
    </row>
    <row r="270" spans="1:61" ht="20.25" customHeight="1">
      <c r="A270" s="10" t="s">
        <v>98</v>
      </c>
      <c r="B270" s="32" t="s">
        <v>59</v>
      </c>
      <c r="C270" s="32">
        <v>0</v>
      </c>
      <c r="D270" s="32">
        <v>0</v>
      </c>
      <c r="E270" s="32">
        <v>0</v>
      </c>
      <c r="F270" s="32">
        <v>0</v>
      </c>
      <c r="G270" s="32" t="s">
        <v>59</v>
      </c>
      <c r="H270" s="32">
        <v>0</v>
      </c>
      <c r="I270" s="32">
        <v>1</v>
      </c>
      <c r="J270" s="33">
        <v>3</v>
      </c>
      <c r="K270" s="23">
        <f t="shared" si="190"/>
        <v>4</v>
      </c>
      <c r="L270" s="35">
        <f>K270/K275</f>
        <v>6.5573770491803282E-2</v>
      </c>
      <c r="M270" s="35">
        <f>K270/K278</f>
        <v>6.3492063492063489E-2</v>
      </c>
      <c r="N270" s="37"/>
      <c r="O270" s="35"/>
      <c r="P270" s="13"/>
      <c r="Q270" s="33">
        <v>0</v>
      </c>
      <c r="R270" s="33">
        <v>0</v>
      </c>
      <c r="S270" s="33">
        <v>0</v>
      </c>
      <c r="T270" s="14">
        <f t="shared" si="191"/>
        <v>0</v>
      </c>
      <c r="U270" s="40">
        <f>T270/T275</f>
        <v>0</v>
      </c>
      <c r="V270" s="13"/>
      <c r="W270" s="33">
        <v>1</v>
      </c>
      <c r="X270" s="33">
        <v>0</v>
      </c>
      <c r="Y270" s="33">
        <v>0</v>
      </c>
      <c r="Z270" s="33" t="s">
        <v>82</v>
      </c>
      <c r="AA270" s="33">
        <v>0</v>
      </c>
      <c r="AB270" s="33">
        <v>0</v>
      </c>
      <c r="AC270" s="14">
        <f t="shared" si="192"/>
        <v>1</v>
      </c>
      <c r="AD270" s="40">
        <f>AC270/AC275</f>
        <v>5.2631578947368418E-2</v>
      </c>
      <c r="AE270" s="13"/>
      <c r="AF270" s="33">
        <v>0</v>
      </c>
      <c r="AG270" s="33">
        <v>0</v>
      </c>
      <c r="AH270" s="9" t="s">
        <v>82</v>
      </c>
      <c r="AI270" s="33">
        <v>0</v>
      </c>
      <c r="AJ270" s="33">
        <v>0</v>
      </c>
      <c r="AK270" s="33">
        <v>3</v>
      </c>
      <c r="AL270" s="14">
        <f t="shared" si="193"/>
        <v>3</v>
      </c>
      <c r="AM270" s="40">
        <f>AL270/AL275</f>
        <v>0.13636363636363635</v>
      </c>
      <c r="AN270" s="13"/>
      <c r="AO270" s="33">
        <v>0</v>
      </c>
      <c r="AP270" s="33">
        <v>0</v>
      </c>
      <c r="AQ270" s="33">
        <v>0</v>
      </c>
      <c r="AR270" s="33">
        <v>0</v>
      </c>
      <c r="AS270" s="9" t="s">
        <v>82</v>
      </c>
      <c r="AT270" s="33">
        <v>0</v>
      </c>
      <c r="AU270" s="14">
        <f t="shared" si="194"/>
        <v>0</v>
      </c>
      <c r="AV270" s="40">
        <f>AU270/AU275</f>
        <v>0</v>
      </c>
      <c r="AW270" s="13"/>
      <c r="AX270" s="33">
        <v>0</v>
      </c>
      <c r="AY270" s="33">
        <v>0</v>
      </c>
      <c r="AZ270" s="9" t="s">
        <v>82</v>
      </c>
      <c r="BA270" s="33">
        <v>0</v>
      </c>
      <c r="BB270" s="33">
        <v>0</v>
      </c>
      <c r="BC270" s="14">
        <f t="shared" si="195"/>
        <v>0</v>
      </c>
      <c r="BD270" s="40">
        <f>BC270/BC275</f>
        <v>0</v>
      </c>
      <c r="BE270" s="13"/>
      <c r="BF270" s="14">
        <v>0</v>
      </c>
      <c r="BG270" s="15">
        <f>BF270/BF275</f>
        <v>0</v>
      </c>
      <c r="BH270" s="16"/>
      <c r="BI270" s="15"/>
    </row>
    <row r="271" spans="1:61" ht="20.25" customHeight="1">
      <c r="A271" s="10" t="s">
        <v>99</v>
      </c>
      <c r="B271" s="32" t="s">
        <v>59</v>
      </c>
      <c r="C271" s="32">
        <v>0</v>
      </c>
      <c r="D271" s="32">
        <v>4</v>
      </c>
      <c r="E271" s="32">
        <v>1</v>
      </c>
      <c r="F271" s="32">
        <v>1</v>
      </c>
      <c r="G271" s="32" t="s">
        <v>59</v>
      </c>
      <c r="H271" s="32">
        <v>0</v>
      </c>
      <c r="I271" s="32">
        <v>4</v>
      </c>
      <c r="J271" s="33">
        <v>1</v>
      </c>
      <c r="K271" s="23">
        <f t="shared" si="190"/>
        <v>11</v>
      </c>
      <c r="L271" s="35">
        <f>K271/K275</f>
        <v>0.18032786885245902</v>
      </c>
      <c r="M271" s="35">
        <f>K271/K278</f>
        <v>0.17460317460317459</v>
      </c>
      <c r="N271" s="37"/>
      <c r="O271" s="35"/>
      <c r="P271" s="13"/>
      <c r="Q271" s="33">
        <v>1</v>
      </c>
      <c r="R271" s="33">
        <v>0</v>
      </c>
      <c r="S271" s="33">
        <v>0</v>
      </c>
      <c r="T271" s="14">
        <f t="shared" si="191"/>
        <v>1</v>
      </c>
      <c r="U271" s="40">
        <f>T271/T275</f>
        <v>8.3333333333333329E-2</v>
      </c>
      <c r="V271" s="13"/>
      <c r="W271" s="33">
        <v>3</v>
      </c>
      <c r="X271" s="33">
        <v>0</v>
      </c>
      <c r="Y271" s="33">
        <v>2</v>
      </c>
      <c r="Z271" s="33" t="s">
        <v>82</v>
      </c>
      <c r="AA271" s="33">
        <v>1</v>
      </c>
      <c r="AB271" s="33">
        <v>0</v>
      </c>
      <c r="AC271" s="14">
        <f t="shared" si="192"/>
        <v>6</v>
      </c>
      <c r="AD271" s="40">
        <f>AC271/AC275</f>
        <v>0.31578947368421051</v>
      </c>
      <c r="AE271" s="13"/>
      <c r="AF271" s="33">
        <v>1</v>
      </c>
      <c r="AG271" s="33">
        <v>2</v>
      </c>
      <c r="AH271" s="9" t="s">
        <v>82</v>
      </c>
      <c r="AI271" s="33">
        <v>0</v>
      </c>
      <c r="AJ271" s="33">
        <v>0</v>
      </c>
      <c r="AK271" s="33">
        <v>1</v>
      </c>
      <c r="AL271" s="14">
        <f t="shared" si="193"/>
        <v>4</v>
      </c>
      <c r="AM271" s="40">
        <f>AL271/AL275</f>
        <v>0.18181818181818182</v>
      </c>
      <c r="AN271" s="13"/>
      <c r="AO271" s="33">
        <v>0</v>
      </c>
      <c r="AP271" s="33">
        <v>0</v>
      </c>
      <c r="AQ271" s="33">
        <v>0</v>
      </c>
      <c r="AR271" s="33">
        <v>0</v>
      </c>
      <c r="AS271" s="9" t="s">
        <v>82</v>
      </c>
      <c r="AT271" s="33">
        <v>0</v>
      </c>
      <c r="AU271" s="14">
        <f t="shared" si="194"/>
        <v>0</v>
      </c>
      <c r="AV271" s="40">
        <f>AU271/AU275</f>
        <v>0</v>
      </c>
      <c r="AW271" s="13"/>
      <c r="AX271" s="33">
        <v>0</v>
      </c>
      <c r="AY271" s="33">
        <v>0</v>
      </c>
      <c r="AZ271" s="9" t="s">
        <v>82</v>
      </c>
      <c r="BA271" s="33">
        <v>0</v>
      </c>
      <c r="BB271" s="33">
        <v>0</v>
      </c>
      <c r="BC271" s="14">
        <f t="shared" si="195"/>
        <v>0</v>
      </c>
      <c r="BD271" s="40">
        <f>BC271/BC275</f>
        <v>0</v>
      </c>
      <c r="BE271" s="13"/>
      <c r="BF271" s="14">
        <v>0</v>
      </c>
      <c r="BG271" s="15">
        <f>BF271/BF275</f>
        <v>0</v>
      </c>
      <c r="BH271" s="16"/>
      <c r="BI271" s="15"/>
    </row>
    <row r="272" spans="1:61" ht="20.25" customHeight="1">
      <c r="A272" s="10" t="s">
        <v>100</v>
      </c>
      <c r="B272" s="32" t="s">
        <v>59</v>
      </c>
      <c r="C272" s="32">
        <v>3</v>
      </c>
      <c r="D272" s="32">
        <v>4</v>
      </c>
      <c r="E272" s="32">
        <v>6</v>
      </c>
      <c r="F272" s="32">
        <v>2</v>
      </c>
      <c r="G272" s="32" t="s">
        <v>59</v>
      </c>
      <c r="H272" s="32">
        <v>1</v>
      </c>
      <c r="I272" s="32">
        <v>1</v>
      </c>
      <c r="J272" s="33">
        <v>3</v>
      </c>
      <c r="K272" s="23">
        <f t="shared" si="190"/>
        <v>20</v>
      </c>
      <c r="L272" s="35">
        <f>K272/K275</f>
        <v>0.32786885245901637</v>
      </c>
      <c r="M272" s="35">
        <f>K272/K278</f>
        <v>0.31746031746031744</v>
      </c>
      <c r="N272" s="37"/>
      <c r="O272" s="35"/>
      <c r="P272" s="13"/>
      <c r="Q272" s="33">
        <v>1</v>
      </c>
      <c r="R272" s="33">
        <v>1</v>
      </c>
      <c r="S272" s="33">
        <v>1</v>
      </c>
      <c r="T272" s="14">
        <f t="shared" si="191"/>
        <v>3</v>
      </c>
      <c r="U272" s="40">
        <f>T272/T275</f>
        <v>0.25</v>
      </c>
      <c r="V272" s="13"/>
      <c r="W272" s="33">
        <v>0</v>
      </c>
      <c r="X272" s="33">
        <v>2</v>
      </c>
      <c r="Y272" s="33">
        <v>1</v>
      </c>
      <c r="Z272" s="33" t="s">
        <v>82</v>
      </c>
      <c r="AA272" s="33">
        <v>3</v>
      </c>
      <c r="AB272" s="33">
        <v>1</v>
      </c>
      <c r="AC272" s="14">
        <f t="shared" si="192"/>
        <v>7</v>
      </c>
      <c r="AD272" s="40">
        <f>AC272/AC275</f>
        <v>0.36842105263157893</v>
      </c>
      <c r="AE272" s="13"/>
      <c r="AF272" s="33">
        <v>0</v>
      </c>
      <c r="AG272" s="33">
        <v>2</v>
      </c>
      <c r="AH272" s="9" t="s">
        <v>82</v>
      </c>
      <c r="AI272" s="33">
        <v>3</v>
      </c>
      <c r="AJ272" s="33">
        <v>1</v>
      </c>
      <c r="AK272" s="33">
        <v>2</v>
      </c>
      <c r="AL272" s="14">
        <f t="shared" si="193"/>
        <v>8</v>
      </c>
      <c r="AM272" s="40">
        <f>AL272/AL275</f>
        <v>0.36363636363636365</v>
      </c>
      <c r="AN272" s="13"/>
      <c r="AO272" s="33">
        <v>0</v>
      </c>
      <c r="AP272" s="33">
        <v>0</v>
      </c>
      <c r="AQ272" s="33">
        <v>1</v>
      </c>
      <c r="AR272" s="33">
        <v>0</v>
      </c>
      <c r="AS272" s="9" t="s">
        <v>82</v>
      </c>
      <c r="AT272" s="33">
        <v>1</v>
      </c>
      <c r="AU272" s="14">
        <f t="shared" si="194"/>
        <v>2</v>
      </c>
      <c r="AV272" s="40">
        <f>AU272/AU275</f>
        <v>0.4</v>
      </c>
      <c r="AW272" s="13"/>
      <c r="AX272" s="33">
        <v>0</v>
      </c>
      <c r="AY272" s="33">
        <v>0</v>
      </c>
      <c r="AZ272" s="9" t="s">
        <v>82</v>
      </c>
      <c r="BA272" s="33">
        <v>0</v>
      </c>
      <c r="BB272" s="33">
        <v>0</v>
      </c>
      <c r="BC272" s="14">
        <f t="shared" si="195"/>
        <v>0</v>
      </c>
      <c r="BD272" s="40">
        <f>BC272/BC275</f>
        <v>0</v>
      </c>
      <c r="BE272" s="13"/>
      <c r="BF272" s="14">
        <v>3</v>
      </c>
      <c r="BG272" s="15">
        <f>BF272/BF275</f>
        <v>0.375</v>
      </c>
      <c r="BH272" s="16"/>
      <c r="BI272" s="15"/>
    </row>
    <row r="273" spans="1:61" ht="32.25" customHeight="1">
      <c r="A273" s="10" t="s">
        <v>101</v>
      </c>
      <c r="B273" s="32" t="s">
        <v>59</v>
      </c>
      <c r="C273" s="32">
        <v>1</v>
      </c>
      <c r="D273" s="32">
        <v>3</v>
      </c>
      <c r="E273" s="32">
        <v>4</v>
      </c>
      <c r="F273" s="32">
        <v>3</v>
      </c>
      <c r="G273" s="32" t="s">
        <v>59</v>
      </c>
      <c r="H273" s="32">
        <v>3</v>
      </c>
      <c r="I273" s="32">
        <v>3</v>
      </c>
      <c r="J273" s="33">
        <v>4</v>
      </c>
      <c r="K273" s="23">
        <f t="shared" si="190"/>
        <v>21</v>
      </c>
      <c r="L273" s="35">
        <f>K273/K275</f>
        <v>0.34426229508196721</v>
      </c>
      <c r="M273" s="35">
        <f>K273/K278</f>
        <v>0.33333333333333331</v>
      </c>
      <c r="N273" s="37"/>
      <c r="O273" s="35"/>
      <c r="P273" s="13"/>
      <c r="Q273" s="33">
        <v>3</v>
      </c>
      <c r="R273" s="33">
        <v>3</v>
      </c>
      <c r="S273" s="33">
        <v>0</v>
      </c>
      <c r="T273" s="14">
        <f t="shared" si="191"/>
        <v>6</v>
      </c>
      <c r="U273" s="40">
        <f>T273/T275</f>
        <v>0.5</v>
      </c>
      <c r="V273" s="13"/>
      <c r="W273" s="33">
        <v>0</v>
      </c>
      <c r="X273" s="33">
        <v>2</v>
      </c>
      <c r="Y273" s="33">
        <v>1</v>
      </c>
      <c r="Z273" s="33" t="s">
        <v>82</v>
      </c>
      <c r="AA273" s="33">
        <v>1</v>
      </c>
      <c r="AB273" s="33">
        <v>0</v>
      </c>
      <c r="AC273" s="14">
        <f t="shared" si="192"/>
        <v>4</v>
      </c>
      <c r="AD273" s="40">
        <f>AC273/AC275</f>
        <v>0.21052631578947367</v>
      </c>
      <c r="AE273" s="13"/>
      <c r="AF273" s="33">
        <v>0</v>
      </c>
      <c r="AG273" s="33">
        <v>1</v>
      </c>
      <c r="AH273" s="9" t="s">
        <v>82</v>
      </c>
      <c r="AI273" s="33">
        <v>2</v>
      </c>
      <c r="AJ273" s="33">
        <v>0</v>
      </c>
      <c r="AK273" s="33">
        <v>3</v>
      </c>
      <c r="AL273" s="14">
        <f t="shared" si="193"/>
        <v>6</v>
      </c>
      <c r="AM273" s="40">
        <f>AL273/AL275</f>
        <v>0.27272727272727271</v>
      </c>
      <c r="AN273" s="13"/>
      <c r="AO273" s="33">
        <v>0</v>
      </c>
      <c r="AP273" s="33">
        <v>0</v>
      </c>
      <c r="AQ273" s="33">
        <v>1</v>
      </c>
      <c r="AR273" s="33">
        <v>0</v>
      </c>
      <c r="AS273" s="9" t="s">
        <v>82</v>
      </c>
      <c r="AT273" s="33">
        <v>1</v>
      </c>
      <c r="AU273" s="14">
        <f t="shared" si="194"/>
        <v>2</v>
      </c>
      <c r="AV273" s="40">
        <f>AU273/AU275</f>
        <v>0.4</v>
      </c>
      <c r="AW273" s="13"/>
      <c r="AX273" s="33">
        <v>0</v>
      </c>
      <c r="AY273" s="33">
        <v>1</v>
      </c>
      <c r="AZ273" s="9" t="s">
        <v>82</v>
      </c>
      <c r="BA273" s="33">
        <v>1</v>
      </c>
      <c r="BB273" s="33">
        <v>1</v>
      </c>
      <c r="BC273" s="14">
        <f t="shared" si="195"/>
        <v>3</v>
      </c>
      <c r="BD273" s="40">
        <f>BC273/BC275</f>
        <v>1</v>
      </c>
      <c r="BE273" s="13"/>
      <c r="BF273" s="14">
        <v>5</v>
      </c>
      <c r="BG273" s="15">
        <f>BF273/BF275</f>
        <v>0.625</v>
      </c>
      <c r="BH273" s="16"/>
      <c r="BI273" s="15"/>
    </row>
    <row r="274" spans="1:61" ht="20.25" customHeight="1">
      <c r="A274" s="10" t="s">
        <v>102</v>
      </c>
      <c r="B274" s="32" t="s">
        <v>59</v>
      </c>
      <c r="C274" s="32">
        <v>0</v>
      </c>
      <c r="D274" s="32">
        <v>1</v>
      </c>
      <c r="E274" s="32">
        <v>0</v>
      </c>
      <c r="F274" s="32">
        <v>2</v>
      </c>
      <c r="G274" s="32" t="s">
        <v>59</v>
      </c>
      <c r="H274" s="32">
        <v>1</v>
      </c>
      <c r="I274" s="32">
        <v>1</v>
      </c>
      <c r="J274" s="33">
        <v>0</v>
      </c>
      <c r="K274" s="23">
        <f t="shared" si="190"/>
        <v>5</v>
      </c>
      <c r="L274" s="35">
        <f>K274/K275</f>
        <v>8.1967213114754092E-2</v>
      </c>
      <c r="M274" s="35">
        <f>K274/K278</f>
        <v>7.9365079365079361E-2</v>
      </c>
      <c r="N274" s="37"/>
      <c r="O274" s="35"/>
      <c r="P274" s="13"/>
      <c r="Q274" s="33">
        <v>1</v>
      </c>
      <c r="R274" s="33">
        <v>1</v>
      </c>
      <c r="S274" s="33">
        <v>0</v>
      </c>
      <c r="T274" s="14">
        <f t="shared" si="191"/>
        <v>2</v>
      </c>
      <c r="U274" s="40">
        <f>T274/T275</f>
        <v>0.16666666666666666</v>
      </c>
      <c r="V274" s="13"/>
      <c r="W274" s="33">
        <v>0</v>
      </c>
      <c r="X274" s="33">
        <v>0</v>
      </c>
      <c r="Y274" s="33">
        <v>1</v>
      </c>
      <c r="Z274" s="33" t="s">
        <v>82</v>
      </c>
      <c r="AA274" s="33">
        <v>0</v>
      </c>
      <c r="AB274" s="33">
        <v>0</v>
      </c>
      <c r="AC274" s="14">
        <f t="shared" si="192"/>
        <v>1</v>
      </c>
      <c r="AD274" s="40">
        <f>AC274/AC275</f>
        <v>5.2631578947368418E-2</v>
      </c>
      <c r="AE274" s="13"/>
      <c r="AF274" s="33">
        <v>1</v>
      </c>
      <c r="AG274" s="33">
        <v>0</v>
      </c>
      <c r="AH274" s="9" t="s">
        <v>82</v>
      </c>
      <c r="AI274" s="33">
        <v>0</v>
      </c>
      <c r="AJ274" s="33">
        <v>0</v>
      </c>
      <c r="AK274" s="33">
        <v>0</v>
      </c>
      <c r="AL274" s="14">
        <f t="shared" si="193"/>
        <v>1</v>
      </c>
      <c r="AM274" s="40">
        <f>AL274/AL275</f>
        <v>4.5454545454545456E-2</v>
      </c>
      <c r="AN274" s="13"/>
      <c r="AO274" s="33">
        <v>0</v>
      </c>
      <c r="AP274" s="33">
        <v>1</v>
      </c>
      <c r="AQ274" s="33">
        <v>0</v>
      </c>
      <c r="AR274" s="33">
        <v>0</v>
      </c>
      <c r="AS274" s="9" t="s">
        <v>82</v>
      </c>
      <c r="AT274" s="33">
        <v>0</v>
      </c>
      <c r="AU274" s="14">
        <f t="shared" si="194"/>
        <v>1</v>
      </c>
      <c r="AV274" s="40">
        <f>AU274/AU275</f>
        <v>0.2</v>
      </c>
      <c r="AW274" s="13"/>
      <c r="AX274" s="33">
        <v>0</v>
      </c>
      <c r="AY274" s="33">
        <v>0</v>
      </c>
      <c r="AZ274" s="9" t="s">
        <v>82</v>
      </c>
      <c r="BA274" s="33">
        <v>0</v>
      </c>
      <c r="BB274" s="33">
        <v>0</v>
      </c>
      <c r="BC274" s="14">
        <f t="shared" si="195"/>
        <v>0</v>
      </c>
      <c r="BD274" s="40">
        <f>BC274/BC275</f>
        <v>0</v>
      </c>
      <c r="BE274" s="13"/>
      <c r="BF274" s="38">
        <v>0</v>
      </c>
      <c r="BG274" s="40">
        <f>BF274/BF275</f>
        <v>0</v>
      </c>
      <c r="BH274" s="32"/>
      <c r="BI274" s="40"/>
    </row>
    <row r="275" spans="1:61" ht="21.75" customHeight="1">
      <c r="A275" s="10" t="s">
        <v>9</v>
      </c>
      <c r="B275" s="32" t="s">
        <v>59</v>
      </c>
      <c r="C275" s="32">
        <f>SUM(C269:C274)</f>
        <v>4</v>
      </c>
      <c r="D275" s="32">
        <f>SUM(D269:D274)</f>
        <v>12</v>
      </c>
      <c r="E275" s="32">
        <f>SUM(E269:E274)</f>
        <v>11</v>
      </c>
      <c r="F275" s="32">
        <f>SUM(F269:F274)</f>
        <v>8</v>
      </c>
      <c r="G275" s="32" t="s">
        <v>59</v>
      </c>
      <c r="H275" s="32">
        <f>SUM(H269:H274)</f>
        <v>5</v>
      </c>
      <c r="I275" s="32">
        <f>SUM(I269:I274)</f>
        <v>10</v>
      </c>
      <c r="J275" s="32">
        <f>SUM(J269:J274)</f>
        <v>11</v>
      </c>
      <c r="K275" s="23">
        <f>SUM(K269:K274)</f>
        <v>61</v>
      </c>
      <c r="L275" s="35">
        <f>SUM(L269:L274)</f>
        <v>0.99999999999999989</v>
      </c>
      <c r="M275" s="35">
        <f>K275/K278</f>
        <v>0.96825396825396826</v>
      </c>
      <c r="N275" s="37">
        <f>T275+AC275+AL275+AU275</f>
        <v>58</v>
      </c>
      <c r="O275" s="35">
        <f>N275/K275</f>
        <v>0.95081967213114749</v>
      </c>
      <c r="P275" s="13">
        <f t="shared" ref="P275:Y275" si="196">SUM(P269:P274)</f>
        <v>0</v>
      </c>
      <c r="Q275" s="47">
        <f t="shared" si="196"/>
        <v>6</v>
      </c>
      <c r="R275" s="14">
        <f t="shared" si="196"/>
        <v>5</v>
      </c>
      <c r="S275" s="14">
        <f t="shared" si="196"/>
        <v>1</v>
      </c>
      <c r="T275" s="14">
        <f t="shared" si="196"/>
        <v>12</v>
      </c>
      <c r="U275" s="40">
        <f t="shared" si="196"/>
        <v>0.99999999999999989</v>
      </c>
      <c r="V275" s="13">
        <f t="shared" si="196"/>
        <v>0</v>
      </c>
      <c r="W275" s="47">
        <f t="shared" si="196"/>
        <v>4</v>
      </c>
      <c r="X275" s="47">
        <f t="shared" si="196"/>
        <v>4</v>
      </c>
      <c r="Y275" s="47">
        <f t="shared" si="196"/>
        <v>5</v>
      </c>
      <c r="Z275" s="112" t="s">
        <v>82</v>
      </c>
      <c r="AA275" s="47">
        <f t="shared" ref="AA275:AG275" si="197">SUM(AA269:AA274)</f>
        <v>5</v>
      </c>
      <c r="AB275" s="47">
        <f t="shared" si="197"/>
        <v>1</v>
      </c>
      <c r="AC275" s="45">
        <f t="shared" si="197"/>
        <v>19</v>
      </c>
      <c r="AD275" s="40">
        <f t="shared" si="197"/>
        <v>1</v>
      </c>
      <c r="AE275" s="13">
        <f t="shared" si="197"/>
        <v>0</v>
      </c>
      <c r="AF275" s="47">
        <f t="shared" si="197"/>
        <v>2</v>
      </c>
      <c r="AG275" s="47">
        <f t="shared" si="197"/>
        <v>5</v>
      </c>
      <c r="AH275" s="113" t="s">
        <v>82</v>
      </c>
      <c r="AI275" s="47">
        <f t="shared" ref="AI275:AR275" si="198">SUM(AI269:AI274)</f>
        <v>5</v>
      </c>
      <c r="AJ275" s="47">
        <f t="shared" si="198"/>
        <v>1</v>
      </c>
      <c r="AK275" s="47">
        <f t="shared" si="198"/>
        <v>9</v>
      </c>
      <c r="AL275" s="45">
        <f t="shared" si="198"/>
        <v>22</v>
      </c>
      <c r="AM275" s="40">
        <f t="shared" si="198"/>
        <v>1</v>
      </c>
      <c r="AN275" s="13">
        <f t="shared" si="198"/>
        <v>0</v>
      </c>
      <c r="AO275" s="47">
        <f t="shared" si="198"/>
        <v>0</v>
      </c>
      <c r="AP275" s="47">
        <f t="shared" si="198"/>
        <v>1</v>
      </c>
      <c r="AQ275" s="47">
        <f t="shared" si="198"/>
        <v>2</v>
      </c>
      <c r="AR275" s="47">
        <f t="shared" si="198"/>
        <v>0</v>
      </c>
      <c r="AS275" s="113" t="s">
        <v>82</v>
      </c>
      <c r="AT275" s="47">
        <f t="shared" ref="AT275:AY275" si="199">SUM(AT269:AT274)</f>
        <v>2</v>
      </c>
      <c r="AU275" s="45">
        <f t="shared" si="199"/>
        <v>5</v>
      </c>
      <c r="AV275" s="40">
        <f t="shared" si="199"/>
        <v>1</v>
      </c>
      <c r="AW275" s="13">
        <f t="shared" si="199"/>
        <v>0</v>
      </c>
      <c r="AX275" s="47">
        <f t="shared" si="199"/>
        <v>0</v>
      </c>
      <c r="AY275" s="47">
        <f t="shared" si="199"/>
        <v>1</v>
      </c>
      <c r="AZ275" s="113" t="s">
        <v>82</v>
      </c>
      <c r="BA275" s="47">
        <f t="shared" ref="BA275:BG275" si="200">SUM(BA269:BA274)</f>
        <v>1</v>
      </c>
      <c r="BB275" s="47">
        <f t="shared" si="200"/>
        <v>1</v>
      </c>
      <c r="BC275" s="45">
        <f t="shared" si="200"/>
        <v>3</v>
      </c>
      <c r="BD275" s="40">
        <f t="shared" si="200"/>
        <v>1</v>
      </c>
      <c r="BE275" s="13">
        <f t="shared" si="200"/>
        <v>0</v>
      </c>
      <c r="BF275" s="38">
        <f t="shared" si="200"/>
        <v>8</v>
      </c>
      <c r="BG275" s="40">
        <f t="shared" si="200"/>
        <v>1</v>
      </c>
      <c r="BH275" s="32"/>
      <c r="BI275" s="40"/>
    </row>
    <row r="276" spans="1:61" ht="21.75" customHeight="1">
      <c r="A276" s="8" t="s">
        <v>64</v>
      </c>
      <c r="B276" s="32" t="s">
        <v>59</v>
      </c>
      <c r="C276" s="14">
        <v>0</v>
      </c>
      <c r="D276" s="32">
        <v>0</v>
      </c>
      <c r="E276" s="32">
        <v>0</v>
      </c>
      <c r="F276" s="32">
        <v>2</v>
      </c>
      <c r="G276" s="32" t="s">
        <v>59</v>
      </c>
      <c r="H276" s="32">
        <v>0</v>
      </c>
      <c r="I276" s="32">
        <v>0</v>
      </c>
      <c r="J276" s="32">
        <v>0</v>
      </c>
      <c r="K276" s="23">
        <f>SUM(B276:J276)</f>
        <v>2</v>
      </c>
      <c r="L276" s="35">
        <f>K276/(K275+K276+K277)</f>
        <v>3.1746031746031744E-2</v>
      </c>
      <c r="M276" s="35">
        <f>K276/(K278)</f>
        <v>3.1746031746031744E-2</v>
      </c>
      <c r="N276" s="37"/>
      <c r="O276" s="35"/>
      <c r="P276" s="13"/>
      <c r="Q276" s="52">
        <v>0</v>
      </c>
      <c r="R276" s="14">
        <v>0</v>
      </c>
      <c r="S276" s="14">
        <v>0</v>
      </c>
      <c r="T276" s="38">
        <f>SUM(Q276:S276)</f>
        <v>0</v>
      </c>
      <c r="U276" s="15">
        <f>T276/T278</f>
        <v>0</v>
      </c>
      <c r="V276" s="13"/>
      <c r="W276" s="52">
        <v>0</v>
      </c>
      <c r="X276" s="52">
        <v>0</v>
      </c>
      <c r="Y276" s="52">
        <v>0</v>
      </c>
      <c r="Z276" s="114" t="s">
        <v>82</v>
      </c>
      <c r="AA276" s="52">
        <v>0</v>
      </c>
      <c r="AB276" s="52">
        <v>0</v>
      </c>
      <c r="AC276" s="51">
        <f>SUM(W276:AB276)</f>
        <v>0</v>
      </c>
      <c r="AD276" s="15">
        <f>AC276/AC278</f>
        <v>0</v>
      </c>
      <c r="AE276" s="13"/>
      <c r="AF276" s="52">
        <v>2</v>
      </c>
      <c r="AG276" s="52">
        <v>0</v>
      </c>
      <c r="AH276" s="103" t="s">
        <v>82</v>
      </c>
      <c r="AI276" s="52">
        <v>0</v>
      </c>
      <c r="AJ276" s="52">
        <v>0</v>
      </c>
      <c r="AK276" s="52">
        <v>0</v>
      </c>
      <c r="AL276" s="49">
        <f>SUM(AF276:AK276)</f>
        <v>2</v>
      </c>
      <c r="AM276" s="15">
        <f>AL276/AL278</f>
        <v>8.3333333333333329E-2</v>
      </c>
      <c r="AN276" s="13"/>
      <c r="AO276" s="52">
        <v>0</v>
      </c>
      <c r="AP276" s="52">
        <v>0</v>
      </c>
      <c r="AQ276" s="52">
        <v>0</v>
      </c>
      <c r="AR276" s="52">
        <v>0</v>
      </c>
      <c r="AS276" s="103" t="s">
        <v>82</v>
      </c>
      <c r="AT276" s="52">
        <v>0</v>
      </c>
      <c r="AU276" s="51">
        <f>SUM(AO276:AT276)</f>
        <v>0</v>
      </c>
      <c r="AV276" s="15">
        <f>AU276/AU278</f>
        <v>0</v>
      </c>
      <c r="AW276" s="13"/>
      <c r="AX276" s="52">
        <v>0</v>
      </c>
      <c r="AY276" s="52">
        <v>0</v>
      </c>
      <c r="AZ276" s="103" t="s">
        <v>82</v>
      </c>
      <c r="BA276" s="52">
        <v>0</v>
      </c>
      <c r="BB276" s="52">
        <v>0</v>
      </c>
      <c r="BC276" s="51">
        <f>SUM(AX276:BB276)</f>
        <v>0</v>
      </c>
      <c r="BD276" s="15">
        <f>BC276/BC278</f>
        <v>0</v>
      </c>
      <c r="BE276" s="13"/>
      <c r="BF276" s="38"/>
      <c r="BG276" s="42"/>
      <c r="BH276" s="42"/>
      <c r="BI276" s="42"/>
    </row>
    <row r="277" spans="1:61" ht="21.75" customHeight="1">
      <c r="A277" s="8" t="s">
        <v>65</v>
      </c>
      <c r="B277" s="32" t="s">
        <v>59</v>
      </c>
      <c r="C277" s="45">
        <v>0</v>
      </c>
      <c r="D277" s="32">
        <v>0</v>
      </c>
      <c r="E277" s="32">
        <v>0</v>
      </c>
      <c r="F277" s="32">
        <v>0</v>
      </c>
      <c r="G277" s="32" t="s">
        <v>59</v>
      </c>
      <c r="H277" s="32">
        <v>0</v>
      </c>
      <c r="I277" s="32">
        <v>0</v>
      </c>
      <c r="J277" s="32">
        <v>0</v>
      </c>
      <c r="K277" s="23">
        <f>SUM(B277:J277)</f>
        <v>0</v>
      </c>
      <c r="L277" s="35">
        <f>K277/(K276+K277+K275)</f>
        <v>0</v>
      </c>
      <c r="M277" s="35">
        <f>K277/(K278)</f>
        <v>0</v>
      </c>
      <c r="N277" s="23"/>
      <c r="O277" s="35"/>
      <c r="P277" s="13"/>
      <c r="Q277" s="14">
        <v>0</v>
      </c>
      <c r="R277" s="14">
        <v>0</v>
      </c>
      <c r="S277" s="14">
        <v>0</v>
      </c>
      <c r="T277" s="38">
        <f>SUM(Q277:S277)</f>
        <v>0</v>
      </c>
      <c r="U277" s="15">
        <f>T277/T278</f>
        <v>0</v>
      </c>
      <c r="V277" s="13"/>
      <c r="W277" s="14">
        <v>0</v>
      </c>
      <c r="X277" s="14">
        <v>0</v>
      </c>
      <c r="Y277" s="14">
        <v>0</v>
      </c>
      <c r="Z277" s="33" t="s">
        <v>82</v>
      </c>
      <c r="AA277" s="14">
        <v>0</v>
      </c>
      <c r="AB277" s="45">
        <v>0</v>
      </c>
      <c r="AC277" s="38">
        <f>SUM(W277:AB277)</f>
        <v>0</v>
      </c>
      <c r="AD277" s="15">
        <f>AC277/AC278</f>
        <v>0</v>
      </c>
      <c r="AE277" s="13"/>
      <c r="AF277" s="14">
        <v>0</v>
      </c>
      <c r="AG277" s="14">
        <v>0</v>
      </c>
      <c r="AH277" s="9" t="s">
        <v>82</v>
      </c>
      <c r="AI277" s="14">
        <v>0</v>
      </c>
      <c r="AJ277" s="14">
        <v>0</v>
      </c>
      <c r="AK277" s="14">
        <v>0</v>
      </c>
      <c r="AL277" s="14">
        <f>SUM(AF277:AK277)</f>
        <v>0</v>
      </c>
      <c r="AM277" s="15">
        <f>AL277/AL278</f>
        <v>0</v>
      </c>
      <c r="AN277" s="13"/>
      <c r="AO277" s="14">
        <v>0</v>
      </c>
      <c r="AP277" s="14">
        <v>0</v>
      </c>
      <c r="AQ277" s="14">
        <v>0</v>
      </c>
      <c r="AR277" s="14">
        <v>0</v>
      </c>
      <c r="AS277" s="9" t="s">
        <v>82</v>
      </c>
      <c r="AT277" s="45">
        <v>0</v>
      </c>
      <c r="AU277" s="38">
        <f>SUM(AO277:AT277)</f>
        <v>0</v>
      </c>
      <c r="AV277" s="15">
        <f>AU277/AU278</f>
        <v>0</v>
      </c>
      <c r="AW277" s="13"/>
      <c r="AX277" s="14">
        <v>0</v>
      </c>
      <c r="AY277" s="14">
        <v>0</v>
      </c>
      <c r="AZ277" s="9" t="s">
        <v>82</v>
      </c>
      <c r="BA277" s="14">
        <v>0</v>
      </c>
      <c r="BB277" s="14">
        <v>0</v>
      </c>
      <c r="BC277" s="38">
        <f>SUM(AX277:BB277)</f>
        <v>0</v>
      </c>
      <c r="BD277" s="15">
        <f>BC277/BC278</f>
        <v>0</v>
      </c>
      <c r="BE277" s="13"/>
      <c r="BF277" s="38"/>
      <c r="BG277" s="42"/>
      <c r="BH277" s="42"/>
      <c r="BI277" s="42"/>
    </row>
    <row r="278" spans="1:61" ht="21.75" customHeight="1">
      <c r="A278" s="39" t="s">
        <v>66</v>
      </c>
      <c r="B278" s="32" t="s">
        <v>59</v>
      </c>
      <c r="C278" s="51">
        <f>SUM(C275:C277)</f>
        <v>4</v>
      </c>
      <c r="D278" s="32">
        <f>SUM(D275:D277)</f>
        <v>12</v>
      </c>
      <c r="E278" s="32">
        <f>SUM(E275:E277)</f>
        <v>11</v>
      </c>
      <c r="F278" s="32">
        <f>SUM(F275:F277)</f>
        <v>10</v>
      </c>
      <c r="G278" s="32" t="s">
        <v>59</v>
      </c>
      <c r="H278" s="32">
        <f>SUM(H275:H277)</f>
        <v>5</v>
      </c>
      <c r="I278" s="32">
        <f>SUM(I275:I277)</f>
        <v>10</v>
      </c>
      <c r="J278" s="32">
        <f>SUM(J275:J277)</f>
        <v>11</v>
      </c>
      <c r="K278" s="23">
        <f>SUM(B278:J278)</f>
        <v>63</v>
      </c>
      <c r="L278" s="35">
        <f>K278/(K277+K276+K275)</f>
        <v>1</v>
      </c>
      <c r="M278" s="35">
        <f>K278/(K275+K276+K277)</f>
        <v>1</v>
      </c>
      <c r="N278" s="37">
        <f>T278+AC278+AL278+AU278</f>
        <v>60</v>
      </c>
      <c r="O278" s="35">
        <f>N278/K278</f>
        <v>0.95238095238095233</v>
      </c>
      <c r="P278" s="13"/>
      <c r="Q278" s="38">
        <f>SUM(Q275:Q277)</f>
        <v>6</v>
      </c>
      <c r="R278" s="38">
        <f>SUM(R275:R277)</f>
        <v>5</v>
      </c>
      <c r="S278" s="38">
        <f>SUM(S275:S277)</f>
        <v>1</v>
      </c>
      <c r="T278" s="38">
        <f>SUM(Q278:S278)</f>
        <v>12</v>
      </c>
      <c r="U278" s="40">
        <f>T278/(T275+T276+T277)</f>
        <v>1</v>
      </c>
      <c r="V278" s="13"/>
      <c r="W278" s="38">
        <f>SUM(W275:W277)</f>
        <v>4</v>
      </c>
      <c r="X278" s="38">
        <f>SUM(X275:X277)</f>
        <v>4</v>
      </c>
      <c r="Y278" s="38">
        <f>SUM(Y275:Y277)</f>
        <v>5</v>
      </c>
      <c r="Z278" s="33" t="s">
        <v>82</v>
      </c>
      <c r="AA278" s="38">
        <f>SUM(AA275:AA277)</f>
        <v>5</v>
      </c>
      <c r="AB278" s="51">
        <f>SUM(AB275:AB277)</f>
        <v>1</v>
      </c>
      <c r="AC278" s="38">
        <f>SUM(W278:AB278)</f>
        <v>19</v>
      </c>
      <c r="AD278" s="40">
        <f>AC278/(AC275+AC276+AC277)</f>
        <v>1</v>
      </c>
      <c r="AE278" s="13"/>
      <c r="AF278" s="38">
        <f>SUM(AF275:AF277)</f>
        <v>4</v>
      </c>
      <c r="AG278" s="38">
        <f>SUM(AG275:AG277)</f>
        <v>5</v>
      </c>
      <c r="AH278" s="9" t="s">
        <v>82</v>
      </c>
      <c r="AI278" s="38">
        <f>SUM(AI275:AI277)</f>
        <v>5</v>
      </c>
      <c r="AJ278" s="38">
        <f>SUM(AJ275:AJ277)</f>
        <v>1</v>
      </c>
      <c r="AK278" s="38">
        <f>SUM(AK275:AK277)</f>
        <v>9</v>
      </c>
      <c r="AL278" s="38">
        <f>SUM(AF278:AK278)</f>
        <v>24</v>
      </c>
      <c r="AM278" s="41">
        <f>AL278/(AL275+AL276+AL277)</f>
        <v>1</v>
      </c>
      <c r="AN278" s="13"/>
      <c r="AO278" s="38">
        <f>SUM(AO275:AO277)</f>
        <v>0</v>
      </c>
      <c r="AP278" s="38">
        <f>SUM(AP275:AP277)</f>
        <v>1</v>
      </c>
      <c r="AQ278" s="38">
        <f>SUM(AQ275:AQ277)</f>
        <v>2</v>
      </c>
      <c r="AR278" s="38">
        <f>SUM(AR275:AR277)</f>
        <v>0</v>
      </c>
      <c r="AS278" s="9" t="s">
        <v>82</v>
      </c>
      <c r="AT278" s="51">
        <f>SUM(AT275:AT277)</f>
        <v>2</v>
      </c>
      <c r="AU278" s="38">
        <f>SUM(AO278:AT278)</f>
        <v>5</v>
      </c>
      <c r="AV278" s="40">
        <f>AU278/(AU275+AU276+AU277)</f>
        <v>1</v>
      </c>
      <c r="AW278" s="13"/>
      <c r="AX278" s="38">
        <f>SUM(AX275:AX277)</f>
        <v>0</v>
      </c>
      <c r="AY278" s="38">
        <f>SUM(AY275:AY277)</f>
        <v>1</v>
      </c>
      <c r="AZ278" s="9" t="s">
        <v>82</v>
      </c>
      <c r="BA278" s="38">
        <f>SUM(BA275:BA277)</f>
        <v>1</v>
      </c>
      <c r="BB278" s="38">
        <f>SUM(BB275:BB277)</f>
        <v>1</v>
      </c>
      <c r="BC278" s="38">
        <f>SUM(AX278:BB278)</f>
        <v>3</v>
      </c>
      <c r="BD278" s="40">
        <f>BC278/(BC275+BC276+BC277)</f>
        <v>1</v>
      </c>
      <c r="BE278" s="13"/>
      <c r="BF278" s="38"/>
      <c r="BG278" s="42"/>
      <c r="BH278" s="42"/>
      <c r="BI278" s="42"/>
    </row>
    <row r="279" spans="1:61" ht="68.25" customHeight="1">
      <c r="A279" s="102" t="s">
        <v>154</v>
      </c>
      <c r="B279" s="181" t="s">
        <v>153</v>
      </c>
      <c r="C279" s="182"/>
      <c r="D279" s="182"/>
      <c r="E279" s="182"/>
      <c r="F279" s="182"/>
      <c r="G279" s="22"/>
      <c r="H279" s="22"/>
      <c r="I279" s="22"/>
      <c r="J279" s="22"/>
      <c r="K279" s="21"/>
      <c r="L279" s="24"/>
      <c r="M279" s="24"/>
      <c r="N279" s="26"/>
      <c r="O279" s="24"/>
      <c r="P279" s="27"/>
      <c r="Q279" s="28"/>
      <c r="R279" s="28"/>
      <c r="S279" s="28"/>
      <c r="T279" s="26"/>
      <c r="U279" s="24"/>
      <c r="V279" s="27"/>
      <c r="W279" s="28"/>
      <c r="X279" s="28"/>
      <c r="Y279" s="28"/>
      <c r="Z279" s="28"/>
      <c r="AA279" s="28"/>
      <c r="AB279" s="28"/>
      <c r="AC279" s="26"/>
      <c r="AD279" s="24"/>
      <c r="AE279" s="27"/>
      <c r="AF279" s="28"/>
      <c r="AG279" s="28"/>
      <c r="AH279" s="28"/>
      <c r="AI279" s="28"/>
      <c r="AJ279" s="28"/>
      <c r="AK279" s="28"/>
      <c r="AL279" s="26"/>
      <c r="AM279" s="29"/>
      <c r="AN279" s="27"/>
      <c r="AO279" s="26"/>
      <c r="AP279" s="26"/>
      <c r="AQ279" s="26"/>
      <c r="AR279" s="26"/>
      <c r="AS279" s="26"/>
      <c r="AT279" s="26"/>
      <c r="AU279" s="26"/>
      <c r="AV279" s="24"/>
      <c r="AW279" s="27"/>
      <c r="AX279" s="26"/>
      <c r="AY279" s="26"/>
      <c r="AZ279" s="26"/>
      <c r="BA279" s="26"/>
      <c r="BB279" s="26"/>
      <c r="BC279" s="26"/>
      <c r="BD279" s="24"/>
      <c r="BE279" s="27"/>
      <c r="BF279" s="26"/>
      <c r="BG279" s="22"/>
      <c r="BH279" s="21"/>
      <c r="BI279" s="22"/>
    </row>
    <row r="280" spans="1:61" ht="32.25" customHeight="1">
      <c r="A280" s="10"/>
      <c r="B280" s="30" t="s">
        <v>0</v>
      </c>
      <c r="C280" s="30" t="s">
        <v>1</v>
      </c>
      <c r="D280" s="30" t="s">
        <v>2</v>
      </c>
      <c r="E280" s="30" t="s">
        <v>3</v>
      </c>
      <c r="F280" s="30" t="s">
        <v>4</v>
      </c>
      <c r="G280" s="30" t="s">
        <v>5</v>
      </c>
      <c r="H280" s="30" t="s">
        <v>68</v>
      </c>
      <c r="I280" s="30" t="s">
        <v>7</v>
      </c>
      <c r="J280" s="30" t="s">
        <v>8</v>
      </c>
      <c r="K280" s="10" t="s">
        <v>9</v>
      </c>
      <c r="L280" s="10" t="s">
        <v>56</v>
      </c>
      <c r="M280" s="20"/>
      <c r="N280" s="12"/>
      <c r="O280" s="20"/>
      <c r="P280" s="27"/>
      <c r="Q280" s="30" t="s">
        <v>15</v>
      </c>
      <c r="R280" s="30" t="s">
        <v>16</v>
      </c>
      <c r="S280" s="30" t="s">
        <v>28</v>
      </c>
      <c r="T280" s="20"/>
      <c r="U280" s="11"/>
      <c r="V280" s="27"/>
      <c r="W280" s="30" t="s">
        <v>15</v>
      </c>
      <c r="X280" s="30" t="s">
        <v>20</v>
      </c>
      <c r="Y280" s="30" t="s">
        <v>21</v>
      </c>
      <c r="Z280" s="30" t="s">
        <v>22</v>
      </c>
      <c r="AA280" s="30" t="s">
        <v>23</v>
      </c>
      <c r="AB280" s="30" t="s">
        <v>24</v>
      </c>
      <c r="AC280" s="20"/>
      <c r="AD280" s="11"/>
      <c r="AE280" s="27"/>
      <c r="AF280" s="30" t="s">
        <v>20</v>
      </c>
      <c r="AG280" s="30" t="s">
        <v>21</v>
      </c>
      <c r="AH280" s="30" t="s">
        <v>22</v>
      </c>
      <c r="AI280" s="30" t="s">
        <v>23</v>
      </c>
      <c r="AJ280" s="30" t="s">
        <v>24</v>
      </c>
      <c r="AK280" s="30" t="s">
        <v>28</v>
      </c>
      <c r="AL280" s="20"/>
      <c r="AM280" s="44"/>
      <c r="AN280" s="27"/>
      <c r="AO280" s="30" t="s">
        <v>15</v>
      </c>
      <c r="AP280" s="30" t="s">
        <v>20</v>
      </c>
      <c r="AQ280" s="30" t="s">
        <v>21</v>
      </c>
      <c r="AR280" s="30" t="s">
        <v>16</v>
      </c>
      <c r="AS280" s="30" t="s">
        <v>22</v>
      </c>
      <c r="AT280" s="30" t="s">
        <v>24</v>
      </c>
      <c r="AU280" s="20"/>
      <c r="AV280" s="11"/>
      <c r="AW280" s="27"/>
      <c r="AX280" s="30" t="s">
        <v>15</v>
      </c>
      <c r="AY280" s="30" t="s">
        <v>20</v>
      </c>
      <c r="AZ280" s="30" t="s">
        <v>22</v>
      </c>
      <c r="BA280" s="30" t="s">
        <v>23</v>
      </c>
      <c r="BB280" s="30" t="s">
        <v>28</v>
      </c>
      <c r="BC280" s="20"/>
      <c r="BD280" s="11"/>
      <c r="BE280" s="27"/>
      <c r="BF280" s="10" t="s">
        <v>38</v>
      </c>
      <c r="BG280" s="10" t="s">
        <v>39</v>
      </c>
      <c r="BH280" s="9" t="s">
        <v>40</v>
      </c>
      <c r="BI280" s="9" t="s">
        <v>41</v>
      </c>
    </row>
    <row r="281" spans="1:61" ht="20.25" customHeight="1">
      <c r="A281" s="10" t="s">
        <v>97</v>
      </c>
      <c r="B281" s="32" t="s">
        <v>59</v>
      </c>
      <c r="C281" s="32">
        <v>0</v>
      </c>
      <c r="D281" s="32">
        <v>0</v>
      </c>
      <c r="E281" s="32">
        <v>0</v>
      </c>
      <c r="F281" s="32">
        <v>0</v>
      </c>
      <c r="G281" s="32" t="s">
        <v>59</v>
      </c>
      <c r="H281" s="32">
        <v>0</v>
      </c>
      <c r="I281" s="32">
        <v>0</v>
      </c>
      <c r="J281" s="33">
        <v>0</v>
      </c>
      <c r="K281" s="23">
        <f t="shared" ref="K281:K286" si="201">SUM(B281:J281)</f>
        <v>0</v>
      </c>
      <c r="L281" s="35">
        <f>K281/K287</f>
        <v>0</v>
      </c>
      <c r="M281" s="35">
        <f>K281/K290</f>
        <v>0</v>
      </c>
      <c r="N281" s="37"/>
      <c r="O281" s="35"/>
      <c r="P281" s="13"/>
      <c r="Q281" s="33">
        <v>0</v>
      </c>
      <c r="R281" s="33">
        <v>0</v>
      </c>
      <c r="S281" s="33">
        <v>0</v>
      </c>
      <c r="T281" s="14">
        <f t="shared" ref="T281:T286" si="202">SUM(Q281:S281)</f>
        <v>0</v>
      </c>
      <c r="U281" s="40">
        <f>T281/T287</f>
        <v>0</v>
      </c>
      <c r="V281" s="13"/>
      <c r="W281" s="33">
        <v>0</v>
      </c>
      <c r="X281" s="33">
        <v>0</v>
      </c>
      <c r="Y281" s="33">
        <v>0</v>
      </c>
      <c r="Z281" s="33" t="s">
        <v>82</v>
      </c>
      <c r="AA281" s="33">
        <v>0</v>
      </c>
      <c r="AB281" s="33">
        <v>0</v>
      </c>
      <c r="AC281" s="14">
        <f t="shared" ref="AC281:AC286" si="203">SUM(W281:AB281)</f>
        <v>0</v>
      </c>
      <c r="AD281" s="40">
        <f>AC281/AC287</f>
        <v>0</v>
      </c>
      <c r="AE281" s="13"/>
      <c r="AF281" s="33">
        <v>0</v>
      </c>
      <c r="AG281" s="33">
        <v>0</v>
      </c>
      <c r="AH281" s="9" t="s">
        <v>82</v>
      </c>
      <c r="AI281" s="33">
        <v>0</v>
      </c>
      <c r="AJ281" s="33">
        <v>0</v>
      </c>
      <c r="AK281" s="33">
        <v>0</v>
      </c>
      <c r="AL281" s="14">
        <f t="shared" ref="AL281:AL286" si="204">SUM(AF281:AK281)</f>
        <v>0</v>
      </c>
      <c r="AM281" s="40">
        <f>AL281/AL287</f>
        <v>0</v>
      </c>
      <c r="AN281" s="13"/>
      <c r="AO281" s="33">
        <v>0</v>
      </c>
      <c r="AP281" s="33">
        <v>0</v>
      </c>
      <c r="AQ281" s="33">
        <v>0</v>
      </c>
      <c r="AR281" s="33">
        <v>0</v>
      </c>
      <c r="AS281" s="9" t="s">
        <v>82</v>
      </c>
      <c r="AT281" s="33">
        <v>0</v>
      </c>
      <c r="AU281" s="14">
        <f t="shared" ref="AU281:AU286" si="205">SUM(AO281:AT281)</f>
        <v>0</v>
      </c>
      <c r="AV281" s="40">
        <f>AU281/AU287</f>
        <v>0</v>
      </c>
      <c r="AW281" s="13"/>
      <c r="AX281" s="33">
        <v>0</v>
      </c>
      <c r="AY281" s="33">
        <v>0</v>
      </c>
      <c r="AZ281" s="9" t="s">
        <v>82</v>
      </c>
      <c r="BA281" s="33">
        <v>0</v>
      </c>
      <c r="BB281" s="33">
        <v>0</v>
      </c>
      <c r="BC281" s="14">
        <f t="shared" ref="BC281:BC286" si="206">SUM(AX281:BB281)</f>
        <v>0</v>
      </c>
      <c r="BD281" s="40">
        <f>BC281/BC287</f>
        <v>0</v>
      </c>
      <c r="BE281" s="13"/>
      <c r="BF281" s="14">
        <v>0</v>
      </c>
      <c r="BG281" s="15">
        <f>BF281/BF287</f>
        <v>0</v>
      </c>
      <c r="BH281" s="16"/>
      <c r="BI281" s="15"/>
    </row>
    <row r="282" spans="1:61" ht="20.25" customHeight="1">
      <c r="A282" s="10" t="s">
        <v>98</v>
      </c>
      <c r="B282" s="32" t="s">
        <v>59</v>
      </c>
      <c r="C282" s="32">
        <v>0</v>
      </c>
      <c r="D282" s="32">
        <v>0</v>
      </c>
      <c r="E282" s="32">
        <v>0</v>
      </c>
      <c r="F282" s="32">
        <v>0</v>
      </c>
      <c r="G282" s="32">
        <v>1</v>
      </c>
      <c r="H282" s="32">
        <v>0</v>
      </c>
      <c r="I282" s="32">
        <v>1</v>
      </c>
      <c r="J282" s="33">
        <v>3</v>
      </c>
      <c r="K282" s="23">
        <f t="shared" si="201"/>
        <v>5</v>
      </c>
      <c r="L282" s="35">
        <f>K282/K287</f>
        <v>7.2463768115942032E-2</v>
      </c>
      <c r="M282" s="35">
        <f>K282/K290</f>
        <v>7.0422535211267609E-2</v>
      </c>
      <c r="N282" s="37"/>
      <c r="O282" s="35"/>
      <c r="P282" s="13"/>
      <c r="Q282" s="33">
        <v>0</v>
      </c>
      <c r="R282" s="33">
        <v>0</v>
      </c>
      <c r="S282" s="33">
        <v>0</v>
      </c>
      <c r="T282" s="14">
        <f t="shared" si="202"/>
        <v>0</v>
      </c>
      <c r="U282" s="40">
        <f>T282/T287</f>
        <v>0</v>
      </c>
      <c r="V282" s="13"/>
      <c r="W282" s="33">
        <v>1</v>
      </c>
      <c r="X282" s="33">
        <v>0</v>
      </c>
      <c r="Y282" s="33">
        <v>0</v>
      </c>
      <c r="Z282" s="33">
        <v>0</v>
      </c>
      <c r="AA282" s="33">
        <v>0</v>
      </c>
      <c r="AB282" s="33">
        <v>0</v>
      </c>
      <c r="AC282" s="14">
        <f t="shared" si="203"/>
        <v>1</v>
      </c>
      <c r="AD282" s="40">
        <f>AC282/AC287</f>
        <v>4.7619047619047616E-2</v>
      </c>
      <c r="AE282" s="13"/>
      <c r="AF282" s="33">
        <v>0</v>
      </c>
      <c r="AG282" s="33">
        <v>0</v>
      </c>
      <c r="AH282" s="14">
        <v>0</v>
      </c>
      <c r="AI282" s="33">
        <v>0</v>
      </c>
      <c r="AJ282" s="33">
        <v>0</v>
      </c>
      <c r="AK282" s="33">
        <v>3</v>
      </c>
      <c r="AL282" s="14">
        <f t="shared" si="204"/>
        <v>3</v>
      </c>
      <c r="AM282" s="40">
        <f>AL282/AL287</f>
        <v>0.12</v>
      </c>
      <c r="AN282" s="13"/>
      <c r="AO282" s="33">
        <v>0</v>
      </c>
      <c r="AP282" s="33">
        <v>0</v>
      </c>
      <c r="AQ282" s="33">
        <v>0</v>
      </c>
      <c r="AR282" s="33">
        <v>0</v>
      </c>
      <c r="AS282" s="14">
        <v>1</v>
      </c>
      <c r="AT282" s="33">
        <v>0</v>
      </c>
      <c r="AU282" s="14">
        <f t="shared" si="205"/>
        <v>1</v>
      </c>
      <c r="AV282" s="40">
        <f>AU282/AU287</f>
        <v>0.125</v>
      </c>
      <c r="AW282" s="13"/>
      <c r="AX282" s="33">
        <v>0</v>
      </c>
      <c r="AY282" s="33">
        <v>0</v>
      </c>
      <c r="AZ282" s="14">
        <v>0</v>
      </c>
      <c r="BA282" s="33">
        <v>0</v>
      </c>
      <c r="BB282" s="33">
        <v>0</v>
      </c>
      <c r="BC282" s="14">
        <f t="shared" si="206"/>
        <v>0</v>
      </c>
      <c r="BD282" s="40">
        <f>BC282/BC287</f>
        <v>0</v>
      </c>
      <c r="BE282" s="13"/>
      <c r="BF282" s="14">
        <v>0</v>
      </c>
      <c r="BG282" s="15">
        <f>BF282/BF287</f>
        <v>0</v>
      </c>
      <c r="BH282" s="16"/>
      <c r="BI282" s="15"/>
    </row>
    <row r="283" spans="1:61" ht="20.25" customHeight="1">
      <c r="A283" s="10" t="s">
        <v>99</v>
      </c>
      <c r="B283" s="32" t="s">
        <v>59</v>
      </c>
      <c r="C283" s="32">
        <v>0</v>
      </c>
      <c r="D283" s="32">
        <v>4</v>
      </c>
      <c r="E283" s="32">
        <v>1</v>
      </c>
      <c r="F283" s="32">
        <v>1</v>
      </c>
      <c r="G283" s="32" t="s">
        <v>59</v>
      </c>
      <c r="H283" s="32">
        <v>0</v>
      </c>
      <c r="I283" s="32">
        <v>4</v>
      </c>
      <c r="J283" s="33">
        <v>1</v>
      </c>
      <c r="K283" s="23">
        <f t="shared" si="201"/>
        <v>11</v>
      </c>
      <c r="L283" s="35">
        <f>K283/K287</f>
        <v>0.15942028985507245</v>
      </c>
      <c r="M283" s="35">
        <f>K283/K290</f>
        <v>0.15492957746478872</v>
      </c>
      <c r="N283" s="37"/>
      <c r="O283" s="35"/>
      <c r="P283" s="13"/>
      <c r="Q283" s="33">
        <v>1</v>
      </c>
      <c r="R283" s="33">
        <v>0</v>
      </c>
      <c r="S283" s="33">
        <v>0</v>
      </c>
      <c r="T283" s="14">
        <f t="shared" si="202"/>
        <v>1</v>
      </c>
      <c r="U283" s="40">
        <f>T283/T287</f>
        <v>8.3333333333333329E-2</v>
      </c>
      <c r="V283" s="13"/>
      <c r="W283" s="33">
        <v>3</v>
      </c>
      <c r="X283" s="33">
        <v>0</v>
      </c>
      <c r="Y283" s="33">
        <v>2</v>
      </c>
      <c r="Z283" s="33" t="s">
        <v>82</v>
      </c>
      <c r="AA283" s="33">
        <v>1</v>
      </c>
      <c r="AB283" s="33">
        <v>0</v>
      </c>
      <c r="AC283" s="14">
        <f t="shared" si="203"/>
        <v>6</v>
      </c>
      <c r="AD283" s="40">
        <f>AC283/AC287</f>
        <v>0.2857142857142857</v>
      </c>
      <c r="AE283" s="13"/>
      <c r="AF283" s="33">
        <v>1</v>
      </c>
      <c r="AG283" s="33">
        <v>2</v>
      </c>
      <c r="AH283" s="9" t="s">
        <v>82</v>
      </c>
      <c r="AI283" s="33">
        <v>0</v>
      </c>
      <c r="AJ283" s="33">
        <v>0</v>
      </c>
      <c r="AK283" s="33">
        <v>1</v>
      </c>
      <c r="AL283" s="14">
        <f t="shared" si="204"/>
        <v>4</v>
      </c>
      <c r="AM283" s="40">
        <f>AL283/AL287</f>
        <v>0.16</v>
      </c>
      <c r="AN283" s="13"/>
      <c r="AO283" s="33">
        <v>0</v>
      </c>
      <c r="AP283" s="33">
        <v>0</v>
      </c>
      <c r="AQ283" s="33">
        <v>0</v>
      </c>
      <c r="AR283" s="33">
        <v>0</v>
      </c>
      <c r="AS283" s="9" t="s">
        <v>82</v>
      </c>
      <c r="AT283" s="33">
        <v>0</v>
      </c>
      <c r="AU283" s="14">
        <f t="shared" si="205"/>
        <v>0</v>
      </c>
      <c r="AV283" s="40">
        <f>AU283/AU287</f>
        <v>0</v>
      </c>
      <c r="AW283" s="13"/>
      <c r="AX283" s="33">
        <v>0</v>
      </c>
      <c r="AY283" s="33">
        <v>0</v>
      </c>
      <c r="AZ283" s="9" t="s">
        <v>82</v>
      </c>
      <c r="BA283" s="33">
        <v>0</v>
      </c>
      <c r="BB283" s="33">
        <v>0</v>
      </c>
      <c r="BC283" s="14">
        <f t="shared" si="206"/>
        <v>0</v>
      </c>
      <c r="BD283" s="40">
        <f>BC283/BC287</f>
        <v>0</v>
      </c>
      <c r="BE283" s="13"/>
      <c r="BF283" s="14">
        <v>0</v>
      </c>
      <c r="BG283" s="15">
        <f>BF283/BF287</f>
        <v>0</v>
      </c>
      <c r="BH283" s="16"/>
      <c r="BI283" s="15"/>
    </row>
    <row r="284" spans="1:61" ht="20.25" customHeight="1">
      <c r="A284" s="10" t="s">
        <v>100</v>
      </c>
      <c r="B284" s="32" t="s">
        <v>59</v>
      </c>
      <c r="C284" s="32">
        <v>3</v>
      </c>
      <c r="D284" s="32">
        <v>4</v>
      </c>
      <c r="E284" s="32">
        <v>6</v>
      </c>
      <c r="F284" s="32">
        <v>2</v>
      </c>
      <c r="G284" s="32">
        <v>4</v>
      </c>
      <c r="H284" s="32">
        <v>1</v>
      </c>
      <c r="I284" s="32">
        <v>1</v>
      </c>
      <c r="J284" s="33">
        <v>3</v>
      </c>
      <c r="K284" s="23">
        <f t="shared" si="201"/>
        <v>24</v>
      </c>
      <c r="L284" s="35">
        <f>K284/K287</f>
        <v>0.34782608695652173</v>
      </c>
      <c r="M284" s="35">
        <f>K284/K290</f>
        <v>0.3380281690140845</v>
      </c>
      <c r="N284" s="37"/>
      <c r="O284" s="35"/>
      <c r="P284" s="13"/>
      <c r="Q284" s="33">
        <v>1</v>
      </c>
      <c r="R284" s="33">
        <v>1</v>
      </c>
      <c r="S284" s="33">
        <v>1</v>
      </c>
      <c r="T284" s="14">
        <f t="shared" si="202"/>
        <v>3</v>
      </c>
      <c r="U284" s="40">
        <f>T284/T287</f>
        <v>0.25</v>
      </c>
      <c r="V284" s="13"/>
      <c r="W284" s="33">
        <v>0</v>
      </c>
      <c r="X284" s="33">
        <v>2</v>
      </c>
      <c r="Y284" s="33">
        <v>1</v>
      </c>
      <c r="Z284" s="33">
        <v>2</v>
      </c>
      <c r="AA284" s="33">
        <v>3</v>
      </c>
      <c r="AB284" s="33">
        <v>1</v>
      </c>
      <c r="AC284" s="14">
        <f t="shared" si="203"/>
        <v>9</v>
      </c>
      <c r="AD284" s="40">
        <f>AC284/AC287</f>
        <v>0.42857142857142855</v>
      </c>
      <c r="AE284" s="13"/>
      <c r="AF284" s="33">
        <v>0</v>
      </c>
      <c r="AG284" s="33">
        <v>2</v>
      </c>
      <c r="AH284" s="14">
        <v>1</v>
      </c>
      <c r="AI284" s="33">
        <v>3</v>
      </c>
      <c r="AJ284" s="33">
        <v>1</v>
      </c>
      <c r="AK284" s="33">
        <v>2</v>
      </c>
      <c r="AL284" s="14">
        <f t="shared" si="204"/>
        <v>9</v>
      </c>
      <c r="AM284" s="40">
        <f>AL284/AL287</f>
        <v>0.36</v>
      </c>
      <c r="AN284" s="13"/>
      <c r="AO284" s="33">
        <v>0</v>
      </c>
      <c r="AP284" s="33">
        <v>0</v>
      </c>
      <c r="AQ284" s="33">
        <v>1</v>
      </c>
      <c r="AR284" s="33">
        <v>0</v>
      </c>
      <c r="AS284" s="14">
        <v>1</v>
      </c>
      <c r="AT284" s="33">
        <v>1</v>
      </c>
      <c r="AU284" s="14">
        <f t="shared" si="205"/>
        <v>3</v>
      </c>
      <c r="AV284" s="40">
        <f>AU284/AU287</f>
        <v>0.375</v>
      </c>
      <c r="AW284" s="13"/>
      <c r="AX284" s="33">
        <v>0</v>
      </c>
      <c r="AY284" s="33">
        <v>0</v>
      </c>
      <c r="AZ284" s="14">
        <v>0</v>
      </c>
      <c r="BA284" s="33">
        <v>0</v>
      </c>
      <c r="BB284" s="33">
        <v>0</v>
      </c>
      <c r="BC284" s="14">
        <f t="shared" si="206"/>
        <v>0</v>
      </c>
      <c r="BD284" s="40">
        <f>BC284/BC287</f>
        <v>0</v>
      </c>
      <c r="BE284" s="13"/>
      <c r="BF284" s="14">
        <v>3</v>
      </c>
      <c r="BG284" s="15">
        <f>BF284/BF287</f>
        <v>0.375</v>
      </c>
      <c r="BH284" s="16"/>
      <c r="BI284" s="15"/>
    </row>
    <row r="285" spans="1:61" ht="32.25" customHeight="1">
      <c r="A285" s="10" t="s">
        <v>101</v>
      </c>
      <c r="B285" s="32" t="s">
        <v>59</v>
      </c>
      <c r="C285" s="32">
        <v>1</v>
      </c>
      <c r="D285" s="32">
        <v>3</v>
      </c>
      <c r="E285" s="32">
        <v>4</v>
      </c>
      <c r="F285" s="32">
        <v>3</v>
      </c>
      <c r="G285" s="32">
        <v>3</v>
      </c>
      <c r="H285" s="32">
        <v>3</v>
      </c>
      <c r="I285" s="32">
        <v>3</v>
      </c>
      <c r="J285" s="33">
        <v>4</v>
      </c>
      <c r="K285" s="23">
        <f t="shared" si="201"/>
        <v>24</v>
      </c>
      <c r="L285" s="35">
        <f>K285/K287</f>
        <v>0.34782608695652173</v>
      </c>
      <c r="M285" s="35">
        <f>K285/K290</f>
        <v>0.3380281690140845</v>
      </c>
      <c r="N285" s="37"/>
      <c r="O285" s="35"/>
      <c r="P285" s="13"/>
      <c r="Q285" s="33">
        <v>3</v>
      </c>
      <c r="R285" s="33">
        <v>3</v>
      </c>
      <c r="S285" s="33">
        <v>0</v>
      </c>
      <c r="T285" s="14">
        <f t="shared" si="202"/>
        <v>6</v>
      </c>
      <c r="U285" s="40">
        <f>T285/T287</f>
        <v>0.5</v>
      </c>
      <c r="V285" s="13"/>
      <c r="W285" s="33">
        <v>0</v>
      </c>
      <c r="X285" s="33">
        <v>2</v>
      </c>
      <c r="Y285" s="33">
        <v>1</v>
      </c>
      <c r="Z285" s="33">
        <v>0</v>
      </c>
      <c r="AA285" s="33">
        <v>1</v>
      </c>
      <c r="AB285" s="33">
        <v>0</v>
      </c>
      <c r="AC285" s="14">
        <f t="shared" si="203"/>
        <v>4</v>
      </c>
      <c r="AD285" s="40">
        <f>AC285/AC287</f>
        <v>0.19047619047619047</v>
      </c>
      <c r="AE285" s="13"/>
      <c r="AF285" s="33">
        <v>0</v>
      </c>
      <c r="AG285" s="33">
        <v>1</v>
      </c>
      <c r="AH285" s="14">
        <v>2</v>
      </c>
      <c r="AI285" s="33">
        <v>2</v>
      </c>
      <c r="AJ285" s="33">
        <v>0</v>
      </c>
      <c r="AK285" s="33">
        <v>3</v>
      </c>
      <c r="AL285" s="14">
        <f t="shared" si="204"/>
        <v>8</v>
      </c>
      <c r="AM285" s="40">
        <f>AL285/AL287</f>
        <v>0.32</v>
      </c>
      <c r="AN285" s="13"/>
      <c r="AO285" s="33">
        <v>0</v>
      </c>
      <c r="AP285" s="33">
        <v>0</v>
      </c>
      <c r="AQ285" s="33">
        <v>1</v>
      </c>
      <c r="AR285" s="33">
        <v>0</v>
      </c>
      <c r="AS285" s="14">
        <v>1</v>
      </c>
      <c r="AT285" s="33">
        <v>1</v>
      </c>
      <c r="AU285" s="14">
        <f t="shared" si="205"/>
        <v>3</v>
      </c>
      <c r="AV285" s="40">
        <f>AU285/AU287</f>
        <v>0.375</v>
      </c>
      <c r="AW285" s="13"/>
      <c r="AX285" s="33">
        <v>0</v>
      </c>
      <c r="AY285" s="33">
        <v>1</v>
      </c>
      <c r="AZ285" s="14">
        <v>0</v>
      </c>
      <c r="BA285" s="33">
        <v>1</v>
      </c>
      <c r="BB285" s="33">
        <v>1</v>
      </c>
      <c r="BC285" s="14">
        <f t="shared" si="206"/>
        <v>3</v>
      </c>
      <c r="BD285" s="40">
        <f>BC285/BC287</f>
        <v>0.75</v>
      </c>
      <c r="BE285" s="13"/>
      <c r="BF285" s="14">
        <v>5</v>
      </c>
      <c r="BG285" s="15">
        <f>BF285/BF287</f>
        <v>0.625</v>
      </c>
      <c r="BH285" s="16"/>
      <c r="BI285" s="15"/>
    </row>
    <row r="286" spans="1:61" ht="20.25" customHeight="1">
      <c r="A286" s="10" t="s">
        <v>102</v>
      </c>
      <c r="B286" s="32" t="s">
        <v>59</v>
      </c>
      <c r="C286" s="32">
        <v>0</v>
      </c>
      <c r="D286" s="32">
        <v>1</v>
      </c>
      <c r="E286" s="32">
        <v>0</v>
      </c>
      <c r="F286" s="32">
        <v>2</v>
      </c>
      <c r="G286" s="32" t="s">
        <v>59</v>
      </c>
      <c r="H286" s="32">
        <v>1</v>
      </c>
      <c r="I286" s="32">
        <v>1</v>
      </c>
      <c r="J286" s="33">
        <v>0</v>
      </c>
      <c r="K286" s="23">
        <f t="shared" si="201"/>
        <v>5</v>
      </c>
      <c r="L286" s="35">
        <f>K286/K287</f>
        <v>7.2463768115942032E-2</v>
      </c>
      <c r="M286" s="35">
        <f>K286/K290</f>
        <v>7.0422535211267609E-2</v>
      </c>
      <c r="N286" s="37"/>
      <c r="O286" s="35"/>
      <c r="P286" s="13"/>
      <c r="Q286" s="33">
        <v>1</v>
      </c>
      <c r="R286" s="33">
        <v>1</v>
      </c>
      <c r="S286" s="33">
        <v>0</v>
      </c>
      <c r="T286" s="14">
        <f t="shared" si="202"/>
        <v>2</v>
      </c>
      <c r="U286" s="40">
        <f>T286/T287</f>
        <v>0.16666666666666666</v>
      </c>
      <c r="V286" s="13"/>
      <c r="W286" s="33">
        <v>0</v>
      </c>
      <c r="X286" s="33">
        <v>0</v>
      </c>
      <c r="Y286" s="33">
        <v>1</v>
      </c>
      <c r="Z286" s="33" t="s">
        <v>82</v>
      </c>
      <c r="AA286" s="33">
        <v>0</v>
      </c>
      <c r="AB286" s="33">
        <v>0</v>
      </c>
      <c r="AC286" s="14">
        <f t="shared" si="203"/>
        <v>1</v>
      </c>
      <c r="AD286" s="40">
        <f>AC286/AC287</f>
        <v>4.7619047619047616E-2</v>
      </c>
      <c r="AE286" s="13"/>
      <c r="AF286" s="33">
        <v>1</v>
      </c>
      <c r="AG286" s="33">
        <v>0</v>
      </c>
      <c r="AH286" s="9" t="s">
        <v>82</v>
      </c>
      <c r="AI286" s="33">
        <v>0</v>
      </c>
      <c r="AJ286" s="33">
        <v>0</v>
      </c>
      <c r="AK286" s="33">
        <v>0</v>
      </c>
      <c r="AL286" s="14">
        <f t="shared" si="204"/>
        <v>1</v>
      </c>
      <c r="AM286" s="40">
        <f>AL286/AL287</f>
        <v>0.04</v>
      </c>
      <c r="AN286" s="13"/>
      <c r="AO286" s="33">
        <v>0</v>
      </c>
      <c r="AP286" s="33">
        <v>1</v>
      </c>
      <c r="AQ286" s="33">
        <v>0</v>
      </c>
      <c r="AR286" s="33">
        <v>0</v>
      </c>
      <c r="AS286" s="9" t="s">
        <v>82</v>
      </c>
      <c r="AT286" s="33">
        <v>0</v>
      </c>
      <c r="AU286" s="14">
        <f t="shared" si="205"/>
        <v>1</v>
      </c>
      <c r="AV286" s="40">
        <f>AU286/AU287</f>
        <v>0.125</v>
      </c>
      <c r="AW286" s="13"/>
      <c r="AX286" s="33">
        <v>0</v>
      </c>
      <c r="AY286" s="33">
        <v>1</v>
      </c>
      <c r="AZ286" s="9" t="s">
        <v>82</v>
      </c>
      <c r="BA286" s="33">
        <v>0</v>
      </c>
      <c r="BB286" s="33">
        <v>0</v>
      </c>
      <c r="BC286" s="14">
        <f t="shared" si="206"/>
        <v>1</v>
      </c>
      <c r="BD286" s="40">
        <f>BC286/BC287</f>
        <v>0.25</v>
      </c>
      <c r="BE286" s="13"/>
      <c r="BF286" s="38">
        <v>0</v>
      </c>
      <c r="BG286" s="40">
        <f>BF286/BF287</f>
        <v>0</v>
      </c>
      <c r="BH286" s="32"/>
      <c r="BI286" s="40"/>
    </row>
    <row r="287" spans="1:61" ht="21.75" customHeight="1">
      <c r="A287" s="10" t="s">
        <v>9</v>
      </c>
      <c r="B287" s="32" t="s">
        <v>59</v>
      </c>
      <c r="C287" s="32">
        <f t="shared" ref="C287:L287" si="207">SUM(C281:C286)</f>
        <v>4</v>
      </c>
      <c r="D287" s="32">
        <f t="shared" si="207"/>
        <v>12</v>
      </c>
      <c r="E287" s="32">
        <f t="shared" si="207"/>
        <v>11</v>
      </c>
      <c r="F287" s="32">
        <f t="shared" si="207"/>
        <v>8</v>
      </c>
      <c r="G287" s="32">
        <f t="shared" si="207"/>
        <v>8</v>
      </c>
      <c r="H287" s="32">
        <f t="shared" si="207"/>
        <v>5</v>
      </c>
      <c r="I287" s="32">
        <f t="shared" si="207"/>
        <v>10</v>
      </c>
      <c r="J287" s="32">
        <f t="shared" si="207"/>
        <v>11</v>
      </c>
      <c r="K287" s="23">
        <f t="shared" si="207"/>
        <v>69</v>
      </c>
      <c r="L287" s="35">
        <f t="shared" si="207"/>
        <v>0.99999999999999989</v>
      </c>
      <c r="M287" s="35">
        <f>K287/K290</f>
        <v>0.971830985915493</v>
      </c>
      <c r="N287" s="37">
        <f>T287+AC287+AL287+AU287</f>
        <v>66</v>
      </c>
      <c r="O287" s="35">
        <f>N287/K287</f>
        <v>0.95652173913043481</v>
      </c>
      <c r="P287" s="13">
        <f t="shared" ref="P287:AQ287" si="208">SUM(P281:P286)</f>
        <v>0</v>
      </c>
      <c r="Q287" s="47">
        <f t="shared" si="208"/>
        <v>6</v>
      </c>
      <c r="R287" s="14">
        <f t="shared" si="208"/>
        <v>5</v>
      </c>
      <c r="S287" s="14">
        <f t="shared" si="208"/>
        <v>1</v>
      </c>
      <c r="T287" s="14">
        <f t="shared" si="208"/>
        <v>12</v>
      </c>
      <c r="U287" s="40">
        <f t="shared" si="208"/>
        <v>0.99999999999999989</v>
      </c>
      <c r="V287" s="13">
        <f t="shared" si="208"/>
        <v>0</v>
      </c>
      <c r="W287" s="47">
        <f t="shared" si="208"/>
        <v>4</v>
      </c>
      <c r="X287" s="47">
        <f t="shared" si="208"/>
        <v>4</v>
      </c>
      <c r="Y287" s="47">
        <f t="shared" si="208"/>
        <v>5</v>
      </c>
      <c r="Z287" s="47">
        <f t="shared" si="208"/>
        <v>2</v>
      </c>
      <c r="AA287" s="47">
        <f t="shared" si="208"/>
        <v>5</v>
      </c>
      <c r="AB287" s="47">
        <f t="shared" si="208"/>
        <v>1</v>
      </c>
      <c r="AC287" s="45">
        <f t="shared" si="208"/>
        <v>21</v>
      </c>
      <c r="AD287" s="40">
        <f t="shared" si="208"/>
        <v>1</v>
      </c>
      <c r="AE287" s="13">
        <f t="shared" si="208"/>
        <v>0</v>
      </c>
      <c r="AF287" s="47">
        <f t="shared" si="208"/>
        <v>2</v>
      </c>
      <c r="AG287" s="47">
        <f t="shared" si="208"/>
        <v>5</v>
      </c>
      <c r="AH287" s="47">
        <f t="shared" si="208"/>
        <v>3</v>
      </c>
      <c r="AI287" s="47">
        <f t="shared" si="208"/>
        <v>5</v>
      </c>
      <c r="AJ287" s="47">
        <f t="shared" si="208"/>
        <v>1</v>
      </c>
      <c r="AK287" s="47">
        <f t="shared" si="208"/>
        <v>9</v>
      </c>
      <c r="AL287" s="45">
        <f t="shared" si="208"/>
        <v>25</v>
      </c>
      <c r="AM287" s="40">
        <f t="shared" si="208"/>
        <v>1</v>
      </c>
      <c r="AN287" s="13">
        <f t="shared" si="208"/>
        <v>0</v>
      </c>
      <c r="AO287" s="47">
        <f t="shared" si="208"/>
        <v>0</v>
      </c>
      <c r="AP287" s="47">
        <f t="shared" si="208"/>
        <v>1</v>
      </c>
      <c r="AQ287" s="47">
        <f t="shared" si="208"/>
        <v>2</v>
      </c>
      <c r="AR287" s="47">
        <v>0</v>
      </c>
      <c r="AS287" s="47">
        <f t="shared" ref="AS287:BG287" si="209">SUM(AS281:AS286)</f>
        <v>3</v>
      </c>
      <c r="AT287" s="47">
        <f t="shared" si="209"/>
        <v>2</v>
      </c>
      <c r="AU287" s="45">
        <f t="shared" si="209"/>
        <v>8</v>
      </c>
      <c r="AV287" s="40">
        <f t="shared" si="209"/>
        <v>1</v>
      </c>
      <c r="AW287" s="13">
        <f t="shared" si="209"/>
        <v>0</v>
      </c>
      <c r="AX287" s="47">
        <f t="shared" si="209"/>
        <v>0</v>
      </c>
      <c r="AY287" s="47">
        <f t="shared" si="209"/>
        <v>2</v>
      </c>
      <c r="AZ287" s="47">
        <f t="shared" si="209"/>
        <v>0</v>
      </c>
      <c r="BA287" s="47">
        <f t="shared" si="209"/>
        <v>1</v>
      </c>
      <c r="BB287" s="47">
        <f t="shared" si="209"/>
        <v>1</v>
      </c>
      <c r="BC287" s="45">
        <f t="shared" si="209"/>
        <v>4</v>
      </c>
      <c r="BD287" s="40">
        <f t="shared" si="209"/>
        <v>1</v>
      </c>
      <c r="BE287" s="13">
        <f t="shared" si="209"/>
        <v>0</v>
      </c>
      <c r="BF287" s="38">
        <f t="shared" si="209"/>
        <v>8</v>
      </c>
      <c r="BG287" s="40">
        <f t="shared" si="209"/>
        <v>1</v>
      </c>
      <c r="BH287" s="32"/>
      <c r="BI287" s="40"/>
    </row>
    <row r="288" spans="1:61" ht="21.75" customHeight="1">
      <c r="A288" s="8" t="s">
        <v>64</v>
      </c>
      <c r="B288" s="32" t="s">
        <v>59</v>
      </c>
      <c r="C288" s="14">
        <v>0</v>
      </c>
      <c r="D288" s="32">
        <v>0</v>
      </c>
      <c r="E288" s="32">
        <v>0</v>
      </c>
      <c r="F288" s="32">
        <v>2</v>
      </c>
      <c r="G288" s="32">
        <v>0</v>
      </c>
      <c r="H288" s="32">
        <v>0</v>
      </c>
      <c r="I288" s="32">
        <v>0</v>
      </c>
      <c r="J288" s="32">
        <v>0</v>
      </c>
      <c r="K288" s="23">
        <f>SUM(B288:J288)</f>
        <v>2</v>
      </c>
      <c r="L288" s="35">
        <f>K288/(K287+K288+K289)</f>
        <v>2.8169014084507043E-2</v>
      </c>
      <c r="M288" s="35">
        <f>K288/(K290)</f>
        <v>2.8169014084507043E-2</v>
      </c>
      <c r="N288" s="37"/>
      <c r="O288" s="35"/>
      <c r="P288" s="13"/>
      <c r="Q288" s="52">
        <v>0</v>
      </c>
      <c r="R288" s="14">
        <v>0</v>
      </c>
      <c r="S288" s="14">
        <v>0</v>
      </c>
      <c r="T288" s="38">
        <f>SUM(Q288:S288)</f>
        <v>0</v>
      </c>
      <c r="U288" s="15">
        <f>T288/T290</f>
        <v>0</v>
      </c>
      <c r="V288" s="13"/>
      <c r="W288" s="52">
        <v>0</v>
      </c>
      <c r="X288" s="52">
        <v>0</v>
      </c>
      <c r="Y288" s="52">
        <v>0</v>
      </c>
      <c r="Z288" s="52">
        <v>0</v>
      </c>
      <c r="AA288" s="52">
        <v>0</v>
      </c>
      <c r="AB288" s="52">
        <v>0</v>
      </c>
      <c r="AC288" s="51">
        <f>SUM(W288:AB288)</f>
        <v>0</v>
      </c>
      <c r="AD288" s="15">
        <f>AC288/AC290</f>
        <v>0</v>
      </c>
      <c r="AE288" s="13"/>
      <c r="AF288" s="52">
        <v>2</v>
      </c>
      <c r="AG288" s="52">
        <v>0</v>
      </c>
      <c r="AH288" s="52">
        <v>0</v>
      </c>
      <c r="AI288" s="52">
        <v>0</v>
      </c>
      <c r="AJ288" s="52">
        <v>0</v>
      </c>
      <c r="AK288" s="52">
        <v>0</v>
      </c>
      <c r="AL288" s="49">
        <f>SUM(AF288:AK288)</f>
        <v>2</v>
      </c>
      <c r="AM288" s="15">
        <f>AL288/AL290</f>
        <v>7.407407407407407E-2</v>
      </c>
      <c r="AN288" s="13"/>
      <c r="AO288" s="52">
        <v>0</v>
      </c>
      <c r="AP288" s="52">
        <v>0</v>
      </c>
      <c r="AQ288" s="52">
        <v>0</v>
      </c>
      <c r="AR288" s="52">
        <v>0</v>
      </c>
      <c r="AS288" s="52">
        <v>0</v>
      </c>
      <c r="AT288" s="52">
        <v>0</v>
      </c>
      <c r="AU288" s="51">
        <f>SUM(AO288:AT288)</f>
        <v>0</v>
      </c>
      <c r="AV288" s="15">
        <f>AU288/AU290</f>
        <v>0</v>
      </c>
      <c r="AW288" s="13"/>
      <c r="AX288" s="52">
        <v>0</v>
      </c>
      <c r="AY288" s="52">
        <v>0</v>
      </c>
      <c r="AZ288" s="52">
        <v>0</v>
      </c>
      <c r="BA288" s="52">
        <v>0</v>
      </c>
      <c r="BB288" s="52">
        <v>0</v>
      </c>
      <c r="BC288" s="51">
        <f>SUM(AX288:BB288)</f>
        <v>0</v>
      </c>
      <c r="BD288" s="15">
        <f>BC288/BC290</f>
        <v>0</v>
      </c>
      <c r="BE288" s="13"/>
      <c r="BF288" s="38"/>
      <c r="BG288" s="42"/>
      <c r="BH288" s="42"/>
      <c r="BI288" s="42"/>
    </row>
    <row r="289" spans="1:61" ht="21.75" customHeight="1">
      <c r="A289" s="8" t="s">
        <v>65</v>
      </c>
      <c r="B289" s="32" t="s">
        <v>59</v>
      </c>
      <c r="C289" s="45">
        <v>0</v>
      </c>
      <c r="D289" s="32">
        <v>0</v>
      </c>
      <c r="E289" s="32">
        <v>0</v>
      </c>
      <c r="F289" s="32">
        <v>0</v>
      </c>
      <c r="G289" s="32">
        <v>0</v>
      </c>
      <c r="H289" s="32">
        <v>0</v>
      </c>
      <c r="I289" s="32">
        <v>0</v>
      </c>
      <c r="J289" s="32">
        <v>0</v>
      </c>
      <c r="K289" s="23">
        <f>SUM(B289:J289)</f>
        <v>0</v>
      </c>
      <c r="L289" s="35">
        <f>K289/(K288+K289+K287)</f>
        <v>0</v>
      </c>
      <c r="M289" s="35">
        <f>K289/(K290)</f>
        <v>0</v>
      </c>
      <c r="N289" s="23"/>
      <c r="O289" s="35"/>
      <c r="P289" s="13"/>
      <c r="Q289" s="14">
        <v>0</v>
      </c>
      <c r="R289" s="14">
        <v>0</v>
      </c>
      <c r="S289" s="14">
        <v>0</v>
      </c>
      <c r="T289" s="38">
        <f>SUM(Q289:S289)</f>
        <v>0</v>
      </c>
      <c r="U289" s="15">
        <f>T289/T290</f>
        <v>0</v>
      </c>
      <c r="V289" s="13"/>
      <c r="W289" s="14">
        <v>0</v>
      </c>
      <c r="X289" s="14">
        <v>0</v>
      </c>
      <c r="Y289" s="14">
        <v>0</v>
      </c>
      <c r="Z289" s="14">
        <v>0</v>
      </c>
      <c r="AA289" s="14">
        <v>0</v>
      </c>
      <c r="AB289" s="45">
        <v>0</v>
      </c>
      <c r="AC289" s="38">
        <f>SUM(W289:AB289)</f>
        <v>0</v>
      </c>
      <c r="AD289" s="15">
        <f>AC289/AC290</f>
        <v>0</v>
      </c>
      <c r="AE289" s="13"/>
      <c r="AF289" s="14">
        <v>0</v>
      </c>
      <c r="AG289" s="14">
        <v>0</v>
      </c>
      <c r="AH289" s="14">
        <v>0</v>
      </c>
      <c r="AI289" s="14">
        <v>0</v>
      </c>
      <c r="AJ289" s="14">
        <v>0</v>
      </c>
      <c r="AK289" s="14">
        <v>0</v>
      </c>
      <c r="AL289" s="14">
        <f>SUM(AF289:AK289)</f>
        <v>0</v>
      </c>
      <c r="AM289" s="15">
        <f>AL289/AL290</f>
        <v>0</v>
      </c>
      <c r="AN289" s="13"/>
      <c r="AO289" s="14">
        <v>0</v>
      </c>
      <c r="AP289" s="14">
        <v>0</v>
      </c>
      <c r="AQ289" s="14">
        <v>0</v>
      </c>
      <c r="AR289" s="14">
        <v>0</v>
      </c>
      <c r="AS289" s="14">
        <v>0</v>
      </c>
      <c r="AT289" s="45">
        <v>0</v>
      </c>
      <c r="AU289" s="38">
        <f>SUM(AO289:AT289)</f>
        <v>0</v>
      </c>
      <c r="AV289" s="15">
        <f>AU289/AU290</f>
        <v>0</v>
      </c>
      <c r="AW289" s="13"/>
      <c r="AX289" s="14">
        <v>0</v>
      </c>
      <c r="AY289" s="14">
        <v>0</v>
      </c>
      <c r="AZ289" s="14">
        <v>0</v>
      </c>
      <c r="BA289" s="14">
        <v>0</v>
      </c>
      <c r="BB289" s="14">
        <v>0</v>
      </c>
      <c r="BC289" s="38">
        <f>SUM(AX289:BB289)</f>
        <v>0</v>
      </c>
      <c r="BD289" s="15">
        <f>BC289/BC290</f>
        <v>0</v>
      </c>
      <c r="BE289" s="13"/>
      <c r="BF289" s="38"/>
      <c r="BG289" s="42"/>
      <c r="BH289" s="42"/>
      <c r="BI289" s="42"/>
    </row>
    <row r="290" spans="1:61" ht="21.75" customHeight="1">
      <c r="A290" s="39" t="s">
        <v>66</v>
      </c>
      <c r="B290" s="32" t="s">
        <v>59</v>
      </c>
      <c r="C290" s="51">
        <f t="shared" ref="C290:J290" si="210">SUM(C287:C289)</f>
        <v>4</v>
      </c>
      <c r="D290" s="32">
        <f t="shared" si="210"/>
        <v>12</v>
      </c>
      <c r="E290" s="32">
        <f t="shared" si="210"/>
        <v>11</v>
      </c>
      <c r="F290" s="32">
        <f t="shared" si="210"/>
        <v>10</v>
      </c>
      <c r="G290" s="32">
        <f t="shared" si="210"/>
        <v>8</v>
      </c>
      <c r="H290" s="32">
        <f t="shared" si="210"/>
        <v>5</v>
      </c>
      <c r="I290" s="32">
        <f t="shared" si="210"/>
        <v>10</v>
      </c>
      <c r="J290" s="32">
        <f t="shared" si="210"/>
        <v>11</v>
      </c>
      <c r="K290" s="23">
        <f>SUM(B290:J290)</f>
        <v>71</v>
      </c>
      <c r="L290" s="35">
        <f>K290/(K289+K288+K287)</f>
        <v>1</v>
      </c>
      <c r="M290" s="35">
        <f>K290/(K287+K288+K289)</f>
        <v>1</v>
      </c>
      <c r="N290" s="37">
        <f>T290+AC290+AL290+AU290</f>
        <v>68</v>
      </c>
      <c r="O290" s="35">
        <f>N290/K290</f>
        <v>0.95774647887323938</v>
      </c>
      <c r="P290" s="13"/>
      <c r="Q290" s="38">
        <f>SUM(Q287:Q289)</f>
        <v>6</v>
      </c>
      <c r="R290" s="38">
        <f>SUM(R287:R289)</f>
        <v>5</v>
      </c>
      <c r="S290" s="38">
        <f>SUM(S287:S289)</f>
        <v>1</v>
      </c>
      <c r="T290" s="38">
        <f>SUM(Q290:S290)</f>
        <v>12</v>
      </c>
      <c r="U290" s="40">
        <f>T290/(T287+T288+T289)</f>
        <v>1</v>
      </c>
      <c r="V290" s="13"/>
      <c r="W290" s="38">
        <f t="shared" ref="W290:AB290" si="211">SUM(W287:W289)</f>
        <v>4</v>
      </c>
      <c r="X290" s="38">
        <f t="shared" si="211"/>
        <v>4</v>
      </c>
      <c r="Y290" s="38">
        <f t="shared" si="211"/>
        <v>5</v>
      </c>
      <c r="Z290" s="38">
        <f t="shared" si="211"/>
        <v>2</v>
      </c>
      <c r="AA290" s="38">
        <f t="shared" si="211"/>
        <v>5</v>
      </c>
      <c r="AB290" s="51">
        <f t="shared" si="211"/>
        <v>1</v>
      </c>
      <c r="AC290" s="38">
        <f>SUM(W290:AB290)</f>
        <v>21</v>
      </c>
      <c r="AD290" s="40">
        <f>AC290/(AC287+AC288+AC289)</f>
        <v>1</v>
      </c>
      <c r="AE290" s="13"/>
      <c r="AF290" s="38">
        <f t="shared" ref="AF290:AK290" si="212">SUM(AF287:AF289)</f>
        <v>4</v>
      </c>
      <c r="AG290" s="38">
        <f t="shared" si="212"/>
        <v>5</v>
      </c>
      <c r="AH290" s="38">
        <f t="shared" si="212"/>
        <v>3</v>
      </c>
      <c r="AI290" s="38">
        <f t="shared" si="212"/>
        <v>5</v>
      </c>
      <c r="AJ290" s="38">
        <f t="shared" si="212"/>
        <v>1</v>
      </c>
      <c r="AK290" s="38">
        <f t="shared" si="212"/>
        <v>9</v>
      </c>
      <c r="AL290" s="38">
        <f>SUM(AF290:AK290)</f>
        <v>27</v>
      </c>
      <c r="AM290" s="41">
        <f>AL290/(AL287+AL288+AL289)</f>
        <v>1</v>
      </c>
      <c r="AN290" s="13"/>
      <c r="AO290" s="38">
        <f t="shared" ref="AO290:AT290" si="213">SUM(AO287:AO289)</f>
        <v>0</v>
      </c>
      <c r="AP290" s="38">
        <f t="shared" si="213"/>
        <v>1</v>
      </c>
      <c r="AQ290" s="38">
        <f t="shared" si="213"/>
        <v>2</v>
      </c>
      <c r="AR290" s="38">
        <f t="shared" si="213"/>
        <v>0</v>
      </c>
      <c r="AS290" s="38">
        <f t="shared" si="213"/>
        <v>3</v>
      </c>
      <c r="AT290" s="51">
        <f t="shared" si="213"/>
        <v>2</v>
      </c>
      <c r="AU290" s="38">
        <f>SUM(AO290:AT290)</f>
        <v>8</v>
      </c>
      <c r="AV290" s="40">
        <f>AU290/(AU287+AU288+AU289)</f>
        <v>1</v>
      </c>
      <c r="AW290" s="13"/>
      <c r="AX290" s="38">
        <f>SUM(AX287:AX289)</f>
        <v>0</v>
      </c>
      <c r="AY290" s="38">
        <f>SUM(AY287:AY289)</f>
        <v>2</v>
      </c>
      <c r="AZ290" s="38">
        <f>SUM(AZ287:AZ289)</f>
        <v>0</v>
      </c>
      <c r="BA290" s="38">
        <f>SUM(BA287:BA289)</f>
        <v>1</v>
      </c>
      <c r="BB290" s="38">
        <f>SUM(BB287:BB289)</f>
        <v>1</v>
      </c>
      <c r="BC290" s="38">
        <f>SUM(AX290:BB290)</f>
        <v>4</v>
      </c>
      <c r="BD290" s="40">
        <f>BC290/(BC287+BC288+BC289)</f>
        <v>1</v>
      </c>
      <c r="BE290" s="13"/>
      <c r="BF290" s="38"/>
      <c r="BG290" s="42"/>
      <c r="BH290" s="42"/>
      <c r="BI290" s="42"/>
    </row>
    <row r="291" spans="1:61" ht="56.25" customHeight="1">
      <c r="A291" s="43" t="s">
        <v>155</v>
      </c>
      <c r="B291" s="181" t="s">
        <v>156</v>
      </c>
      <c r="C291" s="182"/>
      <c r="D291" s="182"/>
      <c r="E291" s="182"/>
      <c r="F291" s="182"/>
      <c r="G291" s="22"/>
      <c r="H291" s="22"/>
      <c r="I291" s="22"/>
      <c r="J291" s="22"/>
      <c r="K291" s="21"/>
      <c r="L291" s="24"/>
      <c r="M291" s="24"/>
      <c r="N291" s="26"/>
      <c r="O291" s="24"/>
      <c r="P291" s="27"/>
      <c r="Q291" s="28"/>
      <c r="R291" s="28"/>
      <c r="S291" s="28"/>
      <c r="T291" s="26"/>
      <c r="U291" s="24"/>
      <c r="V291" s="27"/>
      <c r="W291" s="28"/>
      <c r="X291" s="28"/>
      <c r="Y291" s="28"/>
      <c r="Z291" s="28"/>
      <c r="AA291" s="28"/>
      <c r="AB291" s="28"/>
      <c r="AC291" s="26"/>
      <c r="AD291" s="24"/>
      <c r="AE291" s="27"/>
      <c r="AF291" s="28"/>
      <c r="AG291" s="28"/>
      <c r="AH291" s="28"/>
      <c r="AI291" s="28"/>
      <c r="AJ291" s="28"/>
      <c r="AK291" s="28"/>
      <c r="AL291" s="26"/>
      <c r="AM291" s="29"/>
      <c r="AN291" s="27"/>
      <c r="AO291" s="26"/>
      <c r="AP291" s="26"/>
      <c r="AQ291" s="26"/>
      <c r="AR291" s="26"/>
      <c r="AS291" s="26"/>
      <c r="AT291" s="26"/>
      <c r="AU291" s="26"/>
      <c r="AV291" s="24"/>
      <c r="AW291" s="27"/>
      <c r="AX291" s="26"/>
      <c r="AY291" s="26"/>
      <c r="AZ291" s="26"/>
      <c r="BA291" s="26"/>
      <c r="BB291" s="26"/>
      <c r="BC291" s="26"/>
      <c r="BD291" s="24"/>
      <c r="BE291" s="27"/>
      <c r="BF291" s="26"/>
      <c r="BG291" s="22"/>
      <c r="BH291" s="21"/>
      <c r="BI291" s="22"/>
    </row>
    <row r="292" spans="1:61" ht="32.25" customHeight="1">
      <c r="A292" s="10"/>
      <c r="B292" s="30" t="s">
        <v>0</v>
      </c>
      <c r="C292" s="30" t="s">
        <v>1</v>
      </c>
      <c r="D292" s="30" t="s">
        <v>2</v>
      </c>
      <c r="E292" s="30" t="s">
        <v>3</v>
      </c>
      <c r="F292" s="30" t="s">
        <v>4</v>
      </c>
      <c r="G292" s="30" t="s">
        <v>5</v>
      </c>
      <c r="H292" s="30" t="s">
        <v>68</v>
      </c>
      <c r="I292" s="30" t="s">
        <v>7</v>
      </c>
      <c r="J292" s="30" t="s">
        <v>8</v>
      </c>
      <c r="K292" s="10" t="s">
        <v>9</v>
      </c>
      <c r="L292" s="10" t="s">
        <v>56</v>
      </c>
      <c r="M292" s="20"/>
      <c r="N292" s="12"/>
      <c r="O292" s="20"/>
      <c r="P292" s="27"/>
      <c r="Q292" s="30" t="s">
        <v>15</v>
      </c>
      <c r="R292" s="30" t="s">
        <v>16</v>
      </c>
      <c r="S292" s="30" t="s">
        <v>28</v>
      </c>
      <c r="T292" s="20"/>
      <c r="U292" s="11"/>
      <c r="V292" s="27"/>
      <c r="W292" s="30" t="s">
        <v>15</v>
      </c>
      <c r="X292" s="30" t="s">
        <v>20</v>
      </c>
      <c r="Y292" s="30" t="s">
        <v>21</v>
      </c>
      <c r="Z292" s="30" t="s">
        <v>22</v>
      </c>
      <c r="AA292" s="30" t="s">
        <v>23</v>
      </c>
      <c r="AB292" s="30" t="s">
        <v>24</v>
      </c>
      <c r="AC292" s="20"/>
      <c r="AD292" s="11"/>
      <c r="AE292" s="27"/>
      <c r="AF292" s="30" t="s">
        <v>20</v>
      </c>
      <c r="AG292" s="30" t="s">
        <v>21</v>
      </c>
      <c r="AH292" s="30" t="s">
        <v>22</v>
      </c>
      <c r="AI292" s="30" t="s">
        <v>23</v>
      </c>
      <c r="AJ292" s="30" t="s">
        <v>24</v>
      </c>
      <c r="AK292" s="30" t="s">
        <v>28</v>
      </c>
      <c r="AL292" s="20"/>
      <c r="AM292" s="44"/>
      <c r="AN292" s="27"/>
      <c r="AO292" s="30" t="s">
        <v>15</v>
      </c>
      <c r="AP292" s="30" t="s">
        <v>20</v>
      </c>
      <c r="AQ292" s="30" t="s">
        <v>21</v>
      </c>
      <c r="AR292" s="30" t="s">
        <v>16</v>
      </c>
      <c r="AS292" s="30" t="s">
        <v>22</v>
      </c>
      <c r="AT292" s="30" t="s">
        <v>24</v>
      </c>
      <c r="AU292" s="20"/>
      <c r="AV292" s="11"/>
      <c r="AW292" s="27"/>
      <c r="AX292" s="30" t="s">
        <v>15</v>
      </c>
      <c r="AY292" s="30" t="s">
        <v>20</v>
      </c>
      <c r="AZ292" s="30" t="s">
        <v>22</v>
      </c>
      <c r="BA292" s="30" t="s">
        <v>23</v>
      </c>
      <c r="BB292" s="30" t="s">
        <v>28</v>
      </c>
      <c r="BC292" s="20"/>
      <c r="BD292" s="11"/>
      <c r="BE292" s="27"/>
      <c r="BF292" s="10" t="s">
        <v>38</v>
      </c>
      <c r="BG292" s="10" t="s">
        <v>39</v>
      </c>
      <c r="BH292" s="9" t="s">
        <v>40</v>
      </c>
      <c r="BI292" s="9" t="s">
        <v>41</v>
      </c>
    </row>
    <row r="293" spans="1:61" ht="32.25" customHeight="1">
      <c r="A293" s="10" t="s">
        <v>157</v>
      </c>
      <c r="B293" s="32" t="s">
        <v>59</v>
      </c>
      <c r="C293" s="32">
        <v>0</v>
      </c>
      <c r="D293" s="32">
        <v>0</v>
      </c>
      <c r="E293" s="32">
        <v>0</v>
      </c>
      <c r="F293" s="32">
        <v>1</v>
      </c>
      <c r="G293" s="32" t="s">
        <v>59</v>
      </c>
      <c r="H293" s="32">
        <v>0</v>
      </c>
      <c r="I293" s="32">
        <v>0</v>
      </c>
      <c r="J293" s="33">
        <v>0</v>
      </c>
      <c r="K293" s="23">
        <f>SUM(B293:J293)</f>
        <v>1</v>
      </c>
      <c r="L293" s="35">
        <f>K293/K297</f>
        <v>1.6666666666666666E-2</v>
      </c>
      <c r="M293" s="35">
        <f>K293/K300</f>
        <v>1.5873015873015872E-2</v>
      </c>
      <c r="N293" s="37"/>
      <c r="O293" s="35"/>
      <c r="P293" s="13"/>
      <c r="Q293" s="33">
        <v>0</v>
      </c>
      <c r="R293" s="33">
        <v>0</v>
      </c>
      <c r="S293" s="33">
        <v>0</v>
      </c>
      <c r="T293" s="14">
        <f>SUM(Q293:S293)</f>
        <v>0</v>
      </c>
      <c r="U293" s="40">
        <f>T293/T297</f>
        <v>0</v>
      </c>
      <c r="V293" s="13"/>
      <c r="W293" s="33">
        <v>0</v>
      </c>
      <c r="X293" s="33">
        <v>0</v>
      </c>
      <c r="Y293" s="33">
        <v>0</v>
      </c>
      <c r="Z293" s="33" t="s">
        <v>82</v>
      </c>
      <c r="AA293" s="33">
        <v>0</v>
      </c>
      <c r="AB293" s="33">
        <v>0</v>
      </c>
      <c r="AC293" s="14">
        <f>SUM(W293:AB293)</f>
        <v>0</v>
      </c>
      <c r="AD293" s="40">
        <f>AC293/AC297</f>
        <v>0</v>
      </c>
      <c r="AE293" s="13"/>
      <c r="AF293" s="33">
        <v>0</v>
      </c>
      <c r="AG293" s="33">
        <v>0</v>
      </c>
      <c r="AH293" s="9" t="s">
        <v>82</v>
      </c>
      <c r="AI293" s="33">
        <v>0</v>
      </c>
      <c r="AJ293" s="33">
        <v>0</v>
      </c>
      <c r="AK293" s="33">
        <v>0</v>
      </c>
      <c r="AL293" s="14">
        <f>SUM(AF293:AK293)</f>
        <v>0</v>
      </c>
      <c r="AM293" s="40">
        <f>AL293/AL297</f>
        <v>0</v>
      </c>
      <c r="AN293" s="13"/>
      <c r="AO293" s="33">
        <v>0</v>
      </c>
      <c r="AP293" s="33">
        <v>1</v>
      </c>
      <c r="AQ293" s="33">
        <v>0</v>
      </c>
      <c r="AR293" s="33">
        <v>0</v>
      </c>
      <c r="AS293" s="9" t="s">
        <v>82</v>
      </c>
      <c r="AT293" s="33">
        <v>0</v>
      </c>
      <c r="AU293" s="14">
        <f>SUM(AO293:AT293)</f>
        <v>1</v>
      </c>
      <c r="AV293" s="40">
        <f>AU293/AU297</f>
        <v>0.2</v>
      </c>
      <c r="AW293" s="13"/>
      <c r="AX293" s="33">
        <v>0</v>
      </c>
      <c r="AY293" s="33">
        <v>0</v>
      </c>
      <c r="AZ293" s="9" t="s">
        <v>82</v>
      </c>
      <c r="BA293" s="33">
        <v>0</v>
      </c>
      <c r="BB293" s="33">
        <v>0</v>
      </c>
      <c r="BC293" s="14">
        <f>SUM(AX293:BB293)</f>
        <v>0</v>
      </c>
      <c r="BD293" s="40">
        <f>BC293/BC297</f>
        <v>0</v>
      </c>
      <c r="BE293" s="13"/>
      <c r="BF293" s="14">
        <v>1</v>
      </c>
      <c r="BG293" s="15">
        <f>BF293/BF297</f>
        <v>0.125</v>
      </c>
      <c r="BH293" s="16"/>
      <c r="BI293" s="15"/>
    </row>
    <row r="294" spans="1:61" ht="32.25" customHeight="1">
      <c r="A294" s="10" t="s">
        <v>158</v>
      </c>
      <c r="B294" s="32" t="s">
        <v>59</v>
      </c>
      <c r="C294" s="32">
        <v>1</v>
      </c>
      <c r="D294" s="32">
        <v>4</v>
      </c>
      <c r="E294" s="32">
        <v>3</v>
      </c>
      <c r="F294" s="32">
        <v>2</v>
      </c>
      <c r="G294" s="32" t="s">
        <v>59</v>
      </c>
      <c r="H294" s="32">
        <v>3</v>
      </c>
      <c r="I294" s="32">
        <v>8</v>
      </c>
      <c r="J294" s="33">
        <v>6</v>
      </c>
      <c r="K294" s="23">
        <f>SUM(B294:J294)</f>
        <v>27</v>
      </c>
      <c r="L294" s="35">
        <f>K294/K297</f>
        <v>0.45</v>
      </c>
      <c r="M294" s="35">
        <f>K294/K300</f>
        <v>0.42857142857142855</v>
      </c>
      <c r="N294" s="37"/>
      <c r="O294" s="35"/>
      <c r="P294" s="13"/>
      <c r="Q294" s="33">
        <v>5</v>
      </c>
      <c r="R294" s="33">
        <v>3</v>
      </c>
      <c r="S294" s="33">
        <v>0</v>
      </c>
      <c r="T294" s="14">
        <f>SUM(Q294:S294)</f>
        <v>8</v>
      </c>
      <c r="U294" s="40">
        <f>T294/T297</f>
        <v>0.66666666666666663</v>
      </c>
      <c r="V294" s="13"/>
      <c r="W294" s="33">
        <v>3</v>
      </c>
      <c r="X294" s="33">
        <v>0</v>
      </c>
      <c r="Y294" s="33">
        <v>3</v>
      </c>
      <c r="Z294" s="33" t="s">
        <v>82</v>
      </c>
      <c r="AA294" s="33">
        <v>0</v>
      </c>
      <c r="AB294" s="33">
        <v>1</v>
      </c>
      <c r="AC294" s="14">
        <f>SUM(W294:AB294)</f>
        <v>7</v>
      </c>
      <c r="AD294" s="40">
        <f>AC294/AC297</f>
        <v>0.41176470588235292</v>
      </c>
      <c r="AE294" s="13"/>
      <c r="AF294" s="33">
        <v>2</v>
      </c>
      <c r="AG294" s="33">
        <v>1</v>
      </c>
      <c r="AH294" s="9" t="s">
        <v>82</v>
      </c>
      <c r="AI294" s="33">
        <v>3</v>
      </c>
      <c r="AJ294" s="33">
        <v>0</v>
      </c>
      <c r="AK294" s="33">
        <v>5</v>
      </c>
      <c r="AL294" s="14">
        <f>SUM(AF294:AK294)</f>
        <v>11</v>
      </c>
      <c r="AM294" s="40">
        <f>AL294/AL297</f>
        <v>0.47826086956521741</v>
      </c>
      <c r="AN294" s="13"/>
      <c r="AO294" s="33">
        <v>0</v>
      </c>
      <c r="AP294" s="33">
        <v>0</v>
      </c>
      <c r="AQ294" s="33">
        <v>0</v>
      </c>
      <c r="AR294" s="33">
        <v>0</v>
      </c>
      <c r="AS294" s="9" t="s">
        <v>82</v>
      </c>
      <c r="AT294" s="33">
        <v>0</v>
      </c>
      <c r="AU294" s="14">
        <f>SUM(AO294:AT294)</f>
        <v>0</v>
      </c>
      <c r="AV294" s="40">
        <f>AU294/AU297</f>
        <v>0</v>
      </c>
      <c r="AW294" s="13"/>
      <c r="AX294" s="33">
        <v>0</v>
      </c>
      <c r="AY294" s="33">
        <v>0</v>
      </c>
      <c r="AZ294" s="9" t="s">
        <v>82</v>
      </c>
      <c r="BA294" s="33">
        <v>0</v>
      </c>
      <c r="BB294" s="33">
        <v>1</v>
      </c>
      <c r="BC294" s="14">
        <f>SUM(AX294:BB294)</f>
        <v>1</v>
      </c>
      <c r="BD294" s="40">
        <f>BC294/BC297</f>
        <v>0.33333333333333331</v>
      </c>
      <c r="BE294" s="13"/>
      <c r="BF294" s="14">
        <v>4</v>
      </c>
      <c r="BG294" s="15">
        <f>BF294/BF297</f>
        <v>0.5</v>
      </c>
      <c r="BH294" s="16"/>
      <c r="BI294" s="15"/>
    </row>
    <row r="295" spans="1:61" ht="32.25" customHeight="1">
      <c r="A295" s="10" t="s">
        <v>159</v>
      </c>
      <c r="B295" s="32" t="s">
        <v>59</v>
      </c>
      <c r="C295" s="32">
        <v>2</v>
      </c>
      <c r="D295" s="32">
        <v>1</v>
      </c>
      <c r="E295" s="32">
        <v>2</v>
      </c>
      <c r="F295" s="32">
        <v>0</v>
      </c>
      <c r="G295" s="32" t="s">
        <v>59</v>
      </c>
      <c r="H295" s="32">
        <v>0</v>
      </c>
      <c r="I295" s="32">
        <v>0</v>
      </c>
      <c r="J295" s="33">
        <v>0</v>
      </c>
      <c r="K295" s="23">
        <f>SUM(B295:J295)</f>
        <v>5</v>
      </c>
      <c r="L295" s="35">
        <f>K295/K297</f>
        <v>8.3333333333333329E-2</v>
      </c>
      <c r="M295" s="35">
        <f>K295/K300</f>
        <v>7.9365079365079361E-2</v>
      </c>
      <c r="N295" s="37"/>
      <c r="O295" s="35"/>
      <c r="P295" s="13"/>
      <c r="Q295" s="33">
        <v>0</v>
      </c>
      <c r="R295" s="33">
        <v>0</v>
      </c>
      <c r="S295" s="33">
        <v>0</v>
      </c>
      <c r="T295" s="14">
        <f>SUM(Q295:S295)</f>
        <v>0</v>
      </c>
      <c r="U295" s="40">
        <f>T295/T297</f>
        <v>0</v>
      </c>
      <c r="V295" s="13"/>
      <c r="W295" s="33">
        <v>0</v>
      </c>
      <c r="X295" s="33">
        <v>0</v>
      </c>
      <c r="Y295" s="33">
        <v>0</v>
      </c>
      <c r="Z295" s="33" t="s">
        <v>82</v>
      </c>
      <c r="AA295" s="33">
        <v>1</v>
      </c>
      <c r="AB295" s="33">
        <v>0</v>
      </c>
      <c r="AC295" s="14">
        <f>SUM(W295:AB295)</f>
        <v>1</v>
      </c>
      <c r="AD295" s="40">
        <f>AC295/AC297</f>
        <v>5.8823529411764705E-2</v>
      </c>
      <c r="AE295" s="13"/>
      <c r="AF295" s="33">
        <v>0</v>
      </c>
      <c r="AG295" s="33">
        <v>1</v>
      </c>
      <c r="AH295" s="9" t="s">
        <v>82</v>
      </c>
      <c r="AI295" s="33">
        <v>1</v>
      </c>
      <c r="AJ295" s="33">
        <v>1</v>
      </c>
      <c r="AK295" s="33">
        <v>0</v>
      </c>
      <c r="AL295" s="14">
        <f>SUM(AF295:AK295)</f>
        <v>3</v>
      </c>
      <c r="AM295" s="40">
        <f>AL295/AL297</f>
        <v>0.13043478260869565</v>
      </c>
      <c r="AN295" s="13"/>
      <c r="AO295" s="33">
        <v>0</v>
      </c>
      <c r="AP295" s="33">
        <v>0</v>
      </c>
      <c r="AQ295" s="33">
        <v>0</v>
      </c>
      <c r="AR295" s="33">
        <v>0</v>
      </c>
      <c r="AS295" s="9" t="s">
        <v>82</v>
      </c>
      <c r="AT295" s="33">
        <v>1</v>
      </c>
      <c r="AU295" s="14">
        <f>SUM(AO295:AT295)</f>
        <v>1</v>
      </c>
      <c r="AV295" s="40">
        <f>AU295/AU297</f>
        <v>0.2</v>
      </c>
      <c r="AW295" s="13"/>
      <c r="AX295" s="33">
        <v>0</v>
      </c>
      <c r="AY295" s="33">
        <v>0</v>
      </c>
      <c r="AZ295" s="9" t="s">
        <v>82</v>
      </c>
      <c r="BA295" s="33">
        <v>0</v>
      </c>
      <c r="BB295" s="33">
        <v>0</v>
      </c>
      <c r="BC295" s="14">
        <f>SUM(AX295:BB295)</f>
        <v>0</v>
      </c>
      <c r="BD295" s="40">
        <f>BC295/BC297</f>
        <v>0</v>
      </c>
      <c r="BE295" s="13"/>
      <c r="BF295" s="14">
        <v>1</v>
      </c>
      <c r="BG295" s="15">
        <f>BF295/BF297</f>
        <v>0.125</v>
      </c>
      <c r="BH295" s="16"/>
      <c r="BI295" s="15"/>
    </row>
    <row r="296" spans="1:61" ht="32.25" customHeight="1">
      <c r="A296" s="115" t="s">
        <v>160</v>
      </c>
      <c r="B296" s="32" t="s">
        <v>59</v>
      </c>
      <c r="C296" s="32">
        <v>1</v>
      </c>
      <c r="D296" s="32">
        <v>7</v>
      </c>
      <c r="E296" s="32">
        <v>6</v>
      </c>
      <c r="F296" s="32">
        <v>5</v>
      </c>
      <c r="G296" s="32" t="s">
        <v>59</v>
      </c>
      <c r="H296" s="32">
        <v>2</v>
      </c>
      <c r="I296" s="32">
        <v>2</v>
      </c>
      <c r="J296" s="33">
        <v>4</v>
      </c>
      <c r="K296" s="23">
        <f>SUM(B296:J296)</f>
        <v>27</v>
      </c>
      <c r="L296" s="35">
        <f>K296/K297</f>
        <v>0.45</v>
      </c>
      <c r="M296" s="35">
        <f>K296/K300</f>
        <v>0.42857142857142855</v>
      </c>
      <c r="N296" s="37"/>
      <c r="O296" s="35"/>
      <c r="P296" s="13"/>
      <c r="Q296" s="33">
        <v>1</v>
      </c>
      <c r="R296" s="33">
        <v>2</v>
      </c>
      <c r="S296" s="33">
        <v>1</v>
      </c>
      <c r="T296" s="14">
        <f>SUM(Q296:S296)</f>
        <v>4</v>
      </c>
      <c r="U296" s="40">
        <f>T296/T297</f>
        <v>0.33333333333333331</v>
      </c>
      <c r="V296" s="13"/>
      <c r="W296" s="33">
        <v>1</v>
      </c>
      <c r="X296" s="33">
        <v>2</v>
      </c>
      <c r="Y296" s="33">
        <v>2</v>
      </c>
      <c r="Z296" s="33" t="s">
        <v>82</v>
      </c>
      <c r="AA296" s="33">
        <v>4</v>
      </c>
      <c r="AB296" s="33">
        <v>0</v>
      </c>
      <c r="AC296" s="14">
        <f>SUM(W296:AB296)</f>
        <v>9</v>
      </c>
      <c r="AD296" s="40">
        <f>AC296/AC297</f>
        <v>0.52941176470588236</v>
      </c>
      <c r="AE296" s="13"/>
      <c r="AF296" s="33">
        <v>2</v>
      </c>
      <c r="AG296" s="33">
        <v>3</v>
      </c>
      <c r="AH296" s="9" t="s">
        <v>82</v>
      </c>
      <c r="AI296" s="33">
        <v>1</v>
      </c>
      <c r="AJ296" s="33">
        <v>0</v>
      </c>
      <c r="AK296" s="33">
        <v>3</v>
      </c>
      <c r="AL296" s="14">
        <f>SUM(AF296:AK296)</f>
        <v>9</v>
      </c>
      <c r="AM296" s="40">
        <f>AL296/AL297</f>
        <v>0.39130434782608697</v>
      </c>
      <c r="AN296" s="13"/>
      <c r="AO296" s="33">
        <v>0</v>
      </c>
      <c r="AP296" s="33">
        <v>0</v>
      </c>
      <c r="AQ296" s="33">
        <v>2</v>
      </c>
      <c r="AR296" s="33">
        <v>0</v>
      </c>
      <c r="AS296" s="9" t="s">
        <v>82</v>
      </c>
      <c r="AT296" s="33">
        <v>1</v>
      </c>
      <c r="AU296" s="14">
        <f>SUM(AO296:AT296)</f>
        <v>3</v>
      </c>
      <c r="AV296" s="40">
        <f>AU296/AU297</f>
        <v>0.6</v>
      </c>
      <c r="AW296" s="13"/>
      <c r="AX296" s="33">
        <v>0</v>
      </c>
      <c r="AY296" s="33">
        <v>1</v>
      </c>
      <c r="AZ296" s="9" t="s">
        <v>82</v>
      </c>
      <c r="BA296" s="33">
        <v>1</v>
      </c>
      <c r="BB296" s="33">
        <v>0</v>
      </c>
      <c r="BC296" s="14">
        <f>SUM(AX296:BB296)</f>
        <v>2</v>
      </c>
      <c r="BD296" s="40">
        <f>BC296/BC297</f>
        <v>0.66666666666666663</v>
      </c>
      <c r="BE296" s="13"/>
      <c r="BF296" s="14">
        <v>2</v>
      </c>
      <c r="BG296" s="15">
        <f>BF296/BF297</f>
        <v>0.25</v>
      </c>
      <c r="BH296" s="16"/>
      <c r="BI296" s="15"/>
    </row>
    <row r="297" spans="1:61" ht="21.75" customHeight="1">
      <c r="A297" s="10" t="s">
        <v>9</v>
      </c>
      <c r="B297" s="32" t="s">
        <v>59</v>
      </c>
      <c r="C297" s="32">
        <f>SUM(C291:C296)</f>
        <v>4</v>
      </c>
      <c r="D297" s="32">
        <f>SUM(D291:D296)</f>
        <v>12</v>
      </c>
      <c r="E297" s="32">
        <f>SUM(E291:E296)</f>
        <v>11</v>
      </c>
      <c r="F297" s="32">
        <f>SUM(F291:F296)</f>
        <v>8</v>
      </c>
      <c r="G297" s="32" t="s">
        <v>59</v>
      </c>
      <c r="H297" s="32">
        <f>SUM(H291:H296)</f>
        <v>5</v>
      </c>
      <c r="I297" s="32">
        <f>SUM(I291:I296)</f>
        <v>10</v>
      </c>
      <c r="J297" s="32">
        <f>SUM(J291:J296)</f>
        <v>10</v>
      </c>
      <c r="K297" s="23">
        <f>SUM(K291:K296)</f>
        <v>60</v>
      </c>
      <c r="L297" s="35">
        <f>SUM(L291:L296)</f>
        <v>1</v>
      </c>
      <c r="M297" s="35">
        <f>K297/K300</f>
        <v>0.95238095238095233</v>
      </c>
      <c r="N297" s="37">
        <f>T297+AC297+AL297+AU297</f>
        <v>57</v>
      </c>
      <c r="O297" s="35">
        <f>N297/K297</f>
        <v>0.95</v>
      </c>
      <c r="P297" s="13">
        <f t="shared" ref="P297:Y297" si="214">SUM(P291:P296)</f>
        <v>0</v>
      </c>
      <c r="Q297" s="47">
        <f t="shared" si="214"/>
        <v>6</v>
      </c>
      <c r="R297" s="14">
        <f t="shared" si="214"/>
        <v>5</v>
      </c>
      <c r="S297" s="14">
        <f t="shared" si="214"/>
        <v>1</v>
      </c>
      <c r="T297" s="14">
        <f t="shared" si="214"/>
        <v>12</v>
      </c>
      <c r="U297" s="40">
        <f t="shared" si="214"/>
        <v>1</v>
      </c>
      <c r="V297" s="13">
        <f t="shared" si="214"/>
        <v>0</v>
      </c>
      <c r="W297" s="47">
        <f t="shared" si="214"/>
        <v>4</v>
      </c>
      <c r="X297" s="47">
        <f t="shared" si="214"/>
        <v>2</v>
      </c>
      <c r="Y297" s="47">
        <f t="shared" si="214"/>
        <v>5</v>
      </c>
      <c r="Z297" s="112" t="s">
        <v>82</v>
      </c>
      <c r="AA297" s="47">
        <f t="shared" ref="AA297:AG297" si="215">SUM(AA291:AA296)</f>
        <v>5</v>
      </c>
      <c r="AB297" s="47">
        <f t="shared" si="215"/>
        <v>1</v>
      </c>
      <c r="AC297" s="45">
        <f t="shared" si="215"/>
        <v>17</v>
      </c>
      <c r="AD297" s="40">
        <f t="shared" si="215"/>
        <v>1</v>
      </c>
      <c r="AE297" s="13">
        <f t="shared" si="215"/>
        <v>0</v>
      </c>
      <c r="AF297" s="47">
        <f t="shared" si="215"/>
        <v>4</v>
      </c>
      <c r="AG297" s="47">
        <f t="shared" si="215"/>
        <v>5</v>
      </c>
      <c r="AH297" s="113" t="s">
        <v>82</v>
      </c>
      <c r="AI297" s="47">
        <f t="shared" ref="AI297:AR297" si="216">SUM(AI291:AI296)</f>
        <v>5</v>
      </c>
      <c r="AJ297" s="47">
        <f t="shared" si="216"/>
        <v>1</v>
      </c>
      <c r="AK297" s="47">
        <f t="shared" si="216"/>
        <v>8</v>
      </c>
      <c r="AL297" s="45">
        <f t="shared" si="216"/>
        <v>23</v>
      </c>
      <c r="AM297" s="40">
        <f t="shared" si="216"/>
        <v>1</v>
      </c>
      <c r="AN297" s="13">
        <f t="shared" si="216"/>
        <v>0</v>
      </c>
      <c r="AO297" s="47">
        <f t="shared" si="216"/>
        <v>0</v>
      </c>
      <c r="AP297" s="47">
        <f t="shared" si="216"/>
        <v>1</v>
      </c>
      <c r="AQ297" s="47">
        <f t="shared" si="216"/>
        <v>2</v>
      </c>
      <c r="AR297" s="47">
        <f t="shared" si="216"/>
        <v>0</v>
      </c>
      <c r="AS297" s="113" t="s">
        <v>82</v>
      </c>
      <c r="AT297" s="47">
        <f t="shared" ref="AT297:AY297" si="217">SUM(AT291:AT296)</f>
        <v>2</v>
      </c>
      <c r="AU297" s="45">
        <f t="shared" si="217"/>
        <v>5</v>
      </c>
      <c r="AV297" s="40">
        <f t="shared" si="217"/>
        <v>1</v>
      </c>
      <c r="AW297" s="13">
        <f t="shared" si="217"/>
        <v>0</v>
      </c>
      <c r="AX297" s="47">
        <f t="shared" si="217"/>
        <v>0</v>
      </c>
      <c r="AY297" s="47">
        <f t="shared" si="217"/>
        <v>1</v>
      </c>
      <c r="AZ297" s="113" t="s">
        <v>82</v>
      </c>
      <c r="BA297" s="47">
        <f>SUM(BA291:BA296)</f>
        <v>1</v>
      </c>
      <c r="BB297" s="47">
        <f>SUM(BB291:BB296)</f>
        <v>1</v>
      </c>
      <c r="BC297" s="45">
        <f>SUM(BC291:BC296)</f>
        <v>3</v>
      </c>
      <c r="BD297" s="40">
        <f>SUM(BD291:BD296)</f>
        <v>1</v>
      </c>
      <c r="BE297" s="13">
        <f>SUM(BE291:BE296)</f>
        <v>0</v>
      </c>
      <c r="BF297" s="14">
        <f>SUM(BF293:BF296)</f>
        <v>8</v>
      </c>
      <c r="BG297" s="15">
        <f>SUM(BG293:BG296)</f>
        <v>1</v>
      </c>
      <c r="BH297" s="16"/>
      <c r="BI297" s="15"/>
    </row>
    <row r="298" spans="1:61" ht="21.75" customHeight="1">
      <c r="A298" s="8" t="s">
        <v>64</v>
      </c>
      <c r="B298" s="32" t="s">
        <v>59</v>
      </c>
      <c r="C298" s="14">
        <v>0</v>
      </c>
      <c r="D298" s="32">
        <v>0</v>
      </c>
      <c r="E298" s="32">
        <v>0</v>
      </c>
      <c r="F298" s="32">
        <v>2</v>
      </c>
      <c r="G298" s="32" t="s">
        <v>59</v>
      </c>
      <c r="H298" s="32">
        <v>0</v>
      </c>
      <c r="I298" s="32">
        <v>0</v>
      </c>
      <c r="J298" s="32">
        <v>1</v>
      </c>
      <c r="K298" s="23">
        <f>SUM(B298:J298)</f>
        <v>3</v>
      </c>
      <c r="L298" s="35">
        <f>K298/(K297+K298+K299)</f>
        <v>4.7619047619047616E-2</v>
      </c>
      <c r="M298" s="35">
        <f>K298/(K300)</f>
        <v>4.7619047619047616E-2</v>
      </c>
      <c r="N298" s="37"/>
      <c r="O298" s="35"/>
      <c r="P298" s="13"/>
      <c r="Q298" s="52">
        <v>0</v>
      </c>
      <c r="R298" s="14">
        <v>0</v>
      </c>
      <c r="S298" s="14">
        <v>0</v>
      </c>
      <c r="T298" s="38">
        <f>SUM(Q298:S298)</f>
        <v>0</v>
      </c>
      <c r="U298" s="15">
        <f>T298/T300</f>
        <v>0</v>
      </c>
      <c r="V298" s="13"/>
      <c r="W298" s="52">
        <v>0</v>
      </c>
      <c r="X298" s="52">
        <v>2</v>
      </c>
      <c r="Y298" s="52">
        <v>0</v>
      </c>
      <c r="Z298" s="114" t="s">
        <v>82</v>
      </c>
      <c r="AA298" s="52">
        <v>0</v>
      </c>
      <c r="AB298" s="52">
        <v>0</v>
      </c>
      <c r="AC298" s="51">
        <f>SUM(W298:AB298)</f>
        <v>2</v>
      </c>
      <c r="AD298" s="15">
        <f>AC298/AC300</f>
        <v>0.10526315789473684</v>
      </c>
      <c r="AE298" s="13"/>
      <c r="AF298" s="52">
        <v>0</v>
      </c>
      <c r="AG298" s="52">
        <v>0</v>
      </c>
      <c r="AH298" s="103" t="s">
        <v>82</v>
      </c>
      <c r="AI298" s="52">
        <v>0</v>
      </c>
      <c r="AJ298" s="52">
        <v>0</v>
      </c>
      <c r="AK298" s="52">
        <v>1</v>
      </c>
      <c r="AL298" s="49">
        <f>SUM(AF298:AK298)</f>
        <v>1</v>
      </c>
      <c r="AM298" s="15">
        <f>AL298/AL300</f>
        <v>4.1666666666666664E-2</v>
      </c>
      <c r="AN298" s="13"/>
      <c r="AO298" s="52">
        <v>0</v>
      </c>
      <c r="AP298" s="52">
        <v>0</v>
      </c>
      <c r="AQ298" s="52">
        <v>0</v>
      </c>
      <c r="AR298" s="52">
        <v>0</v>
      </c>
      <c r="AS298" s="103" t="s">
        <v>82</v>
      </c>
      <c r="AT298" s="52">
        <v>0</v>
      </c>
      <c r="AU298" s="51">
        <f>SUM(AO298:AT298)</f>
        <v>0</v>
      </c>
      <c r="AV298" s="15">
        <f>AU298/AU300</f>
        <v>0</v>
      </c>
      <c r="AW298" s="13"/>
      <c r="AX298" s="52">
        <v>0</v>
      </c>
      <c r="AY298" s="52">
        <v>0</v>
      </c>
      <c r="AZ298" s="103" t="s">
        <v>82</v>
      </c>
      <c r="BA298" s="52">
        <v>0</v>
      </c>
      <c r="BB298" s="52">
        <v>0</v>
      </c>
      <c r="BC298" s="51">
        <f>SUM(AX298:BB298)</f>
        <v>0</v>
      </c>
      <c r="BD298" s="15">
        <f>BC298/BC300</f>
        <v>0</v>
      </c>
      <c r="BE298" s="13"/>
      <c r="BF298" s="38"/>
      <c r="BG298" s="42"/>
      <c r="BH298" s="42"/>
      <c r="BI298" s="42"/>
    </row>
    <row r="299" spans="1:61" ht="21.75" customHeight="1">
      <c r="A299" s="8" t="s">
        <v>65</v>
      </c>
      <c r="B299" s="32" t="s">
        <v>59</v>
      </c>
      <c r="C299" s="45">
        <v>0</v>
      </c>
      <c r="D299" s="32">
        <v>0</v>
      </c>
      <c r="E299" s="32">
        <v>0</v>
      </c>
      <c r="F299" s="32">
        <v>0</v>
      </c>
      <c r="G299" s="32" t="s">
        <v>59</v>
      </c>
      <c r="H299" s="32">
        <v>0</v>
      </c>
      <c r="I299" s="32">
        <v>0</v>
      </c>
      <c r="J299" s="32">
        <v>0</v>
      </c>
      <c r="K299" s="23">
        <f>SUM(B299:J299)</f>
        <v>0</v>
      </c>
      <c r="L299" s="35">
        <f>K299/(K298+K299+K297)</f>
        <v>0</v>
      </c>
      <c r="M299" s="35">
        <f>K299/(K300)</f>
        <v>0</v>
      </c>
      <c r="N299" s="23"/>
      <c r="O299" s="35"/>
      <c r="P299" s="13"/>
      <c r="Q299" s="14">
        <v>0</v>
      </c>
      <c r="R299" s="14">
        <v>0</v>
      </c>
      <c r="S299" s="14">
        <v>0</v>
      </c>
      <c r="T299" s="38">
        <f>SUM(Q299:S299)</f>
        <v>0</v>
      </c>
      <c r="U299" s="15">
        <f>T299/T300</f>
        <v>0</v>
      </c>
      <c r="V299" s="13"/>
      <c r="W299" s="14">
        <v>0</v>
      </c>
      <c r="X299" s="14">
        <v>0</v>
      </c>
      <c r="Y299" s="14">
        <v>0</v>
      </c>
      <c r="Z299" s="33" t="s">
        <v>82</v>
      </c>
      <c r="AA299" s="14">
        <v>0</v>
      </c>
      <c r="AB299" s="14">
        <v>0</v>
      </c>
      <c r="AC299" s="38">
        <f>SUM(W299:AB299)</f>
        <v>0</v>
      </c>
      <c r="AD299" s="15">
        <f>AC299/AC300</f>
        <v>0</v>
      </c>
      <c r="AE299" s="13"/>
      <c r="AF299" s="14">
        <v>0</v>
      </c>
      <c r="AG299" s="14">
        <v>0</v>
      </c>
      <c r="AH299" s="9" t="s">
        <v>82</v>
      </c>
      <c r="AI299" s="14">
        <v>0</v>
      </c>
      <c r="AJ299" s="14">
        <v>0</v>
      </c>
      <c r="AK299" s="14">
        <v>0</v>
      </c>
      <c r="AL299" s="14">
        <f>SUM(AF299:AK299)</f>
        <v>0</v>
      </c>
      <c r="AM299" s="15">
        <f>AL299/AL300</f>
        <v>0</v>
      </c>
      <c r="AN299" s="13"/>
      <c r="AO299" s="14">
        <v>0</v>
      </c>
      <c r="AP299" s="14">
        <v>0</v>
      </c>
      <c r="AQ299" s="14">
        <v>0</v>
      </c>
      <c r="AR299" s="14">
        <v>0</v>
      </c>
      <c r="AS299" s="9" t="s">
        <v>82</v>
      </c>
      <c r="AT299" s="45">
        <v>0</v>
      </c>
      <c r="AU299" s="38">
        <f>SUM(AO299:AT299)</f>
        <v>0</v>
      </c>
      <c r="AV299" s="15">
        <f>AU299/AU300</f>
        <v>0</v>
      </c>
      <c r="AW299" s="13"/>
      <c r="AX299" s="14">
        <v>0</v>
      </c>
      <c r="AY299" s="14">
        <v>0</v>
      </c>
      <c r="AZ299" s="9" t="s">
        <v>82</v>
      </c>
      <c r="BA299" s="14">
        <v>0</v>
      </c>
      <c r="BB299" s="14">
        <v>0</v>
      </c>
      <c r="BC299" s="38">
        <f>SUM(AX299:BB299)</f>
        <v>0</v>
      </c>
      <c r="BD299" s="15">
        <f>BC299/BC300</f>
        <v>0</v>
      </c>
      <c r="BE299" s="13"/>
      <c r="BF299" s="38"/>
      <c r="BG299" s="42"/>
      <c r="BH299" s="42"/>
      <c r="BI299" s="42"/>
    </row>
    <row r="300" spans="1:61" ht="21.75" customHeight="1">
      <c r="A300" s="39" t="s">
        <v>66</v>
      </c>
      <c r="B300" s="32" t="s">
        <v>59</v>
      </c>
      <c r="C300" s="51">
        <f>SUM(C297:C299)</f>
        <v>4</v>
      </c>
      <c r="D300" s="32">
        <f>SUM(D297:D299)</f>
        <v>12</v>
      </c>
      <c r="E300" s="32">
        <f>SUM(E297:E299)</f>
        <v>11</v>
      </c>
      <c r="F300" s="32">
        <f>SUM(F297:F299)</f>
        <v>10</v>
      </c>
      <c r="G300" s="32" t="s">
        <v>59</v>
      </c>
      <c r="H300" s="32">
        <f>SUM(H297:H299)</f>
        <v>5</v>
      </c>
      <c r="I300" s="32">
        <f>SUM(I297:I299)</f>
        <v>10</v>
      </c>
      <c r="J300" s="32">
        <f>SUM(J297:J299)</f>
        <v>11</v>
      </c>
      <c r="K300" s="23">
        <f>SUM(B300:J300)</f>
        <v>63</v>
      </c>
      <c r="L300" s="35">
        <f>K300/(K299+K298+K297)</f>
        <v>1</v>
      </c>
      <c r="M300" s="35">
        <f>K300/(K297+K298+K299)</f>
        <v>1</v>
      </c>
      <c r="N300" s="37">
        <f>T300+AC300+AL300+AU300</f>
        <v>60</v>
      </c>
      <c r="O300" s="35">
        <f>N300/K300</f>
        <v>0.95238095238095233</v>
      </c>
      <c r="P300" s="13"/>
      <c r="Q300" s="38">
        <f>SUM(Q297:Q299)</f>
        <v>6</v>
      </c>
      <c r="R300" s="38">
        <f>SUM(R297:R299)</f>
        <v>5</v>
      </c>
      <c r="S300" s="38">
        <f>SUM(S297:S299)</f>
        <v>1</v>
      </c>
      <c r="T300" s="38">
        <f>SUM(Q300:S300)</f>
        <v>12</v>
      </c>
      <c r="U300" s="40">
        <f>T300/(T297+T298+T299)</f>
        <v>1</v>
      </c>
      <c r="V300" s="13"/>
      <c r="W300" s="38">
        <f>SUM(W297:W299)</f>
        <v>4</v>
      </c>
      <c r="X300" s="38">
        <f>SUM(X297:X299)</f>
        <v>4</v>
      </c>
      <c r="Y300" s="38">
        <f>SUM(Y297:Y299)</f>
        <v>5</v>
      </c>
      <c r="Z300" s="33" t="s">
        <v>82</v>
      </c>
      <c r="AA300" s="38">
        <f>SUM(AA297:AA299)</f>
        <v>5</v>
      </c>
      <c r="AB300" s="38">
        <f>SUM(AB297:AB299)</f>
        <v>1</v>
      </c>
      <c r="AC300" s="38">
        <f>SUM(W300:AB300)</f>
        <v>19</v>
      </c>
      <c r="AD300" s="40">
        <f>AC300/(AC297+AC298+AC299)</f>
        <v>1</v>
      </c>
      <c r="AE300" s="13"/>
      <c r="AF300" s="38">
        <f>SUM(AF297:AF299)</f>
        <v>4</v>
      </c>
      <c r="AG300" s="38">
        <f>SUM(AG297:AG299)</f>
        <v>5</v>
      </c>
      <c r="AH300" s="9" t="s">
        <v>82</v>
      </c>
      <c r="AI300" s="38">
        <f>SUM(AI297:AI299)</f>
        <v>5</v>
      </c>
      <c r="AJ300" s="38">
        <f>SUM(AJ297:AJ299)</f>
        <v>1</v>
      </c>
      <c r="AK300" s="38">
        <f>SUM(AK297:AK299)</f>
        <v>9</v>
      </c>
      <c r="AL300" s="38">
        <f>SUM(AF300:AK300)</f>
        <v>24</v>
      </c>
      <c r="AM300" s="41">
        <f>AL300/(AL297+AL298+AL299)</f>
        <v>1</v>
      </c>
      <c r="AN300" s="13"/>
      <c r="AO300" s="38">
        <f>SUM(AO297:AO299)</f>
        <v>0</v>
      </c>
      <c r="AP300" s="38">
        <f>SUM(AP297:AP299)</f>
        <v>1</v>
      </c>
      <c r="AQ300" s="38">
        <f>SUM(AQ297:AQ299)</f>
        <v>2</v>
      </c>
      <c r="AR300" s="38">
        <f>SUM(AR297:AR299)</f>
        <v>0</v>
      </c>
      <c r="AS300" s="9" t="s">
        <v>82</v>
      </c>
      <c r="AT300" s="51">
        <f>SUM(AT297:AT299)</f>
        <v>2</v>
      </c>
      <c r="AU300" s="38">
        <f>SUM(AO300:AT300)</f>
        <v>5</v>
      </c>
      <c r="AV300" s="40">
        <f>AU300/(AU297+AU298+AU299)</f>
        <v>1</v>
      </c>
      <c r="AW300" s="13"/>
      <c r="AX300" s="38">
        <f>SUM(AX297:AX299)</f>
        <v>0</v>
      </c>
      <c r="AY300" s="38">
        <f>SUM(AY297:AY299)</f>
        <v>1</v>
      </c>
      <c r="AZ300" s="9" t="s">
        <v>82</v>
      </c>
      <c r="BA300" s="38">
        <f>SUM(BA297:BA299)</f>
        <v>1</v>
      </c>
      <c r="BB300" s="38">
        <f>SUM(BB297:BB299)</f>
        <v>1</v>
      </c>
      <c r="BC300" s="38">
        <f>SUM(AX300:BB300)</f>
        <v>3</v>
      </c>
      <c r="BD300" s="40">
        <f>BC300/(BC297+BC298+BC299)</f>
        <v>1</v>
      </c>
      <c r="BE300" s="13"/>
      <c r="BF300" s="38"/>
      <c r="BG300" s="42"/>
      <c r="BH300" s="42"/>
      <c r="BI300" s="42"/>
    </row>
    <row r="301" spans="1:61" ht="68.25" customHeight="1">
      <c r="A301" s="53" t="s">
        <v>161</v>
      </c>
      <c r="B301" s="181" t="s">
        <v>156</v>
      </c>
      <c r="C301" s="182"/>
      <c r="D301" s="182"/>
      <c r="E301" s="182"/>
      <c r="F301" s="182"/>
      <c r="G301" s="22"/>
      <c r="H301" s="22"/>
      <c r="I301" s="22"/>
      <c r="J301" s="22"/>
      <c r="K301" s="21"/>
      <c r="L301" s="24"/>
      <c r="M301" s="24"/>
      <c r="N301" s="26"/>
      <c r="O301" s="24"/>
      <c r="P301" s="27"/>
      <c r="Q301" s="28"/>
      <c r="R301" s="28"/>
      <c r="S301" s="28"/>
      <c r="T301" s="26"/>
      <c r="U301" s="24"/>
      <c r="V301" s="27"/>
      <c r="W301" s="28"/>
      <c r="X301" s="28"/>
      <c r="Y301" s="28"/>
      <c r="Z301" s="28"/>
      <c r="AA301" s="28"/>
      <c r="AB301" s="28"/>
      <c r="AC301" s="26"/>
      <c r="AD301" s="24"/>
      <c r="AE301" s="27"/>
      <c r="AF301" s="28"/>
      <c r="AG301" s="28"/>
      <c r="AH301" s="28"/>
      <c r="AI301" s="28"/>
      <c r="AJ301" s="28"/>
      <c r="AK301" s="28"/>
      <c r="AL301" s="26"/>
      <c r="AM301" s="29"/>
      <c r="AN301" s="27"/>
      <c r="AO301" s="26"/>
      <c r="AP301" s="26"/>
      <c r="AQ301" s="26"/>
      <c r="AR301" s="26"/>
      <c r="AS301" s="26"/>
      <c r="AT301" s="26"/>
      <c r="AU301" s="26"/>
      <c r="AV301" s="24"/>
      <c r="AW301" s="27"/>
      <c r="AX301" s="26"/>
      <c r="AY301" s="26"/>
      <c r="AZ301" s="26"/>
      <c r="BA301" s="26"/>
      <c r="BB301" s="26"/>
      <c r="BC301" s="26"/>
      <c r="BD301" s="24"/>
      <c r="BE301" s="27"/>
      <c r="BF301" s="26"/>
      <c r="BG301" s="22"/>
      <c r="BH301" s="21"/>
      <c r="BI301" s="22"/>
    </row>
    <row r="302" spans="1:61" ht="32.25" customHeight="1">
      <c r="A302" s="10"/>
      <c r="B302" s="30" t="s">
        <v>0</v>
      </c>
      <c r="C302" s="30" t="s">
        <v>1</v>
      </c>
      <c r="D302" s="30" t="s">
        <v>2</v>
      </c>
      <c r="E302" s="30" t="s">
        <v>3</v>
      </c>
      <c r="F302" s="30" t="s">
        <v>4</v>
      </c>
      <c r="G302" s="30" t="s">
        <v>5</v>
      </c>
      <c r="H302" s="30" t="s">
        <v>68</v>
      </c>
      <c r="I302" s="30" t="s">
        <v>7</v>
      </c>
      <c r="J302" s="30" t="s">
        <v>8</v>
      </c>
      <c r="K302" s="10" t="s">
        <v>9</v>
      </c>
      <c r="L302" s="10" t="s">
        <v>56</v>
      </c>
      <c r="M302" s="20"/>
      <c r="N302" s="37"/>
      <c r="O302" s="35"/>
      <c r="P302" s="13"/>
      <c r="Q302" s="117"/>
      <c r="R302" s="117"/>
      <c r="S302" s="30" t="s">
        <v>28</v>
      </c>
      <c r="T302" s="110"/>
      <c r="U302" s="40"/>
      <c r="V302" s="13"/>
      <c r="W302" s="30" t="s">
        <v>15</v>
      </c>
      <c r="X302" s="30" t="s">
        <v>20</v>
      </c>
      <c r="Y302" s="30" t="s">
        <v>21</v>
      </c>
      <c r="Z302" s="30" t="s">
        <v>22</v>
      </c>
      <c r="AA302" s="30" t="s">
        <v>23</v>
      </c>
      <c r="AB302" s="30" t="s">
        <v>24</v>
      </c>
      <c r="AC302" s="110"/>
      <c r="AD302" s="40"/>
      <c r="AE302" s="13"/>
      <c r="AF302" s="30" t="s">
        <v>20</v>
      </c>
      <c r="AG302" s="30" t="s">
        <v>21</v>
      </c>
      <c r="AH302" s="30" t="s">
        <v>22</v>
      </c>
      <c r="AI302" s="30" t="s">
        <v>23</v>
      </c>
      <c r="AJ302" s="30" t="s">
        <v>24</v>
      </c>
      <c r="AK302" s="30" t="s">
        <v>28</v>
      </c>
      <c r="AL302" s="110"/>
      <c r="AM302" s="41"/>
      <c r="AN302" s="13"/>
      <c r="AO302" s="30" t="s">
        <v>15</v>
      </c>
      <c r="AP302" s="30" t="s">
        <v>20</v>
      </c>
      <c r="AQ302" s="30" t="s">
        <v>21</v>
      </c>
      <c r="AR302" s="30" t="s">
        <v>16</v>
      </c>
      <c r="AS302" s="30" t="s">
        <v>22</v>
      </c>
      <c r="AT302" s="30" t="s">
        <v>24</v>
      </c>
      <c r="AU302" s="110"/>
      <c r="AV302" s="40"/>
      <c r="AW302" s="13"/>
      <c r="AX302" s="30" t="s">
        <v>15</v>
      </c>
      <c r="AY302" s="30" t="s">
        <v>20</v>
      </c>
      <c r="AZ302" s="30" t="s">
        <v>22</v>
      </c>
      <c r="BA302" s="30" t="s">
        <v>24</v>
      </c>
      <c r="BB302" s="30" t="s">
        <v>28</v>
      </c>
      <c r="BC302" s="110"/>
      <c r="BD302" s="40"/>
      <c r="BE302" s="13"/>
      <c r="BF302" s="38"/>
      <c r="BG302" s="42"/>
      <c r="BH302" s="42"/>
      <c r="BI302" s="42"/>
    </row>
    <row r="303" spans="1:61" ht="32.25" customHeight="1">
      <c r="A303" s="10" t="s">
        <v>157</v>
      </c>
      <c r="B303" s="32">
        <v>0</v>
      </c>
      <c r="C303" s="32" t="s">
        <v>59</v>
      </c>
      <c r="D303" s="32" t="s">
        <v>59</v>
      </c>
      <c r="E303" s="32" t="s">
        <v>59</v>
      </c>
      <c r="F303" s="32" t="s">
        <v>59</v>
      </c>
      <c r="G303" s="32">
        <v>1</v>
      </c>
      <c r="H303" s="32" t="s">
        <v>59</v>
      </c>
      <c r="I303" s="32" t="s">
        <v>59</v>
      </c>
      <c r="J303" s="32" t="s">
        <v>59</v>
      </c>
      <c r="K303" s="23">
        <f t="shared" ref="K303:K309" si="218">SUM(B303:J303)</f>
        <v>1</v>
      </c>
      <c r="L303" s="35">
        <f>K303/K306</f>
        <v>5.5555555555555552E-2</v>
      </c>
      <c r="M303" s="35">
        <f>K303/K309</f>
        <v>5.2631578947368418E-2</v>
      </c>
      <c r="N303" s="37"/>
      <c r="O303" s="35"/>
      <c r="P303" s="13"/>
      <c r="Q303" s="9" t="s">
        <v>82</v>
      </c>
      <c r="R303" s="9" t="s">
        <v>82</v>
      </c>
      <c r="S303" s="9" t="s">
        <v>82</v>
      </c>
      <c r="T303" s="14">
        <f>SUM(Q303:S303)</f>
        <v>0</v>
      </c>
      <c r="U303" s="40"/>
      <c r="V303" s="13"/>
      <c r="W303" s="9" t="s">
        <v>82</v>
      </c>
      <c r="X303" s="9" t="s">
        <v>82</v>
      </c>
      <c r="Y303" s="9" t="s">
        <v>82</v>
      </c>
      <c r="Z303" s="14">
        <v>0</v>
      </c>
      <c r="AA303" s="9" t="s">
        <v>82</v>
      </c>
      <c r="AB303" s="9" t="s">
        <v>82</v>
      </c>
      <c r="AC303" s="14">
        <f>SUM(W303:AB303)</f>
        <v>0</v>
      </c>
      <c r="AD303" s="40"/>
      <c r="AE303" s="13"/>
      <c r="AF303" s="9" t="s">
        <v>82</v>
      </c>
      <c r="AG303" s="9" t="s">
        <v>82</v>
      </c>
      <c r="AH303" s="14">
        <v>1</v>
      </c>
      <c r="AI303" s="9" t="s">
        <v>82</v>
      </c>
      <c r="AJ303" s="9" t="s">
        <v>82</v>
      </c>
      <c r="AK303" s="9" t="s">
        <v>82</v>
      </c>
      <c r="AL303" s="14">
        <f>SUM(AF303:AK303)</f>
        <v>1</v>
      </c>
      <c r="AM303" s="41"/>
      <c r="AN303" s="13"/>
      <c r="AO303" s="9" t="s">
        <v>82</v>
      </c>
      <c r="AP303" s="9" t="s">
        <v>82</v>
      </c>
      <c r="AQ303" s="9" t="s">
        <v>82</v>
      </c>
      <c r="AR303" s="9" t="s">
        <v>82</v>
      </c>
      <c r="AS303" s="14">
        <v>0</v>
      </c>
      <c r="AT303" s="9" t="s">
        <v>82</v>
      </c>
      <c r="AU303" s="14">
        <f>SUM(AO303:AT303)</f>
        <v>0</v>
      </c>
      <c r="AV303" s="40"/>
      <c r="AW303" s="13"/>
      <c r="AX303" s="9" t="s">
        <v>82</v>
      </c>
      <c r="AY303" s="9" t="s">
        <v>82</v>
      </c>
      <c r="AZ303" s="14">
        <v>0</v>
      </c>
      <c r="BA303" s="9" t="s">
        <v>82</v>
      </c>
      <c r="BB303" s="9" t="s">
        <v>82</v>
      </c>
      <c r="BC303" s="14">
        <f>SUM(AX303:BB303)</f>
        <v>0</v>
      </c>
      <c r="BD303" s="40"/>
      <c r="BE303" s="13"/>
      <c r="BF303" s="38"/>
      <c r="BG303" s="42"/>
      <c r="BH303" s="42"/>
      <c r="BI303" s="42"/>
    </row>
    <row r="304" spans="1:61" ht="20.25" customHeight="1">
      <c r="A304" s="10" t="s">
        <v>162</v>
      </c>
      <c r="B304" s="32">
        <v>10</v>
      </c>
      <c r="C304" s="32" t="s">
        <v>59</v>
      </c>
      <c r="D304" s="32" t="s">
        <v>59</v>
      </c>
      <c r="E304" s="32" t="s">
        <v>59</v>
      </c>
      <c r="F304" s="32" t="s">
        <v>59</v>
      </c>
      <c r="G304" s="32">
        <v>5</v>
      </c>
      <c r="H304" s="32" t="s">
        <v>59</v>
      </c>
      <c r="I304" s="32" t="s">
        <v>59</v>
      </c>
      <c r="J304" s="32" t="s">
        <v>59</v>
      </c>
      <c r="K304" s="23">
        <f t="shared" si="218"/>
        <v>15</v>
      </c>
      <c r="L304" s="35">
        <f>K304/K306</f>
        <v>0.83333333333333337</v>
      </c>
      <c r="M304" s="35">
        <f>K304/K309</f>
        <v>0.78947368421052633</v>
      </c>
      <c r="N304" s="37"/>
      <c r="O304" s="35"/>
      <c r="P304" s="13"/>
      <c r="Q304" s="9" t="s">
        <v>82</v>
      </c>
      <c r="R304" s="9" t="s">
        <v>82</v>
      </c>
      <c r="S304" s="9" t="s">
        <v>82</v>
      </c>
      <c r="T304" s="14">
        <f>SUM(Q304:S304)</f>
        <v>0</v>
      </c>
      <c r="U304" s="40"/>
      <c r="V304" s="13"/>
      <c r="W304" s="9" t="s">
        <v>82</v>
      </c>
      <c r="X304" s="9" t="s">
        <v>82</v>
      </c>
      <c r="Y304" s="9" t="s">
        <v>82</v>
      </c>
      <c r="Z304" s="14">
        <v>1</v>
      </c>
      <c r="AA304" s="9" t="s">
        <v>82</v>
      </c>
      <c r="AB304" s="9" t="s">
        <v>82</v>
      </c>
      <c r="AC304" s="14">
        <f>SUM(W304:AB304)</f>
        <v>1</v>
      </c>
      <c r="AD304" s="40"/>
      <c r="AE304" s="13"/>
      <c r="AF304" s="9" t="s">
        <v>82</v>
      </c>
      <c r="AG304" s="9" t="s">
        <v>82</v>
      </c>
      <c r="AH304" s="14">
        <v>1</v>
      </c>
      <c r="AI304" s="9" t="s">
        <v>82</v>
      </c>
      <c r="AJ304" s="9" t="s">
        <v>82</v>
      </c>
      <c r="AK304" s="9" t="s">
        <v>82</v>
      </c>
      <c r="AL304" s="14">
        <f>SUM(AF304:AK304)</f>
        <v>1</v>
      </c>
      <c r="AM304" s="41"/>
      <c r="AN304" s="13"/>
      <c r="AO304" s="9" t="s">
        <v>82</v>
      </c>
      <c r="AP304" s="9" t="s">
        <v>82</v>
      </c>
      <c r="AQ304" s="9" t="s">
        <v>82</v>
      </c>
      <c r="AR304" s="9" t="s">
        <v>82</v>
      </c>
      <c r="AS304" s="14">
        <v>3</v>
      </c>
      <c r="AT304" s="9" t="s">
        <v>82</v>
      </c>
      <c r="AU304" s="14">
        <f>SUM(AO304:AT304)</f>
        <v>3</v>
      </c>
      <c r="AV304" s="40"/>
      <c r="AW304" s="13"/>
      <c r="AX304" s="9" t="s">
        <v>82</v>
      </c>
      <c r="AY304" s="9" t="s">
        <v>82</v>
      </c>
      <c r="AZ304" s="14">
        <v>0</v>
      </c>
      <c r="BA304" s="9" t="s">
        <v>82</v>
      </c>
      <c r="BB304" s="9" t="s">
        <v>82</v>
      </c>
      <c r="BC304" s="14">
        <f>SUM(AX304:BB304)</f>
        <v>0</v>
      </c>
      <c r="BD304" s="40"/>
      <c r="BE304" s="13"/>
      <c r="BF304" s="38"/>
      <c r="BG304" s="42"/>
      <c r="BH304" s="42"/>
      <c r="BI304" s="42"/>
    </row>
    <row r="305" spans="1:61" ht="32.25" customHeight="1">
      <c r="A305" s="10" t="s">
        <v>163</v>
      </c>
      <c r="B305" s="32">
        <v>1</v>
      </c>
      <c r="C305" s="32" t="s">
        <v>59</v>
      </c>
      <c r="D305" s="32" t="s">
        <v>59</v>
      </c>
      <c r="E305" s="32" t="s">
        <v>59</v>
      </c>
      <c r="F305" s="32" t="s">
        <v>59</v>
      </c>
      <c r="G305" s="32">
        <v>1</v>
      </c>
      <c r="H305" s="32" t="s">
        <v>59</v>
      </c>
      <c r="I305" s="32" t="s">
        <v>59</v>
      </c>
      <c r="J305" s="32" t="s">
        <v>59</v>
      </c>
      <c r="K305" s="23">
        <f t="shared" si="218"/>
        <v>2</v>
      </c>
      <c r="L305" s="35">
        <f>K305/K306</f>
        <v>0.1111111111111111</v>
      </c>
      <c r="M305" s="35">
        <f>K305/K309</f>
        <v>0.10526315789473684</v>
      </c>
      <c r="N305" s="37"/>
      <c r="O305" s="35"/>
      <c r="P305" s="13"/>
      <c r="Q305" s="9" t="s">
        <v>82</v>
      </c>
      <c r="R305" s="9" t="s">
        <v>82</v>
      </c>
      <c r="S305" s="9" t="s">
        <v>82</v>
      </c>
      <c r="T305" s="14">
        <f>SUM(Q305:S305)</f>
        <v>0</v>
      </c>
      <c r="U305" s="40"/>
      <c r="V305" s="13"/>
      <c r="W305" s="9" t="s">
        <v>82</v>
      </c>
      <c r="X305" s="9" t="s">
        <v>82</v>
      </c>
      <c r="Y305" s="9" t="s">
        <v>82</v>
      </c>
      <c r="Z305" s="14">
        <v>0</v>
      </c>
      <c r="AA305" s="9" t="s">
        <v>82</v>
      </c>
      <c r="AB305" s="9" t="s">
        <v>82</v>
      </c>
      <c r="AC305" s="14">
        <f>SUM(W305:AB305)</f>
        <v>0</v>
      </c>
      <c r="AD305" s="40"/>
      <c r="AE305" s="13"/>
      <c r="AF305" s="9" t="s">
        <v>82</v>
      </c>
      <c r="AG305" s="9" t="s">
        <v>82</v>
      </c>
      <c r="AH305" s="14">
        <v>1</v>
      </c>
      <c r="AI305" s="9" t="s">
        <v>82</v>
      </c>
      <c r="AJ305" s="9" t="s">
        <v>82</v>
      </c>
      <c r="AK305" s="9" t="s">
        <v>82</v>
      </c>
      <c r="AL305" s="14">
        <f>SUM(AF305:AK305)</f>
        <v>1</v>
      </c>
      <c r="AM305" s="41"/>
      <c r="AN305" s="13"/>
      <c r="AO305" s="9" t="s">
        <v>82</v>
      </c>
      <c r="AP305" s="9" t="s">
        <v>82</v>
      </c>
      <c r="AQ305" s="9" t="s">
        <v>82</v>
      </c>
      <c r="AR305" s="9" t="s">
        <v>82</v>
      </c>
      <c r="AS305" s="14">
        <v>0</v>
      </c>
      <c r="AT305" s="9" t="s">
        <v>82</v>
      </c>
      <c r="AU305" s="14">
        <f>SUM(AO305:AT305)</f>
        <v>0</v>
      </c>
      <c r="AV305" s="40"/>
      <c r="AW305" s="13"/>
      <c r="AX305" s="9" t="s">
        <v>82</v>
      </c>
      <c r="AY305" s="9" t="s">
        <v>82</v>
      </c>
      <c r="AZ305" s="14">
        <v>0</v>
      </c>
      <c r="BA305" s="9" t="s">
        <v>82</v>
      </c>
      <c r="BB305" s="9" t="s">
        <v>82</v>
      </c>
      <c r="BC305" s="14">
        <f>SUM(AX305:BB305)</f>
        <v>0</v>
      </c>
      <c r="BD305" s="40"/>
      <c r="BE305" s="13"/>
      <c r="BF305" s="38"/>
      <c r="BG305" s="42"/>
      <c r="BH305" s="42"/>
      <c r="BI305" s="42"/>
    </row>
    <row r="306" spans="1:61" ht="21.75" customHeight="1">
      <c r="A306" s="10" t="s">
        <v>9</v>
      </c>
      <c r="B306" s="32">
        <f t="shared" ref="B306:J306" si="219">SUM(B303:B305)</f>
        <v>11</v>
      </c>
      <c r="C306" s="32">
        <f t="shared" si="219"/>
        <v>0</v>
      </c>
      <c r="D306" s="32">
        <f t="shared" si="219"/>
        <v>0</v>
      </c>
      <c r="E306" s="32">
        <f t="shared" si="219"/>
        <v>0</v>
      </c>
      <c r="F306" s="32">
        <f t="shared" si="219"/>
        <v>0</v>
      </c>
      <c r="G306" s="32">
        <f t="shared" si="219"/>
        <v>7</v>
      </c>
      <c r="H306" s="32">
        <f t="shared" si="219"/>
        <v>0</v>
      </c>
      <c r="I306" s="32">
        <f t="shared" si="219"/>
        <v>0</v>
      </c>
      <c r="J306" s="32">
        <f t="shared" si="219"/>
        <v>0</v>
      </c>
      <c r="K306" s="23">
        <f t="shared" si="218"/>
        <v>18</v>
      </c>
      <c r="L306" s="35">
        <f>SUM(L303:L305)</f>
        <v>1</v>
      </c>
      <c r="M306" s="35">
        <f>K306/K309</f>
        <v>0.94736842105263153</v>
      </c>
      <c r="N306" s="37">
        <f>T306+AC306+AL306+AU306</f>
        <v>7</v>
      </c>
      <c r="O306" s="35">
        <f>N306/K306</f>
        <v>0.3888888888888889</v>
      </c>
      <c r="P306" s="13"/>
      <c r="Q306" s="45">
        <f>SUM(Q303:Q305)</f>
        <v>0</v>
      </c>
      <c r="R306" s="46">
        <f>SUM(R303:R305)</f>
        <v>0</v>
      </c>
      <c r="S306" s="46">
        <f>SUM(S303:S305)</f>
        <v>0</v>
      </c>
      <c r="T306" s="14">
        <f>SUM(T303:T305)</f>
        <v>0</v>
      </c>
      <c r="U306" s="40"/>
      <c r="V306" s="13"/>
      <c r="W306" s="45">
        <f>SUM(W303:W305)</f>
        <v>0</v>
      </c>
      <c r="X306" s="45">
        <f>SUM(X303:X305)</f>
        <v>0</v>
      </c>
      <c r="Y306" s="45">
        <f>SUM(Y303:Y305)</f>
        <v>0</v>
      </c>
      <c r="Z306" s="45">
        <f>SUM(Z303:Z305)</f>
        <v>1</v>
      </c>
      <c r="AA306" s="45">
        <f>SUM(AA303:AA305)</f>
        <v>0</v>
      </c>
      <c r="AB306" s="45">
        <f>SUM(AA303:AB305)</f>
        <v>0</v>
      </c>
      <c r="AC306" s="45">
        <f>SUM(AC303:AC305)</f>
        <v>1</v>
      </c>
      <c r="AD306" s="40"/>
      <c r="AE306" s="13"/>
      <c r="AF306" s="45">
        <f t="shared" ref="AF306:AL306" si="220">SUM(AF303:AF305)</f>
        <v>0</v>
      </c>
      <c r="AG306" s="45">
        <f t="shared" si="220"/>
        <v>0</v>
      </c>
      <c r="AH306" s="45">
        <f t="shared" si="220"/>
        <v>3</v>
      </c>
      <c r="AI306" s="45">
        <f t="shared" si="220"/>
        <v>0</v>
      </c>
      <c r="AJ306" s="45">
        <f t="shared" si="220"/>
        <v>0</v>
      </c>
      <c r="AK306" s="45">
        <f t="shared" si="220"/>
        <v>0</v>
      </c>
      <c r="AL306" s="45">
        <f t="shared" si="220"/>
        <v>3</v>
      </c>
      <c r="AM306" s="41"/>
      <c r="AN306" s="13"/>
      <c r="AO306" s="45">
        <f t="shared" ref="AO306:AU306" si="221">SUM(AO303:AO305)</f>
        <v>0</v>
      </c>
      <c r="AP306" s="45">
        <f t="shared" si="221"/>
        <v>0</v>
      </c>
      <c r="AQ306" s="45">
        <f t="shared" si="221"/>
        <v>0</v>
      </c>
      <c r="AR306" s="45">
        <f t="shared" si="221"/>
        <v>0</v>
      </c>
      <c r="AS306" s="45">
        <f t="shared" si="221"/>
        <v>3</v>
      </c>
      <c r="AT306" s="45">
        <f t="shared" si="221"/>
        <v>0</v>
      </c>
      <c r="AU306" s="45">
        <f t="shared" si="221"/>
        <v>3</v>
      </c>
      <c r="AV306" s="40"/>
      <c r="AW306" s="13"/>
      <c r="AX306" s="45">
        <f>SUM(AX303:AX305)</f>
        <v>0</v>
      </c>
      <c r="AY306" s="45">
        <f>SUM(AY303:AY305)</f>
        <v>0</v>
      </c>
      <c r="AZ306" s="45">
        <v>0</v>
      </c>
      <c r="BA306" s="45">
        <f>SUM(BA303:BA305)</f>
        <v>0</v>
      </c>
      <c r="BB306" s="45">
        <f>SUM(BB303:BB305)</f>
        <v>0</v>
      </c>
      <c r="BC306" s="45">
        <f>SUM(BC303:BC305)</f>
        <v>0</v>
      </c>
      <c r="BD306" s="40"/>
      <c r="BE306" s="13"/>
      <c r="BF306" s="38"/>
      <c r="BG306" s="42"/>
      <c r="BH306" s="42"/>
      <c r="BI306" s="42"/>
    </row>
    <row r="307" spans="1:61" ht="21.75" customHeight="1">
      <c r="A307" s="8" t="s">
        <v>64</v>
      </c>
      <c r="B307" s="32">
        <v>0</v>
      </c>
      <c r="C307" s="32" t="s">
        <v>59</v>
      </c>
      <c r="D307" s="32" t="s">
        <v>59</v>
      </c>
      <c r="E307" s="32" t="s">
        <v>59</v>
      </c>
      <c r="F307" s="32" t="s">
        <v>59</v>
      </c>
      <c r="G307" s="32">
        <v>1</v>
      </c>
      <c r="H307" s="32" t="s">
        <v>59</v>
      </c>
      <c r="I307" s="32" t="s">
        <v>59</v>
      </c>
      <c r="J307" s="32" t="s">
        <v>59</v>
      </c>
      <c r="K307" s="23">
        <f t="shared" si="218"/>
        <v>1</v>
      </c>
      <c r="L307" s="35">
        <f>K307/(K306+K307+K308)</f>
        <v>5.2631578947368418E-2</v>
      </c>
      <c r="M307" s="35">
        <f>K307/(K309)</f>
        <v>5.2631578947368418E-2</v>
      </c>
      <c r="N307" s="37"/>
      <c r="O307" s="35"/>
      <c r="P307" s="13"/>
      <c r="Q307" s="49"/>
      <c r="R307" s="50"/>
      <c r="S307" s="50"/>
      <c r="T307" s="38">
        <f>SUM(Q307:S307)</f>
        <v>0</v>
      </c>
      <c r="U307" s="15" t="e">
        <f>T307/T309</f>
        <v>#DIV/0!</v>
      </c>
      <c r="V307" s="13"/>
      <c r="W307" s="49"/>
      <c r="X307" s="58" t="s">
        <v>82</v>
      </c>
      <c r="Y307" s="49"/>
      <c r="Z307" s="49">
        <v>1</v>
      </c>
      <c r="AA307" s="49"/>
      <c r="AB307" s="49">
        <v>0</v>
      </c>
      <c r="AC307" s="51">
        <f>SUM(W307:AB307)</f>
        <v>1</v>
      </c>
      <c r="AD307" s="15">
        <f>AC307/AC309</f>
        <v>0.5</v>
      </c>
      <c r="AE307" s="13"/>
      <c r="AF307" s="58" t="s">
        <v>82</v>
      </c>
      <c r="AG307" s="49"/>
      <c r="AH307" s="49">
        <v>0</v>
      </c>
      <c r="AI307" s="49"/>
      <c r="AJ307" s="49"/>
      <c r="AK307" s="49"/>
      <c r="AL307" s="49">
        <f>SUM(AF307:AK307)</f>
        <v>0</v>
      </c>
      <c r="AM307" s="15">
        <f>AL307/AL309</f>
        <v>0</v>
      </c>
      <c r="AN307" s="13"/>
      <c r="AO307" s="49"/>
      <c r="AP307" s="58" t="s">
        <v>82</v>
      </c>
      <c r="AQ307" s="49"/>
      <c r="AR307" s="49"/>
      <c r="AS307" s="49">
        <v>0</v>
      </c>
      <c r="AT307" s="49">
        <v>0</v>
      </c>
      <c r="AU307" s="51">
        <f>SUM(AO307:AT307)</f>
        <v>0</v>
      </c>
      <c r="AV307" s="15">
        <f>AU307/AU309</f>
        <v>0</v>
      </c>
      <c r="AW307" s="13"/>
      <c r="AX307" s="49"/>
      <c r="AY307" s="58" t="s">
        <v>82</v>
      </c>
      <c r="AZ307" s="49">
        <v>0</v>
      </c>
      <c r="BA307" s="49"/>
      <c r="BB307" s="49"/>
      <c r="BC307" s="51">
        <f>SUM(AX307:BB307)</f>
        <v>0</v>
      </c>
      <c r="BD307" s="15" t="e">
        <f>BC307/BC309</f>
        <v>#DIV/0!</v>
      </c>
      <c r="BE307" s="13"/>
      <c r="BF307" s="38"/>
      <c r="BG307" s="42"/>
      <c r="BH307" s="42"/>
      <c r="BI307" s="42"/>
    </row>
    <row r="308" spans="1:61" ht="21.75" customHeight="1">
      <c r="A308" s="8" t="s">
        <v>65</v>
      </c>
      <c r="B308" s="32">
        <v>0</v>
      </c>
      <c r="C308" s="32" t="s">
        <v>59</v>
      </c>
      <c r="D308" s="32" t="s">
        <v>59</v>
      </c>
      <c r="E308" s="32" t="s">
        <v>59</v>
      </c>
      <c r="F308" s="32" t="s">
        <v>59</v>
      </c>
      <c r="G308" s="32">
        <v>0</v>
      </c>
      <c r="H308" s="32" t="s">
        <v>59</v>
      </c>
      <c r="I308" s="32" t="s">
        <v>59</v>
      </c>
      <c r="J308" s="32" t="s">
        <v>59</v>
      </c>
      <c r="K308" s="23">
        <f t="shared" si="218"/>
        <v>0</v>
      </c>
      <c r="L308" s="35">
        <f>K308/(K307+K308+K306)</f>
        <v>0</v>
      </c>
      <c r="M308" s="35">
        <f>K308/(K309)</f>
        <v>0</v>
      </c>
      <c r="N308" s="23"/>
      <c r="O308" s="35"/>
      <c r="P308" s="13"/>
      <c r="Q308" s="14"/>
      <c r="R308" s="14"/>
      <c r="S308" s="14"/>
      <c r="T308" s="38">
        <f>SUM(Q308:S308)</f>
        <v>0</v>
      </c>
      <c r="U308" s="15" t="e">
        <f>T308/T309</f>
        <v>#DIV/0!</v>
      </c>
      <c r="V308" s="13"/>
      <c r="W308" s="14"/>
      <c r="X308" s="9" t="s">
        <v>82</v>
      </c>
      <c r="Y308" s="14"/>
      <c r="Z308" s="14">
        <v>0</v>
      </c>
      <c r="AA308" s="14"/>
      <c r="AB308" s="45">
        <v>0</v>
      </c>
      <c r="AC308" s="38">
        <f>SUM(W308:AB308)</f>
        <v>0</v>
      </c>
      <c r="AD308" s="15">
        <f>AC308/AC309</f>
        <v>0</v>
      </c>
      <c r="AE308" s="13"/>
      <c r="AF308" s="9" t="s">
        <v>82</v>
      </c>
      <c r="AG308" s="14"/>
      <c r="AH308" s="14">
        <v>0</v>
      </c>
      <c r="AI308" s="14"/>
      <c r="AJ308" s="14"/>
      <c r="AK308" s="14"/>
      <c r="AL308" s="14">
        <f>SUM(AF308:AK308)</f>
        <v>0</v>
      </c>
      <c r="AM308" s="15">
        <f>AL308/AL309</f>
        <v>0</v>
      </c>
      <c r="AN308" s="13"/>
      <c r="AO308" s="14"/>
      <c r="AP308" s="9" t="s">
        <v>82</v>
      </c>
      <c r="AQ308" s="14"/>
      <c r="AR308" s="14"/>
      <c r="AS308" s="14">
        <v>0</v>
      </c>
      <c r="AT308" s="45">
        <v>0</v>
      </c>
      <c r="AU308" s="38">
        <f>SUM(AO308:AT308)</f>
        <v>0</v>
      </c>
      <c r="AV308" s="15">
        <f>AU308/AU309</f>
        <v>0</v>
      </c>
      <c r="AW308" s="13"/>
      <c r="AX308" s="14"/>
      <c r="AY308" s="9" t="s">
        <v>82</v>
      </c>
      <c r="AZ308" s="14">
        <v>0</v>
      </c>
      <c r="BA308" s="14"/>
      <c r="BB308" s="14"/>
      <c r="BC308" s="38">
        <f>SUM(AX308:BB308)</f>
        <v>0</v>
      </c>
      <c r="BD308" s="15" t="e">
        <f>BC308/BC309</f>
        <v>#DIV/0!</v>
      </c>
      <c r="BE308" s="13"/>
      <c r="BF308" s="38"/>
      <c r="BG308" s="42"/>
      <c r="BH308" s="42"/>
      <c r="BI308" s="42"/>
    </row>
    <row r="309" spans="1:61" ht="21.75" customHeight="1">
      <c r="A309" s="39" t="s">
        <v>66</v>
      </c>
      <c r="B309" s="32">
        <f t="shared" ref="B309:J309" si="222">SUM(B306:B308)</f>
        <v>11</v>
      </c>
      <c r="C309" s="32">
        <f t="shared" si="222"/>
        <v>0</v>
      </c>
      <c r="D309" s="32">
        <f t="shared" si="222"/>
        <v>0</v>
      </c>
      <c r="E309" s="32">
        <f t="shared" si="222"/>
        <v>0</v>
      </c>
      <c r="F309" s="32">
        <f t="shared" si="222"/>
        <v>0</v>
      </c>
      <c r="G309" s="32">
        <f t="shared" si="222"/>
        <v>8</v>
      </c>
      <c r="H309" s="32">
        <f t="shared" si="222"/>
        <v>0</v>
      </c>
      <c r="I309" s="32">
        <f t="shared" si="222"/>
        <v>0</v>
      </c>
      <c r="J309" s="32">
        <f t="shared" si="222"/>
        <v>0</v>
      </c>
      <c r="K309" s="23">
        <f t="shared" si="218"/>
        <v>19</v>
      </c>
      <c r="L309" s="35">
        <f>K309/(K308+K307+K306)</f>
        <v>1</v>
      </c>
      <c r="M309" s="35">
        <f>K309/(K306+K307+K308)</f>
        <v>1</v>
      </c>
      <c r="N309" s="37">
        <f>T309+AC309+AL309+AU309</f>
        <v>8</v>
      </c>
      <c r="O309" s="35">
        <f>N309/K309</f>
        <v>0.42105263157894735</v>
      </c>
      <c r="P309" s="13"/>
      <c r="Q309" s="38">
        <f>SUM(Q306:Q308)</f>
        <v>0</v>
      </c>
      <c r="R309" s="38">
        <f>SUM(R306:R308)</f>
        <v>0</v>
      </c>
      <c r="S309" s="38">
        <f>SUM(S306:S308)</f>
        <v>0</v>
      </c>
      <c r="T309" s="38">
        <f>SUM(Q309:S309)</f>
        <v>0</v>
      </c>
      <c r="U309" s="40" t="e">
        <f>T309/(T306+T307+T308)</f>
        <v>#DIV/0!</v>
      </c>
      <c r="V309" s="13"/>
      <c r="W309" s="38">
        <f t="shared" ref="W309:AB309" si="223">SUM(W306:W308)</f>
        <v>0</v>
      </c>
      <c r="X309" s="38">
        <f t="shared" si="223"/>
        <v>0</v>
      </c>
      <c r="Y309" s="38">
        <f t="shared" si="223"/>
        <v>0</v>
      </c>
      <c r="Z309" s="38">
        <f t="shared" si="223"/>
        <v>2</v>
      </c>
      <c r="AA309" s="38">
        <f t="shared" si="223"/>
        <v>0</v>
      </c>
      <c r="AB309" s="51">
        <f t="shared" si="223"/>
        <v>0</v>
      </c>
      <c r="AC309" s="38">
        <f>SUM(W309:AB309)</f>
        <v>2</v>
      </c>
      <c r="AD309" s="40">
        <f>AC309/(AC306+AC307+AC308)</f>
        <v>1</v>
      </c>
      <c r="AE309" s="13"/>
      <c r="AF309" s="38">
        <f t="shared" ref="AF309:AK309" si="224">SUM(AF306:AF308)</f>
        <v>0</v>
      </c>
      <c r="AG309" s="38">
        <f t="shared" si="224"/>
        <v>0</v>
      </c>
      <c r="AH309" s="38">
        <f t="shared" si="224"/>
        <v>3</v>
      </c>
      <c r="AI309" s="38">
        <f t="shared" si="224"/>
        <v>0</v>
      </c>
      <c r="AJ309" s="38">
        <f t="shared" si="224"/>
        <v>0</v>
      </c>
      <c r="AK309" s="38">
        <f t="shared" si="224"/>
        <v>0</v>
      </c>
      <c r="AL309" s="38">
        <f>SUM(AF309:AK309)</f>
        <v>3</v>
      </c>
      <c r="AM309" s="41">
        <f>AL309/(AL306+AL307+AL308)</f>
        <v>1</v>
      </c>
      <c r="AN309" s="13"/>
      <c r="AO309" s="38">
        <f t="shared" ref="AO309:AT309" si="225">SUM(AO306:AO308)</f>
        <v>0</v>
      </c>
      <c r="AP309" s="38">
        <f t="shared" si="225"/>
        <v>0</v>
      </c>
      <c r="AQ309" s="38">
        <f t="shared" si="225"/>
        <v>0</v>
      </c>
      <c r="AR309" s="38">
        <f t="shared" si="225"/>
        <v>0</v>
      </c>
      <c r="AS309" s="38">
        <f t="shared" si="225"/>
        <v>3</v>
      </c>
      <c r="AT309" s="51">
        <f t="shared" si="225"/>
        <v>0</v>
      </c>
      <c r="AU309" s="38">
        <f>SUM(AO309:AT309)</f>
        <v>3</v>
      </c>
      <c r="AV309" s="40">
        <f>AU309/(AU306+AU307+AU308)</f>
        <v>1</v>
      </c>
      <c r="AW309" s="13"/>
      <c r="AX309" s="38">
        <f>SUM(AX306:AX308)</f>
        <v>0</v>
      </c>
      <c r="AY309" s="38">
        <f>SUM(AY306:AY308)</f>
        <v>0</v>
      </c>
      <c r="AZ309" s="14">
        <v>0</v>
      </c>
      <c r="BA309" s="38">
        <f>SUM(BA306:BA308)</f>
        <v>0</v>
      </c>
      <c r="BB309" s="38"/>
      <c r="BC309" s="38">
        <f>SUM(AX309:BB309)</f>
        <v>0</v>
      </c>
      <c r="BD309" s="40" t="e">
        <f>BC309/(BC306+BC307+BC308)</f>
        <v>#DIV/0!</v>
      </c>
      <c r="BE309" s="13"/>
      <c r="BF309" s="38"/>
      <c r="BG309" s="42"/>
      <c r="BH309" s="42"/>
      <c r="BI309" s="42"/>
    </row>
    <row r="310" spans="1:61" ht="56.25" customHeight="1">
      <c r="A310" s="102" t="s">
        <v>164</v>
      </c>
      <c r="B310" s="181" t="s">
        <v>156</v>
      </c>
      <c r="C310" s="182"/>
      <c r="D310" s="182"/>
      <c r="E310" s="182"/>
      <c r="F310" s="182"/>
      <c r="G310" s="22"/>
      <c r="H310" s="22"/>
      <c r="I310" s="22"/>
      <c r="J310" s="22"/>
      <c r="K310" s="21"/>
      <c r="L310" s="24"/>
      <c r="M310" s="24"/>
      <c r="N310" s="26"/>
      <c r="O310" s="24"/>
      <c r="P310" s="27"/>
      <c r="Q310" s="28"/>
      <c r="R310" s="28"/>
      <c r="S310" s="28"/>
      <c r="T310" s="26"/>
      <c r="U310" s="24"/>
      <c r="V310" s="27"/>
      <c r="W310" s="28"/>
      <c r="X310" s="28"/>
      <c r="Y310" s="28"/>
      <c r="Z310" s="28"/>
      <c r="AA310" s="28"/>
      <c r="AB310" s="28"/>
      <c r="AC310" s="26"/>
      <c r="AD310" s="24"/>
      <c r="AE310" s="27"/>
      <c r="AF310" s="28"/>
      <c r="AG310" s="28"/>
      <c r="AH310" s="28"/>
      <c r="AI310" s="28"/>
      <c r="AJ310" s="28"/>
      <c r="AK310" s="28"/>
      <c r="AL310" s="26"/>
      <c r="AM310" s="29"/>
      <c r="AN310" s="27"/>
      <c r="AO310" s="26"/>
      <c r="AP310" s="26"/>
      <c r="AQ310" s="26"/>
      <c r="AR310" s="26"/>
      <c r="AS310" s="26"/>
      <c r="AT310" s="26"/>
      <c r="AU310" s="26"/>
      <c r="AV310" s="24"/>
      <c r="AW310" s="27"/>
      <c r="AX310" s="26"/>
      <c r="AY310" s="26"/>
      <c r="AZ310" s="26"/>
      <c r="BA310" s="26"/>
      <c r="BB310" s="26"/>
      <c r="BC310" s="26"/>
      <c r="BD310" s="24"/>
      <c r="BE310" s="27"/>
      <c r="BF310" s="26"/>
      <c r="BG310" s="22"/>
      <c r="BH310" s="21"/>
      <c r="BI310" s="22"/>
    </row>
    <row r="311" spans="1:61" ht="32.25" customHeight="1">
      <c r="A311" s="10"/>
      <c r="B311" s="30" t="s">
        <v>0</v>
      </c>
      <c r="C311" s="30" t="s">
        <v>1</v>
      </c>
      <c r="D311" s="30" t="s">
        <v>2</v>
      </c>
      <c r="E311" s="30" t="s">
        <v>3</v>
      </c>
      <c r="F311" s="30" t="s">
        <v>4</v>
      </c>
      <c r="G311" s="30" t="s">
        <v>5</v>
      </c>
      <c r="H311" s="30" t="s">
        <v>68</v>
      </c>
      <c r="I311" s="30" t="s">
        <v>7</v>
      </c>
      <c r="J311" s="30" t="s">
        <v>8</v>
      </c>
      <c r="K311" s="10" t="s">
        <v>9</v>
      </c>
      <c r="L311" s="10" t="s">
        <v>56</v>
      </c>
      <c r="M311" s="20"/>
      <c r="N311" s="12"/>
      <c r="O311" s="20"/>
      <c r="P311" s="27"/>
      <c r="Q311" s="30" t="s">
        <v>15</v>
      </c>
      <c r="R311" s="30" t="s">
        <v>16</v>
      </c>
      <c r="S311" s="30" t="s">
        <v>28</v>
      </c>
      <c r="T311" s="20"/>
      <c r="U311" s="11"/>
      <c r="V311" s="27"/>
      <c r="W311" s="30" t="s">
        <v>15</v>
      </c>
      <c r="X311" s="30" t="s">
        <v>20</v>
      </c>
      <c r="Y311" s="30" t="s">
        <v>21</v>
      </c>
      <c r="Z311" s="30" t="s">
        <v>22</v>
      </c>
      <c r="AA311" s="30" t="s">
        <v>23</v>
      </c>
      <c r="AB311" s="30" t="s">
        <v>24</v>
      </c>
      <c r="AC311" s="20"/>
      <c r="AD311" s="11"/>
      <c r="AE311" s="27"/>
      <c r="AF311" s="30" t="s">
        <v>20</v>
      </c>
      <c r="AG311" s="30" t="s">
        <v>21</v>
      </c>
      <c r="AH311" s="30" t="s">
        <v>22</v>
      </c>
      <c r="AI311" s="30" t="s">
        <v>23</v>
      </c>
      <c r="AJ311" s="30" t="s">
        <v>24</v>
      </c>
      <c r="AK311" s="30" t="s">
        <v>28</v>
      </c>
      <c r="AL311" s="20"/>
      <c r="AM311" s="44"/>
      <c r="AN311" s="27"/>
      <c r="AO311" s="30" t="s">
        <v>15</v>
      </c>
      <c r="AP311" s="30" t="s">
        <v>20</v>
      </c>
      <c r="AQ311" s="30" t="s">
        <v>21</v>
      </c>
      <c r="AR311" s="30" t="s">
        <v>16</v>
      </c>
      <c r="AS311" s="30" t="s">
        <v>22</v>
      </c>
      <c r="AT311" s="30" t="s">
        <v>24</v>
      </c>
      <c r="AU311" s="20"/>
      <c r="AV311" s="11"/>
      <c r="AW311" s="27"/>
      <c r="AX311" s="30" t="s">
        <v>15</v>
      </c>
      <c r="AY311" s="30" t="s">
        <v>20</v>
      </c>
      <c r="AZ311" s="30" t="s">
        <v>22</v>
      </c>
      <c r="BA311" s="30" t="s">
        <v>23</v>
      </c>
      <c r="BB311" s="30" t="s">
        <v>28</v>
      </c>
      <c r="BC311" s="20"/>
      <c r="BD311" s="11"/>
      <c r="BE311" s="27"/>
      <c r="BF311" s="10" t="s">
        <v>38</v>
      </c>
      <c r="BG311" s="10" t="s">
        <v>39</v>
      </c>
      <c r="BH311" s="9" t="s">
        <v>40</v>
      </c>
      <c r="BI311" s="9" t="s">
        <v>41</v>
      </c>
    </row>
    <row r="312" spans="1:61" ht="32.25" customHeight="1">
      <c r="A312" s="10" t="s">
        <v>157</v>
      </c>
      <c r="B312" s="32">
        <v>0</v>
      </c>
      <c r="C312" s="32">
        <v>0</v>
      </c>
      <c r="D312" s="32">
        <v>0</v>
      </c>
      <c r="E312" s="32">
        <v>0</v>
      </c>
      <c r="F312" s="32">
        <v>1</v>
      </c>
      <c r="G312" s="32">
        <v>1</v>
      </c>
      <c r="H312" s="32">
        <v>0</v>
      </c>
      <c r="I312" s="32">
        <v>0</v>
      </c>
      <c r="J312" s="33">
        <v>0</v>
      </c>
      <c r="K312" s="23">
        <f>SUM(B312:J312)</f>
        <v>2</v>
      </c>
      <c r="L312" s="35">
        <f>K312/K316</f>
        <v>2.564102564102564E-2</v>
      </c>
      <c r="M312" s="35">
        <f>K312/K319</f>
        <v>2.4390243902439025E-2</v>
      </c>
      <c r="N312" s="37"/>
      <c r="O312" s="35"/>
      <c r="P312" s="13"/>
      <c r="Q312" s="33">
        <v>0</v>
      </c>
      <c r="R312" s="33">
        <v>0</v>
      </c>
      <c r="S312" s="33">
        <v>0</v>
      </c>
      <c r="T312" s="14">
        <f>SUM(Q312:S312)</f>
        <v>0</v>
      </c>
      <c r="U312" s="40">
        <f>T312/T316</f>
        <v>0</v>
      </c>
      <c r="V312" s="13"/>
      <c r="W312" s="33">
        <v>0</v>
      </c>
      <c r="X312" s="33">
        <v>0</v>
      </c>
      <c r="Y312" s="33">
        <v>0</v>
      </c>
      <c r="Z312" s="14">
        <v>0</v>
      </c>
      <c r="AA312" s="33">
        <v>0</v>
      </c>
      <c r="AB312" s="33">
        <v>0</v>
      </c>
      <c r="AC312" s="14">
        <f>SUM(W312:AB312)</f>
        <v>0</v>
      </c>
      <c r="AD312" s="40">
        <f>AC312/AC316</f>
        <v>0</v>
      </c>
      <c r="AE312" s="13"/>
      <c r="AF312" s="33">
        <v>0</v>
      </c>
      <c r="AG312" s="33">
        <v>0</v>
      </c>
      <c r="AH312" s="14">
        <v>1</v>
      </c>
      <c r="AI312" s="33">
        <v>0</v>
      </c>
      <c r="AJ312" s="33">
        <v>0</v>
      </c>
      <c r="AK312" s="33">
        <v>0</v>
      </c>
      <c r="AL312" s="14">
        <f>SUM(AF312:AK312)</f>
        <v>1</v>
      </c>
      <c r="AM312" s="40">
        <f>AL312/AL316</f>
        <v>3.8461538461538464E-2</v>
      </c>
      <c r="AN312" s="13"/>
      <c r="AO312" s="33">
        <v>0</v>
      </c>
      <c r="AP312" s="33">
        <v>1</v>
      </c>
      <c r="AQ312" s="33">
        <v>0</v>
      </c>
      <c r="AR312" s="33">
        <v>0</v>
      </c>
      <c r="AS312" s="14">
        <v>0</v>
      </c>
      <c r="AT312" s="33">
        <v>0</v>
      </c>
      <c r="AU312" s="14">
        <f>SUM(AO312:AT312)</f>
        <v>1</v>
      </c>
      <c r="AV312" s="40">
        <f>AU312/AU316</f>
        <v>0.125</v>
      </c>
      <c r="AW312" s="13"/>
      <c r="AX312" s="33">
        <v>0</v>
      </c>
      <c r="AY312" s="33">
        <v>0</v>
      </c>
      <c r="AZ312" s="14">
        <v>0</v>
      </c>
      <c r="BA312" s="33">
        <v>0</v>
      </c>
      <c r="BB312" s="33">
        <v>0</v>
      </c>
      <c r="BC312" s="14">
        <f>SUM(AX312:BB312)</f>
        <v>0</v>
      </c>
      <c r="BD312" s="40">
        <f>BC312/BC316</f>
        <v>0</v>
      </c>
      <c r="BE312" s="13"/>
      <c r="BF312" s="14">
        <v>1</v>
      </c>
      <c r="BG312" s="15">
        <f>BF312/BF316</f>
        <v>0.125</v>
      </c>
      <c r="BH312" s="16"/>
      <c r="BI312" s="15"/>
    </row>
    <row r="313" spans="1:61" ht="32.25" customHeight="1">
      <c r="A313" s="10" t="s">
        <v>158</v>
      </c>
      <c r="B313" s="32">
        <v>10</v>
      </c>
      <c r="C313" s="32">
        <v>1</v>
      </c>
      <c r="D313" s="32">
        <v>4</v>
      </c>
      <c r="E313" s="32">
        <v>3</v>
      </c>
      <c r="F313" s="32">
        <v>2</v>
      </c>
      <c r="G313" s="32">
        <v>5</v>
      </c>
      <c r="H313" s="32">
        <v>3</v>
      </c>
      <c r="I313" s="32">
        <v>8</v>
      </c>
      <c r="J313" s="33">
        <v>6</v>
      </c>
      <c r="K313" s="23">
        <f>SUM(B313:J313)</f>
        <v>42</v>
      </c>
      <c r="L313" s="35">
        <f>K313/K316</f>
        <v>0.53846153846153844</v>
      </c>
      <c r="M313" s="35">
        <f>K313/K319</f>
        <v>0.51219512195121952</v>
      </c>
      <c r="N313" s="37"/>
      <c r="O313" s="35"/>
      <c r="P313" s="13"/>
      <c r="Q313" s="33">
        <v>5</v>
      </c>
      <c r="R313" s="33">
        <v>3</v>
      </c>
      <c r="S313" s="33">
        <v>0</v>
      </c>
      <c r="T313" s="14">
        <f>SUM(Q313:S313)</f>
        <v>8</v>
      </c>
      <c r="U313" s="40">
        <f>T313/T316</f>
        <v>0.66666666666666663</v>
      </c>
      <c r="V313" s="13"/>
      <c r="W313" s="33">
        <v>3</v>
      </c>
      <c r="X313" s="33">
        <v>0</v>
      </c>
      <c r="Y313" s="33">
        <v>3</v>
      </c>
      <c r="Z313" s="14">
        <v>1</v>
      </c>
      <c r="AA313" s="33">
        <v>0</v>
      </c>
      <c r="AB313" s="33">
        <v>1</v>
      </c>
      <c r="AC313" s="14">
        <f>SUM(W313:AB313)</f>
        <v>8</v>
      </c>
      <c r="AD313" s="40">
        <f>AC313/AC316</f>
        <v>0.44444444444444442</v>
      </c>
      <c r="AE313" s="13"/>
      <c r="AF313" s="33">
        <v>2</v>
      </c>
      <c r="AG313" s="33">
        <v>1</v>
      </c>
      <c r="AH313" s="14">
        <v>1</v>
      </c>
      <c r="AI313" s="33">
        <v>3</v>
      </c>
      <c r="AJ313" s="33">
        <v>0</v>
      </c>
      <c r="AK313" s="33">
        <v>5</v>
      </c>
      <c r="AL313" s="14">
        <f>SUM(AF313:AK313)</f>
        <v>12</v>
      </c>
      <c r="AM313" s="40">
        <f>AL313/AL316</f>
        <v>0.46153846153846156</v>
      </c>
      <c r="AN313" s="13"/>
      <c r="AO313" s="33">
        <v>0</v>
      </c>
      <c r="AP313" s="33">
        <v>0</v>
      </c>
      <c r="AQ313" s="33">
        <v>0</v>
      </c>
      <c r="AR313" s="33">
        <v>0</v>
      </c>
      <c r="AS313" s="14">
        <v>3</v>
      </c>
      <c r="AT313" s="33">
        <v>0</v>
      </c>
      <c r="AU313" s="14">
        <f>SUM(AO313:AT313)</f>
        <v>3</v>
      </c>
      <c r="AV313" s="40">
        <f>AU313/AU316</f>
        <v>0.375</v>
      </c>
      <c r="AW313" s="13"/>
      <c r="AX313" s="33">
        <v>0</v>
      </c>
      <c r="AY313" s="33">
        <v>0</v>
      </c>
      <c r="AZ313" s="14">
        <v>0</v>
      </c>
      <c r="BA313" s="33">
        <v>0</v>
      </c>
      <c r="BB313" s="33">
        <v>1</v>
      </c>
      <c r="BC313" s="14">
        <f>SUM(AX313:BB313)</f>
        <v>1</v>
      </c>
      <c r="BD313" s="40">
        <f>BC313/BC316</f>
        <v>0.33333333333333331</v>
      </c>
      <c r="BE313" s="13"/>
      <c r="BF313" s="14">
        <v>4</v>
      </c>
      <c r="BG313" s="15">
        <f>BF313/BF316</f>
        <v>0.5</v>
      </c>
      <c r="BH313" s="16"/>
      <c r="BI313" s="15"/>
    </row>
    <row r="314" spans="1:61" ht="32.25" customHeight="1">
      <c r="A314" s="10" t="s">
        <v>159</v>
      </c>
      <c r="B314" s="32">
        <v>1</v>
      </c>
      <c r="C314" s="32">
        <v>2</v>
      </c>
      <c r="D314" s="32">
        <v>1</v>
      </c>
      <c r="E314" s="32">
        <v>2</v>
      </c>
      <c r="F314" s="32">
        <v>0</v>
      </c>
      <c r="G314" s="32">
        <v>1</v>
      </c>
      <c r="H314" s="32">
        <v>0</v>
      </c>
      <c r="I314" s="32">
        <v>0</v>
      </c>
      <c r="J314" s="33">
        <v>0</v>
      </c>
      <c r="K314" s="23">
        <f>SUM(B314:J314)</f>
        <v>7</v>
      </c>
      <c r="L314" s="35">
        <f>K314/K316</f>
        <v>8.9743589743589744E-2</v>
      </c>
      <c r="M314" s="35">
        <f>K314/K319</f>
        <v>8.5365853658536592E-2</v>
      </c>
      <c r="N314" s="37"/>
      <c r="O314" s="35"/>
      <c r="P314" s="13"/>
      <c r="Q314" s="33">
        <v>0</v>
      </c>
      <c r="R314" s="33">
        <v>0</v>
      </c>
      <c r="S314" s="33">
        <v>0</v>
      </c>
      <c r="T314" s="14">
        <f>SUM(Q314:S314)</f>
        <v>0</v>
      </c>
      <c r="U314" s="40">
        <f>T314/T316</f>
        <v>0</v>
      </c>
      <c r="V314" s="13"/>
      <c r="W314" s="33">
        <v>0</v>
      </c>
      <c r="X314" s="33">
        <v>0</v>
      </c>
      <c r="Y314" s="33">
        <v>0</v>
      </c>
      <c r="Z314" s="47">
        <v>0</v>
      </c>
      <c r="AA314" s="33">
        <v>1</v>
      </c>
      <c r="AB314" s="33">
        <v>0</v>
      </c>
      <c r="AC314" s="14">
        <f>SUM(W314:AB314)</f>
        <v>1</v>
      </c>
      <c r="AD314" s="40">
        <f>AC314/AC316</f>
        <v>5.5555555555555552E-2</v>
      </c>
      <c r="AE314" s="13"/>
      <c r="AF314" s="33">
        <v>0</v>
      </c>
      <c r="AG314" s="33">
        <v>1</v>
      </c>
      <c r="AH314" s="47">
        <v>1</v>
      </c>
      <c r="AI314" s="33">
        <v>1</v>
      </c>
      <c r="AJ314" s="33">
        <v>1</v>
      </c>
      <c r="AK314" s="33">
        <v>0</v>
      </c>
      <c r="AL314" s="14">
        <f>SUM(AF314:AK314)</f>
        <v>4</v>
      </c>
      <c r="AM314" s="40">
        <f>AL314/AL316</f>
        <v>0.15384615384615385</v>
      </c>
      <c r="AN314" s="13"/>
      <c r="AO314" s="33">
        <v>0</v>
      </c>
      <c r="AP314" s="33">
        <v>0</v>
      </c>
      <c r="AQ314" s="33">
        <v>0</v>
      </c>
      <c r="AR314" s="33">
        <v>0</v>
      </c>
      <c r="AS314" s="47">
        <v>0</v>
      </c>
      <c r="AT314" s="33">
        <v>1</v>
      </c>
      <c r="AU314" s="14">
        <f>SUM(AO314:AT314)</f>
        <v>1</v>
      </c>
      <c r="AV314" s="40">
        <f>AU314/AU316</f>
        <v>0.125</v>
      </c>
      <c r="AW314" s="13"/>
      <c r="AX314" s="33">
        <v>0</v>
      </c>
      <c r="AY314" s="33">
        <v>0</v>
      </c>
      <c r="AZ314" s="47">
        <v>0</v>
      </c>
      <c r="BA314" s="33">
        <v>0</v>
      </c>
      <c r="BB314" s="33">
        <v>0</v>
      </c>
      <c r="BC314" s="14">
        <f>SUM(AX314:BB314)</f>
        <v>0</v>
      </c>
      <c r="BD314" s="40">
        <f>BC314/BC316</f>
        <v>0</v>
      </c>
      <c r="BE314" s="13"/>
      <c r="BF314" s="14">
        <v>1</v>
      </c>
      <c r="BG314" s="15">
        <f>BF314/BF316</f>
        <v>0.125</v>
      </c>
      <c r="BH314" s="16"/>
      <c r="BI314" s="15"/>
    </row>
    <row r="315" spans="1:61" ht="32.25" customHeight="1">
      <c r="A315" s="115" t="s">
        <v>160</v>
      </c>
      <c r="B315" s="32" t="s">
        <v>59</v>
      </c>
      <c r="C315" s="32">
        <v>1</v>
      </c>
      <c r="D315" s="32">
        <v>7</v>
      </c>
      <c r="E315" s="32">
        <v>6</v>
      </c>
      <c r="F315" s="32">
        <v>5</v>
      </c>
      <c r="G315" s="32" t="s">
        <v>59</v>
      </c>
      <c r="H315" s="32">
        <v>2</v>
      </c>
      <c r="I315" s="32">
        <v>2</v>
      </c>
      <c r="J315" s="33">
        <v>4</v>
      </c>
      <c r="K315" s="23">
        <f>SUM(B315:J315)</f>
        <v>27</v>
      </c>
      <c r="L315" s="35">
        <f>K315/K316</f>
        <v>0.34615384615384615</v>
      </c>
      <c r="M315" s="35">
        <f>K315/K319</f>
        <v>0.32926829268292684</v>
      </c>
      <c r="N315" s="37"/>
      <c r="O315" s="35"/>
      <c r="P315" s="13"/>
      <c r="Q315" s="33">
        <v>1</v>
      </c>
      <c r="R315" s="33">
        <v>2</v>
      </c>
      <c r="S315" s="33">
        <v>1</v>
      </c>
      <c r="T315" s="14">
        <f>SUM(Q315:S315)</f>
        <v>4</v>
      </c>
      <c r="U315" s="40">
        <f>T315/T316</f>
        <v>0.33333333333333331</v>
      </c>
      <c r="V315" s="13"/>
      <c r="W315" s="33">
        <v>1</v>
      </c>
      <c r="X315" s="33">
        <v>2</v>
      </c>
      <c r="Y315" s="33">
        <v>2</v>
      </c>
      <c r="Z315" s="114" t="s">
        <v>82</v>
      </c>
      <c r="AA315" s="33">
        <v>4</v>
      </c>
      <c r="AB315" s="33">
        <v>0</v>
      </c>
      <c r="AC315" s="14">
        <f>SUM(W315:AB315)</f>
        <v>9</v>
      </c>
      <c r="AD315" s="40">
        <f>AC315/AC316</f>
        <v>0.5</v>
      </c>
      <c r="AE315" s="13"/>
      <c r="AF315" s="33">
        <v>2</v>
      </c>
      <c r="AG315" s="33">
        <v>3</v>
      </c>
      <c r="AH315" s="103" t="s">
        <v>82</v>
      </c>
      <c r="AI315" s="33">
        <v>1</v>
      </c>
      <c r="AJ315" s="33">
        <v>0</v>
      </c>
      <c r="AK315" s="33">
        <v>3</v>
      </c>
      <c r="AL315" s="14">
        <f>SUM(AF315:AK315)</f>
        <v>9</v>
      </c>
      <c r="AM315" s="40">
        <f>AL315/AL316</f>
        <v>0.34615384615384615</v>
      </c>
      <c r="AN315" s="13"/>
      <c r="AO315" s="33">
        <v>0</v>
      </c>
      <c r="AP315" s="33">
        <v>0</v>
      </c>
      <c r="AQ315" s="33">
        <v>2</v>
      </c>
      <c r="AR315" s="33">
        <v>0</v>
      </c>
      <c r="AS315" s="103" t="s">
        <v>82</v>
      </c>
      <c r="AT315" s="33">
        <v>1</v>
      </c>
      <c r="AU315" s="14">
        <f>SUM(AO315:AT315)</f>
        <v>3</v>
      </c>
      <c r="AV315" s="40">
        <f>AU315/AU316</f>
        <v>0.375</v>
      </c>
      <c r="AW315" s="13"/>
      <c r="AX315" s="33">
        <v>0</v>
      </c>
      <c r="AY315" s="33">
        <v>1</v>
      </c>
      <c r="AZ315" s="103" t="s">
        <v>82</v>
      </c>
      <c r="BA315" s="33">
        <v>1</v>
      </c>
      <c r="BB315" s="33">
        <v>0</v>
      </c>
      <c r="BC315" s="14">
        <f>SUM(AX315:BB315)</f>
        <v>2</v>
      </c>
      <c r="BD315" s="40">
        <f>BC315/BC316</f>
        <v>0.66666666666666663</v>
      </c>
      <c r="BE315" s="13"/>
      <c r="BF315" s="14">
        <v>2</v>
      </c>
      <c r="BG315" s="15">
        <f>BF315/BF316</f>
        <v>0.25</v>
      </c>
      <c r="BH315" s="16"/>
      <c r="BI315" s="15"/>
    </row>
    <row r="316" spans="1:61" ht="21.75" customHeight="1">
      <c r="A316" s="10" t="s">
        <v>9</v>
      </c>
      <c r="B316" s="32">
        <f t="shared" ref="B316:L316" si="226">SUM(B310:B315)</f>
        <v>11</v>
      </c>
      <c r="C316" s="32">
        <f t="shared" si="226"/>
        <v>4</v>
      </c>
      <c r="D316" s="32">
        <f t="shared" si="226"/>
        <v>12</v>
      </c>
      <c r="E316" s="32">
        <f t="shared" si="226"/>
        <v>11</v>
      </c>
      <c r="F316" s="32">
        <f t="shared" si="226"/>
        <v>8</v>
      </c>
      <c r="G316" s="32">
        <f t="shared" si="226"/>
        <v>7</v>
      </c>
      <c r="H316" s="32">
        <f t="shared" si="226"/>
        <v>5</v>
      </c>
      <c r="I316" s="32">
        <f t="shared" si="226"/>
        <v>10</v>
      </c>
      <c r="J316" s="32">
        <f t="shared" si="226"/>
        <v>10</v>
      </c>
      <c r="K316" s="23">
        <f t="shared" si="226"/>
        <v>78</v>
      </c>
      <c r="L316" s="35">
        <f t="shared" si="226"/>
        <v>1</v>
      </c>
      <c r="M316" s="35">
        <f>K316/K319</f>
        <v>0.95121951219512191</v>
      </c>
      <c r="N316" s="37">
        <f>T316+AC316+AL316+AU316</f>
        <v>64</v>
      </c>
      <c r="O316" s="35">
        <f>N316/K316</f>
        <v>0.82051282051282048</v>
      </c>
      <c r="P316" s="13">
        <f t="shared" ref="P316:BE316" si="227">SUM(P310:P315)</f>
        <v>0</v>
      </c>
      <c r="Q316" s="47">
        <f t="shared" si="227"/>
        <v>6</v>
      </c>
      <c r="R316" s="14">
        <f t="shared" si="227"/>
        <v>5</v>
      </c>
      <c r="S316" s="14">
        <f t="shared" si="227"/>
        <v>1</v>
      </c>
      <c r="T316" s="14">
        <f t="shared" si="227"/>
        <v>12</v>
      </c>
      <c r="U316" s="40">
        <f t="shared" si="227"/>
        <v>1</v>
      </c>
      <c r="V316" s="13">
        <f t="shared" si="227"/>
        <v>0</v>
      </c>
      <c r="W316" s="47">
        <f t="shared" si="227"/>
        <v>4</v>
      </c>
      <c r="X316" s="47">
        <f t="shared" si="227"/>
        <v>2</v>
      </c>
      <c r="Y316" s="47">
        <f t="shared" si="227"/>
        <v>5</v>
      </c>
      <c r="Z316" s="47">
        <f t="shared" si="227"/>
        <v>1</v>
      </c>
      <c r="AA316" s="47">
        <f t="shared" si="227"/>
        <v>5</v>
      </c>
      <c r="AB316" s="47">
        <f t="shared" si="227"/>
        <v>1</v>
      </c>
      <c r="AC316" s="45">
        <f t="shared" si="227"/>
        <v>18</v>
      </c>
      <c r="AD316" s="40">
        <f t="shared" si="227"/>
        <v>1</v>
      </c>
      <c r="AE316" s="13">
        <f t="shared" si="227"/>
        <v>0</v>
      </c>
      <c r="AF316" s="47">
        <f t="shared" si="227"/>
        <v>4</v>
      </c>
      <c r="AG316" s="47">
        <f t="shared" si="227"/>
        <v>5</v>
      </c>
      <c r="AH316" s="47">
        <f t="shared" si="227"/>
        <v>3</v>
      </c>
      <c r="AI316" s="47">
        <f t="shared" si="227"/>
        <v>5</v>
      </c>
      <c r="AJ316" s="47">
        <f t="shared" si="227"/>
        <v>1</v>
      </c>
      <c r="AK316" s="47">
        <f t="shared" si="227"/>
        <v>8</v>
      </c>
      <c r="AL316" s="45">
        <f t="shared" si="227"/>
        <v>26</v>
      </c>
      <c r="AM316" s="40">
        <f t="shared" si="227"/>
        <v>1</v>
      </c>
      <c r="AN316" s="13">
        <f t="shared" si="227"/>
        <v>0</v>
      </c>
      <c r="AO316" s="47">
        <f t="shared" si="227"/>
        <v>0</v>
      </c>
      <c r="AP316" s="47">
        <f t="shared" si="227"/>
        <v>1</v>
      </c>
      <c r="AQ316" s="47">
        <f t="shared" si="227"/>
        <v>2</v>
      </c>
      <c r="AR316" s="47">
        <f t="shared" si="227"/>
        <v>0</v>
      </c>
      <c r="AS316" s="47">
        <f t="shared" si="227"/>
        <v>3</v>
      </c>
      <c r="AT316" s="47">
        <f t="shared" si="227"/>
        <v>2</v>
      </c>
      <c r="AU316" s="45">
        <f t="shared" si="227"/>
        <v>8</v>
      </c>
      <c r="AV316" s="40">
        <f t="shared" si="227"/>
        <v>1</v>
      </c>
      <c r="AW316" s="13">
        <f t="shared" si="227"/>
        <v>0</v>
      </c>
      <c r="AX316" s="47">
        <f t="shared" si="227"/>
        <v>0</v>
      </c>
      <c r="AY316" s="47">
        <f t="shared" si="227"/>
        <v>1</v>
      </c>
      <c r="AZ316" s="47">
        <f t="shared" si="227"/>
        <v>0</v>
      </c>
      <c r="BA316" s="47">
        <f t="shared" si="227"/>
        <v>1</v>
      </c>
      <c r="BB316" s="47">
        <f t="shared" si="227"/>
        <v>1</v>
      </c>
      <c r="BC316" s="45">
        <f t="shared" si="227"/>
        <v>3</v>
      </c>
      <c r="BD316" s="40">
        <f t="shared" si="227"/>
        <v>1</v>
      </c>
      <c r="BE316" s="13">
        <f t="shared" si="227"/>
        <v>0</v>
      </c>
      <c r="BF316" s="14">
        <f>SUM(BF312:BF315)</f>
        <v>8</v>
      </c>
      <c r="BG316" s="15">
        <f>SUM(BG312:BG315)</f>
        <v>1</v>
      </c>
      <c r="BH316" s="16"/>
      <c r="BI316" s="15"/>
    </row>
    <row r="317" spans="1:61" ht="21.75" customHeight="1">
      <c r="A317" s="8" t="s">
        <v>64</v>
      </c>
      <c r="B317" s="32">
        <v>0</v>
      </c>
      <c r="C317" s="14">
        <v>0</v>
      </c>
      <c r="D317" s="32">
        <v>0</v>
      </c>
      <c r="E317" s="32">
        <v>0</v>
      </c>
      <c r="F317" s="32">
        <v>2</v>
      </c>
      <c r="G317" s="32">
        <v>1</v>
      </c>
      <c r="H317" s="32">
        <v>0</v>
      </c>
      <c r="I317" s="32">
        <v>0</v>
      </c>
      <c r="J317" s="32">
        <v>1</v>
      </c>
      <c r="K317" s="37">
        <f>SUM(B317:J317)</f>
        <v>4</v>
      </c>
      <c r="L317" s="35">
        <f>K317/(K316+K317+K318)</f>
        <v>4.878048780487805E-2</v>
      </c>
      <c r="M317" s="35">
        <f>K317/(K319)</f>
        <v>4.878048780487805E-2</v>
      </c>
      <c r="N317" s="37"/>
      <c r="O317" s="35"/>
      <c r="P317" s="13"/>
      <c r="Q317" s="52">
        <v>0</v>
      </c>
      <c r="R317" s="14">
        <v>0</v>
      </c>
      <c r="S317" s="14">
        <v>0</v>
      </c>
      <c r="T317" s="38">
        <f>SUM(Q317:S317)</f>
        <v>0</v>
      </c>
      <c r="U317" s="15">
        <f>T317/T319</f>
        <v>0</v>
      </c>
      <c r="V317" s="13"/>
      <c r="W317" s="52">
        <v>0</v>
      </c>
      <c r="X317" s="52">
        <v>2</v>
      </c>
      <c r="Y317" s="52">
        <v>0</v>
      </c>
      <c r="Z317" s="114">
        <v>1</v>
      </c>
      <c r="AA317" s="118">
        <v>0</v>
      </c>
      <c r="AB317" s="52">
        <v>0</v>
      </c>
      <c r="AC317" s="51">
        <f>SUM(W317:AB317)</f>
        <v>3</v>
      </c>
      <c r="AD317" s="15">
        <f>AC317/AC319</f>
        <v>0.14285714285714285</v>
      </c>
      <c r="AE317" s="13"/>
      <c r="AF317" s="52">
        <v>0</v>
      </c>
      <c r="AG317" s="52">
        <v>0</v>
      </c>
      <c r="AH317" s="52">
        <v>0</v>
      </c>
      <c r="AI317" s="118">
        <v>0</v>
      </c>
      <c r="AJ317" s="52"/>
      <c r="AK317" s="52">
        <v>1</v>
      </c>
      <c r="AL317" s="49">
        <f>SUM(AF317:AK317)</f>
        <v>1</v>
      </c>
      <c r="AM317" s="15">
        <f>AL317/AL319</f>
        <v>3.7037037037037035E-2</v>
      </c>
      <c r="AN317" s="13"/>
      <c r="AO317" s="52">
        <v>0</v>
      </c>
      <c r="AP317" s="52">
        <v>0</v>
      </c>
      <c r="AQ317" s="52">
        <v>0</v>
      </c>
      <c r="AR317" s="52">
        <v>0</v>
      </c>
      <c r="AS317" s="52">
        <v>0</v>
      </c>
      <c r="AT317" s="52">
        <v>0</v>
      </c>
      <c r="AU317" s="51">
        <f>SUM(AO317:AT317)</f>
        <v>0</v>
      </c>
      <c r="AV317" s="15">
        <f>AU317/AU319</f>
        <v>0</v>
      </c>
      <c r="AW317" s="13"/>
      <c r="AX317" s="52">
        <v>0</v>
      </c>
      <c r="AY317" s="52">
        <v>0</v>
      </c>
      <c r="AZ317" s="52">
        <v>0</v>
      </c>
      <c r="BA317" s="118">
        <v>0</v>
      </c>
      <c r="BB317" s="52">
        <v>0</v>
      </c>
      <c r="BC317" s="51">
        <f>SUM(AX317:BB317)</f>
        <v>0</v>
      </c>
      <c r="BD317" s="15">
        <f>BC317/BC319</f>
        <v>0</v>
      </c>
      <c r="BE317" s="13"/>
      <c r="BF317" s="38"/>
      <c r="BG317" s="42"/>
      <c r="BH317" s="42"/>
      <c r="BI317" s="42"/>
    </row>
    <row r="318" spans="1:61" ht="21.75" customHeight="1">
      <c r="A318" s="8" t="s">
        <v>65</v>
      </c>
      <c r="B318" s="32">
        <v>0</v>
      </c>
      <c r="C318" s="45">
        <v>0</v>
      </c>
      <c r="D318" s="32">
        <v>0</v>
      </c>
      <c r="E318" s="32">
        <v>0</v>
      </c>
      <c r="F318" s="32">
        <v>0</v>
      </c>
      <c r="G318" s="32">
        <v>0</v>
      </c>
      <c r="H318" s="32">
        <v>0</v>
      </c>
      <c r="I318" s="32">
        <v>0</v>
      </c>
      <c r="J318" s="32">
        <v>0</v>
      </c>
      <c r="K318" s="23">
        <f>SUM(B318:J318)</f>
        <v>0</v>
      </c>
      <c r="L318" s="35">
        <f>K318/(K317+K318+K316)</f>
        <v>0</v>
      </c>
      <c r="M318" s="35">
        <f>K318/(K319)</f>
        <v>0</v>
      </c>
      <c r="N318" s="23"/>
      <c r="O318" s="35"/>
      <c r="P318" s="13"/>
      <c r="Q318" s="14">
        <v>0</v>
      </c>
      <c r="R318" s="14">
        <v>0</v>
      </c>
      <c r="S318" s="14">
        <v>0</v>
      </c>
      <c r="T318" s="38">
        <f>SUM(Q318:S318)</f>
        <v>0</v>
      </c>
      <c r="U318" s="15">
        <f>T318/T319</f>
        <v>0</v>
      </c>
      <c r="V318" s="13"/>
      <c r="W318" s="14">
        <v>0</v>
      </c>
      <c r="X318" s="14">
        <v>0</v>
      </c>
      <c r="Y318" s="14">
        <v>0</v>
      </c>
      <c r="Z318" s="33">
        <v>0</v>
      </c>
      <c r="AA318" s="32">
        <v>0</v>
      </c>
      <c r="AB318" s="45">
        <v>0</v>
      </c>
      <c r="AC318" s="38">
        <f>SUM(W318:AB318)</f>
        <v>0</v>
      </c>
      <c r="AD318" s="15">
        <f>AC318/AC319</f>
        <v>0</v>
      </c>
      <c r="AE318" s="13"/>
      <c r="AF318" s="14">
        <v>0</v>
      </c>
      <c r="AG318" s="14">
        <v>0</v>
      </c>
      <c r="AH318" s="14">
        <v>0</v>
      </c>
      <c r="AI318" s="32">
        <v>0</v>
      </c>
      <c r="AJ318" s="14"/>
      <c r="AK318" s="14">
        <v>0</v>
      </c>
      <c r="AL318" s="14">
        <f>SUM(AF318:AK318)</f>
        <v>0</v>
      </c>
      <c r="AM318" s="15">
        <f>AL318/AL319</f>
        <v>0</v>
      </c>
      <c r="AN318" s="13"/>
      <c r="AO318" s="14">
        <v>0</v>
      </c>
      <c r="AP318" s="14">
        <v>0</v>
      </c>
      <c r="AQ318" s="14">
        <v>0</v>
      </c>
      <c r="AR318" s="14">
        <v>0</v>
      </c>
      <c r="AS318" s="14">
        <v>0</v>
      </c>
      <c r="AT318" s="45">
        <v>0</v>
      </c>
      <c r="AU318" s="38">
        <f>SUM(AO318:AT318)</f>
        <v>0</v>
      </c>
      <c r="AV318" s="15">
        <f>AU318/AU319</f>
        <v>0</v>
      </c>
      <c r="AW318" s="13"/>
      <c r="AX318" s="14">
        <v>0</v>
      </c>
      <c r="AY318" s="14">
        <v>0</v>
      </c>
      <c r="AZ318" s="14">
        <v>0</v>
      </c>
      <c r="BA318" s="32">
        <v>0</v>
      </c>
      <c r="BB318" s="14">
        <v>0</v>
      </c>
      <c r="BC318" s="38">
        <f>SUM(AX318:BB318)</f>
        <v>0</v>
      </c>
      <c r="BD318" s="15">
        <f>BC318/BC319</f>
        <v>0</v>
      </c>
      <c r="BE318" s="13"/>
      <c r="BF318" s="38"/>
      <c r="BG318" s="42"/>
      <c r="BH318" s="42"/>
      <c r="BI318" s="42"/>
    </row>
    <row r="319" spans="1:61" ht="21.75" customHeight="1">
      <c r="A319" s="39" t="s">
        <v>66</v>
      </c>
      <c r="B319" s="32">
        <f t="shared" ref="B319:J319" si="228">SUM(B316:B318)</f>
        <v>11</v>
      </c>
      <c r="C319" s="51">
        <f t="shared" si="228"/>
        <v>4</v>
      </c>
      <c r="D319" s="32">
        <f t="shared" si="228"/>
        <v>12</v>
      </c>
      <c r="E319" s="32">
        <f t="shared" si="228"/>
        <v>11</v>
      </c>
      <c r="F319" s="32">
        <f t="shared" si="228"/>
        <v>10</v>
      </c>
      <c r="G319" s="32">
        <f t="shared" si="228"/>
        <v>8</v>
      </c>
      <c r="H319" s="32">
        <f t="shared" si="228"/>
        <v>5</v>
      </c>
      <c r="I319" s="32">
        <f t="shared" si="228"/>
        <v>10</v>
      </c>
      <c r="J319" s="32">
        <f t="shared" si="228"/>
        <v>11</v>
      </c>
      <c r="K319" s="23">
        <f>SUM(B319:J319)</f>
        <v>82</v>
      </c>
      <c r="L319" s="35">
        <f>K319/(K318+K317+K316)</f>
        <v>1</v>
      </c>
      <c r="M319" s="35">
        <f>K319/(K316+K317+K318)</f>
        <v>1</v>
      </c>
      <c r="N319" s="37">
        <f>T319+AC319+AL319+AU319</f>
        <v>68</v>
      </c>
      <c r="O319" s="35">
        <f>N319/K319</f>
        <v>0.82926829268292679</v>
      </c>
      <c r="P319" s="13"/>
      <c r="Q319" s="38">
        <f>SUM(Q316:Q318)</f>
        <v>6</v>
      </c>
      <c r="R319" s="38">
        <f>SUM(R316:R318)</f>
        <v>5</v>
      </c>
      <c r="S319" s="38">
        <f>SUM(S316:S318)</f>
        <v>1</v>
      </c>
      <c r="T319" s="38">
        <f>SUM(Q319:S319)</f>
        <v>12</v>
      </c>
      <c r="U319" s="40">
        <f>T319/(T316+T317+T318)</f>
        <v>1</v>
      </c>
      <c r="V319" s="13"/>
      <c r="W319" s="38">
        <f t="shared" ref="W319:AB319" si="229">SUM(W316:W318)</f>
        <v>4</v>
      </c>
      <c r="X319" s="38">
        <f t="shared" si="229"/>
        <v>4</v>
      </c>
      <c r="Y319" s="38">
        <f t="shared" si="229"/>
        <v>5</v>
      </c>
      <c r="Z319" s="38">
        <f t="shared" si="229"/>
        <v>2</v>
      </c>
      <c r="AA319" s="38">
        <f t="shared" si="229"/>
        <v>5</v>
      </c>
      <c r="AB319" s="51">
        <f t="shared" si="229"/>
        <v>1</v>
      </c>
      <c r="AC319" s="38">
        <f>SUM(W319:AB319)</f>
        <v>21</v>
      </c>
      <c r="AD319" s="40">
        <f>AC319/(AC316+AC317+AC318)</f>
        <v>1</v>
      </c>
      <c r="AE319" s="13"/>
      <c r="AF319" s="38">
        <f t="shared" ref="AF319:AK319" si="230">SUM(AF316:AF318)</f>
        <v>4</v>
      </c>
      <c r="AG319" s="38">
        <f t="shared" si="230"/>
        <v>5</v>
      </c>
      <c r="AH319" s="38">
        <f t="shared" si="230"/>
        <v>3</v>
      </c>
      <c r="AI319" s="38">
        <f t="shared" si="230"/>
        <v>5</v>
      </c>
      <c r="AJ319" s="38">
        <f t="shared" si="230"/>
        <v>1</v>
      </c>
      <c r="AK319" s="38">
        <f t="shared" si="230"/>
        <v>9</v>
      </c>
      <c r="AL319" s="38">
        <f>SUM(AF319:AK319)</f>
        <v>27</v>
      </c>
      <c r="AM319" s="41">
        <f>AL319/(AL316+AL317+AL318)</f>
        <v>1</v>
      </c>
      <c r="AN319" s="13"/>
      <c r="AO319" s="38">
        <f t="shared" ref="AO319:AT319" si="231">SUM(AO316:AO318)</f>
        <v>0</v>
      </c>
      <c r="AP319" s="38">
        <f t="shared" si="231"/>
        <v>1</v>
      </c>
      <c r="AQ319" s="38">
        <f t="shared" si="231"/>
        <v>2</v>
      </c>
      <c r="AR319" s="38">
        <f t="shared" si="231"/>
        <v>0</v>
      </c>
      <c r="AS319" s="38">
        <f t="shared" si="231"/>
        <v>3</v>
      </c>
      <c r="AT319" s="51">
        <f t="shared" si="231"/>
        <v>2</v>
      </c>
      <c r="AU319" s="38">
        <f>SUM(AO319:AT319)</f>
        <v>8</v>
      </c>
      <c r="AV319" s="40">
        <f>AU319/(AU316+AU317+AU318)</f>
        <v>1</v>
      </c>
      <c r="AW319" s="13"/>
      <c r="AX319" s="38">
        <f>SUM(AX316:AX318)</f>
        <v>0</v>
      </c>
      <c r="AY319" s="38">
        <f>SUM(AY316:AY318)</f>
        <v>1</v>
      </c>
      <c r="AZ319" s="38">
        <f>SUM(AZ316:AZ318)</f>
        <v>0</v>
      </c>
      <c r="BA319" s="38">
        <f>SUM(BA316:BA318)</f>
        <v>1</v>
      </c>
      <c r="BB319" s="38">
        <f>SUM(BB316:BB318)</f>
        <v>1</v>
      </c>
      <c r="BC319" s="38">
        <f>SUM(AX319:BB319)</f>
        <v>3</v>
      </c>
      <c r="BD319" s="40">
        <f>BC319/(BC316+BC317+BC318)</f>
        <v>1</v>
      </c>
      <c r="BE319" s="13"/>
      <c r="BF319" s="38"/>
      <c r="BG319" s="42"/>
      <c r="BH319" s="42"/>
      <c r="BI319" s="42"/>
    </row>
    <row r="320" spans="1:61" ht="44.25" customHeight="1">
      <c r="A320" s="43" t="s">
        <v>165</v>
      </c>
      <c r="B320" s="181" t="s">
        <v>166</v>
      </c>
      <c r="C320" s="182"/>
      <c r="D320" s="182"/>
      <c r="E320" s="182"/>
      <c r="F320" s="182"/>
      <c r="G320" s="22"/>
      <c r="H320" s="22"/>
      <c r="I320" s="22"/>
      <c r="J320" s="22"/>
      <c r="K320" s="21"/>
      <c r="L320" s="24"/>
      <c r="M320" s="24"/>
      <c r="N320" s="26"/>
      <c r="O320" s="24"/>
      <c r="P320" s="27"/>
      <c r="Q320" s="28"/>
      <c r="R320" s="28"/>
      <c r="S320" s="28"/>
      <c r="T320" s="26"/>
      <c r="U320" s="24"/>
      <c r="V320" s="27"/>
      <c r="W320" s="28"/>
      <c r="X320" s="28"/>
      <c r="Y320" s="28"/>
      <c r="Z320" s="28"/>
      <c r="AA320" s="28"/>
      <c r="AB320" s="28"/>
      <c r="AC320" s="26"/>
      <c r="AD320" s="24"/>
      <c r="AE320" s="27"/>
      <c r="AF320" s="28"/>
      <c r="AG320" s="28"/>
      <c r="AH320" s="28"/>
      <c r="AI320" s="28"/>
      <c r="AJ320" s="28"/>
      <c r="AK320" s="28"/>
      <c r="AL320" s="26"/>
      <c r="AM320" s="29"/>
      <c r="AN320" s="27"/>
      <c r="AO320" s="26"/>
      <c r="AP320" s="26"/>
      <c r="AQ320" s="26"/>
      <c r="AR320" s="26"/>
      <c r="AS320" s="26"/>
      <c r="AT320" s="26"/>
      <c r="AU320" s="26"/>
      <c r="AV320" s="24"/>
      <c r="AW320" s="27"/>
      <c r="AX320" s="26"/>
      <c r="AY320" s="26"/>
      <c r="AZ320" s="26"/>
      <c r="BA320" s="26"/>
      <c r="BB320" s="26"/>
      <c r="BC320" s="26"/>
      <c r="BD320" s="24"/>
      <c r="BE320" s="27"/>
      <c r="BF320" s="26"/>
      <c r="BG320" s="22"/>
      <c r="BH320" s="21"/>
      <c r="BI320" s="22"/>
    </row>
    <row r="321" spans="1:61" ht="32.25" customHeight="1">
      <c r="A321" s="10"/>
      <c r="B321" s="30" t="s">
        <v>0</v>
      </c>
      <c r="C321" s="30" t="s">
        <v>1</v>
      </c>
      <c r="D321" s="30" t="s">
        <v>2</v>
      </c>
      <c r="E321" s="30" t="s">
        <v>3</v>
      </c>
      <c r="F321" s="30" t="s">
        <v>4</v>
      </c>
      <c r="G321" s="30" t="s">
        <v>5</v>
      </c>
      <c r="H321" s="30" t="s">
        <v>68</v>
      </c>
      <c r="I321" s="30" t="s">
        <v>7</v>
      </c>
      <c r="J321" s="30" t="s">
        <v>8</v>
      </c>
      <c r="K321" s="10" t="s">
        <v>9</v>
      </c>
      <c r="L321" s="10" t="s">
        <v>56</v>
      </c>
      <c r="M321" s="20"/>
      <c r="N321" s="12"/>
      <c r="O321" s="20"/>
      <c r="P321" s="27"/>
      <c r="Q321" s="30" t="s">
        <v>15</v>
      </c>
      <c r="R321" s="30" t="s">
        <v>16</v>
      </c>
      <c r="S321" s="30" t="s">
        <v>28</v>
      </c>
      <c r="T321" s="20"/>
      <c r="U321" s="11"/>
      <c r="V321" s="27"/>
      <c r="W321" s="30" t="s">
        <v>15</v>
      </c>
      <c r="X321" s="30" t="s">
        <v>20</v>
      </c>
      <c r="Y321" s="30" t="s">
        <v>21</v>
      </c>
      <c r="Z321" s="30" t="s">
        <v>22</v>
      </c>
      <c r="AA321" s="30" t="s">
        <v>23</v>
      </c>
      <c r="AB321" s="30" t="s">
        <v>24</v>
      </c>
      <c r="AC321" s="20"/>
      <c r="AD321" s="11"/>
      <c r="AE321" s="27"/>
      <c r="AF321" s="30" t="s">
        <v>20</v>
      </c>
      <c r="AG321" s="30" t="s">
        <v>21</v>
      </c>
      <c r="AH321" s="30" t="s">
        <v>22</v>
      </c>
      <c r="AI321" s="30" t="s">
        <v>23</v>
      </c>
      <c r="AJ321" s="30" t="s">
        <v>24</v>
      </c>
      <c r="AK321" s="30" t="s">
        <v>28</v>
      </c>
      <c r="AL321" s="20"/>
      <c r="AM321" s="44"/>
      <c r="AN321" s="27"/>
      <c r="AO321" s="30" t="s">
        <v>15</v>
      </c>
      <c r="AP321" s="30" t="s">
        <v>20</v>
      </c>
      <c r="AQ321" s="30" t="s">
        <v>21</v>
      </c>
      <c r="AR321" s="30" t="s">
        <v>16</v>
      </c>
      <c r="AS321" s="30" t="s">
        <v>22</v>
      </c>
      <c r="AT321" s="30" t="s">
        <v>24</v>
      </c>
      <c r="AU321" s="20"/>
      <c r="AV321" s="11"/>
      <c r="AW321" s="27"/>
      <c r="AX321" s="30" t="s">
        <v>15</v>
      </c>
      <c r="AY321" s="30" t="s">
        <v>20</v>
      </c>
      <c r="AZ321" s="30" t="s">
        <v>22</v>
      </c>
      <c r="BA321" s="30" t="s">
        <v>23</v>
      </c>
      <c r="BB321" s="30" t="s">
        <v>28</v>
      </c>
      <c r="BC321" s="20"/>
      <c r="BD321" s="11"/>
      <c r="BE321" s="27"/>
      <c r="BF321" s="9" t="s">
        <v>38</v>
      </c>
      <c r="BG321" s="9" t="s">
        <v>39</v>
      </c>
      <c r="BH321" s="9" t="s">
        <v>40</v>
      </c>
      <c r="BI321" s="9" t="s">
        <v>41</v>
      </c>
    </row>
    <row r="322" spans="1:61" ht="32.25" customHeight="1">
      <c r="A322" s="10" t="s">
        <v>167</v>
      </c>
      <c r="B322" s="9" t="s">
        <v>59</v>
      </c>
      <c r="C322" s="9">
        <v>1</v>
      </c>
      <c r="D322" s="9">
        <v>8</v>
      </c>
      <c r="E322" s="9">
        <v>8</v>
      </c>
      <c r="F322" s="9">
        <v>7</v>
      </c>
      <c r="G322" s="32" t="s">
        <v>59</v>
      </c>
      <c r="H322" s="9">
        <v>3</v>
      </c>
      <c r="I322" s="9">
        <v>7</v>
      </c>
      <c r="J322" s="33">
        <v>10</v>
      </c>
      <c r="K322" s="10">
        <f t="shared" ref="K322:K329" si="232">SUM(B322:J322)</f>
        <v>44</v>
      </c>
      <c r="L322" s="11">
        <f>K322/K326</f>
        <v>0.72131147540983609</v>
      </c>
      <c r="M322" s="35">
        <f>K322/K329</f>
        <v>0.69841269841269837</v>
      </c>
      <c r="N322" s="12"/>
      <c r="O322" s="11"/>
      <c r="P322" s="13"/>
      <c r="Q322" s="33">
        <v>4</v>
      </c>
      <c r="R322" s="33">
        <v>3</v>
      </c>
      <c r="S322" s="33">
        <v>1</v>
      </c>
      <c r="T322" s="14">
        <f>SUM(Q322:S322)</f>
        <v>8</v>
      </c>
      <c r="U322" s="15">
        <f>T322/T326</f>
        <v>0.66666666666666663</v>
      </c>
      <c r="V322" s="13"/>
      <c r="W322" s="33">
        <v>3</v>
      </c>
      <c r="X322" s="33">
        <v>3</v>
      </c>
      <c r="Y322" s="33">
        <v>3</v>
      </c>
      <c r="Z322" s="33" t="s">
        <v>82</v>
      </c>
      <c r="AA322" s="33">
        <v>2</v>
      </c>
      <c r="AB322" s="33">
        <v>1</v>
      </c>
      <c r="AC322" s="14">
        <f>SUM(W322:AB322)</f>
        <v>12</v>
      </c>
      <c r="AD322" s="15">
        <f>AC322/AC326</f>
        <v>0.63157894736842102</v>
      </c>
      <c r="AE322" s="13"/>
      <c r="AF322" s="33">
        <v>3</v>
      </c>
      <c r="AG322" s="33">
        <v>4</v>
      </c>
      <c r="AH322" s="9" t="s">
        <v>82</v>
      </c>
      <c r="AI322" s="33">
        <v>5</v>
      </c>
      <c r="AJ322" s="33">
        <v>0</v>
      </c>
      <c r="AK322" s="33">
        <v>9</v>
      </c>
      <c r="AL322" s="14">
        <f>SUM(AF322:AK322)</f>
        <v>21</v>
      </c>
      <c r="AM322" s="15">
        <f>AL322/AL326</f>
        <v>0.875</v>
      </c>
      <c r="AN322" s="13"/>
      <c r="AO322" s="14">
        <v>0</v>
      </c>
      <c r="AP322" s="14">
        <v>0</v>
      </c>
      <c r="AQ322" s="33">
        <v>1</v>
      </c>
      <c r="AR322" s="33">
        <v>0</v>
      </c>
      <c r="AS322" s="9" t="s">
        <v>82</v>
      </c>
      <c r="AT322" s="33">
        <v>0</v>
      </c>
      <c r="AU322" s="14">
        <f>SUM(AO322:AT322)</f>
        <v>1</v>
      </c>
      <c r="AV322" s="15">
        <f>AU322/AU326</f>
        <v>0.25</v>
      </c>
      <c r="AW322" s="13"/>
      <c r="AX322" s="14">
        <v>0</v>
      </c>
      <c r="AY322" s="14">
        <v>1</v>
      </c>
      <c r="AZ322" s="9" t="s">
        <v>82</v>
      </c>
      <c r="BA322" s="33">
        <v>1</v>
      </c>
      <c r="BB322" s="33">
        <v>0</v>
      </c>
      <c r="BC322" s="14">
        <f>SUM(AX322:BB322)</f>
        <v>2</v>
      </c>
      <c r="BD322" s="15">
        <f>BC322/BC326</f>
        <v>1</v>
      </c>
      <c r="BE322" s="13"/>
      <c r="BF322" s="14">
        <v>3</v>
      </c>
      <c r="BG322" s="15">
        <f>BF322/BF326</f>
        <v>0.375</v>
      </c>
      <c r="BH322" s="16"/>
      <c r="BI322" s="15"/>
    </row>
    <row r="323" spans="1:61" ht="20.25" customHeight="1">
      <c r="A323" s="10" t="s">
        <v>168</v>
      </c>
      <c r="B323" s="9" t="s">
        <v>59</v>
      </c>
      <c r="C323" s="9">
        <v>1</v>
      </c>
      <c r="D323" s="9">
        <v>0</v>
      </c>
      <c r="E323" s="9">
        <v>1</v>
      </c>
      <c r="F323" s="9">
        <v>1</v>
      </c>
      <c r="G323" s="32" t="s">
        <v>59</v>
      </c>
      <c r="H323" s="9">
        <v>0</v>
      </c>
      <c r="I323" s="9">
        <v>1</v>
      </c>
      <c r="J323" s="33">
        <v>0</v>
      </c>
      <c r="K323" s="10">
        <f t="shared" si="232"/>
        <v>4</v>
      </c>
      <c r="L323" s="11">
        <f>K323/K326</f>
        <v>6.5573770491803282E-2</v>
      </c>
      <c r="M323" s="35">
        <f>K323/K329</f>
        <v>6.3492063492063489E-2</v>
      </c>
      <c r="N323" s="12"/>
      <c r="O323" s="11"/>
      <c r="P323" s="13"/>
      <c r="Q323" s="33">
        <v>0</v>
      </c>
      <c r="R323" s="33">
        <v>0</v>
      </c>
      <c r="S323" s="33">
        <v>0</v>
      </c>
      <c r="T323" s="14">
        <f>SUM(Q323:S323)</f>
        <v>0</v>
      </c>
      <c r="U323" s="15">
        <f>T323/T326</f>
        <v>0</v>
      </c>
      <c r="V323" s="13"/>
      <c r="W323" s="33">
        <v>1</v>
      </c>
      <c r="X323" s="33">
        <v>0</v>
      </c>
      <c r="Y323" s="33">
        <v>0</v>
      </c>
      <c r="Z323" s="33" t="s">
        <v>82</v>
      </c>
      <c r="AA323" s="33">
        <v>1</v>
      </c>
      <c r="AB323" s="33">
        <v>0</v>
      </c>
      <c r="AC323" s="14">
        <f>SUM(W323:AB323)</f>
        <v>2</v>
      </c>
      <c r="AD323" s="15">
        <f>AC323/AC326</f>
        <v>0.10526315789473684</v>
      </c>
      <c r="AE323" s="13"/>
      <c r="AF323" s="33">
        <v>1</v>
      </c>
      <c r="AG323" s="33">
        <v>0</v>
      </c>
      <c r="AH323" s="9" t="s">
        <v>82</v>
      </c>
      <c r="AI323" s="33">
        <v>0</v>
      </c>
      <c r="AJ323" s="33">
        <v>0</v>
      </c>
      <c r="AK323" s="33">
        <v>0</v>
      </c>
      <c r="AL323" s="14">
        <f>SUM(AF323:AK323)</f>
        <v>1</v>
      </c>
      <c r="AM323" s="15">
        <f>AL323/AL326</f>
        <v>4.1666666666666664E-2</v>
      </c>
      <c r="AN323" s="13"/>
      <c r="AO323" s="14">
        <v>0</v>
      </c>
      <c r="AP323" s="14">
        <v>0</v>
      </c>
      <c r="AQ323" s="33">
        <v>0</v>
      </c>
      <c r="AR323" s="33">
        <v>0</v>
      </c>
      <c r="AS323" s="9" t="s">
        <v>82</v>
      </c>
      <c r="AT323" s="33">
        <v>1</v>
      </c>
      <c r="AU323" s="14">
        <f>SUM(AO323:AT323)</f>
        <v>1</v>
      </c>
      <c r="AV323" s="15">
        <f>AU323/AU326</f>
        <v>0.25</v>
      </c>
      <c r="AW323" s="13"/>
      <c r="AX323" s="14">
        <v>0</v>
      </c>
      <c r="AY323" s="14">
        <v>0</v>
      </c>
      <c r="AZ323" s="9" t="s">
        <v>82</v>
      </c>
      <c r="BA323" s="33">
        <v>0</v>
      </c>
      <c r="BB323" s="33">
        <v>0</v>
      </c>
      <c r="BC323" s="14">
        <f>SUM(AX323:BB323)</f>
        <v>0</v>
      </c>
      <c r="BD323" s="15">
        <f>BC323/BC326</f>
        <v>0</v>
      </c>
      <c r="BE323" s="13"/>
      <c r="BF323" s="14">
        <v>3</v>
      </c>
      <c r="BG323" s="15">
        <f>BF323/BF326</f>
        <v>0.375</v>
      </c>
      <c r="BH323" s="16"/>
      <c r="BI323" s="15"/>
    </row>
    <row r="324" spans="1:61" ht="20.25" customHeight="1">
      <c r="A324" s="10" t="s">
        <v>84</v>
      </c>
      <c r="B324" s="9" t="s">
        <v>59</v>
      </c>
      <c r="C324" s="9">
        <v>2</v>
      </c>
      <c r="D324" s="9">
        <v>3</v>
      </c>
      <c r="E324" s="9">
        <v>1</v>
      </c>
      <c r="F324" s="9">
        <v>1</v>
      </c>
      <c r="G324" s="32" t="s">
        <v>59</v>
      </c>
      <c r="H324" s="9">
        <v>2</v>
      </c>
      <c r="I324" s="9">
        <v>2</v>
      </c>
      <c r="J324" s="33">
        <v>0</v>
      </c>
      <c r="K324" s="10">
        <f t="shared" si="232"/>
        <v>11</v>
      </c>
      <c r="L324" s="11">
        <f>K324/K326</f>
        <v>0.18032786885245902</v>
      </c>
      <c r="M324" s="35">
        <f>K324/K329</f>
        <v>0.17460317460317459</v>
      </c>
      <c r="N324" s="12"/>
      <c r="O324" s="11"/>
      <c r="P324" s="13"/>
      <c r="Q324" s="33">
        <v>2</v>
      </c>
      <c r="R324" s="33">
        <v>2</v>
      </c>
      <c r="S324" s="33">
        <v>0</v>
      </c>
      <c r="T324" s="14">
        <f>SUM(Q324:S324)</f>
        <v>4</v>
      </c>
      <c r="U324" s="15">
        <f>T324/T326</f>
        <v>0.33333333333333331</v>
      </c>
      <c r="V324" s="13"/>
      <c r="W324" s="33">
        <v>0</v>
      </c>
      <c r="X324" s="33">
        <v>1</v>
      </c>
      <c r="Y324" s="33">
        <v>1</v>
      </c>
      <c r="Z324" s="33" t="s">
        <v>82</v>
      </c>
      <c r="AA324" s="33">
        <v>1</v>
      </c>
      <c r="AB324" s="33">
        <v>0</v>
      </c>
      <c r="AC324" s="14">
        <f>SUM(W324:AB324)</f>
        <v>3</v>
      </c>
      <c r="AD324" s="15">
        <f>AC324/AC326</f>
        <v>0.15789473684210525</v>
      </c>
      <c r="AE324" s="13"/>
      <c r="AF324" s="33">
        <v>0</v>
      </c>
      <c r="AG324" s="33">
        <v>1</v>
      </c>
      <c r="AH324" s="9" t="s">
        <v>82</v>
      </c>
      <c r="AI324" s="33">
        <v>0</v>
      </c>
      <c r="AJ324" s="33">
        <v>1</v>
      </c>
      <c r="AK324" s="33">
        <v>0</v>
      </c>
      <c r="AL324" s="14">
        <f>SUM(AF324:AK324)</f>
        <v>2</v>
      </c>
      <c r="AM324" s="15">
        <f>AL324/AL326</f>
        <v>8.3333333333333329E-2</v>
      </c>
      <c r="AN324" s="13"/>
      <c r="AO324" s="14">
        <v>0</v>
      </c>
      <c r="AP324" s="14">
        <v>0</v>
      </c>
      <c r="AQ324" s="33">
        <v>1</v>
      </c>
      <c r="AR324" s="33">
        <v>0</v>
      </c>
      <c r="AS324" s="9" t="s">
        <v>82</v>
      </c>
      <c r="AT324" s="33">
        <v>1</v>
      </c>
      <c r="AU324" s="14">
        <f>SUM(AO324:AT324)</f>
        <v>2</v>
      </c>
      <c r="AV324" s="15">
        <f>AU324/AU326</f>
        <v>0.5</v>
      </c>
      <c r="AW324" s="13"/>
      <c r="AX324" s="14">
        <v>0</v>
      </c>
      <c r="AY324" s="14">
        <v>0</v>
      </c>
      <c r="AZ324" s="9" t="s">
        <v>82</v>
      </c>
      <c r="BA324" s="33">
        <v>0</v>
      </c>
      <c r="BB324" s="33">
        <v>0</v>
      </c>
      <c r="BC324" s="14">
        <f>SUM(AX324:BB324)</f>
        <v>0</v>
      </c>
      <c r="BD324" s="15">
        <f>BC324/BC326</f>
        <v>0</v>
      </c>
      <c r="BE324" s="13"/>
      <c r="BF324" s="14">
        <v>2</v>
      </c>
      <c r="BG324" s="15">
        <f>BF324/BF326</f>
        <v>0.25</v>
      </c>
      <c r="BH324" s="16"/>
      <c r="BI324" s="15"/>
    </row>
    <row r="325" spans="1:61" ht="20.25" customHeight="1">
      <c r="A325" s="10" t="s">
        <v>85</v>
      </c>
      <c r="B325" s="9" t="s">
        <v>59</v>
      </c>
      <c r="C325" s="9">
        <v>0</v>
      </c>
      <c r="D325" s="9">
        <v>1</v>
      </c>
      <c r="E325" s="9">
        <v>1</v>
      </c>
      <c r="F325" s="9">
        <v>0</v>
      </c>
      <c r="G325" s="32" t="s">
        <v>59</v>
      </c>
      <c r="H325" s="9">
        <v>0</v>
      </c>
      <c r="I325" s="9">
        <v>0</v>
      </c>
      <c r="J325" s="33">
        <v>0</v>
      </c>
      <c r="K325" s="10">
        <f t="shared" si="232"/>
        <v>2</v>
      </c>
      <c r="L325" s="11">
        <f>K325/K326</f>
        <v>3.2786885245901641E-2</v>
      </c>
      <c r="M325" s="35">
        <f>K325/K329</f>
        <v>3.1746031746031744E-2</v>
      </c>
      <c r="N325" s="12"/>
      <c r="O325" s="11"/>
      <c r="P325" s="13"/>
      <c r="Q325" s="33">
        <v>0</v>
      </c>
      <c r="R325" s="33">
        <v>0</v>
      </c>
      <c r="S325" s="33">
        <v>0</v>
      </c>
      <c r="T325" s="14">
        <f>SUM(Q325:S325)</f>
        <v>0</v>
      </c>
      <c r="U325" s="15">
        <f>T325/T326</f>
        <v>0</v>
      </c>
      <c r="V325" s="13"/>
      <c r="W325" s="33">
        <v>0</v>
      </c>
      <c r="X325" s="33">
        <v>0</v>
      </c>
      <c r="Y325" s="33">
        <v>1</v>
      </c>
      <c r="Z325" s="33" t="s">
        <v>82</v>
      </c>
      <c r="AA325" s="33">
        <v>1</v>
      </c>
      <c r="AB325" s="33">
        <v>0</v>
      </c>
      <c r="AC325" s="14">
        <f>SUM(W325:AB325)</f>
        <v>2</v>
      </c>
      <c r="AD325" s="15">
        <f>AC325/AC326</f>
        <v>0.10526315789473684</v>
      </c>
      <c r="AE325" s="13"/>
      <c r="AF325" s="33">
        <v>0</v>
      </c>
      <c r="AG325" s="33">
        <v>0</v>
      </c>
      <c r="AH325" s="9" t="s">
        <v>82</v>
      </c>
      <c r="AI325" s="33">
        <v>0</v>
      </c>
      <c r="AJ325" s="33">
        <v>0</v>
      </c>
      <c r="AK325" s="33">
        <v>0</v>
      </c>
      <c r="AL325" s="14">
        <f>SUM(AF325:AK325)</f>
        <v>0</v>
      </c>
      <c r="AM325" s="15">
        <f>AL325/AL326</f>
        <v>0</v>
      </c>
      <c r="AN325" s="13"/>
      <c r="AO325" s="14">
        <v>0</v>
      </c>
      <c r="AP325" s="14">
        <v>0</v>
      </c>
      <c r="AQ325" s="33">
        <v>0</v>
      </c>
      <c r="AR325" s="33">
        <v>0</v>
      </c>
      <c r="AS325" s="9" t="s">
        <v>82</v>
      </c>
      <c r="AT325" s="33">
        <v>0</v>
      </c>
      <c r="AU325" s="14">
        <f>SUM(AO325:AT325)</f>
        <v>0</v>
      </c>
      <c r="AV325" s="15">
        <f>AU325/AU326</f>
        <v>0</v>
      </c>
      <c r="AW325" s="13"/>
      <c r="AX325" s="14">
        <v>0</v>
      </c>
      <c r="AY325" s="14">
        <v>0</v>
      </c>
      <c r="AZ325" s="9" t="s">
        <v>82</v>
      </c>
      <c r="BA325" s="33">
        <v>0</v>
      </c>
      <c r="BB325" s="33">
        <v>0</v>
      </c>
      <c r="BC325" s="14">
        <f>SUM(AX325:BB325)</f>
        <v>0</v>
      </c>
      <c r="BD325" s="15">
        <f>BC325/BC326</f>
        <v>0</v>
      </c>
      <c r="BE325" s="13"/>
      <c r="BF325" s="14">
        <v>0</v>
      </c>
      <c r="BG325" s="15">
        <f>BF325/BF326</f>
        <v>0</v>
      </c>
      <c r="BH325" s="16"/>
      <c r="BI325" s="15"/>
    </row>
    <row r="326" spans="1:61" ht="21.75" customHeight="1">
      <c r="A326" s="10" t="s">
        <v>9</v>
      </c>
      <c r="B326" s="9" t="s">
        <v>59</v>
      </c>
      <c r="C326" s="9">
        <f>SUM(C322:C325)</f>
        <v>4</v>
      </c>
      <c r="D326" s="9">
        <f>SUM(D322:D325)</f>
        <v>12</v>
      </c>
      <c r="E326" s="9">
        <f>SUM(E322:E325)</f>
        <v>11</v>
      </c>
      <c r="F326" s="9">
        <f>SUM(F322:F325)</f>
        <v>9</v>
      </c>
      <c r="G326" s="32" t="s">
        <v>59</v>
      </c>
      <c r="H326" s="9">
        <f>SUM(H322:H325)</f>
        <v>5</v>
      </c>
      <c r="I326" s="9">
        <f>SUM(I322:I325)</f>
        <v>10</v>
      </c>
      <c r="J326" s="9">
        <f>SUM(J322:J325)</f>
        <v>10</v>
      </c>
      <c r="K326" s="10">
        <f t="shared" si="232"/>
        <v>61</v>
      </c>
      <c r="L326" s="11">
        <f>SUM(L322:L325)</f>
        <v>1</v>
      </c>
      <c r="M326" s="35">
        <f>K326/K329</f>
        <v>0.96825396825396826</v>
      </c>
      <c r="N326" s="37">
        <f>T326+AC326+AL326+AU326</f>
        <v>59</v>
      </c>
      <c r="O326" s="35">
        <f>N326/K326</f>
        <v>0.96721311475409832</v>
      </c>
      <c r="P326" s="13"/>
      <c r="Q326" s="47">
        <f>SUM(Q320:Q325)</f>
        <v>6</v>
      </c>
      <c r="R326" s="14">
        <f>SUM(R320:R325)</f>
        <v>5</v>
      </c>
      <c r="S326" s="14">
        <f>SUM(S320:S325)</f>
        <v>1</v>
      </c>
      <c r="T326" s="14">
        <f>SUM(T320:T325)</f>
        <v>12</v>
      </c>
      <c r="U326" s="15">
        <f>SUM(U322:U325)</f>
        <v>1</v>
      </c>
      <c r="V326" s="13"/>
      <c r="W326" s="47">
        <f>SUM(W320:W325)</f>
        <v>4</v>
      </c>
      <c r="X326" s="47">
        <f>SUM(X320:X325)</f>
        <v>4</v>
      </c>
      <c r="Y326" s="47">
        <f>SUM(Y320:Y325)</f>
        <v>5</v>
      </c>
      <c r="Z326" s="112" t="s">
        <v>82</v>
      </c>
      <c r="AA326" s="47">
        <f>SUM(AA320:AA325)</f>
        <v>5</v>
      </c>
      <c r="AB326" s="47">
        <f>SUM(AB320:AB325)</f>
        <v>1</v>
      </c>
      <c r="AC326" s="45">
        <f>SUM(AC320:AC325)</f>
        <v>19</v>
      </c>
      <c r="AD326" s="15">
        <f>SUM(AD322:AD325)</f>
        <v>0.99999999999999989</v>
      </c>
      <c r="AE326" s="13"/>
      <c r="AF326" s="47">
        <f>SUM(AF320:AF325)</f>
        <v>4</v>
      </c>
      <c r="AG326" s="47">
        <f>SUM(AG320:AG325)</f>
        <v>5</v>
      </c>
      <c r="AH326" s="113" t="s">
        <v>82</v>
      </c>
      <c r="AI326" s="47">
        <f>SUM(AI320:AI325)</f>
        <v>5</v>
      </c>
      <c r="AJ326" s="47">
        <f>SUM(AJ320:AJ325)</f>
        <v>1</v>
      </c>
      <c r="AK326" s="47">
        <f>SUM(AK320:AK325)</f>
        <v>9</v>
      </c>
      <c r="AL326" s="45">
        <f>SUM(AL320:AL325)</f>
        <v>24</v>
      </c>
      <c r="AM326" s="48">
        <f>SUM(AM322:AM325)</f>
        <v>1</v>
      </c>
      <c r="AN326" s="13"/>
      <c r="AO326" s="47">
        <f>SUM(AO320:AO325)</f>
        <v>0</v>
      </c>
      <c r="AP326" s="47">
        <f>SUM(AP320:AP325)</f>
        <v>0</v>
      </c>
      <c r="AQ326" s="47">
        <f>SUM(AQ320:AQ325)</f>
        <v>2</v>
      </c>
      <c r="AR326" s="47">
        <v>0</v>
      </c>
      <c r="AS326" s="113" t="s">
        <v>82</v>
      </c>
      <c r="AT326" s="47">
        <f>SUM(AT320:AT325)</f>
        <v>2</v>
      </c>
      <c r="AU326" s="45">
        <f>SUM(AU320:AU325)</f>
        <v>4</v>
      </c>
      <c r="AV326" s="15">
        <f>SUM(AV322:AV325)</f>
        <v>1</v>
      </c>
      <c r="AW326" s="13"/>
      <c r="AX326" s="45">
        <f>SUM(AX320:AX325)</f>
        <v>0</v>
      </c>
      <c r="AY326" s="45">
        <f>SUM(AY320:AY325)</f>
        <v>1</v>
      </c>
      <c r="AZ326" s="55" t="s">
        <v>82</v>
      </c>
      <c r="BA326" s="45">
        <f>SUM(BA320:BA325)</f>
        <v>1</v>
      </c>
      <c r="BB326" s="45">
        <f>SUM(BB320:BB325)</f>
        <v>0</v>
      </c>
      <c r="BC326" s="45">
        <f>SUM(BC320:BC325)</f>
        <v>2</v>
      </c>
      <c r="BD326" s="15">
        <f>SUM(BD322:BD325)</f>
        <v>1</v>
      </c>
      <c r="BE326" s="13"/>
      <c r="BF326" s="14">
        <f>SUM(BF322:BF325)</f>
        <v>8</v>
      </c>
      <c r="BG326" s="15">
        <f>SUM(BG322:BG325)</f>
        <v>1</v>
      </c>
      <c r="BH326" s="16"/>
      <c r="BI326" s="15"/>
    </row>
    <row r="327" spans="1:61" ht="21.75" customHeight="1">
      <c r="A327" s="8" t="s">
        <v>64</v>
      </c>
      <c r="B327" s="9" t="s">
        <v>59</v>
      </c>
      <c r="C327" s="14">
        <v>0</v>
      </c>
      <c r="D327" s="32">
        <v>0</v>
      </c>
      <c r="E327" s="32">
        <v>0</v>
      </c>
      <c r="F327" s="32">
        <v>1</v>
      </c>
      <c r="G327" s="32" t="s">
        <v>59</v>
      </c>
      <c r="H327" s="32">
        <v>0</v>
      </c>
      <c r="I327" s="32">
        <v>0</v>
      </c>
      <c r="J327" s="32">
        <v>1</v>
      </c>
      <c r="K327" s="23">
        <f t="shared" si="232"/>
        <v>2</v>
      </c>
      <c r="L327" s="35">
        <f>K327/(K326+K327+K328)</f>
        <v>3.1746031746031744E-2</v>
      </c>
      <c r="M327" s="35">
        <f>K327/(K329)</f>
        <v>3.1746031746031744E-2</v>
      </c>
      <c r="N327" s="37"/>
      <c r="O327" s="35"/>
      <c r="P327" s="13"/>
      <c r="Q327" s="52">
        <v>0</v>
      </c>
      <c r="R327" s="14">
        <v>0</v>
      </c>
      <c r="S327" s="14">
        <v>0</v>
      </c>
      <c r="T327" s="38">
        <f>SUM(Q327:S327)</f>
        <v>0</v>
      </c>
      <c r="U327" s="15">
        <f>T327/T329</f>
        <v>0</v>
      </c>
      <c r="V327" s="13"/>
      <c r="W327" s="52">
        <v>0</v>
      </c>
      <c r="X327" s="52">
        <v>0</v>
      </c>
      <c r="Y327" s="52">
        <v>0</v>
      </c>
      <c r="Z327" s="114" t="s">
        <v>82</v>
      </c>
      <c r="AA327" s="52">
        <v>0</v>
      </c>
      <c r="AB327" s="52">
        <v>0</v>
      </c>
      <c r="AC327" s="51">
        <f>SUM(W327:AB327)</f>
        <v>0</v>
      </c>
      <c r="AD327" s="15">
        <f>AC327/AC329</f>
        <v>0</v>
      </c>
      <c r="AE327" s="13"/>
      <c r="AF327" s="52">
        <v>0</v>
      </c>
      <c r="AG327" s="52">
        <v>0</v>
      </c>
      <c r="AH327" s="103" t="s">
        <v>82</v>
      </c>
      <c r="AI327" s="118">
        <v>0</v>
      </c>
      <c r="AJ327" s="52">
        <v>0</v>
      </c>
      <c r="AK327" s="52">
        <v>0</v>
      </c>
      <c r="AL327" s="49">
        <f>SUM(AF327:AK327)</f>
        <v>0</v>
      </c>
      <c r="AM327" s="15">
        <f>AL327/AL329</f>
        <v>0</v>
      </c>
      <c r="AN327" s="13"/>
      <c r="AO327" s="52">
        <v>0</v>
      </c>
      <c r="AP327" s="52">
        <v>1</v>
      </c>
      <c r="AQ327" s="52">
        <v>0</v>
      </c>
      <c r="AR327" s="52">
        <v>0</v>
      </c>
      <c r="AS327" s="103" t="s">
        <v>82</v>
      </c>
      <c r="AT327" s="52">
        <v>0</v>
      </c>
      <c r="AU327" s="51">
        <f>SUM(AO327:AT327)</f>
        <v>1</v>
      </c>
      <c r="AV327" s="15">
        <f>AU327/AU329</f>
        <v>0.2</v>
      </c>
      <c r="AW327" s="13"/>
      <c r="AX327" s="49">
        <v>0</v>
      </c>
      <c r="AY327" s="49">
        <v>0</v>
      </c>
      <c r="AZ327" s="58" t="s">
        <v>82</v>
      </c>
      <c r="BA327" s="49">
        <v>0</v>
      </c>
      <c r="BB327" s="49">
        <v>1</v>
      </c>
      <c r="BC327" s="51">
        <f>SUM(AX327:BB327)</f>
        <v>1</v>
      </c>
      <c r="BD327" s="15">
        <f>BC327/BC329</f>
        <v>0.33333333333333331</v>
      </c>
      <c r="BE327" s="13"/>
      <c r="BF327" s="38"/>
      <c r="BG327" s="42"/>
      <c r="BH327" s="42"/>
      <c r="BI327" s="42"/>
    </row>
    <row r="328" spans="1:61" ht="21.75" customHeight="1">
      <c r="A328" s="8" t="s">
        <v>65</v>
      </c>
      <c r="B328" s="9" t="s">
        <v>59</v>
      </c>
      <c r="C328" s="45">
        <v>0</v>
      </c>
      <c r="D328" s="32">
        <v>0</v>
      </c>
      <c r="E328" s="32">
        <v>0</v>
      </c>
      <c r="F328" s="32">
        <v>0</v>
      </c>
      <c r="G328" s="32" t="s">
        <v>59</v>
      </c>
      <c r="H328" s="32">
        <v>0</v>
      </c>
      <c r="I328" s="32">
        <v>0</v>
      </c>
      <c r="J328" s="32">
        <v>0</v>
      </c>
      <c r="K328" s="23">
        <f t="shared" si="232"/>
        <v>0</v>
      </c>
      <c r="L328" s="35">
        <f>K328/(K327+K328+K326)</f>
        <v>0</v>
      </c>
      <c r="M328" s="35">
        <f>K328/(K329)</f>
        <v>0</v>
      </c>
      <c r="N328" s="23"/>
      <c r="O328" s="35"/>
      <c r="P328" s="13"/>
      <c r="Q328" s="14">
        <v>0</v>
      </c>
      <c r="R328" s="14">
        <v>0</v>
      </c>
      <c r="S328" s="14">
        <v>0</v>
      </c>
      <c r="T328" s="38">
        <f>SUM(Q328:S328)</f>
        <v>0</v>
      </c>
      <c r="U328" s="15">
        <f>T328/T329</f>
        <v>0</v>
      </c>
      <c r="V328" s="13"/>
      <c r="W328" s="14">
        <v>0</v>
      </c>
      <c r="X328" s="14">
        <v>0</v>
      </c>
      <c r="Y328" s="14">
        <v>0</v>
      </c>
      <c r="Z328" s="33" t="s">
        <v>82</v>
      </c>
      <c r="AA328" s="14">
        <v>0</v>
      </c>
      <c r="AB328" s="45">
        <v>0</v>
      </c>
      <c r="AC328" s="38">
        <f>SUM(W328:AB328)</f>
        <v>0</v>
      </c>
      <c r="AD328" s="15">
        <f>AC328/AC329</f>
        <v>0</v>
      </c>
      <c r="AE328" s="13"/>
      <c r="AF328" s="14">
        <v>0</v>
      </c>
      <c r="AG328" s="14">
        <v>0</v>
      </c>
      <c r="AH328" s="9" t="s">
        <v>82</v>
      </c>
      <c r="AI328" s="32">
        <v>0</v>
      </c>
      <c r="AJ328" s="14">
        <v>0</v>
      </c>
      <c r="AK328" s="14">
        <v>0</v>
      </c>
      <c r="AL328" s="14">
        <f>SUM(AF328:AK328)</f>
        <v>0</v>
      </c>
      <c r="AM328" s="15">
        <f>AL328/AL329</f>
        <v>0</v>
      </c>
      <c r="AN328" s="13"/>
      <c r="AO328" s="14">
        <v>0</v>
      </c>
      <c r="AP328" s="14">
        <v>0</v>
      </c>
      <c r="AQ328" s="14">
        <v>0</v>
      </c>
      <c r="AR328" s="14">
        <v>0</v>
      </c>
      <c r="AS328" s="9" t="s">
        <v>82</v>
      </c>
      <c r="AT328" s="45">
        <v>0</v>
      </c>
      <c r="AU328" s="38">
        <f>SUM(AO328:AT328)</f>
        <v>0</v>
      </c>
      <c r="AV328" s="15">
        <f>AU328/AU329</f>
        <v>0</v>
      </c>
      <c r="AW328" s="13"/>
      <c r="AX328" s="14">
        <v>0</v>
      </c>
      <c r="AY328" s="14">
        <v>0</v>
      </c>
      <c r="AZ328" s="9" t="s">
        <v>82</v>
      </c>
      <c r="BA328" s="14">
        <v>0</v>
      </c>
      <c r="BB328" s="14">
        <v>0</v>
      </c>
      <c r="BC328" s="38">
        <f>SUM(AX328:BB328)</f>
        <v>0</v>
      </c>
      <c r="BD328" s="15">
        <f>BC328/BC329</f>
        <v>0</v>
      </c>
      <c r="BE328" s="13"/>
      <c r="BF328" s="38"/>
      <c r="BG328" s="42"/>
      <c r="BH328" s="42"/>
      <c r="BI328" s="42"/>
    </row>
    <row r="329" spans="1:61" ht="21.75" customHeight="1">
      <c r="A329" s="39" t="s">
        <v>66</v>
      </c>
      <c r="B329" s="9" t="s">
        <v>59</v>
      </c>
      <c r="C329" s="51">
        <f>SUM(C326:C328)</f>
        <v>4</v>
      </c>
      <c r="D329" s="32">
        <f>SUM(D326:D328)</f>
        <v>12</v>
      </c>
      <c r="E329" s="32">
        <f>SUM(E326:E328)</f>
        <v>11</v>
      </c>
      <c r="F329" s="32">
        <f>SUM(F326:F328)</f>
        <v>10</v>
      </c>
      <c r="G329" s="32" t="s">
        <v>59</v>
      </c>
      <c r="H329" s="32">
        <f>SUM(H326:H328)</f>
        <v>5</v>
      </c>
      <c r="I329" s="32">
        <f>SUM(I326:I328)</f>
        <v>10</v>
      </c>
      <c r="J329" s="32">
        <f>SUM(J326:J328)</f>
        <v>11</v>
      </c>
      <c r="K329" s="23">
        <f t="shared" si="232"/>
        <v>63</v>
      </c>
      <c r="L329" s="35">
        <f>K329/(K328+K327+K326)</f>
        <v>1</v>
      </c>
      <c r="M329" s="35">
        <f>K329/(K326+K327+K328)</f>
        <v>1</v>
      </c>
      <c r="N329" s="37">
        <f>T329+AC329+AL329+AU329</f>
        <v>60</v>
      </c>
      <c r="O329" s="35">
        <f>N329/K329</f>
        <v>0.95238095238095233</v>
      </c>
      <c r="P329" s="13"/>
      <c r="Q329" s="38">
        <f>SUM(Q326:Q328)</f>
        <v>6</v>
      </c>
      <c r="R329" s="38">
        <f>SUM(R326:R328)</f>
        <v>5</v>
      </c>
      <c r="S329" s="38">
        <f>SUM(S326:S328)</f>
        <v>1</v>
      </c>
      <c r="T329" s="38">
        <f>SUM(Q329:S329)</f>
        <v>12</v>
      </c>
      <c r="U329" s="40">
        <f>T329/(T326+T327+T328)</f>
        <v>1</v>
      </c>
      <c r="V329" s="13"/>
      <c r="W329" s="38">
        <f>SUM(W326:W328)</f>
        <v>4</v>
      </c>
      <c r="X329" s="38">
        <f>SUM(X326:X328)</f>
        <v>4</v>
      </c>
      <c r="Y329" s="38">
        <f>SUM(Y326:Y328)</f>
        <v>5</v>
      </c>
      <c r="Z329" s="33" t="s">
        <v>82</v>
      </c>
      <c r="AA329" s="38">
        <f>SUM(AA326:AA328)</f>
        <v>5</v>
      </c>
      <c r="AB329" s="51">
        <f>SUM(AB326:AB328)</f>
        <v>1</v>
      </c>
      <c r="AC329" s="38">
        <f>SUM(W329:AB329)</f>
        <v>19</v>
      </c>
      <c r="AD329" s="40">
        <f>AC329/(AC326+AC327+AC328)</f>
        <v>1</v>
      </c>
      <c r="AE329" s="13"/>
      <c r="AF329" s="38">
        <f>SUM(AF326:AF328)</f>
        <v>4</v>
      </c>
      <c r="AG329" s="38">
        <f>SUM(AG326:AG328)</f>
        <v>5</v>
      </c>
      <c r="AH329" s="9" t="s">
        <v>82</v>
      </c>
      <c r="AI329" s="38">
        <f>SUM(AI326:AI328)</f>
        <v>5</v>
      </c>
      <c r="AJ329" s="38">
        <f>SUM(AJ326:AJ328)</f>
        <v>1</v>
      </c>
      <c r="AK329" s="38">
        <f>SUM(AK326:AK328)</f>
        <v>9</v>
      </c>
      <c r="AL329" s="38">
        <f>SUM(AF329:AK329)</f>
        <v>24</v>
      </c>
      <c r="AM329" s="41">
        <f>AL329/(AL326+AL327+AL328)</f>
        <v>1</v>
      </c>
      <c r="AN329" s="13"/>
      <c r="AO329" s="38">
        <f>SUM(AO326:AO328)</f>
        <v>0</v>
      </c>
      <c r="AP329" s="38">
        <f>SUM(AP326:AP328)</f>
        <v>1</v>
      </c>
      <c r="AQ329" s="38">
        <f>SUM(AQ326:AQ328)</f>
        <v>2</v>
      </c>
      <c r="AR329" s="38">
        <f>SUM(AR326:AR328)</f>
        <v>0</v>
      </c>
      <c r="AS329" s="9" t="s">
        <v>82</v>
      </c>
      <c r="AT329" s="51">
        <f>SUM(AT326:AT328)</f>
        <v>2</v>
      </c>
      <c r="AU329" s="38">
        <f>SUM(AO329:AT329)</f>
        <v>5</v>
      </c>
      <c r="AV329" s="40">
        <f>AU329/(AU326+AU327+AU328)</f>
        <v>1</v>
      </c>
      <c r="AW329" s="13"/>
      <c r="AX329" s="38">
        <f>SUM(AX326:AX328)</f>
        <v>0</v>
      </c>
      <c r="AY329" s="38">
        <f>SUM(AY326:AY328)</f>
        <v>1</v>
      </c>
      <c r="AZ329" s="9" t="s">
        <v>82</v>
      </c>
      <c r="BA329" s="38">
        <f>SUM(BA326:BA328)</f>
        <v>1</v>
      </c>
      <c r="BB329" s="38">
        <f>SUM(BB326:BB328)</f>
        <v>1</v>
      </c>
      <c r="BC329" s="38">
        <f>SUM(AX329:BB329)</f>
        <v>3</v>
      </c>
      <c r="BD329" s="40">
        <f>BC329/(BC326+BC327+BC328)</f>
        <v>1</v>
      </c>
      <c r="BE329" s="13"/>
      <c r="BF329" s="38"/>
      <c r="BG329" s="42"/>
      <c r="BH329" s="42"/>
      <c r="BI329" s="42"/>
    </row>
    <row r="330" spans="1:61" ht="56.25" customHeight="1">
      <c r="A330" s="53" t="s">
        <v>169</v>
      </c>
      <c r="B330" s="181" t="s">
        <v>166</v>
      </c>
      <c r="C330" s="182"/>
      <c r="D330" s="182"/>
      <c r="E330" s="182"/>
      <c r="F330" s="182"/>
      <c r="G330" s="22"/>
      <c r="H330" s="22"/>
      <c r="I330" s="22"/>
      <c r="J330" s="22"/>
      <c r="K330" s="21"/>
      <c r="L330" s="24"/>
      <c r="M330" s="24"/>
      <c r="N330" s="26"/>
      <c r="O330" s="24"/>
      <c r="P330" s="27"/>
      <c r="Q330" s="28"/>
      <c r="R330" s="28"/>
      <c r="S330" s="28"/>
      <c r="T330" s="26"/>
      <c r="U330" s="24"/>
      <c r="V330" s="27"/>
      <c r="W330" s="28"/>
      <c r="X330" s="28"/>
      <c r="Y330" s="28"/>
      <c r="Z330" s="28"/>
      <c r="AA330" s="28"/>
      <c r="AB330" s="28"/>
      <c r="AC330" s="26"/>
      <c r="AD330" s="24"/>
      <c r="AE330" s="27"/>
      <c r="AF330" s="28"/>
      <c r="AG330" s="28"/>
      <c r="AH330" s="28"/>
      <c r="AI330" s="28"/>
      <c r="AJ330" s="28"/>
      <c r="AK330" s="28"/>
      <c r="AL330" s="26"/>
      <c r="AM330" s="29"/>
      <c r="AN330" s="27"/>
      <c r="AO330" s="26"/>
      <c r="AP330" s="26"/>
      <c r="AQ330" s="26"/>
      <c r="AR330" s="26"/>
      <c r="AS330" s="26"/>
      <c r="AT330" s="26"/>
      <c r="AU330" s="26"/>
      <c r="AV330" s="24"/>
      <c r="AW330" s="27"/>
      <c r="AX330" s="26"/>
      <c r="AY330" s="26"/>
      <c r="AZ330" s="26"/>
      <c r="BA330" s="26"/>
      <c r="BB330" s="26"/>
      <c r="BC330" s="26"/>
      <c r="BD330" s="24"/>
      <c r="BE330" s="27"/>
      <c r="BF330" s="26"/>
      <c r="BG330" s="22"/>
      <c r="BH330" s="21"/>
      <c r="BI330" s="22"/>
    </row>
    <row r="331" spans="1:61" ht="32.25" customHeight="1">
      <c r="A331" s="10"/>
      <c r="B331" s="30" t="s">
        <v>0</v>
      </c>
      <c r="C331" s="30" t="s">
        <v>1</v>
      </c>
      <c r="D331" s="30" t="s">
        <v>2</v>
      </c>
      <c r="E331" s="30" t="s">
        <v>3</v>
      </c>
      <c r="F331" s="30" t="s">
        <v>4</v>
      </c>
      <c r="G331" s="30" t="s">
        <v>5</v>
      </c>
      <c r="H331" s="30" t="s">
        <v>68</v>
      </c>
      <c r="I331" s="30" t="s">
        <v>7</v>
      </c>
      <c r="J331" s="30" t="s">
        <v>8</v>
      </c>
      <c r="K331" s="10" t="s">
        <v>9</v>
      </c>
      <c r="L331" s="10" t="s">
        <v>56</v>
      </c>
      <c r="M331" s="20"/>
      <c r="N331" s="37"/>
      <c r="O331" s="35"/>
      <c r="P331" s="13"/>
      <c r="Q331" s="38"/>
      <c r="R331" s="38"/>
      <c r="S331" s="38"/>
      <c r="T331" s="38">
        <f t="shared" ref="T331:T340" si="233">SUM(Q331:S331)</f>
        <v>0</v>
      </c>
      <c r="U331" s="40"/>
      <c r="V331" s="13"/>
      <c r="W331" s="38"/>
      <c r="X331" s="38"/>
      <c r="Y331" s="38"/>
      <c r="Z331" s="119"/>
      <c r="AA331" s="38"/>
      <c r="AB331" s="38"/>
      <c r="AC331" s="38">
        <f t="shared" ref="AC331:AC340" si="234">SUM(W331:AB331)</f>
        <v>0</v>
      </c>
      <c r="AD331" s="40"/>
      <c r="AE331" s="13"/>
      <c r="AF331" s="38"/>
      <c r="AG331" s="38"/>
      <c r="AH331" s="16"/>
      <c r="AI331" s="38"/>
      <c r="AJ331" s="38"/>
      <c r="AK331" s="38"/>
      <c r="AL331" s="38">
        <f t="shared" ref="AL331:AL340" si="235">SUM(AF331:AK331)</f>
        <v>0</v>
      </c>
      <c r="AM331" s="41"/>
      <c r="AN331" s="13"/>
      <c r="AO331" s="38"/>
      <c r="AP331" s="38"/>
      <c r="AQ331" s="38"/>
      <c r="AR331" s="38"/>
      <c r="AS331" s="16"/>
      <c r="AT331" s="38"/>
      <c r="AU331" s="38">
        <f t="shared" ref="AU331:AU340" si="236">SUM(AO331:AT331)</f>
        <v>0</v>
      </c>
      <c r="AV331" s="40"/>
      <c r="AW331" s="13"/>
      <c r="AX331" s="38"/>
      <c r="AY331" s="38"/>
      <c r="AZ331" s="16"/>
      <c r="BA331" s="38"/>
      <c r="BB331" s="38"/>
      <c r="BC331" s="38">
        <f t="shared" ref="BC331:BC340" si="237">SUM(AX331:BB331)</f>
        <v>0</v>
      </c>
      <c r="BD331" s="40"/>
      <c r="BE331" s="13"/>
      <c r="BF331" s="38"/>
      <c r="BG331" s="42"/>
      <c r="BH331" s="42"/>
      <c r="BI331" s="42"/>
    </row>
    <row r="332" spans="1:61" ht="32.25" customHeight="1">
      <c r="A332" s="10" t="s">
        <v>167</v>
      </c>
      <c r="B332" s="9">
        <v>4</v>
      </c>
      <c r="C332" s="32" t="s">
        <v>59</v>
      </c>
      <c r="D332" s="32" t="s">
        <v>59</v>
      </c>
      <c r="E332" s="32" t="s">
        <v>59</v>
      </c>
      <c r="F332" s="32" t="s">
        <v>59</v>
      </c>
      <c r="G332" s="32" t="s">
        <v>59</v>
      </c>
      <c r="H332" s="32" t="s">
        <v>59</v>
      </c>
      <c r="I332" s="32" t="s">
        <v>59</v>
      </c>
      <c r="J332" s="32" t="s">
        <v>59</v>
      </c>
      <c r="K332" s="23">
        <f t="shared" ref="K332:K340" si="238">SUM(B332:J332)</f>
        <v>4</v>
      </c>
      <c r="L332" s="11">
        <f>K332/K337</f>
        <v>0.36363636363636365</v>
      </c>
      <c r="M332" s="35">
        <f>K332/K340</f>
        <v>0.36363636363636365</v>
      </c>
      <c r="N332" s="37"/>
      <c r="O332" s="35"/>
      <c r="P332" s="13"/>
      <c r="Q332" s="38"/>
      <c r="R332" s="38"/>
      <c r="S332" s="38"/>
      <c r="T332" s="38">
        <f t="shared" si="233"/>
        <v>0</v>
      </c>
      <c r="U332" s="40"/>
      <c r="V332" s="13"/>
      <c r="W332" s="38"/>
      <c r="X332" s="38"/>
      <c r="Y332" s="38"/>
      <c r="Z332" s="119"/>
      <c r="AA332" s="38"/>
      <c r="AB332" s="38"/>
      <c r="AC332" s="38">
        <f t="shared" si="234"/>
        <v>0</v>
      </c>
      <c r="AD332" s="40"/>
      <c r="AE332" s="13"/>
      <c r="AF332" s="38"/>
      <c r="AG332" s="38"/>
      <c r="AH332" s="16"/>
      <c r="AI332" s="38"/>
      <c r="AJ332" s="38"/>
      <c r="AK332" s="38"/>
      <c r="AL332" s="38">
        <f t="shared" si="235"/>
        <v>0</v>
      </c>
      <c r="AM332" s="41"/>
      <c r="AN332" s="13"/>
      <c r="AO332" s="38"/>
      <c r="AP332" s="38"/>
      <c r="AQ332" s="38"/>
      <c r="AR332" s="38"/>
      <c r="AS332" s="16"/>
      <c r="AT332" s="38"/>
      <c r="AU332" s="38">
        <f t="shared" si="236"/>
        <v>0</v>
      </c>
      <c r="AV332" s="40"/>
      <c r="AW332" s="13"/>
      <c r="AX332" s="38"/>
      <c r="AY332" s="38"/>
      <c r="AZ332" s="16"/>
      <c r="BA332" s="38"/>
      <c r="BB332" s="38"/>
      <c r="BC332" s="38">
        <f t="shared" si="237"/>
        <v>0</v>
      </c>
      <c r="BD332" s="40"/>
      <c r="BE332" s="13"/>
      <c r="BF332" s="38"/>
      <c r="BG332" s="42"/>
      <c r="BH332" s="42"/>
      <c r="BI332" s="42"/>
    </row>
    <row r="333" spans="1:61" ht="20.25" customHeight="1">
      <c r="A333" s="10" t="s">
        <v>168</v>
      </c>
      <c r="B333" s="9">
        <v>0</v>
      </c>
      <c r="C333" s="32" t="s">
        <v>59</v>
      </c>
      <c r="D333" s="32" t="s">
        <v>59</v>
      </c>
      <c r="E333" s="32" t="s">
        <v>59</v>
      </c>
      <c r="F333" s="32" t="s">
        <v>59</v>
      </c>
      <c r="G333" s="32" t="s">
        <v>59</v>
      </c>
      <c r="H333" s="32" t="s">
        <v>59</v>
      </c>
      <c r="I333" s="32" t="s">
        <v>59</v>
      </c>
      <c r="J333" s="32" t="s">
        <v>59</v>
      </c>
      <c r="K333" s="23">
        <f t="shared" si="238"/>
        <v>0</v>
      </c>
      <c r="L333" s="11">
        <f>K333/K337</f>
        <v>0</v>
      </c>
      <c r="M333" s="35">
        <f>K333/K340</f>
        <v>0</v>
      </c>
      <c r="N333" s="37"/>
      <c r="O333" s="35"/>
      <c r="P333" s="13"/>
      <c r="Q333" s="38"/>
      <c r="R333" s="38"/>
      <c r="S333" s="38"/>
      <c r="T333" s="38">
        <f t="shared" si="233"/>
        <v>0</v>
      </c>
      <c r="U333" s="40"/>
      <c r="V333" s="13"/>
      <c r="W333" s="38"/>
      <c r="X333" s="38"/>
      <c r="Y333" s="38"/>
      <c r="Z333" s="119"/>
      <c r="AA333" s="38"/>
      <c r="AB333" s="38"/>
      <c r="AC333" s="38">
        <f t="shared" si="234"/>
        <v>0</v>
      </c>
      <c r="AD333" s="40"/>
      <c r="AE333" s="13"/>
      <c r="AF333" s="38"/>
      <c r="AG333" s="38"/>
      <c r="AH333" s="16"/>
      <c r="AI333" s="38"/>
      <c r="AJ333" s="38"/>
      <c r="AK333" s="38"/>
      <c r="AL333" s="38">
        <f t="shared" si="235"/>
        <v>0</v>
      </c>
      <c r="AM333" s="41"/>
      <c r="AN333" s="13"/>
      <c r="AO333" s="38"/>
      <c r="AP333" s="38"/>
      <c r="AQ333" s="38"/>
      <c r="AR333" s="38"/>
      <c r="AS333" s="16"/>
      <c r="AT333" s="38"/>
      <c r="AU333" s="38">
        <f t="shared" si="236"/>
        <v>0</v>
      </c>
      <c r="AV333" s="40"/>
      <c r="AW333" s="13"/>
      <c r="AX333" s="38"/>
      <c r="AY333" s="38"/>
      <c r="AZ333" s="16"/>
      <c r="BA333" s="38"/>
      <c r="BB333" s="38"/>
      <c r="BC333" s="38">
        <f t="shared" si="237"/>
        <v>0</v>
      </c>
      <c r="BD333" s="40"/>
      <c r="BE333" s="13"/>
      <c r="BF333" s="38"/>
      <c r="BG333" s="42"/>
      <c r="BH333" s="42"/>
      <c r="BI333" s="42"/>
    </row>
    <row r="334" spans="1:61" ht="20.25" customHeight="1">
      <c r="A334" s="10" t="s">
        <v>84</v>
      </c>
      <c r="B334" s="9">
        <v>0</v>
      </c>
      <c r="C334" s="32" t="s">
        <v>59</v>
      </c>
      <c r="D334" s="32" t="s">
        <v>59</v>
      </c>
      <c r="E334" s="32" t="s">
        <v>59</v>
      </c>
      <c r="F334" s="32" t="s">
        <v>59</v>
      </c>
      <c r="G334" s="32" t="s">
        <v>59</v>
      </c>
      <c r="H334" s="32" t="s">
        <v>59</v>
      </c>
      <c r="I334" s="32" t="s">
        <v>59</v>
      </c>
      <c r="J334" s="32" t="s">
        <v>59</v>
      </c>
      <c r="K334" s="23">
        <f t="shared" si="238"/>
        <v>0</v>
      </c>
      <c r="L334" s="11">
        <f>K334/K337</f>
        <v>0</v>
      </c>
      <c r="M334" s="35">
        <f>K334/K340</f>
        <v>0</v>
      </c>
      <c r="N334" s="37"/>
      <c r="O334" s="35"/>
      <c r="P334" s="13"/>
      <c r="Q334" s="38"/>
      <c r="R334" s="38"/>
      <c r="S334" s="38"/>
      <c r="T334" s="38">
        <f t="shared" si="233"/>
        <v>0</v>
      </c>
      <c r="U334" s="40"/>
      <c r="V334" s="13"/>
      <c r="W334" s="38"/>
      <c r="X334" s="38"/>
      <c r="Y334" s="38"/>
      <c r="Z334" s="119"/>
      <c r="AA334" s="38"/>
      <c r="AB334" s="38"/>
      <c r="AC334" s="38">
        <f t="shared" si="234"/>
        <v>0</v>
      </c>
      <c r="AD334" s="40"/>
      <c r="AE334" s="13"/>
      <c r="AF334" s="38"/>
      <c r="AG334" s="38"/>
      <c r="AH334" s="16"/>
      <c r="AI334" s="38"/>
      <c r="AJ334" s="38"/>
      <c r="AK334" s="38"/>
      <c r="AL334" s="38">
        <f t="shared" si="235"/>
        <v>0</v>
      </c>
      <c r="AM334" s="41"/>
      <c r="AN334" s="13"/>
      <c r="AO334" s="38"/>
      <c r="AP334" s="38"/>
      <c r="AQ334" s="38"/>
      <c r="AR334" s="38"/>
      <c r="AS334" s="16"/>
      <c r="AT334" s="38"/>
      <c r="AU334" s="38">
        <f t="shared" si="236"/>
        <v>0</v>
      </c>
      <c r="AV334" s="40"/>
      <c r="AW334" s="13"/>
      <c r="AX334" s="38"/>
      <c r="AY334" s="38"/>
      <c r="AZ334" s="16"/>
      <c r="BA334" s="38"/>
      <c r="BB334" s="38"/>
      <c r="BC334" s="38">
        <f t="shared" si="237"/>
        <v>0</v>
      </c>
      <c r="BD334" s="40"/>
      <c r="BE334" s="13"/>
      <c r="BF334" s="38"/>
      <c r="BG334" s="42"/>
      <c r="BH334" s="42"/>
      <c r="BI334" s="42"/>
    </row>
    <row r="335" spans="1:61" ht="20.25" customHeight="1">
      <c r="A335" s="10" t="s">
        <v>85</v>
      </c>
      <c r="B335" s="9">
        <v>0</v>
      </c>
      <c r="C335" s="32" t="s">
        <v>59</v>
      </c>
      <c r="D335" s="32" t="s">
        <v>59</v>
      </c>
      <c r="E335" s="32" t="s">
        <v>59</v>
      </c>
      <c r="F335" s="32" t="s">
        <v>59</v>
      </c>
      <c r="G335" s="32" t="s">
        <v>59</v>
      </c>
      <c r="H335" s="32" t="s">
        <v>59</v>
      </c>
      <c r="I335" s="32" t="s">
        <v>59</v>
      </c>
      <c r="J335" s="32" t="s">
        <v>59</v>
      </c>
      <c r="K335" s="23">
        <f t="shared" si="238"/>
        <v>0</v>
      </c>
      <c r="L335" s="11">
        <f>K335/K337</f>
        <v>0</v>
      </c>
      <c r="M335" s="35">
        <f>K335/K340</f>
        <v>0</v>
      </c>
      <c r="N335" s="37"/>
      <c r="O335" s="35"/>
      <c r="P335" s="13"/>
      <c r="Q335" s="38"/>
      <c r="R335" s="38"/>
      <c r="S335" s="38"/>
      <c r="T335" s="38">
        <f t="shared" si="233"/>
        <v>0</v>
      </c>
      <c r="U335" s="40"/>
      <c r="V335" s="13"/>
      <c r="W335" s="38"/>
      <c r="X335" s="38"/>
      <c r="Y335" s="38"/>
      <c r="Z335" s="119"/>
      <c r="AA335" s="38"/>
      <c r="AB335" s="38"/>
      <c r="AC335" s="38">
        <f t="shared" si="234"/>
        <v>0</v>
      </c>
      <c r="AD335" s="40"/>
      <c r="AE335" s="13"/>
      <c r="AF335" s="38"/>
      <c r="AG335" s="38"/>
      <c r="AH335" s="16"/>
      <c r="AI335" s="38"/>
      <c r="AJ335" s="38"/>
      <c r="AK335" s="38"/>
      <c r="AL335" s="38">
        <f t="shared" si="235"/>
        <v>0</v>
      </c>
      <c r="AM335" s="41"/>
      <c r="AN335" s="13"/>
      <c r="AO335" s="38"/>
      <c r="AP335" s="38"/>
      <c r="AQ335" s="38"/>
      <c r="AR335" s="38"/>
      <c r="AS335" s="16"/>
      <c r="AT335" s="38"/>
      <c r="AU335" s="38">
        <f t="shared" si="236"/>
        <v>0</v>
      </c>
      <c r="AV335" s="40"/>
      <c r="AW335" s="13"/>
      <c r="AX335" s="38"/>
      <c r="AY335" s="38"/>
      <c r="AZ335" s="16"/>
      <c r="BA335" s="38"/>
      <c r="BB335" s="38"/>
      <c r="BC335" s="38">
        <f t="shared" si="237"/>
        <v>0</v>
      </c>
      <c r="BD335" s="40"/>
      <c r="BE335" s="13"/>
      <c r="BF335" s="38"/>
      <c r="BG335" s="42"/>
      <c r="BH335" s="42"/>
      <c r="BI335" s="42"/>
    </row>
    <row r="336" spans="1:61" ht="20.25" customHeight="1">
      <c r="A336" s="10" t="s">
        <v>170</v>
      </c>
      <c r="B336" s="120">
        <v>7</v>
      </c>
      <c r="C336" s="32" t="s">
        <v>59</v>
      </c>
      <c r="D336" s="32" t="s">
        <v>59</v>
      </c>
      <c r="E336" s="32" t="s">
        <v>59</v>
      </c>
      <c r="F336" s="32" t="s">
        <v>59</v>
      </c>
      <c r="G336" s="32" t="s">
        <v>59</v>
      </c>
      <c r="H336" s="32" t="s">
        <v>59</v>
      </c>
      <c r="I336" s="32" t="s">
        <v>59</v>
      </c>
      <c r="J336" s="32" t="s">
        <v>59</v>
      </c>
      <c r="K336" s="23">
        <f t="shared" si="238"/>
        <v>7</v>
      </c>
      <c r="L336" s="11">
        <f>K336/K337</f>
        <v>0.63636363636363635</v>
      </c>
      <c r="M336" s="35">
        <f>K336/K340</f>
        <v>0.63636363636363635</v>
      </c>
      <c r="N336" s="37"/>
      <c r="O336" s="35"/>
      <c r="P336" s="13"/>
      <c r="Q336" s="38"/>
      <c r="R336" s="38"/>
      <c r="S336" s="38"/>
      <c r="T336" s="38">
        <f t="shared" si="233"/>
        <v>0</v>
      </c>
      <c r="U336" s="40"/>
      <c r="V336" s="13"/>
      <c r="W336" s="38"/>
      <c r="X336" s="38"/>
      <c r="Y336" s="38"/>
      <c r="Z336" s="119"/>
      <c r="AA336" s="38"/>
      <c r="AB336" s="38"/>
      <c r="AC336" s="38">
        <f t="shared" si="234"/>
        <v>0</v>
      </c>
      <c r="AD336" s="40"/>
      <c r="AE336" s="13"/>
      <c r="AF336" s="38"/>
      <c r="AG336" s="38"/>
      <c r="AH336" s="16"/>
      <c r="AI336" s="38"/>
      <c r="AJ336" s="38"/>
      <c r="AK336" s="38"/>
      <c r="AL336" s="38">
        <f t="shared" si="235"/>
        <v>0</v>
      </c>
      <c r="AM336" s="41"/>
      <c r="AN336" s="13"/>
      <c r="AO336" s="38"/>
      <c r="AP336" s="38"/>
      <c r="AQ336" s="38"/>
      <c r="AR336" s="38"/>
      <c r="AS336" s="16"/>
      <c r="AT336" s="38"/>
      <c r="AU336" s="38">
        <f t="shared" si="236"/>
        <v>0</v>
      </c>
      <c r="AV336" s="40"/>
      <c r="AW336" s="13"/>
      <c r="AX336" s="38"/>
      <c r="AY336" s="38"/>
      <c r="AZ336" s="16"/>
      <c r="BA336" s="38"/>
      <c r="BB336" s="38"/>
      <c r="BC336" s="38">
        <f t="shared" si="237"/>
        <v>0</v>
      </c>
      <c r="BD336" s="40"/>
      <c r="BE336" s="13"/>
      <c r="BF336" s="38"/>
      <c r="BG336" s="42"/>
      <c r="BH336" s="42"/>
      <c r="BI336" s="42"/>
    </row>
    <row r="337" spans="1:61" ht="20.25" customHeight="1">
      <c r="A337" s="10" t="s">
        <v>9</v>
      </c>
      <c r="B337" s="9">
        <f>SUM(B332:B336)</f>
        <v>11</v>
      </c>
      <c r="C337" s="32" t="s">
        <v>59</v>
      </c>
      <c r="D337" s="32" t="s">
        <v>59</v>
      </c>
      <c r="E337" s="32" t="s">
        <v>59</v>
      </c>
      <c r="F337" s="32" t="s">
        <v>59</v>
      </c>
      <c r="G337" s="32" t="s">
        <v>59</v>
      </c>
      <c r="H337" s="32" t="s">
        <v>59</v>
      </c>
      <c r="I337" s="32" t="s">
        <v>59</v>
      </c>
      <c r="J337" s="32" t="s">
        <v>59</v>
      </c>
      <c r="K337" s="23">
        <f t="shared" si="238"/>
        <v>11</v>
      </c>
      <c r="L337" s="11">
        <f>SUM(L332:L336)</f>
        <v>1</v>
      </c>
      <c r="M337" s="35">
        <f>K337/K340</f>
        <v>1</v>
      </c>
      <c r="N337" s="37">
        <f>T337+AC337+AL337+AU337</f>
        <v>0</v>
      </c>
      <c r="O337" s="35">
        <f>N337/K337</f>
        <v>0</v>
      </c>
      <c r="P337" s="13"/>
      <c r="Q337" s="38"/>
      <c r="R337" s="38"/>
      <c r="S337" s="38"/>
      <c r="T337" s="38">
        <f t="shared" si="233"/>
        <v>0</v>
      </c>
      <c r="U337" s="40"/>
      <c r="V337" s="13"/>
      <c r="W337" s="38"/>
      <c r="X337" s="38"/>
      <c r="Y337" s="38"/>
      <c r="Z337" s="119"/>
      <c r="AA337" s="38"/>
      <c r="AB337" s="38"/>
      <c r="AC337" s="38">
        <f t="shared" si="234"/>
        <v>0</v>
      </c>
      <c r="AD337" s="40"/>
      <c r="AE337" s="13"/>
      <c r="AF337" s="38"/>
      <c r="AG337" s="38"/>
      <c r="AH337" s="16"/>
      <c r="AI337" s="38"/>
      <c r="AJ337" s="38"/>
      <c r="AK337" s="38"/>
      <c r="AL337" s="38">
        <f t="shared" si="235"/>
        <v>0</v>
      </c>
      <c r="AM337" s="41"/>
      <c r="AN337" s="13"/>
      <c r="AO337" s="38"/>
      <c r="AP337" s="38"/>
      <c r="AQ337" s="38"/>
      <c r="AR337" s="38"/>
      <c r="AS337" s="16"/>
      <c r="AT337" s="38"/>
      <c r="AU337" s="38">
        <f t="shared" si="236"/>
        <v>0</v>
      </c>
      <c r="AV337" s="40"/>
      <c r="AW337" s="13"/>
      <c r="AX337" s="38"/>
      <c r="AY337" s="38"/>
      <c r="AZ337" s="16"/>
      <c r="BA337" s="38"/>
      <c r="BB337" s="38"/>
      <c r="BC337" s="38">
        <f t="shared" si="237"/>
        <v>0</v>
      </c>
      <c r="BD337" s="40"/>
      <c r="BE337" s="13"/>
      <c r="BF337" s="38"/>
      <c r="BG337" s="42"/>
      <c r="BH337" s="42"/>
      <c r="BI337" s="42"/>
    </row>
    <row r="338" spans="1:61" ht="20.25" customHeight="1">
      <c r="A338" s="8" t="s">
        <v>64</v>
      </c>
      <c r="B338" s="9">
        <v>0</v>
      </c>
      <c r="C338" s="32" t="s">
        <v>59</v>
      </c>
      <c r="D338" s="32" t="s">
        <v>59</v>
      </c>
      <c r="E338" s="32" t="s">
        <v>59</v>
      </c>
      <c r="F338" s="32" t="s">
        <v>59</v>
      </c>
      <c r="G338" s="32" t="s">
        <v>59</v>
      </c>
      <c r="H338" s="32" t="s">
        <v>59</v>
      </c>
      <c r="I338" s="32" t="s">
        <v>59</v>
      </c>
      <c r="J338" s="32" t="s">
        <v>59</v>
      </c>
      <c r="K338" s="23">
        <f t="shared" si="238"/>
        <v>0</v>
      </c>
      <c r="L338" s="35">
        <f>K338/(K337+K338+K339)</f>
        <v>0</v>
      </c>
      <c r="M338" s="35">
        <f>K338/(K340)</f>
        <v>0</v>
      </c>
      <c r="N338" s="37"/>
      <c r="O338" s="35"/>
      <c r="P338" s="13"/>
      <c r="Q338" s="38"/>
      <c r="R338" s="38"/>
      <c r="S338" s="38"/>
      <c r="T338" s="38">
        <f t="shared" si="233"/>
        <v>0</v>
      </c>
      <c r="U338" s="40"/>
      <c r="V338" s="13"/>
      <c r="W338" s="38"/>
      <c r="X338" s="38"/>
      <c r="Y338" s="38"/>
      <c r="Z338" s="119"/>
      <c r="AA338" s="38"/>
      <c r="AB338" s="38"/>
      <c r="AC338" s="38">
        <f t="shared" si="234"/>
        <v>0</v>
      </c>
      <c r="AD338" s="40"/>
      <c r="AE338" s="13"/>
      <c r="AF338" s="38"/>
      <c r="AG338" s="38"/>
      <c r="AH338" s="16"/>
      <c r="AI338" s="38"/>
      <c r="AJ338" s="38"/>
      <c r="AK338" s="38"/>
      <c r="AL338" s="38">
        <f t="shared" si="235"/>
        <v>0</v>
      </c>
      <c r="AM338" s="41"/>
      <c r="AN338" s="13"/>
      <c r="AO338" s="38"/>
      <c r="AP338" s="38"/>
      <c r="AQ338" s="38"/>
      <c r="AR338" s="38"/>
      <c r="AS338" s="16"/>
      <c r="AT338" s="38"/>
      <c r="AU338" s="38">
        <f t="shared" si="236"/>
        <v>0</v>
      </c>
      <c r="AV338" s="40"/>
      <c r="AW338" s="13"/>
      <c r="AX338" s="38"/>
      <c r="AY338" s="38"/>
      <c r="AZ338" s="16"/>
      <c r="BA338" s="38"/>
      <c r="BB338" s="38"/>
      <c r="BC338" s="38">
        <f t="shared" si="237"/>
        <v>0</v>
      </c>
      <c r="BD338" s="40"/>
      <c r="BE338" s="13"/>
      <c r="BF338" s="38"/>
      <c r="BG338" s="42"/>
      <c r="BH338" s="42"/>
      <c r="BI338" s="42"/>
    </row>
    <row r="339" spans="1:61" ht="20.25" customHeight="1">
      <c r="A339" s="8" t="s">
        <v>65</v>
      </c>
      <c r="B339" s="9">
        <v>0</v>
      </c>
      <c r="C339" s="32" t="s">
        <v>59</v>
      </c>
      <c r="D339" s="32" t="s">
        <v>59</v>
      </c>
      <c r="E339" s="32" t="s">
        <v>59</v>
      </c>
      <c r="F339" s="32" t="s">
        <v>59</v>
      </c>
      <c r="G339" s="32" t="s">
        <v>59</v>
      </c>
      <c r="H339" s="32" t="s">
        <v>59</v>
      </c>
      <c r="I339" s="32" t="s">
        <v>59</v>
      </c>
      <c r="J339" s="32" t="s">
        <v>59</v>
      </c>
      <c r="K339" s="23">
        <f t="shared" si="238"/>
        <v>0</v>
      </c>
      <c r="L339" s="35">
        <f>K339/(K338+K339+K337)</f>
        <v>0</v>
      </c>
      <c r="M339" s="35">
        <f>K339/(K340)</f>
        <v>0</v>
      </c>
      <c r="N339" s="37"/>
      <c r="O339" s="35"/>
      <c r="P339" s="13"/>
      <c r="Q339" s="38"/>
      <c r="R339" s="38"/>
      <c r="S339" s="38"/>
      <c r="T339" s="38">
        <f t="shared" si="233"/>
        <v>0</v>
      </c>
      <c r="U339" s="40"/>
      <c r="V339" s="13"/>
      <c r="W339" s="38"/>
      <c r="X339" s="38"/>
      <c r="Y339" s="38"/>
      <c r="Z339" s="119"/>
      <c r="AA339" s="38"/>
      <c r="AB339" s="38"/>
      <c r="AC339" s="38">
        <f t="shared" si="234"/>
        <v>0</v>
      </c>
      <c r="AD339" s="40"/>
      <c r="AE339" s="13"/>
      <c r="AF339" s="38"/>
      <c r="AG339" s="38"/>
      <c r="AH339" s="16"/>
      <c r="AI339" s="38"/>
      <c r="AJ339" s="38"/>
      <c r="AK339" s="38"/>
      <c r="AL339" s="38">
        <f t="shared" si="235"/>
        <v>0</v>
      </c>
      <c r="AM339" s="41"/>
      <c r="AN339" s="13"/>
      <c r="AO339" s="38"/>
      <c r="AP339" s="38"/>
      <c r="AQ339" s="38"/>
      <c r="AR339" s="38"/>
      <c r="AS339" s="16"/>
      <c r="AT339" s="38"/>
      <c r="AU339" s="38">
        <f t="shared" si="236"/>
        <v>0</v>
      </c>
      <c r="AV339" s="40"/>
      <c r="AW339" s="13"/>
      <c r="AX339" s="38"/>
      <c r="AY339" s="38"/>
      <c r="AZ339" s="16"/>
      <c r="BA339" s="38"/>
      <c r="BB339" s="38"/>
      <c r="BC339" s="38">
        <f t="shared" si="237"/>
        <v>0</v>
      </c>
      <c r="BD339" s="40"/>
      <c r="BE339" s="13"/>
      <c r="BF339" s="38"/>
      <c r="BG339" s="42"/>
      <c r="BH339" s="42"/>
      <c r="BI339" s="42"/>
    </row>
    <row r="340" spans="1:61" ht="20.25" customHeight="1">
      <c r="A340" s="39" t="s">
        <v>66</v>
      </c>
      <c r="B340" s="32">
        <f>SUM(B337:B339)</f>
        <v>11</v>
      </c>
      <c r="C340" s="32" t="s">
        <v>59</v>
      </c>
      <c r="D340" s="32" t="s">
        <v>59</v>
      </c>
      <c r="E340" s="32" t="s">
        <v>59</v>
      </c>
      <c r="F340" s="32" t="s">
        <v>59</v>
      </c>
      <c r="G340" s="32" t="s">
        <v>59</v>
      </c>
      <c r="H340" s="32" t="s">
        <v>59</v>
      </c>
      <c r="I340" s="32" t="s">
        <v>59</v>
      </c>
      <c r="J340" s="32" t="s">
        <v>59</v>
      </c>
      <c r="K340" s="23">
        <f t="shared" si="238"/>
        <v>11</v>
      </c>
      <c r="L340" s="35">
        <f>K340/(K339+K338+K337)</f>
        <v>1</v>
      </c>
      <c r="M340" s="35">
        <f>K340/(K337+K338+K339)</f>
        <v>1</v>
      </c>
      <c r="N340" s="37">
        <f>T340+AC340+AL340+AU340</f>
        <v>0</v>
      </c>
      <c r="O340" s="35">
        <f>N340/K340</f>
        <v>0</v>
      </c>
      <c r="P340" s="13"/>
      <c r="Q340" s="38"/>
      <c r="R340" s="38"/>
      <c r="S340" s="38"/>
      <c r="T340" s="38">
        <f t="shared" si="233"/>
        <v>0</v>
      </c>
      <c r="U340" s="40"/>
      <c r="V340" s="13"/>
      <c r="W340" s="38"/>
      <c r="X340" s="38"/>
      <c r="Y340" s="38"/>
      <c r="Z340" s="119"/>
      <c r="AA340" s="38"/>
      <c r="AB340" s="38"/>
      <c r="AC340" s="38">
        <f t="shared" si="234"/>
        <v>0</v>
      </c>
      <c r="AD340" s="40"/>
      <c r="AE340" s="13"/>
      <c r="AF340" s="38"/>
      <c r="AG340" s="38"/>
      <c r="AH340" s="16"/>
      <c r="AI340" s="38"/>
      <c r="AJ340" s="38"/>
      <c r="AK340" s="38"/>
      <c r="AL340" s="38">
        <f t="shared" si="235"/>
        <v>0</v>
      </c>
      <c r="AM340" s="41"/>
      <c r="AN340" s="13"/>
      <c r="AO340" s="38"/>
      <c r="AP340" s="38"/>
      <c r="AQ340" s="38"/>
      <c r="AR340" s="38"/>
      <c r="AS340" s="16"/>
      <c r="AT340" s="38"/>
      <c r="AU340" s="38">
        <f t="shared" si="236"/>
        <v>0</v>
      </c>
      <c r="AV340" s="40"/>
      <c r="AW340" s="13"/>
      <c r="AX340" s="38"/>
      <c r="AY340" s="38"/>
      <c r="AZ340" s="16"/>
      <c r="BA340" s="38"/>
      <c r="BB340" s="38"/>
      <c r="BC340" s="38">
        <f t="shared" si="237"/>
        <v>0</v>
      </c>
      <c r="BD340" s="40"/>
      <c r="BE340" s="13"/>
      <c r="BF340" s="38"/>
      <c r="BG340" s="42"/>
      <c r="BH340" s="42"/>
      <c r="BI340" s="42"/>
    </row>
    <row r="341" spans="1:61" ht="56.25" customHeight="1">
      <c r="A341" s="102" t="s">
        <v>171</v>
      </c>
      <c r="B341" s="181" t="s">
        <v>166</v>
      </c>
      <c r="C341" s="182"/>
      <c r="D341" s="182"/>
      <c r="E341" s="182"/>
      <c r="F341" s="182"/>
      <c r="G341" s="22"/>
      <c r="H341" s="22"/>
      <c r="I341" s="22"/>
      <c r="J341" s="22"/>
      <c r="K341" s="21"/>
      <c r="L341" s="24"/>
      <c r="M341" s="24"/>
      <c r="N341" s="26"/>
      <c r="O341" s="24"/>
      <c r="P341" s="27"/>
      <c r="Q341" s="28"/>
      <c r="R341" s="28"/>
      <c r="S341" s="28"/>
      <c r="T341" s="26"/>
      <c r="U341" s="24"/>
      <c r="V341" s="27"/>
      <c r="W341" s="28"/>
      <c r="X341" s="28"/>
      <c r="Y341" s="28"/>
      <c r="Z341" s="28"/>
      <c r="AA341" s="28"/>
      <c r="AB341" s="28"/>
      <c r="AC341" s="26"/>
      <c r="AD341" s="24"/>
      <c r="AE341" s="27"/>
      <c r="AF341" s="28"/>
      <c r="AG341" s="28"/>
      <c r="AH341" s="28"/>
      <c r="AI341" s="28"/>
      <c r="AJ341" s="28"/>
      <c r="AK341" s="28"/>
      <c r="AL341" s="26"/>
      <c r="AM341" s="29"/>
      <c r="AN341" s="27"/>
      <c r="AO341" s="26"/>
      <c r="AP341" s="26"/>
      <c r="AQ341" s="26"/>
      <c r="AR341" s="26"/>
      <c r="AS341" s="26"/>
      <c r="AT341" s="26"/>
      <c r="AU341" s="26"/>
      <c r="AV341" s="24"/>
      <c r="AW341" s="27"/>
      <c r="AX341" s="26"/>
      <c r="AY341" s="26"/>
      <c r="AZ341" s="26"/>
      <c r="BA341" s="26"/>
      <c r="BB341" s="26"/>
      <c r="BC341" s="26"/>
      <c r="BD341" s="24"/>
      <c r="BE341" s="27"/>
      <c r="BF341" s="26"/>
      <c r="BG341" s="22"/>
      <c r="BH341" s="21"/>
      <c r="BI341" s="22"/>
    </row>
    <row r="342" spans="1:61" ht="32.25" customHeight="1">
      <c r="A342" s="10"/>
      <c r="B342" s="30" t="s">
        <v>0</v>
      </c>
      <c r="C342" s="30" t="s">
        <v>1</v>
      </c>
      <c r="D342" s="30" t="s">
        <v>2</v>
      </c>
      <c r="E342" s="30" t="s">
        <v>3</v>
      </c>
      <c r="F342" s="30" t="s">
        <v>4</v>
      </c>
      <c r="G342" s="30" t="s">
        <v>5</v>
      </c>
      <c r="H342" s="30" t="s">
        <v>68</v>
      </c>
      <c r="I342" s="30" t="s">
        <v>7</v>
      </c>
      <c r="J342" s="30" t="s">
        <v>8</v>
      </c>
      <c r="K342" s="10" t="s">
        <v>9</v>
      </c>
      <c r="L342" s="10" t="s">
        <v>56</v>
      </c>
      <c r="M342" s="20"/>
      <c r="N342" s="12"/>
      <c r="O342" s="20"/>
      <c r="P342" s="27"/>
      <c r="Q342" s="30" t="s">
        <v>15</v>
      </c>
      <c r="R342" s="30" t="s">
        <v>16</v>
      </c>
      <c r="S342" s="30" t="s">
        <v>28</v>
      </c>
      <c r="T342" s="20"/>
      <c r="U342" s="11"/>
      <c r="V342" s="27"/>
      <c r="W342" s="30" t="s">
        <v>15</v>
      </c>
      <c r="X342" s="30" t="s">
        <v>20</v>
      </c>
      <c r="Y342" s="30" t="s">
        <v>21</v>
      </c>
      <c r="Z342" s="30" t="s">
        <v>22</v>
      </c>
      <c r="AA342" s="30" t="s">
        <v>23</v>
      </c>
      <c r="AB342" s="30" t="s">
        <v>24</v>
      </c>
      <c r="AC342" s="20"/>
      <c r="AD342" s="11"/>
      <c r="AE342" s="27"/>
      <c r="AF342" s="30" t="s">
        <v>20</v>
      </c>
      <c r="AG342" s="30" t="s">
        <v>21</v>
      </c>
      <c r="AH342" s="30" t="s">
        <v>22</v>
      </c>
      <c r="AI342" s="30" t="s">
        <v>23</v>
      </c>
      <c r="AJ342" s="30" t="s">
        <v>24</v>
      </c>
      <c r="AK342" s="30" t="s">
        <v>28</v>
      </c>
      <c r="AL342" s="20"/>
      <c r="AM342" s="44"/>
      <c r="AN342" s="27"/>
      <c r="AO342" s="30" t="s">
        <v>15</v>
      </c>
      <c r="AP342" s="30" t="s">
        <v>20</v>
      </c>
      <c r="AQ342" s="30" t="s">
        <v>21</v>
      </c>
      <c r="AR342" s="30" t="s">
        <v>16</v>
      </c>
      <c r="AS342" s="30" t="s">
        <v>22</v>
      </c>
      <c r="AT342" s="30" t="s">
        <v>24</v>
      </c>
      <c r="AU342" s="20"/>
      <c r="AV342" s="11"/>
      <c r="AW342" s="27"/>
      <c r="AX342" s="30" t="s">
        <v>15</v>
      </c>
      <c r="AY342" s="30" t="s">
        <v>20</v>
      </c>
      <c r="AZ342" s="30" t="s">
        <v>22</v>
      </c>
      <c r="BA342" s="30" t="s">
        <v>23</v>
      </c>
      <c r="BB342" s="30" t="s">
        <v>28</v>
      </c>
      <c r="BC342" s="20"/>
      <c r="BD342" s="11"/>
      <c r="BE342" s="27"/>
      <c r="BF342" s="9" t="s">
        <v>38</v>
      </c>
      <c r="BG342" s="9" t="s">
        <v>39</v>
      </c>
      <c r="BH342" s="9" t="s">
        <v>40</v>
      </c>
      <c r="BI342" s="9" t="s">
        <v>41</v>
      </c>
    </row>
    <row r="343" spans="1:61" ht="32.25" customHeight="1">
      <c r="A343" s="10" t="s">
        <v>167</v>
      </c>
      <c r="B343" s="9">
        <v>4</v>
      </c>
      <c r="C343" s="9">
        <v>1</v>
      </c>
      <c r="D343" s="9">
        <v>8</v>
      </c>
      <c r="E343" s="9">
        <v>8</v>
      </c>
      <c r="F343" s="9">
        <v>7</v>
      </c>
      <c r="G343" s="32" t="s">
        <v>59</v>
      </c>
      <c r="H343" s="9">
        <v>3</v>
      </c>
      <c r="I343" s="9">
        <v>7</v>
      </c>
      <c r="J343" s="33">
        <v>10</v>
      </c>
      <c r="K343" s="10">
        <f>SUM(B343:J343)</f>
        <v>48</v>
      </c>
      <c r="L343" s="11">
        <f>K343/K348</f>
        <v>0.66666666666666663</v>
      </c>
      <c r="M343" s="35">
        <f>K343/K351</f>
        <v>0.65753424657534243</v>
      </c>
      <c r="N343" s="12"/>
      <c r="O343" s="11"/>
      <c r="P343" s="13"/>
      <c r="Q343" s="33">
        <v>4</v>
      </c>
      <c r="R343" s="33">
        <v>3</v>
      </c>
      <c r="S343" s="33">
        <v>1</v>
      </c>
      <c r="T343" s="14">
        <f>SUM(Q343:S343)</f>
        <v>8</v>
      </c>
      <c r="U343" s="15">
        <f>T343/T348</f>
        <v>0.61538461538461542</v>
      </c>
      <c r="V343" s="13"/>
      <c r="W343" s="33">
        <v>3</v>
      </c>
      <c r="X343" s="33">
        <v>3</v>
      </c>
      <c r="Y343" s="33">
        <v>3</v>
      </c>
      <c r="Z343" s="33" t="s">
        <v>82</v>
      </c>
      <c r="AA343" s="33">
        <v>2</v>
      </c>
      <c r="AB343" s="33">
        <v>1</v>
      </c>
      <c r="AC343" s="14">
        <f>SUM(W343:AB343)</f>
        <v>12</v>
      </c>
      <c r="AD343" s="15">
        <f>AC343/AC348</f>
        <v>0.63157894736842102</v>
      </c>
      <c r="AE343" s="13"/>
      <c r="AF343" s="33">
        <v>3</v>
      </c>
      <c r="AG343" s="33">
        <v>4</v>
      </c>
      <c r="AH343" s="9" t="s">
        <v>82</v>
      </c>
      <c r="AI343" s="33">
        <v>5</v>
      </c>
      <c r="AJ343" s="33">
        <v>0</v>
      </c>
      <c r="AK343" s="33">
        <v>9</v>
      </c>
      <c r="AL343" s="14">
        <f>SUM(AF343:AK343)</f>
        <v>21</v>
      </c>
      <c r="AM343" s="15">
        <f>AL343/AL348</f>
        <v>0.875</v>
      </c>
      <c r="AN343" s="13"/>
      <c r="AO343" s="14">
        <v>0</v>
      </c>
      <c r="AP343" s="14">
        <v>0</v>
      </c>
      <c r="AQ343" s="33">
        <v>1</v>
      </c>
      <c r="AR343" s="33">
        <v>0</v>
      </c>
      <c r="AS343" s="9" t="s">
        <v>82</v>
      </c>
      <c r="AT343" s="33">
        <v>0</v>
      </c>
      <c r="AU343" s="14">
        <f>SUM(AO343:AT343)</f>
        <v>1</v>
      </c>
      <c r="AV343" s="15">
        <f>AU343/AU348</f>
        <v>0.25</v>
      </c>
      <c r="AW343" s="13"/>
      <c r="AX343" s="14">
        <v>0</v>
      </c>
      <c r="AY343" s="14">
        <v>1</v>
      </c>
      <c r="AZ343" s="9" t="s">
        <v>82</v>
      </c>
      <c r="BA343" s="33">
        <v>1</v>
      </c>
      <c r="BB343" s="33">
        <v>0</v>
      </c>
      <c r="BC343" s="14">
        <f>SUM(AX343:BB343)</f>
        <v>2</v>
      </c>
      <c r="BD343" s="15">
        <f>BC343/BC348</f>
        <v>1</v>
      </c>
      <c r="BE343" s="13"/>
      <c r="BF343" s="14">
        <v>3</v>
      </c>
      <c r="BG343" s="15">
        <f>BF343/BF348</f>
        <v>0.375</v>
      </c>
      <c r="BH343" s="16"/>
      <c r="BI343" s="15"/>
    </row>
    <row r="344" spans="1:61" ht="20.25" customHeight="1">
      <c r="A344" s="10" t="s">
        <v>168</v>
      </c>
      <c r="B344" s="9">
        <v>0</v>
      </c>
      <c r="C344" s="9">
        <v>1</v>
      </c>
      <c r="D344" s="9">
        <v>0</v>
      </c>
      <c r="E344" s="9">
        <v>1</v>
      </c>
      <c r="F344" s="9">
        <v>1</v>
      </c>
      <c r="G344" s="32" t="s">
        <v>59</v>
      </c>
      <c r="H344" s="9">
        <v>0</v>
      </c>
      <c r="I344" s="9">
        <v>1</v>
      </c>
      <c r="J344" s="33">
        <v>0</v>
      </c>
      <c r="K344" s="10">
        <f>SUM(B344:J344)</f>
        <v>4</v>
      </c>
      <c r="L344" s="11">
        <f>K344/K348</f>
        <v>5.5555555555555552E-2</v>
      </c>
      <c r="M344" s="35">
        <f>K344/K351</f>
        <v>5.4794520547945202E-2</v>
      </c>
      <c r="N344" s="12"/>
      <c r="O344" s="11"/>
      <c r="P344" s="13"/>
      <c r="Q344" s="33">
        <v>0</v>
      </c>
      <c r="R344" s="33">
        <v>0</v>
      </c>
      <c r="S344" s="33">
        <v>0</v>
      </c>
      <c r="T344" s="14">
        <f>SUM(Q344:S344)</f>
        <v>0</v>
      </c>
      <c r="U344" s="15">
        <f>T344/T348</f>
        <v>0</v>
      </c>
      <c r="V344" s="13"/>
      <c r="W344" s="33">
        <v>1</v>
      </c>
      <c r="X344" s="33">
        <v>0</v>
      </c>
      <c r="Y344" s="33">
        <v>0</v>
      </c>
      <c r="Z344" s="33" t="s">
        <v>82</v>
      </c>
      <c r="AA344" s="33">
        <v>1</v>
      </c>
      <c r="AB344" s="33">
        <v>0</v>
      </c>
      <c r="AC344" s="14">
        <f>SUM(W344:AB344)</f>
        <v>2</v>
      </c>
      <c r="AD344" s="15">
        <f>AC344/AC348</f>
        <v>0.10526315789473684</v>
      </c>
      <c r="AE344" s="13"/>
      <c r="AF344" s="33">
        <v>1</v>
      </c>
      <c r="AG344" s="33">
        <v>0</v>
      </c>
      <c r="AH344" s="9" t="s">
        <v>82</v>
      </c>
      <c r="AI344" s="33">
        <v>0</v>
      </c>
      <c r="AJ344" s="33">
        <v>0</v>
      </c>
      <c r="AK344" s="33">
        <v>0</v>
      </c>
      <c r="AL344" s="14">
        <f>SUM(AF344:AK344)</f>
        <v>1</v>
      </c>
      <c r="AM344" s="15">
        <f>AL344/AL348</f>
        <v>4.1666666666666664E-2</v>
      </c>
      <c r="AN344" s="13"/>
      <c r="AO344" s="14">
        <v>0</v>
      </c>
      <c r="AP344" s="14">
        <v>0</v>
      </c>
      <c r="AQ344" s="33">
        <v>0</v>
      </c>
      <c r="AR344" s="33">
        <v>0</v>
      </c>
      <c r="AS344" s="9" t="s">
        <v>82</v>
      </c>
      <c r="AT344" s="33">
        <v>1</v>
      </c>
      <c r="AU344" s="14">
        <f>SUM(AO344:AT344)</f>
        <v>1</v>
      </c>
      <c r="AV344" s="15">
        <f>AU344/AU348</f>
        <v>0.25</v>
      </c>
      <c r="AW344" s="13"/>
      <c r="AX344" s="14">
        <v>0</v>
      </c>
      <c r="AY344" s="14">
        <v>0</v>
      </c>
      <c r="AZ344" s="9" t="s">
        <v>82</v>
      </c>
      <c r="BA344" s="33">
        <v>0</v>
      </c>
      <c r="BB344" s="33">
        <v>0</v>
      </c>
      <c r="BC344" s="14">
        <f>SUM(AX344:BB344)</f>
        <v>0</v>
      </c>
      <c r="BD344" s="15">
        <f>BC344/BC348</f>
        <v>0</v>
      </c>
      <c r="BE344" s="13"/>
      <c r="BF344" s="14">
        <v>3</v>
      </c>
      <c r="BG344" s="15">
        <f>BF344/BF348</f>
        <v>0.375</v>
      </c>
      <c r="BH344" s="16"/>
      <c r="BI344" s="15"/>
    </row>
    <row r="345" spans="1:61" ht="20.25" customHeight="1">
      <c r="A345" s="10" t="s">
        <v>84</v>
      </c>
      <c r="B345" s="9">
        <v>0</v>
      </c>
      <c r="C345" s="9">
        <v>2</v>
      </c>
      <c r="D345" s="9">
        <v>3</v>
      </c>
      <c r="E345" s="9">
        <v>1</v>
      </c>
      <c r="F345" s="9">
        <v>1</v>
      </c>
      <c r="G345" s="32" t="s">
        <v>59</v>
      </c>
      <c r="H345" s="9">
        <v>2</v>
      </c>
      <c r="I345" s="9">
        <v>2</v>
      </c>
      <c r="J345" s="33">
        <v>0</v>
      </c>
      <c r="K345" s="10">
        <f>SUM(B345:J345)</f>
        <v>11</v>
      </c>
      <c r="L345" s="11">
        <f>K345/K348</f>
        <v>0.15277777777777779</v>
      </c>
      <c r="M345" s="35">
        <f>K345/K351</f>
        <v>0.15068493150684931</v>
      </c>
      <c r="N345" s="12"/>
      <c r="O345" s="11"/>
      <c r="P345" s="13"/>
      <c r="Q345" s="33">
        <v>2</v>
      </c>
      <c r="R345" s="33">
        <v>2</v>
      </c>
      <c r="S345" s="33">
        <v>0</v>
      </c>
      <c r="T345" s="14">
        <f>SUM(Q345:S345)</f>
        <v>4</v>
      </c>
      <c r="U345" s="15">
        <f>T345/T348</f>
        <v>0.30769230769230771</v>
      </c>
      <c r="V345" s="13"/>
      <c r="W345" s="33">
        <v>0</v>
      </c>
      <c r="X345" s="33">
        <v>1</v>
      </c>
      <c r="Y345" s="33">
        <v>1</v>
      </c>
      <c r="Z345" s="33" t="s">
        <v>82</v>
      </c>
      <c r="AA345" s="33">
        <v>1</v>
      </c>
      <c r="AB345" s="33">
        <v>0</v>
      </c>
      <c r="AC345" s="14">
        <f>SUM(W345:AB345)</f>
        <v>3</v>
      </c>
      <c r="AD345" s="15">
        <f>AC345/AC348</f>
        <v>0.15789473684210525</v>
      </c>
      <c r="AE345" s="13"/>
      <c r="AF345" s="33">
        <v>0</v>
      </c>
      <c r="AG345" s="33">
        <v>1</v>
      </c>
      <c r="AH345" s="9" t="s">
        <v>82</v>
      </c>
      <c r="AI345" s="33">
        <v>0</v>
      </c>
      <c r="AJ345" s="33">
        <v>1</v>
      </c>
      <c r="AK345" s="33">
        <v>0</v>
      </c>
      <c r="AL345" s="14">
        <f>SUM(AF345:AK345)</f>
        <v>2</v>
      </c>
      <c r="AM345" s="15">
        <f>AL345/AL348</f>
        <v>8.3333333333333329E-2</v>
      </c>
      <c r="AN345" s="13"/>
      <c r="AO345" s="14">
        <v>0</v>
      </c>
      <c r="AP345" s="14">
        <v>0</v>
      </c>
      <c r="AQ345" s="33">
        <v>1</v>
      </c>
      <c r="AR345" s="33">
        <v>0</v>
      </c>
      <c r="AS345" s="9" t="s">
        <v>82</v>
      </c>
      <c r="AT345" s="33">
        <v>1</v>
      </c>
      <c r="AU345" s="14">
        <f>SUM(AO345:AT345)</f>
        <v>2</v>
      </c>
      <c r="AV345" s="15">
        <f>AU345/AU348</f>
        <v>0.5</v>
      </c>
      <c r="AW345" s="13"/>
      <c r="AX345" s="14">
        <v>0</v>
      </c>
      <c r="AY345" s="14">
        <v>0</v>
      </c>
      <c r="AZ345" s="9" t="s">
        <v>82</v>
      </c>
      <c r="BA345" s="33">
        <v>0</v>
      </c>
      <c r="BB345" s="33">
        <v>0</v>
      </c>
      <c r="BC345" s="14">
        <f>SUM(AX345:BB345)</f>
        <v>0</v>
      </c>
      <c r="BD345" s="15">
        <f>BC345/BC348</f>
        <v>0</v>
      </c>
      <c r="BE345" s="13"/>
      <c r="BF345" s="14">
        <v>2</v>
      </c>
      <c r="BG345" s="15">
        <f>BF345/BF348</f>
        <v>0.25</v>
      </c>
      <c r="BH345" s="16"/>
      <c r="BI345" s="15"/>
    </row>
    <row r="346" spans="1:61" ht="20.25" customHeight="1">
      <c r="A346" s="10" t="s">
        <v>85</v>
      </c>
      <c r="B346" s="9">
        <v>0</v>
      </c>
      <c r="C346" s="9">
        <v>0</v>
      </c>
      <c r="D346" s="9">
        <v>1</v>
      </c>
      <c r="E346" s="9">
        <v>1</v>
      </c>
      <c r="F346" s="9">
        <v>0</v>
      </c>
      <c r="G346" s="32" t="s">
        <v>59</v>
      </c>
      <c r="H346" s="9">
        <v>0</v>
      </c>
      <c r="I346" s="9">
        <v>0</v>
      </c>
      <c r="J346" s="33">
        <v>0</v>
      </c>
      <c r="K346" s="10">
        <f>SUM(B346:J346)</f>
        <v>2</v>
      </c>
      <c r="L346" s="11">
        <f>K346/K348</f>
        <v>2.7777777777777776E-2</v>
      </c>
      <c r="M346" s="35">
        <f>K346/K351</f>
        <v>2.7397260273972601E-2</v>
      </c>
      <c r="N346" s="12"/>
      <c r="O346" s="11"/>
      <c r="P346" s="13"/>
      <c r="Q346" s="33">
        <v>0</v>
      </c>
      <c r="R346" s="33">
        <v>0</v>
      </c>
      <c r="S346" s="33">
        <v>0</v>
      </c>
      <c r="T346" s="14">
        <f>SUM(Q346:S346)</f>
        <v>0</v>
      </c>
      <c r="U346" s="15">
        <f>T346/T348</f>
        <v>0</v>
      </c>
      <c r="V346" s="13"/>
      <c r="W346" s="33">
        <v>0</v>
      </c>
      <c r="X346" s="33">
        <v>0</v>
      </c>
      <c r="Y346" s="33">
        <v>1</v>
      </c>
      <c r="Z346" s="33" t="s">
        <v>82</v>
      </c>
      <c r="AA346" s="33">
        <v>1</v>
      </c>
      <c r="AB346" s="33">
        <v>0</v>
      </c>
      <c r="AC346" s="14">
        <f>SUM(W346:AB346)</f>
        <v>2</v>
      </c>
      <c r="AD346" s="15">
        <f>AC346/AC348</f>
        <v>0.10526315789473684</v>
      </c>
      <c r="AE346" s="13"/>
      <c r="AF346" s="33">
        <v>0</v>
      </c>
      <c r="AG346" s="33">
        <v>0</v>
      </c>
      <c r="AH346" s="9" t="s">
        <v>82</v>
      </c>
      <c r="AI346" s="33">
        <v>0</v>
      </c>
      <c r="AJ346" s="33">
        <v>0</v>
      </c>
      <c r="AK346" s="33">
        <v>0</v>
      </c>
      <c r="AL346" s="14">
        <f>SUM(AF346:AK346)</f>
        <v>0</v>
      </c>
      <c r="AM346" s="15">
        <f>AL346/AL348</f>
        <v>0</v>
      </c>
      <c r="AN346" s="13"/>
      <c r="AO346" s="14">
        <v>0</v>
      </c>
      <c r="AP346" s="14">
        <v>0</v>
      </c>
      <c r="AQ346" s="33">
        <v>0</v>
      </c>
      <c r="AR346" s="33">
        <v>0</v>
      </c>
      <c r="AS346" s="9" t="s">
        <v>82</v>
      </c>
      <c r="AT346" s="33">
        <v>0</v>
      </c>
      <c r="AU346" s="14">
        <f>SUM(AO346:AT346)</f>
        <v>0</v>
      </c>
      <c r="AV346" s="15">
        <f>AU346/AU348</f>
        <v>0</v>
      </c>
      <c r="AW346" s="13"/>
      <c r="AX346" s="14">
        <v>0</v>
      </c>
      <c r="AY346" s="14">
        <v>0</v>
      </c>
      <c r="AZ346" s="9" t="s">
        <v>82</v>
      </c>
      <c r="BA346" s="33">
        <v>0</v>
      </c>
      <c r="BB346" s="33">
        <v>0</v>
      </c>
      <c r="BC346" s="14">
        <f>SUM(AX346:BB346)</f>
        <v>0</v>
      </c>
      <c r="BD346" s="15">
        <f>BC346/BC348</f>
        <v>0</v>
      </c>
      <c r="BE346" s="13"/>
      <c r="BF346" s="14">
        <v>0</v>
      </c>
      <c r="BG346" s="15">
        <f>BF346/BF348</f>
        <v>0</v>
      </c>
      <c r="BH346" s="16"/>
      <c r="BI346" s="15"/>
    </row>
    <row r="347" spans="1:61" ht="20.25" customHeight="1">
      <c r="A347" s="121" t="s">
        <v>170</v>
      </c>
      <c r="B347" s="120">
        <v>7</v>
      </c>
      <c r="C347" s="120" t="s">
        <v>59</v>
      </c>
      <c r="D347" s="120" t="s">
        <v>59</v>
      </c>
      <c r="E347" s="120" t="s">
        <v>59</v>
      </c>
      <c r="F347" s="120" t="s">
        <v>59</v>
      </c>
      <c r="G347" s="120" t="s">
        <v>59</v>
      </c>
      <c r="H347" s="120" t="s">
        <v>59</v>
      </c>
      <c r="I347" s="120" t="s">
        <v>59</v>
      </c>
      <c r="J347" s="122" t="s">
        <v>59</v>
      </c>
      <c r="K347" s="121">
        <f>SUM(B347:J347)</f>
        <v>7</v>
      </c>
      <c r="L347" s="11">
        <f>K347/K348</f>
        <v>9.7222222222222224E-2</v>
      </c>
      <c r="M347" s="35">
        <f>K347/K351</f>
        <v>9.5890410958904104E-2</v>
      </c>
      <c r="N347" s="123"/>
      <c r="O347" s="11"/>
      <c r="P347" s="13"/>
      <c r="Q347" s="119"/>
      <c r="R347" s="119"/>
      <c r="S347" s="14">
        <f>SUM(S341:S346)</f>
        <v>1</v>
      </c>
      <c r="T347" s="14">
        <f>SUM(Q347:S347)</f>
        <v>1</v>
      </c>
      <c r="U347" s="15"/>
      <c r="V347" s="13"/>
      <c r="W347" s="119"/>
      <c r="X347" s="119"/>
      <c r="Y347" s="119"/>
      <c r="Z347" s="119"/>
      <c r="AA347" s="119"/>
      <c r="AB347" s="119"/>
      <c r="AC347" s="14">
        <f>SUM(W347:AB347)</f>
        <v>0</v>
      </c>
      <c r="AD347" s="15"/>
      <c r="AE347" s="13"/>
      <c r="AF347" s="33" t="s">
        <v>82</v>
      </c>
      <c r="AG347" s="33" t="s">
        <v>82</v>
      </c>
      <c r="AH347" s="33" t="s">
        <v>82</v>
      </c>
      <c r="AI347" s="33" t="s">
        <v>82</v>
      </c>
      <c r="AJ347" s="33" t="s">
        <v>82</v>
      </c>
      <c r="AK347" s="33" t="s">
        <v>82</v>
      </c>
      <c r="AL347" s="14">
        <f>SUM(AF347:AK347)</f>
        <v>0</v>
      </c>
      <c r="AM347" s="15"/>
      <c r="AN347" s="13"/>
      <c r="AO347" s="9" t="s">
        <v>82</v>
      </c>
      <c r="AP347" s="9" t="s">
        <v>82</v>
      </c>
      <c r="AQ347" s="9" t="s">
        <v>82</v>
      </c>
      <c r="AR347" s="9" t="s">
        <v>82</v>
      </c>
      <c r="AS347" s="9" t="s">
        <v>82</v>
      </c>
      <c r="AT347" s="9" t="s">
        <v>82</v>
      </c>
      <c r="AU347" s="14">
        <f>SUM(AO347:AT347)</f>
        <v>0</v>
      </c>
      <c r="AV347" s="15"/>
      <c r="AW347" s="13"/>
      <c r="AX347" s="9" t="s">
        <v>82</v>
      </c>
      <c r="AY347" s="9" t="s">
        <v>82</v>
      </c>
      <c r="AZ347" s="9" t="s">
        <v>82</v>
      </c>
      <c r="BA347" s="9" t="s">
        <v>82</v>
      </c>
      <c r="BB347" s="9" t="s">
        <v>82</v>
      </c>
      <c r="BC347" s="14">
        <f>SUM(AX347:BB347)</f>
        <v>0</v>
      </c>
      <c r="BD347" s="15"/>
      <c r="BE347" s="13"/>
      <c r="BF347" s="14"/>
      <c r="BG347" s="15"/>
      <c r="BH347" s="16"/>
      <c r="BI347" s="15"/>
    </row>
    <row r="348" spans="1:61" ht="21.75" customHeight="1">
      <c r="A348" s="10" t="s">
        <v>9</v>
      </c>
      <c r="B348" s="9">
        <f>SUM(B343:B347)</f>
        <v>11</v>
      </c>
      <c r="C348" s="9">
        <f>SUM(C343:C347)</f>
        <v>4</v>
      </c>
      <c r="D348" s="9">
        <f>SUM(D343:D347)</f>
        <v>12</v>
      </c>
      <c r="E348" s="9">
        <f>SUM(E343:E347)</f>
        <v>11</v>
      </c>
      <c r="F348" s="9">
        <f>SUM(F343:F347)</f>
        <v>9</v>
      </c>
      <c r="G348" s="32" t="s">
        <v>59</v>
      </c>
      <c r="H348" s="9">
        <f>SUM(H343:H347)</f>
        <v>5</v>
      </c>
      <c r="I348" s="9">
        <f>SUM(I343:I347)</f>
        <v>10</v>
      </c>
      <c r="J348" s="9">
        <f>SUM(J343:J347)</f>
        <v>10</v>
      </c>
      <c r="K348" s="10">
        <f>SUM(K343:K347)</f>
        <v>72</v>
      </c>
      <c r="L348" s="11">
        <f>SUM(L343:L347)</f>
        <v>1</v>
      </c>
      <c r="M348" s="35">
        <f>K348/K351</f>
        <v>0.98630136986301364</v>
      </c>
      <c r="N348" s="37">
        <f>T348+AC348+AL348+AU348</f>
        <v>60</v>
      </c>
      <c r="O348" s="35">
        <f>N348/K348</f>
        <v>0.83333333333333337</v>
      </c>
      <c r="P348" s="13"/>
      <c r="Q348" s="47">
        <f>SUM(Q341:Q347)</f>
        <v>6</v>
      </c>
      <c r="R348" s="14">
        <f>SUM(R341:R347)</f>
        <v>5</v>
      </c>
      <c r="S348" s="14">
        <v>0</v>
      </c>
      <c r="T348" s="14">
        <f>SUM(T341:T347)</f>
        <v>13</v>
      </c>
      <c r="U348" s="15">
        <f>SUM(U343:U347)</f>
        <v>0.92307692307692313</v>
      </c>
      <c r="V348" s="13"/>
      <c r="W348" s="47">
        <f>SUM(W341:W347)</f>
        <v>4</v>
      </c>
      <c r="X348" s="47">
        <f>SUM(X341:X347)</f>
        <v>4</v>
      </c>
      <c r="Y348" s="47">
        <f>SUM(Y341:Y347)</f>
        <v>5</v>
      </c>
      <c r="Z348" s="112" t="s">
        <v>82</v>
      </c>
      <c r="AA348" s="47">
        <f>SUM(AA341:AA347)</f>
        <v>5</v>
      </c>
      <c r="AB348" s="47">
        <f>SUM(AB341:AB347)</f>
        <v>1</v>
      </c>
      <c r="AC348" s="45">
        <f>SUM(AC341:AC347)</f>
        <v>19</v>
      </c>
      <c r="AD348" s="15">
        <f>SUM(AD343:AD347)</f>
        <v>0.99999999999999989</v>
      </c>
      <c r="AE348" s="13"/>
      <c r="AF348" s="47">
        <f>SUM(AF341:AF347)</f>
        <v>4</v>
      </c>
      <c r="AG348" s="47">
        <f>SUM(AG341:AG347)</f>
        <v>5</v>
      </c>
      <c r="AH348" s="113" t="s">
        <v>82</v>
      </c>
      <c r="AI348" s="47">
        <f>SUM(AI341:AI347)</f>
        <v>5</v>
      </c>
      <c r="AJ348" s="47">
        <f>SUM(AJ341:AJ347)</f>
        <v>1</v>
      </c>
      <c r="AK348" s="47">
        <f>SUM(AK341:AK347)</f>
        <v>9</v>
      </c>
      <c r="AL348" s="45">
        <f>SUM(AL341:AL347)</f>
        <v>24</v>
      </c>
      <c r="AM348" s="48">
        <f>SUM(AM343:AM347)</f>
        <v>1</v>
      </c>
      <c r="AN348" s="13"/>
      <c r="AO348" s="47">
        <f>SUM(AO341:AO347)</f>
        <v>0</v>
      </c>
      <c r="AP348" s="47">
        <f>SUM(AP341:AP347)</f>
        <v>0</v>
      </c>
      <c r="AQ348" s="47">
        <f>SUM(AQ341:AQ347)</f>
        <v>2</v>
      </c>
      <c r="AR348" s="47">
        <f>SUM(AR341:AR347)</f>
        <v>0</v>
      </c>
      <c r="AS348" s="113" t="s">
        <v>82</v>
      </c>
      <c r="AT348" s="47">
        <f>SUM(AT341:AT347)</f>
        <v>2</v>
      </c>
      <c r="AU348" s="45">
        <f>SUM(AU341:AU347)</f>
        <v>4</v>
      </c>
      <c r="AV348" s="15">
        <f>SUM(AV343:AV347)</f>
        <v>1</v>
      </c>
      <c r="AW348" s="13"/>
      <c r="AX348" s="47">
        <f>SUM(AX341:AX347)</f>
        <v>0</v>
      </c>
      <c r="AY348" s="47">
        <f>SUM(AY341:AY347)</f>
        <v>1</v>
      </c>
      <c r="AZ348" s="113" t="s">
        <v>82</v>
      </c>
      <c r="BA348" s="47">
        <f>SUM(BA341:BA347)</f>
        <v>1</v>
      </c>
      <c r="BB348" s="47">
        <f>SUM(BB341:BB347)</f>
        <v>0</v>
      </c>
      <c r="BC348" s="45">
        <f>SUM(BC341:BC347)</f>
        <v>2</v>
      </c>
      <c r="BD348" s="15">
        <f>SUM(BD343:BD347)</f>
        <v>1</v>
      </c>
      <c r="BE348" s="13"/>
      <c r="BF348" s="14">
        <f>SUM(BF343:BF347)</f>
        <v>8</v>
      </c>
      <c r="BG348" s="15">
        <f>SUM(BG343:BG347)</f>
        <v>1</v>
      </c>
      <c r="BH348" s="16"/>
      <c r="BI348" s="15"/>
    </row>
    <row r="349" spans="1:61" ht="21.75" customHeight="1">
      <c r="A349" s="8" t="s">
        <v>64</v>
      </c>
      <c r="B349" s="9">
        <v>0</v>
      </c>
      <c r="C349" s="14">
        <v>0</v>
      </c>
      <c r="D349" s="32">
        <v>0</v>
      </c>
      <c r="E349" s="32">
        <v>0</v>
      </c>
      <c r="F349" s="32">
        <v>1</v>
      </c>
      <c r="G349" s="32" t="s">
        <v>59</v>
      </c>
      <c r="H349" s="32">
        <v>0</v>
      </c>
      <c r="I349" s="32">
        <v>0</v>
      </c>
      <c r="J349" s="32">
        <v>0</v>
      </c>
      <c r="K349" s="37">
        <f>SUM(B349:J349)</f>
        <v>1</v>
      </c>
      <c r="L349" s="35">
        <f>K349/(K348+K349+K350)</f>
        <v>1.3698630136986301E-2</v>
      </c>
      <c r="M349" s="35">
        <f>K349/(K351)</f>
        <v>1.3698630136986301E-2</v>
      </c>
      <c r="N349" s="37"/>
      <c r="O349" s="35"/>
      <c r="P349" s="13"/>
      <c r="Q349" s="52">
        <v>0</v>
      </c>
      <c r="R349" s="14">
        <v>0</v>
      </c>
      <c r="S349" s="14">
        <v>0</v>
      </c>
      <c r="T349" s="38">
        <f>SUM(Q349:S349)</f>
        <v>0</v>
      </c>
      <c r="U349" s="15">
        <f>T349/T351</f>
        <v>0</v>
      </c>
      <c r="V349" s="13"/>
      <c r="W349" s="52">
        <v>0</v>
      </c>
      <c r="X349" s="52">
        <v>0</v>
      </c>
      <c r="Y349" s="52">
        <v>0</v>
      </c>
      <c r="Z349" s="114" t="s">
        <v>82</v>
      </c>
      <c r="AA349" s="52">
        <v>0</v>
      </c>
      <c r="AB349" s="52">
        <v>0</v>
      </c>
      <c r="AC349" s="51">
        <f>SUM(W349:AB349)</f>
        <v>0</v>
      </c>
      <c r="AD349" s="15">
        <f>AC349/AC351</f>
        <v>0</v>
      </c>
      <c r="AE349" s="13"/>
      <c r="AF349" s="52">
        <v>0</v>
      </c>
      <c r="AG349" s="52">
        <v>0</v>
      </c>
      <c r="AH349" s="103" t="s">
        <v>82</v>
      </c>
      <c r="AI349" s="52">
        <v>0</v>
      </c>
      <c r="AJ349" s="52">
        <v>0</v>
      </c>
      <c r="AK349" s="52">
        <v>0</v>
      </c>
      <c r="AL349" s="49">
        <f>SUM(AF349:AK349)</f>
        <v>0</v>
      </c>
      <c r="AM349" s="15">
        <f>AL349/AL351</f>
        <v>0</v>
      </c>
      <c r="AN349" s="13"/>
      <c r="AO349" s="52">
        <v>0</v>
      </c>
      <c r="AP349" s="52">
        <v>1</v>
      </c>
      <c r="AQ349" s="52">
        <v>0</v>
      </c>
      <c r="AR349" s="52">
        <v>0</v>
      </c>
      <c r="AS349" s="103" t="s">
        <v>82</v>
      </c>
      <c r="AT349" s="52">
        <v>0</v>
      </c>
      <c r="AU349" s="51">
        <f>SUM(AO349:AT349)</f>
        <v>1</v>
      </c>
      <c r="AV349" s="15">
        <f>AU349/AU351</f>
        <v>0.2</v>
      </c>
      <c r="AW349" s="13"/>
      <c r="AX349" s="52">
        <v>0</v>
      </c>
      <c r="AY349" s="52">
        <v>0</v>
      </c>
      <c r="AZ349" s="103" t="s">
        <v>82</v>
      </c>
      <c r="BA349" s="52">
        <v>0</v>
      </c>
      <c r="BB349" s="52">
        <v>1</v>
      </c>
      <c r="BC349" s="51">
        <f>SUM(AX349:BB349)</f>
        <v>1</v>
      </c>
      <c r="BD349" s="15">
        <f>BC349/BC351</f>
        <v>0.33333333333333331</v>
      </c>
      <c r="BE349" s="13"/>
      <c r="BF349" s="38"/>
      <c r="BG349" s="42"/>
      <c r="BH349" s="42"/>
      <c r="BI349" s="42"/>
    </row>
    <row r="350" spans="1:61" ht="21.75" customHeight="1">
      <c r="A350" s="8" t="s">
        <v>65</v>
      </c>
      <c r="B350" s="9">
        <v>0</v>
      </c>
      <c r="C350" s="45">
        <v>0</v>
      </c>
      <c r="D350" s="32">
        <v>0</v>
      </c>
      <c r="E350" s="32">
        <v>0</v>
      </c>
      <c r="F350" s="32">
        <v>0</v>
      </c>
      <c r="G350" s="32" t="s">
        <v>59</v>
      </c>
      <c r="H350" s="32">
        <v>0</v>
      </c>
      <c r="I350" s="32">
        <v>0</v>
      </c>
      <c r="J350" s="32">
        <v>0</v>
      </c>
      <c r="K350" s="23">
        <f>SUM(B350:J350)</f>
        <v>0</v>
      </c>
      <c r="L350" s="35">
        <f>K350/(K349+K350+K348)</f>
        <v>0</v>
      </c>
      <c r="M350" s="35">
        <f>K350/(K351)</f>
        <v>0</v>
      </c>
      <c r="N350" s="23"/>
      <c r="O350" s="35"/>
      <c r="P350" s="13"/>
      <c r="Q350" s="14">
        <v>0</v>
      </c>
      <c r="R350" s="14">
        <v>0</v>
      </c>
      <c r="S350" s="38">
        <f>SUM(S347:S349)</f>
        <v>1</v>
      </c>
      <c r="T350" s="38">
        <f>SUM(Q350:S350)</f>
        <v>1</v>
      </c>
      <c r="U350" s="15">
        <f>T350/T351</f>
        <v>9.0909090909090912E-2</v>
      </c>
      <c r="V350" s="13"/>
      <c r="W350" s="14">
        <v>0</v>
      </c>
      <c r="X350" s="14">
        <v>0</v>
      </c>
      <c r="Y350" s="14">
        <v>0</v>
      </c>
      <c r="Z350" s="33" t="s">
        <v>82</v>
      </c>
      <c r="AA350" s="14">
        <v>0</v>
      </c>
      <c r="AB350" s="45">
        <v>0</v>
      </c>
      <c r="AC350" s="38">
        <f>SUM(W350:AB350)</f>
        <v>0</v>
      </c>
      <c r="AD350" s="15">
        <f>AC350/AC351</f>
        <v>0</v>
      </c>
      <c r="AE350" s="13"/>
      <c r="AF350" s="14">
        <v>0</v>
      </c>
      <c r="AG350" s="14">
        <v>0</v>
      </c>
      <c r="AH350" s="9" t="s">
        <v>82</v>
      </c>
      <c r="AI350" s="14">
        <v>0</v>
      </c>
      <c r="AJ350" s="14">
        <v>0</v>
      </c>
      <c r="AK350" s="14">
        <v>0</v>
      </c>
      <c r="AL350" s="14">
        <f>SUM(AF350:AK350)</f>
        <v>0</v>
      </c>
      <c r="AM350" s="15">
        <f>AL350/AL351</f>
        <v>0</v>
      </c>
      <c r="AN350" s="13"/>
      <c r="AO350" s="14">
        <v>0</v>
      </c>
      <c r="AP350" s="14">
        <v>0</v>
      </c>
      <c r="AQ350" s="14">
        <v>0</v>
      </c>
      <c r="AR350" s="14">
        <v>0</v>
      </c>
      <c r="AS350" s="9" t="s">
        <v>82</v>
      </c>
      <c r="AT350" s="45">
        <v>0</v>
      </c>
      <c r="AU350" s="38">
        <f>SUM(AO350:AT350)</f>
        <v>0</v>
      </c>
      <c r="AV350" s="15">
        <f>AU350/AU351</f>
        <v>0</v>
      </c>
      <c r="AW350" s="13"/>
      <c r="AX350" s="14">
        <v>0</v>
      </c>
      <c r="AY350" s="14">
        <v>0</v>
      </c>
      <c r="AZ350" s="9" t="s">
        <v>82</v>
      </c>
      <c r="BA350" s="14">
        <v>0</v>
      </c>
      <c r="BB350" s="14">
        <v>0</v>
      </c>
      <c r="BC350" s="38">
        <f>SUM(AX350:BB350)</f>
        <v>0</v>
      </c>
      <c r="BD350" s="15">
        <f>BC350/BC351</f>
        <v>0</v>
      </c>
      <c r="BE350" s="13"/>
      <c r="BF350" s="38"/>
      <c r="BG350" s="42"/>
      <c r="BH350" s="42"/>
      <c r="BI350" s="42"/>
    </row>
    <row r="351" spans="1:61" ht="21.75" customHeight="1">
      <c r="A351" s="39" t="s">
        <v>66</v>
      </c>
      <c r="B351" s="32">
        <f>SUM(B348:B350)</f>
        <v>11</v>
      </c>
      <c r="C351" s="51">
        <f>SUM(C348:C350)</f>
        <v>4</v>
      </c>
      <c r="D351" s="32">
        <f>SUM(D348:D350)</f>
        <v>12</v>
      </c>
      <c r="E351" s="32">
        <f>SUM(E348:E350)</f>
        <v>11</v>
      </c>
      <c r="F351" s="32">
        <f>SUM(F348:F350)</f>
        <v>10</v>
      </c>
      <c r="G351" s="32" t="s">
        <v>59</v>
      </c>
      <c r="H351" s="32">
        <f>SUM(H348:H350)</f>
        <v>5</v>
      </c>
      <c r="I351" s="32">
        <f>SUM(I348:I350)</f>
        <v>10</v>
      </c>
      <c r="J351" s="32">
        <f>SUM(J348:J350)</f>
        <v>10</v>
      </c>
      <c r="K351" s="23">
        <f>SUM(B351:J351)</f>
        <v>73</v>
      </c>
      <c r="L351" s="35">
        <f>K351/(K350+K349+K348)</f>
        <v>1</v>
      </c>
      <c r="M351" s="35">
        <f>K351/(K348+K349+K350)</f>
        <v>1</v>
      </c>
      <c r="N351" s="37">
        <f>T351+AC351+AL351+AU351</f>
        <v>59</v>
      </c>
      <c r="O351" s="35">
        <f>N351/K351</f>
        <v>0.80821917808219179</v>
      </c>
      <c r="P351" s="13"/>
      <c r="Q351" s="38">
        <f>SUM(Q348:Q350)</f>
        <v>6</v>
      </c>
      <c r="R351" s="38">
        <f>SUM(R348:R350)</f>
        <v>5</v>
      </c>
      <c r="S351" s="30" t="s">
        <v>28</v>
      </c>
      <c r="T351" s="38">
        <f>SUM(Q351:S351)</f>
        <v>11</v>
      </c>
      <c r="U351" s="40">
        <f>T351/(T348+T349+T350)</f>
        <v>0.7857142857142857</v>
      </c>
      <c r="V351" s="13"/>
      <c r="W351" s="38">
        <f>SUM(W348:W350)</f>
        <v>4</v>
      </c>
      <c r="X351" s="38">
        <f>SUM(X348:X350)</f>
        <v>4</v>
      </c>
      <c r="Y351" s="38">
        <f>SUM(Y348:Y350)</f>
        <v>5</v>
      </c>
      <c r="Z351" s="33" t="s">
        <v>82</v>
      </c>
      <c r="AA351" s="38">
        <f>SUM(AA348:AA350)</f>
        <v>5</v>
      </c>
      <c r="AB351" s="51">
        <f>SUM(AB348:AB350)</f>
        <v>1</v>
      </c>
      <c r="AC351" s="38">
        <f>SUM(W351:AB351)</f>
        <v>19</v>
      </c>
      <c r="AD351" s="40">
        <f>AC351/(AC348+AC349+AC350)</f>
        <v>1</v>
      </c>
      <c r="AE351" s="13"/>
      <c r="AF351" s="38">
        <f>SUM(AF348:AF350)</f>
        <v>4</v>
      </c>
      <c r="AG351" s="38">
        <f>SUM(AG348:AG350)</f>
        <v>5</v>
      </c>
      <c r="AH351" s="9" t="s">
        <v>82</v>
      </c>
      <c r="AI351" s="38">
        <f>SUM(AI348:AI350)</f>
        <v>5</v>
      </c>
      <c r="AJ351" s="38">
        <f>SUM(AJ348:AJ350)</f>
        <v>1</v>
      </c>
      <c r="AK351" s="38">
        <f>SUM(AK348:AK350)</f>
        <v>9</v>
      </c>
      <c r="AL351" s="38">
        <f>SUM(AF351:AK351)</f>
        <v>24</v>
      </c>
      <c r="AM351" s="41">
        <f>AL351/(AL348+AL349+AL350)</f>
        <v>1</v>
      </c>
      <c r="AN351" s="13"/>
      <c r="AO351" s="38">
        <f>SUM(AO348:AO350)</f>
        <v>0</v>
      </c>
      <c r="AP351" s="38">
        <f>SUM(AP348:AP350)</f>
        <v>1</v>
      </c>
      <c r="AQ351" s="38">
        <f>SUM(AQ348:AQ350)</f>
        <v>2</v>
      </c>
      <c r="AR351" s="38">
        <f>SUM(AR348:AR350)</f>
        <v>0</v>
      </c>
      <c r="AS351" s="9" t="s">
        <v>82</v>
      </c>
      <c r="AT351" s="51">
        <f>SUM(AT348:AT350)</f>
        <v>2</v>
      </c>
      <c r="AU351" s="38">
        <f>SUM(AO351:AT351)</f>
        <v>5</v>
      </c>
      <c r="AV351" s="40">
        <f>AU351/(AU348+AU349+AU350)</f>
        <v>1</v>
      </c>
      <c r="AW351" s="13"/>
      <c r="AX351" s="38">
        <f>SUM(AX348:AX350)</f>
        <v>0</v>
      </c>
      <c r="AY351" s="38">
        <f>SUM(AY348:AY350)</f>
        <v>1</v>
      </c>
      <c r="AZ351" s="9" t="s">
        <v>82</v>
      </c>
      <c r="BA351" s="38">
        <f>SUM(BA348:BA350)</f>
        <v>1</v>
      </c>
      <c r="BB351" s="38">
        <f>SUM(BB348:BB350)</f>
        <v>1</v>
      </c>
      <c r="BC351" s="38">
        <f>SUM(AX351:BB351)</f>
        <v>3</v>
      </c>
      <c r="BD351" s="40">
        <f>BC351/(BC348+BC349+BC350)</f>
        <v>1</v>
      </c>
      <c r="BE351" s="13"/>
      <c r="BF351" s="38"/>
      <c r="BG351" s="42"/>
      <c r="BH351" s="42"/>
      <c r="BI351" s="42"/>
    </row>
    <row r="352" spans="1:61" ht="68.25" customHeight="1">
      <c r="A352" s="43" t="s">
        <v>172</v>
      </c>
      <c r="B352" s="181" t="s">
        <v>140</v>
      </c>
      <c r="C352" s="182"/>
      <c r="D352" s="182"/>
      <c r="E352" s="182"/>
      <c r="F352" s="182"/>
      <c r="G352" s="22"/>
      <c r="H352" s="22"/>
      <c r="I352" s="22"/>
      <c r="J352" s="22"/>
      <c r="K352" s="21"/>
      <c r="L352" s="24"/>
      <c r="M352" s="24"/>
      <c r="N352" s="26"/>
      <c r="O352" s="24"/>
      <c r="P352" s="27"/>
      <c r="Q352" s="28"/>
      <c r="R352" s="28"/>
      <c r="S352" s="28"/>
      <c r="T352" s="26"/>
      <c r="U352" s="24"/>
      <c r="V352" s="27"/>
      <c r="W352" s="28"/>
      <c r="X352" s="28"/>
      <c r="Y352" s="28"/>
      <c r="Z352" s="28"/>
      <c r="AA352" s="28"/>
      <c r="AB352" s="28"/>
      <c r="AC352" s="26"/>
      <c r="AD352" s="24"/>
      <c r="AE352" s="27"/>
      <c r="AF352" s="28"/>
      <c r="AG352" s="28"/>
      <c r="AH352" s="28"/>
      <c r="AI352" s="28"/>
      <c r="AJ352" s="28"/>
      <c r="AK352" s="28"/>
      <c r="AL352" s="26"/>
      <c r="AM352" s="29"/>
      <c r="AN352" s="27"/>
      <c r="AO352" s="26"/>
      <c r="AP352" s="26"/>
      <c r="AQ352" s="26"/>
      <c r="AR352" s="26"/>
      <c r="AS352" s="26"/>
      <c r="AT352" s="26"/>
      <c r="AU352" s="26"/>
      <c r="AV352" s="24"/>
      <c r="AW352" s="27"/>
      <c r="AX352" s="26"/>
      <c r="AY352" s="26"/>
      <c r="AZ352" s="26"/>
      <c r="BA352" s="26"/>
      <c r="BB352" s="26"/>
      <c r="BC352" s="26"/>
      <c r="BD352" s="24"/>
      <c r="BE352" s="27"/>
      <c r="BF352" s="26"/>
      <c r="BG352" s="22"/>
      <c r="BH352" s="21"/>
      <c r="BI352" s="22"/>
    </row>
    <row r="353" spans="1:61" ht="32.25" customHeight="1">
      <c r="A353" s="10"/>
      <c r="B353" s="30" t="s">
        <v>0</v>
      </c>
      <c r="C353" s="30" t="s">
        <v>1</v>
      </c>
      <c r="D353" s="30" t="s">
        <v>2</v>
      </c>
      <c r="E353" s="30" t="s">
        <v>3</v>
      </c>
      <c r="F353" s="30" t="s">
        <v>4</v>
      </c>
      <c r="G353" s="30" t="s">
        <v>5</v>
      </c>
      <c r="H353" s="30" t="s">
        <v>68</v>
      </c>
      <c r="I353" s="30" t="s">
        <v>7</v>
      </c>
      <c r="J353" s="30" t="s">
        <v>8</v>
      </c>
      <c r="K353" s="10" t="s">
        <v>9</v>
      </c>
      <c r="L353" s="10" t="s">
        <v>56</v>
      </c>
      <c r="M353" s="20"/>
      <c r="N353" s="12"/>
      <c r="O353" s="20"/>
      <c r="P353" s="27"/>
      <c r="Q353" s="30" t="s">
        <v>15</v>
      </c>
      <c r="R353" s="30" t="s">
        <v>16</v>
      </c>
      <c r="S353" s="30" t="s">
        <v>28</v>
      </c>
      <c r="T353" s="20"/>
      <c r="U353" s="11"/>
      <c r="V353" s="27"/>
      <c r="W353" s="30" t="s">
        <v>15</v>
      </c>
      <c r="X353" s="30" t="s">
        <v>20</v>
      </c>
      <c r="Y353" s="30" t="s">
        <v>21</v>
      </c>
      <c r="Z353" s="30" t="s">
        <v>22</v>
      </c>
      <c r="AA353" s="30" t="s">
        <v>23</v>
      </c>
      <c r="AB353" s="30" t="s">
        <v>24</v>
      </c>
      <c r="AC353" s="20"/>
      <c r="AD353" s="11"/>
      <c r="AE353" s="27"/>
      <c r="AF353" s="30" t="s">
        <v>20</v>
      </c>
      <c r="AG353" s="30" t="s">
        <v>21</v>
      </c>
      <c r="AH353" s="30" t="s">
        <v>22</v>
      </c>
      <c r="AI353" s="30" t="s">
        <v>23</v>
      </c>
      <c r="AJ353" s="30" t="s">
        <v>24</v>
      </c>
      <c r="AK353" s="30" t="s">
        <v>28</v>
      </c>
      <c r="AL353" s="20"/>
      <c r="AM353" s="44"/>
      <c r="AN353" s="27"/>
      <c r="AO353" s="30" t="s">
        <v>15</v>
      </c>
      <c r="AP353" s="30" t="s">
        <v>20</v>
      </c>
      <c r="AQ353" s="30" t="s">
        <v>21</v>
      </c>
      <c r="AR353" s="30" t="s">
        <v>16</v>
      </c>
      <c r="AS353" s="30" t="s">
        <v>22</v>
      </c>
      <c r="AT353" s="30" t="s">
        <v>24</v>
      </c>
      <c r="AU353" s="20"/>
      <c r="AV353" s="11"/>
      <c r="AW353" s="27"/>
      <c r="AX353" s="30" t="s">
        <v>15</v>
      </c>
      <c r="AY353" s="30" t="s">
        <v>20</v>
      </c>
      <c r="AZ353" s="30" t="s">
        <v>22</v>
      </c>
      <c r="BA353" s="30" t="s">
        <v>23</v>
      </c>
      <c r="BB353" s="30" t="s">
        <v>28</v>
      </c>
      <c r="BC353" s="20"/>
      <c r="BD353" s="11"/>
      <c r="BE353" s="27"/>
      <c r="BF353" s="9" t="s">
        <v>173</v>
      </c>
      <c r="BG353" s="9" t="s">
        <v>39</v>
      </c>
      <c r="BH353" s="9" t="s">
        <v>40</v>
      </c>
      <c r="BI353" s="9" t="s">
        <v>41</v>
      </c>
    </row>
    <row r="354" spans="1:61" ht="20.25" customHeight="1">
      <c r="A354" s="10" t="s">
        <v>97</v>
      </c>
      <c r="B354" s="32" t="s">
        <v>59</v>
      </c>
      <c r="C354" s="32">
        <v>0</v>
      </c>
      <c r="D354" s="32">
        <v>0</v>
      </c>
      <c r="E354" s="32">
        <v>0</v>
      </c>
      <c r="F354" s="32">
        <v>0</v>
      </c>
      <c r="G354" s="32" t="s">
        <v>59</v>
      </c>
      <c r="H354" s="32">
        <v>1</v>
      </c>
      <c r="I354" s="32">
        <v>0</v>
      </c>
      <c r="J354" s="33">
        <v>2</v>
      </c>
      <c r="K354" s="23">
        <f t="shared" ref="K354:K359" si="239">SUM(B354:J354)</f>
        <v>3</v>
      </c>
      <c r="L354" s="35">
        <f>K354/K360</f>
        <v>4.7619047619047616E-2</v>
      </c>
      <c r="M354" s="35">
        <f>K354/K363</f>
        <v>4.6875E-2</v>
      </c>
      <c r="N354" s="37"/>
      <c r="O354" s="35"/>
      <c r="P354" s="13"/>
      <c r="Q354" s="33">
        <v>0</v>
      </c>
      <c r="R354" s="33">
        <v>1</v>
      </c>
      <c r="S354" s="33">
        <v>0</v>
      </c>
      <c r="T354" s="14">
        <f t="shared" ref="T354:T359" si="240">SUM(Q354:S354)</f>
        <v>1</v>
      </c>
      <c r="U354" s="40">
        <f>T354/T360</f>
        <v>7.6923076923076927E-2</v>
      </c>
      <c r="V354" s="13"/>
      <c r="W354" s="33">
        <v>0</v>
      </c>
      <c r="X354" s="33">
        <v>0</v>
      </c>
      <c r="Y354" s="33">
        <v>0</v>
      </c>
      <c r="Z354" s="33" t="s">
        <v>82</v>
      </c>
      <c r="AA354" s="33">
        <v>0</v>
      </c>
      <c r="AB354" s="33">
        <v>0</v>
      </c>
      <c r="AC354" s="14">
        <f t="shared" ref="AC354:AC359" si="241">SUM(W354:AB354)</f>
        <v>0</v>
      </c>
      <c r="AD354" s="40">
        <f>AC354/AC360</f>
        <v>0</v>
      </c>
      <c r="AE354" s="13"/>
      <c r="AF354" s="33">
        <v>0</v>
      </c>
      <c r="AG354" s="33">
        <v>0</v>
      </c>
      <c r="AH354" s="9" t="s">
        <v>82</v>
      </c>
      <c r="AI354" s="33">
        <v>0</v>
      </c>
      <c r="AJ354" s="14">
        <v>0</v>
      </c>
      <c r="AK354" s="14">
        <v>1</v>
      </c>
      <c r="AL354" s="14">
        <f t="shared" ref="AL354:AL359" si="242">SUM(AF354:AK354)</f>
        <v>1</v>
      </c>
      <c r="AM354" s="40">
        <f>AL354/AL360</f>
        <v>5.5555555555555552E-2</v>
      </c>
      <c r="AN354" s="13"/>
      <c r="AO354" s="33">
        <v>0</v>
      </c>
      <c r="AP354" s="33">
        <v>0</v>
      </c>
      <c r="AQ354" s="33">
        <v>0</v>
      </c>
      <c r="AR354" s="33">
        <v>0</v>
      </c>
      <c r="AS354" s="9" t="s">
        <v>82</v>
      </c>
      <c r="AT354" s="33">
        <v>0</v>
      </c>
      <c r="AU354" s="14">
        <f t="shared" ref="AU354:AU359" si="243">SUM(AO354:AT354)</f>
        <v>0</v>
      </c>
      <c r="AV354" s="40">
        <f>AU354/AU360</f>
        <v>0</v>
      </c>
      <c r="AW354" s="13"/>
      <c r="AX354" s="33">
        <v>0</v>
      </c>
      <c r="AY354" s="33">
        <v>0</v>
      </c>
      <c r="AZ354" s="9" t="s">
        <v>82</v>
      </c>
      <c r="BA354" s="33">
        <v>0</v>
      </c>
      <c r="BB354" s="33">
        <v>1</v>
      </c>
      <c r="BC354" s="14">
        <f t="shared" ref="BC354:BC359" si="244">SUM(AX354:BB354)</f>
        <v>1</v>
      </c>
      <c r="BD354" s="40">
        <f>BC354/BC360</f>
        <v>0.25</v>
      </c>
      <c r="BE354" s="13"/>
      <c r="BF354" s="14"/>
      <c r="BG354" s="15" t="e">
        <f>BF354/BF360</f>
        <v>#DIV/0!</v>
      </c>
      <c r="BH354" s="16"/>
      <c r="BI354" s="15"/>
    </row>
    <row r="355" spans="1:61" ht="20.25" customHeight="1">
      <c r="A355" s="10" t="s">
        <v>98</v>
      </c>
      <c r="B355" s="32" t="s">
        <v>59</v>
      </c>
      <c r="C355" s="32">
        <v>0</v>
      </c>
      <c r="D355" s="32">
        <v>0</v>
      </c>
      <c r="E355" s="32">
        <v>0</v>
      </c>
      <c r="F355" s="32">
        <v>0</v>
      </c>
      <c r="G355" s="32" t="s">
        <v>59</v>
      </c>
      <c r="H355" s="32">
        <v>4</v>
      </c>
      <c r="I355" s="32">
        <v>0</v>
      </c>
      <c r="J355" s="33">
        <v>1</v>
      </c>
      <c r="K355" s="23">
        <f t="shared" si="239"/>
        <v>5</v>
      </c>
      <c r="L355" s="35">
        <f>K355/K360</f>
        <v>7.9365079365079361E-2</v>
      </c>
      <c r="M355" s="35">
        <f>K355/K363</f>
        <v>7.8125E-2</v>
      </c>
      <c r="N355" s="37"/>
      <c r="O355" s="35"/>
      <c r="P355" s="13"/>
      <c r="Q355" s="33">
        <v>0</v>
      </c>
      <c r="R355" s="33">
        <v>4</v>
      </c>
      <c r="S355" s="33">
        <v>0</v>
      </c>
      <c r="T355" s="14">
        <f t="shared" si="240"/>
        <v>4</v>
      </c>
      <c r="U355" s="40">
        <f>T355/T360</f>
        <v>0.30769230769230771</v>
      </c>
      <c r="V355" s="13"/>
      <c r="W355" s="33">
        <v>0</v>
      </c>
      <c r="X355" s="33">
        <v>0</v>
      </c>
      <c r="Y355" s="33">
        <v>0</v>
      </c>
      <c r="Z355" s="33" t="s">
        <v>82</v>
      </c>
      <c r="AA355" s="33">
        <v>0</v>
      </c>
      <c r="AB355" s="33">
        <v>0</v>
      </c>
      <c r="AC355" s="14">
        <f t="shared" si="241"/>
        <v>0</v>
      </c>
      <c r="AD355" s="40">
        <f>AC355/AC360</f>
        <v>0</v>
      </c>
      <c r="AE355" s="13"/>
      <c r="AF355" s="33">
        <v>0</v>
      </c>
      <c r="AG355" s="33">
        <v>0</v>
      </c>
      <c r="AH355" s="9" t="s">
        <v>82</v>
      </c>
      <c r="AI355" s="33">
        <v>0</v>
      </c>
      <c r="AJ355" s="47">
        <v>0</v>
      </c>
      <c r="AK355" s="47">
        <v>1</v>
      </c>
      <c r="AL355" s="14">
        <f t="shared" si="242"/>
        <v>1</v>
      </c>
      <c r="AM355" s="40">
        <f>AL355/AL360</f>
        <v>5.5555555555555552E-2</v>
      </c>
      <c r="AN355" s="13"/>
      <c r="AO355" s="33">
        <v>0</v>
      </c>
      <c r="AP355" s="33">
        <v>0</v>
      </c>
      <c r="AQ355" s="33">
        <v>0</v>
      </c>
      <c r="AR355" s="33">
        <v>0</v>
      </c>
      <c r="AS355" s="9" t="s">
        <v>82</v>
      </c>
      <c r="AT355" s="33">
        <v>0</v>
      </c>
      <c r="AU355" s="14">
        <f t="shared" si="243"/>
        <v>0</v>
      </c>
      <c r="AV355" s="40">
        <f>AU355/AU360</f>
        <v>0</v>
      </c>
      <c r="AW355" s="13"/>
      <c r="AX355" s="33">
        <v>0</v>
      </c>
      <c r="AY355" s="33">
        <v>0</v>
      </c>
      <c r="AZ355" s="9" t="s">
        <v>82</v>
      </c>
      <c r="BA355" s="33">
        <v>0</v>
      </c>
      <c r="BB355" s="33">
        <v>0</v>
      </c>
      <c r="BC355" s="14">
        <f t="shared" si="244"/>
        <v>0</v>
      </c>
      <c r="BD355" s="40">
        <f>BC355/BC360</f>
        <v>0</v>
      </c>
      <c r="BE355" s="13"/>
      <c r="BF355" s="14"/>
      <c r="BG355" s="15" t="e">
        <f>BF355/BF360</f>
        <v>#DIV/0!</v>
      </c>
      <c r="BH355" s="16"/>
      <c r="BI355" s="15"/>
    </row>
    <row r="356" spans="1:61" ht="20.25" customHeight="1">
      <c r="A356" s="10" t="s">
        <v>99</v>
      </c>
      <c r="B356" s="32" t="s">
        <v>59</v>
      </c>
      <c r="C356" s="32">
        <v>0</v>
      </c>
      <c r="D356" s="32">
        <v>1</v>
      </c>
      <c r="E356" s="32">
        <v>0</v>
      </c>
      <c r="F356" s="32">
        <v>0</v>
      </c>
      <c r="G356" s="32" t="s">
        <v>59</v>
      </c>
      <c r="H356" s="32">
        <v>1</v>
      </c>
      <c r="I356" s="32">
        <v>1</v>
      </c>
      <c r="J356" s="33">
        <v>0</v>
      </c>
      <c r="K356" s="23">
        <f t="shared" si="239"/>
        <v>3</v>
      </c>
      <c r="L356" s="35">
        <f>K356/K360</f>
        <v>4.7619047619047616E-2</v>
      </c>
      <c r="M356" s="35">
        <f>K356/K363</f>
        <v>4.6875E-2</v>
      </c>
      <c r="N356" s="37"/>
      <c r="O356" s="35"/>
      <c r="P356" s="13"/>
      <c r="Q356" s="33">
        <v>0</v>
      </c>
      <c r="R356" s="33">
        <v>1</v>
      </c>
      <c r="S356" s="33">
        <v>0</v>
      </c>
      <c r="T356" s="14">
        <f t="shared" si="240"/>
        <v>1</v>
      </c>
      <c r="U356" s="40">
        <f>T356/T360</f>
        <v>7.6923076923076927E-2</v>
      </c>
      <c r="V356" s="13"/>
      <c r="W356" s="33">
        <v>1</v>
      </c>
      <c r="X356" s="33">
        <v>0</v>
      </c>
      <c r="Y356" s="33">
        <v>1</v>
      </c>
      <c r="Z356" s="33" t="s">
        <v>82</v>
      </c>
      <c r="AA356" s="33">
        <v>0</v>
      </c>
      <c r="AB356" s="33">
        <v>0</v>
      </c>
      <c r="AC356" s="14">
        <f t="shared" si="241"/>
        <v>2</v>
      </c>
      <c r="AD356" s="40">
        <f>AC356/AC360</f>
        <v>0.1</v>
      </c>
      <c r="AE356" s="13"/>
      <c r="AF356" s="33">
        <v>0</v>
      </c>
      <c r="AG356" s="33">
        <v>0</v>
      </c>
      <c r="AH356" s="9" t="s">
        <v>82</v>
      </c>
      <c r="AI356" s="33">
        <v>0</v>
      </c>
      <c r="AJ356" s="52">
        <v>0</v>
      </c>
      <c r="AK356" s="52">
        <v>0</v>
      </c>
      <c r="AL356" s="14">
        <f t="shared" si="242"/>
        <v>0</v>
      </c>
      <c r="AM356" s="40">
        <f>AL356/AL360</f>
        <v>0</v>
      </c>
      <c r="AN356" s="13"/>
      <c r="AO356" s="33">
        <v>0</v>
      </c>
      <c r="AP356" s="33">
        <v>0</v>
      </c>
      <c r="AQ356" s="33">
        <v>0</v>
      </c>
      <c r="AR356" s="33">
        <v>0</v>
      </c>
      <c r="AS356" s="9" t="s">
        <v>82</v>
      </c>
      <c r="AT356" s="33">
        <v>0</v>
      </c>
      <c r="AU356" s="14">
        <f t="shared" si="243"/>
        <v>0</v>
      </c>
      <c r="AV356" s="40">
        <f>AU356/AU360</f>
        <v>0</v>
      </c>
      <c r="AW356" s="13"/>
      <c r="AX356" s="33">
        <v>0</v>
      </c>
      <c r="AY356" s="33">
        <v>0</v>
      </c>
      <c r="AZ356" s="9" t="s">
        <v>82</v>
      </c>
      <c r="BA356" s="33">
        <v>0</v>
      </c>
      <c r="BB356" s="33">
        <v>0</v>
      </c>
      <c r="BC356" s="14">
        <f t="shared" si="244"/>
        <v>0</v>
      </c>
      <c r="BD356" s="40">
        <f>BC356/BC360</f>
        <v>0</v>
      </c>
      <c r="BE356" s="13"/>
      <c r="BF356" s="14"/>
      <c r="BG356" s="15" t="e">
        <f>BF356/BF360</f>
        <v>#DIV/0!</v>
      </c>
      <c r="BH356" s="16"/>
      <c r="BI356" s="15"/>
    </row>
    <row r="357" spans="1:61" ht="20.25" customHeight="1">
      <c r="A357" s="10" t="s">
        <v>100</v>
      </c>
      <c r="B357" s="32" t="s">
        <v>59</v>
      </c>
      <c r="C357" s="32">
        <v>3</v>
      </c>
      <c r="D357" s="32">
        <v>4</v>
      </c>
      <c r="E357" s="32">
        <v>2</v>
      </c>
      <c r="F357" s="32">
        <v>3</v>
      </c>
      <c r="G357" s="32" t="s">
        <v>59</v>
      </c>
      <c r="H357" s="32">
        <v>1</v>
      </c>
      <c r="I357" s="32">
        <v>4</v>
      </c>
      <c r="J357" s="33">
        <v>2</v>
      </c>
      <c r="K357" s="23">
        <f t="shared" si="239"/>
        <v>19</v>
      </c>
      <c r="L357" s="35">
        <f>K357/K360</f>
        <v>0.30158730158730157</v>
      </c>
      <c r="M357" s="35">
        <f>K357/K363</f>
        <v>0.296875</v>
      </c>
      <c r="N357" s="37"/>
      <c r="O357" s="35"/>
      <c r="P357" s="13"/>
      <c r="Q357" s="33">
        <v>2</v>
      </c>
      <c r="R357" s="33">
        <v>1</v>
      </c>
      <c r="S357" s="33">
        <v>0</v>
      </c>
      <c r="T357" s="14">
        <f t="shared" si="240"/>
        <v>3</v>
      </c>
      <c r="U357" s="40">
        <f>T357/T360</f>
        <v>0.23076923076923078</v>
      </c>
      <c r="V357" s="13"/>
      <c r="W357" s="33">
        <v>1</v>
      </c>
      <c r="X357" s="33">
        <v>1</v>
      </c>
      <c r="Y357" s="33">
        <v>2</v>
      </c>
      <c r="Z357" s="33" t="s">
        <v>82</v>
      </c>
      <c r="AA357" s="33">
        <v>1</v>
      </c>
      <c r="AB357" s="33">
        <v>1</v>
      </c>
      <c r="AC357" s="14">
        <f t="shared" si="241"/>
        <v>6</v>
      </c>
      <c r="AD357" s="40">
        <f>AC357/AC360</f>
        <v>0.3</v>
      </c>
      <c r="AE357" s="13"/>
      <c r="AF357" s="33">
        <v>1</v>
      </c>
      <c r="AG357" s="33">
        <v>1</v>
      </c>
      <c r="AH357" s="9" t="s">
        <v>82</v>
      </c>
      <c r="AI357" s="33">
        <v>1</v>
      </c>
      <c r="AJ357" s="14">
        <v>0</v>
      </c>
      <c r="AK357" s="14">
        <v>1</v>
      </c>
      <c r="AL357" s="14">
        <f t="shared" si="242"/>
        <v>4</v>
      </c>
      <c r="AM357" s="40">
        <f>AL357/AL360</f>
        <v>0.22222222222222221</v>
      </c>
      <c r="AN357" s="13"/>
      <c r="AO357" s="33">
        <v>1</v>
      </c>
      <c r="AP357" s="33">
        <v>1</v>
      </c>
      <c r="AQ357" s="33">
        <v>1</v>
      </c>
      <c r="AR357" s="33">
        <v>0</v>
      </c>
      <c r="AS357" s="9" t="s">
        <v>82</v>
      </c>
      <c r="AT357" s="33">
        <v>2</v>
      </c>
      <c r="AU357" s="14">
        <f t="shared" si="243"/>
        <v>5</v>
      </c>
      <c r="AV357" s="40">
        <f>AU357/AU360</f>
        <v>0.625</v>
      </c>
      <c r="AW357" s="13"/>
      <c r="AX357" s="33">
        <v>0</v>
      </c>
      <c r="AY357" s="33">
        <v>0</v>
      </c>
      <c r="AZ357" s="9" t="s">
        <v>82</v>
      </c>
      <c r="BA357" s="33">
        <v>0</v>
      </c>
      <c r="BB357" s="33">
        <v>1</v>
      </c>
      <c r="BC357" s="14">
        <f t="shared" si="244"/>
        <v>1</v>
      </c>
      <c r="BD357" s="40">
        <f>BC357/BC360</f>
        <v>0.25</v>
      </c>
      <c r="BE357" s="13"/>
      <c r="BF357" s="14"/>
      <c r="BG357" s="15" t="e">
        <f>BF357/BF360</f>
        <v>#DIV/0!</v>
      </c>
      <c r="BH357" s="16"/>
      <c r="BI357" s="15"/>
    </row>
    <row r="358" spans="1:61" ht="32.25" customHeight="1">
      <c r="A358" s="10" t="s">
        <v>101</v>
      </c>
      <c r="B358" s="32" t="s">
        <v>59</v>
      </c>
      <c r="C358" s="32">
        <v>0</v>
      </c>
      <c r="D358" s="32">
        <v>8</v>
      </c>
      <c r="E358" s="32">
        <v>0</v>
      </c>
      <c r="F358" s="32">
        <v>4</v>
      </c>
      <c r="G358" s="32" t="s">
        <v>59</v>
      </c>
      <c r="H358" s="32">
        <v>3</v>
      </c>
      <c r="I358" s="32">
        <v>4</v>
      </c>
      <c r="J358" s="33">
        <v>2</v>
      </c>
      <c r="K358" s="23">
        <f t="shared" si="239"/>
        <v>21</v>
      </c>
      <c r="L358" s="35">
        <f>K358/K360</f>
        <v>0.33333333333333331</v>
      </c>
      <c r="M358" s="35">
        <f>K358/K363</f>
        <v>0.328125</v>
      </c>
      <c r="N358" s="37"/>
      <c r="O358" s="35"/>
      <c r="P358" s="13"/>
      <c r="Q358" s="33">
        <v>0</v>
      </c>
      <c r="R358" s="33">
        <v>2</v>
      </c>
      <c r="S358" s="33">
        <v>0</v>
      </c>
      <c r="T358" s="14">
        <f t="shared" si="240"/>
        <v>2</v>
      </c>
      <c r="U358" s="40">
        <f>T358/T360</f>
        <v>0.15384615384615385</v>
      </c>
      <c r="V358" s="13"/>
      <c r="W358" s="33">
        <v>3</v>
      </c>
      <c r="X358" s="33">
        <v>0</v>
      </c>
      <c r="Y358" s="33">
        <v>3</v>
      </c>
      <c r="Z358" s="33" t="s">
        <v>82</v>
      </c>
      <c r="AA358" s="33">
        <v>0</v>
      </c>
      <c r="AB358" s="33">
        <v>0</v>
      </c>
      <c r="AC358" s="14">
        <f t="shared" si="241"/>
        <v>6</v>
      </c>
      <c r="AD358" s="40">
        <f>AC358/AC360</f>
        <v>0.3</v>
      </c>
      <c r="AE358" s="13"/>
      <c r="AF358" s="33">
        <v>3</v>
      </c>
      <c r="AG358" s="33">
        <v>4</v>
      </c>
      <c r="AH358" s="9" t="s">
        <v>82</v>
      </c>
      <c r="AI358" s="33">
        <v>0</v>
      </c>
      <c r="AJ358" s="14">
        <v>0</v>
      </c>
      <c r="AK358" s="14">
        <v>2</v>
      </c>
      <c r="AL358" s="14">
        <f t="shared" si="242"/>
        <v>9</v>
      </c>
      <c r="AM358" s="40">
        <f>AL358/AL360</f>
        <v>0.5</v>
      </c>
      <c r="AN358" s="13"/>
      <c r="AO358" s="33">
        <v>0</v>
      </c>
      <c r="AP358" s="33">
        <v>0</v>
      </c>
      <c r="AQ358" s="33">
        <v>1</v>
      </c>
      <c r="AR358" s="33">
        <v>1</v>
      </c>
      <c r="AS358" s="9" t="s">
        <v>82</v>
      </c>
      <c r="AT358" s="33">
        <v>0</v>
      </c>
      <c r="AU358" s="14">
        <f t="shared" si="243"/>
        <v>2</v>
      </c>
      <c r="AV358" s="40">
        <f>AU358/AU360</f>
        <v>0.25</v>
      </c>
      <c r="AW358" s="13"/>
      <c r="AX358" s="33">
        <v>1</v>
      </c>
      <c r="AY358" s="33">
        <v>1</v>
      </c>
      <c r="AZ358" s="9" t="s">
        <v>82</v>
      </c>
      <c r="BA358" s="33">
        <v>0</v>
      </c>
      <c r="BB358" s="33">
        <v>0</v>
      </c>
      <c r="BC358" s="14">
        <f t="shared" si="244"/>
        <v>2</v>
      </c>
      <c r="BD358" s="40">
        <f>BC358/BC360</f>
        <v>0.5</v>
      </c>
      <c r="BE358" s="13"/>
      <c r="BF358" s="14"/>
      <c r="BG358" s="15" t="e">
        <f>BF358/BF360</f>
        <v>#DIV/0!</v>
      </c>
      <c r="BH358" s="16"/>
      <c r="BI358" s="15"/>
    </row>
    <row r="359" spans="1:61" ht="20.25" customHeight="1">
      <c r="A359" s="10" t="s">
        <v>102</v>
      </c>
      <c r="B359" s="32" t="s">
        <v>59</v>
      </c>
      <c r="C359" s="32">
        <v>0</v>
      </c>
      <c r="D359" s="32">
        <v>2</v>
      </c>
      <c r="E359" s="32">
        <v>2</v>
      </c>
      <c r="F359" s="32">
        <v>4</v>
      </c>
      <c r="G359" s="32" t="s">
        <v>59</v>
      </c>
      <c r="H359" s="32">
        <v>0</v>
      </c>
      <c r="I359" s="32">
        <v>1</v>
      </c>
      <c r="J359" s="33">
        <v>3</v>
      </c>
      <c r="K359" s="23">
        <f t="shared" si="239"/>
        <v>12</v>
      </c>
      <c r="L359" s="35">
        <f>K359/K360</f>
        <v>0.19047619047619047</v>
      </c>
      <c r="M359" s="35">
        <f>K359/K363</f>
        <v>0.1875</v>
      </c>
      <c r="N359" s="37"/>
      <c r="O359" s="35"/>
      <c r="P359" s="13"/>
      <c r="Q359" s="33">
        <v>1</v>
      </c>
      <c r="R359" s="33">
        <v>0</v>
      </c>
      <c r="S359" s="33">
        <v>1</v>
      </c>
      <c r="T359" s="14">
        <f t="shared" si="240"/>
        <v>2</v>
      </c>
      <c r="U359" s="40">
        <f>T359/T360</f>
        <v>0.15384615384615385</v>
      </c>
      <c r="V359" s="13"/>
      <c r="W359" s="33">
        <v>0</v>
      </c>
      <c r="X359" s="33">
        <v>2</v>
      </c>
      <c r="Y359" s="33">
        <v>2</v>
      </c>
      <c r="Z359" s="33" t="s">
        <v>82</v>
      </c>
      <c r="AA359" s="33">
        <v>2</v>
      </c>
      <c r="AB359" s="33">
        <v>0</v>
      </c>
      <c r="AC359" s="14">
        <f t="shared" si="241"/>
        <v>6</v>
      </c>
      <c r="AD359" s="40">
        <f>AC359/AC360</f>
        <v>0.3</v>
      </c>
      <c r="AE359" s="13"/>
      <c r="AF359" s="33">
        <v>1</v>
      </c>
      <c r="AG359" s="33">
        <v>0</v>
      </c>
      <c r="AH359" s="9" t="s">
        <v>82</v>
      </c>
      <c r="AI359" s="33">
        <v>0</v>
      </c>
      <c r="AJ359" s="14">
        <v>0</v>
      </c>
      <c r="AK359" s="14">
        <v>2</v>
      </c>
      <c r="AL359" s="14">
        <f t="shared" si="242"/>
        <v>3</v>
      </c>
      <c r="AM359" s="40">
        <f>AL359/AL360</f>
        <v>0.16666666666666666</v>
      </c>
      <c r="AN359" s="13"/>
      <c r="AO359" s="33">
        <v>0</v>
      </c>
      <c r="AP359" s="33">
        <v>1</v>
      </c>
      <c r="AQ359" s="33">
        <v>0</v>
      </c>
      <c r="AR359" s="33">
        <v>0</v>
      </c>
      <c r="AS359" s="9" t="s">
        <v>82</v>
      </c>
      <c r="AT359" s="33">
        <v>0</v>
      </c>
      <c r="AU359" s="14">
        <f t="shared" si="243"/>
        <v>1</v>
      </c>
      <c r="AV359" s="40">
        <f>AU359/AU360</f>
        <v>0.125</v>
      </c>
      <c r="AW359" s="13"/>
      <c r="AX359" s="33">
        <v>0</v>
      </c>
      <c r="AY359" s="33">
        <v>0</v>
      </c>
      <c r="AZ359" s="9" t="s">
        <v>82</v>
      </c>
      <c r="BA359" s="33">
        <v>0</v>
      </c>
      <c r="BB359" s="33">
        <v>0</v>
      </c>
      <c r="BC359" s="14">
        <f t="shared" si="244"/>
        <v>0</v>
      </c>
      <c r="BD359" s="40">
        <f>BC359/BC360</f>
        <v>0</v>
      </c>
      <c r="BE359" s="13"/>
      <c r="BF359" s="38"/>
      <c r="BG359" s="15" t="e">
        <f>BF359/BF360</f>
        <v>#DIV/0!</v>
      </c>
      <c r="BH359" s="32"/>
      <c r="BI359" s="40"/>
    </row>
    <row r="360" spans="1:61" ht="21.75" customHeight="1">
      <c r="A360" s="10" t="s">
        <v>9</v>
      </c>
      <c r="B360" s="32" t="s">
        <v>59</v>
      </c>
      <c r="C360" s="32">
        <f>SUM(C354:C359)</f>
        <v>3</v>
      </c>
      <c r="D360" s="32">
        <f>SUM(D354:D359)</f>
        <v>15</v>
      </c>
      <c r="E360" s="32">
        <f>SUM(E354:E359)</f>
        <v>4</v>
      </c>
      <c r="F360" s="32">
        <f>SUM(F354:F359)</f>
        <v>11</v>
      </c>
      <c r="G360" s="32" t="s">
        <v>59</v>
      </c>
      <c r="H360" s="32">
        <f>SUM(H354:H359)</f>
        <v>10</v>
      </c>
      <c r="I360" s="32">
        <f>SUM(I354:I359)</f>
        <v>10</v>
      </c>
      <c r="J360" s="32">
        <f>SUM(J354:J359)</f>
        <v>10</v>
      </c>
      <c r="K360" s="23">
        <f>SUM(K354:K359)</f>
        <v>63</v>
      </c>
      <c r="L360" s="35">
        <f>SUM(L354:L359)</f>
        <v>1</v>
      </c>
      <c r="M360" s="35">
        <f>K360/K363</f>
        <v>0.984375</v>
      </c>
      <c r="N360" s="37">
        <f>T360+AC360+AL360+AU360</f>
        <v>59</v>
      </c>
      <c r="O360" s="35">
        <f>N360/K360</f>
        <v>0.93650793650793651</v>
      </c>
      <c r="P360" s="13">
        <f t="shared" ref="P360:Y360" si="245">SUM(P354:P359)</f>
        <v>0</v>
      </c>
      <c r="Q360" s="47">
        <f t="shared" si="245"/>
        <v>3</v>
      </c>
      <c r="R360" s="14">
        <f t="shared" si="245"/>
        <v>9</v>
      </c>
      <c r="S360" s="14">
        <f t="shared" si="245"/>
        <v>1</v>
      </c>
      <c r="T360" s="14">
        <f t="shared" si="245"/>
        <v>13</v>
      </c>
      <c r="U360" s="40">
        <f t="shared" si="245"/>
        <v>1</v>
      </c>
      <c r="V360" s="13">
        <f t="shared" si="245"/>
        <v>0</v>
      </c>
      <c r="W360" s="47">
        <f t="shared" si="245"/>
        <v>5</v>
      </c>
      <c r="X360" s="47">
        <f t="shared" si="245"/>
        <v>3</v>
      </c>
      <c r="Y360" s="47">
        <f t="shared" si="245"/>
        <v>8</v>
      </c>
      <c r="Z360" s="112" t="s">
        <v>82</v>
      </c>
      <c r="AA360" s="47">
        <f t="shared" ref="AA360:AG360" si="246">SUM(AA354:AA359)</f>
        <v>3</v>
      </c>
      <c r="AB360" s="47">
        <f t="shared" si="246"/>
        <v>1</v>
      </c>
      <c r="AC360" s="45">
        <f t="shared" si="246"/>
        <v>20</v>
      </c>
      <c r="AD360" s="40">
        <f t="shared" si="246"/>
        <v>1</v>
      </c>
      <c r="AE360" s="13">
        <f t="shared" si="246"/>
        <v>0</v>
      </c>
      <c r="AF360" s="47">
        <f t="shared" si="246"/>
        <v>5</v>
      </c>
      <c r="AG360" s="47">
        <f t="shared" si="246"/>
        <v>5</v>
      </c>
      <c r="AH360" s="113" t="s">
        <v>82</v>
      </c>
      <c r="AI360" s="47">
        <f t="shared" ref="AI360:AR360" si="247">SUM(AI354:AI359)</f>
        <v>1</v>
      </c>
      <c r="AJ360" s="47">
        <f t="shared" si="247"/>
        <v>0</v>
      </c>
      <c r="AK360" s="47">
        <f t="shared" si="247"/>
        <v>7</v>
      </c>
      <c r="AL360" s="45">
        <f t="shared" si="247"/>
        <v>18</v>
      </c>
      <c r="AM360" s="40">
        <f t="shared" si="247"/>
        <v>0.99999999999999989</v>
      </c>
      <c r="AN360" s="13">
        <f t="shared" si="247"/>
        <v>0</v>
      </c>
      <c r="AO360" s="47">
        <f t="shared" si="247"/>
        <v>1</v>
      </c>
      <c r="AP360" s="47">
        <f t="shared" si="247"/>
        <v>2</v>
      </c>
      <c r="AQ360" s="47">
        <f t="shared" si="247"/>
        <v>2</v>
      </c>
      <c r="AR360" s="47">
        <f t="shared" si="247"/>
        <v>1</v>
      </c>
      <c r="AS360" s="113" t="s">
        <v>82</v>
      </c>
      <c r="AT360" s="47">
        <f t="shared" ref="AT360:AY360" si="248">SUM(AT354:AT359)</f>
        <v>2</v>
      </c>
      <c r="AU360" s="45">
        <f t="shared" si="248"/>
        <v>8</v>
      </c>
      <c r="AV360" s="40">
        <f t="shared" si="248"/>
        <v>1</v>
      </c>
      <c r="AW360" s="13">
        <f t="shared" si="248"/>
        <v>0</v>
      </c>
      <c r="AX360" s="47">
        <f t="shared" si="248"/>
        <v>1</v>
      </c>
      <c r="AY360" s="47">
        <f t="shared" si="248"/>
        <v>1</v>
      </c>
      <c r="AZ360" s="113" t="s">
        <v>82</v>
      </c>
      <c r="BA360" s="47">
        <f t="shared" ref="BA360:BF360" si="249">SUM(BA354:BA359)</f>
        <v>0</v>
      </c>
      <c r="BB360" s="47">
        <f t="shared" si="249"/>
        <v>2</v>
      </c>
      <c r="BC360" s="45">
        <f t="shared" si="249"/>
        <v>4</v>
      </c>
      <c r="BD360" s="40">
        <f t="shared" si="249"/>
        <v>1</v>
      </c>
      <c r="BE360" s="13">
        <f t="shared" si="249"/>
        <v>0</v>
      </c>
      <c r="BF360" s="38">
        <f t="shared" si="249"/>
        <v>0</v>
      </c>
      <c r="BG360" s="15" t="e">
        <f>BF360/BF360</f>
        <v>#DIV/0!</v>
      </c>
      <c r="BH360" s="32"/>
      <c r="BI360" s="40"/>
    </row>
    <row r="361" spans="1:61" ht="21.75" customHeight="1">
      <c r="A361" s="8" t="s">
        <v>64</v>
      </c>
      <c r="B361" s="32" t="s">
        <v>59</v>
      </c>
      <c r="C361" s="14">
        <v>0</v>
      </c>
      <c r="D361" s="32">
        <v>0</v>
      </c>
      <c r="E361" s="32">
        <v>0</v>
      </c>
      <c r="F361" s="32">
        <v>0</v>
      </c>
      <c r="G361" s="32" t="s">
        <v>59</v>
      </c>
      <c r="H361" s="32">
        <v>0</v>
      </c>
      <c r="I361" s="32">
        <v>0</v>
      </c>
      <c r="J361" s="32">
        <v>1</v>
      </c>
      <c r="K361" s="23">
        <f>SUM(B361:J361)</f>
        <v>1</v>
      </c>
      <c r="L361" s="35">
        <f>K361/(K360+K361+K362)</f>
        <v>1.5625E-2</v>
      </c>
      <c r="M361" s="35">
        <f>K361/(K363)</f>
        <v>1.5625E-2</v>
      </c>
      <c r="N361" s="37"/>
      <c r="O361" s="35"/>
      <c r="P361" s="13"/>
      <c r="Q361" s="52">
        <v>0</v>
      </c>
      <c r="R361" s="14">
        <v>0</v>
      </c>
      <c r="S361" s="14">
        <v>0</v>
      </c>
      <c r="T361" s="38">
        <f>SUM(Q361:S361)</f>
        <v>0</v>
      </c>
      <c r="U361" s="15">
        <f>T361/T363</f>
        <v>0</v>
      </c>
      <c r="V361" s="13"/>
      <c r="W361" s="52">
        <v>0</v>
      </c>
      <c r="X361" s="52">
        <v>0</v>
      </c>
      <c r="Y361" s="52">
        <v>0</v>
      </c>
      <c r="Z361" s="114" t="s">
        <v>82</v>
      </c>
      <c r="AA361" s="52">
        <v>0</v>
      </c>
      <c r="AB361" s="52">
        <v>0</v>
      </c>
      <c r="AC361" s="51">
        <f>SUM(W361:AB361)</f>
        <v>0</v>
      </c>
      <c r="AD361" s="15">
        <f>AC361/AC363</f>
        <v>0</v>
      </c>
      <c r="AE361" s="13"/>
      <c r="AF361" s="52">
        <v>0</v>
      </c>
      <c r="AG361" s="52">
        <v>0</v>
      </c>
      <c r="AH361" s="103" t="s">
        <v>82</v>
      </c>
      <c r="AI361" s="52">
        <v>0</v>
      </c>
      <c r="AJ361" s="52">
        <v>0</v>
      </c>
      <c r="AK361" s="52">
        <v>1</v>
      </c>
      <c r="AL361" s="49">
        <f>SUM(AF361:AK361)</f>
        <v>1</v>
      </c>
      <c r="AM361" s="15">
        <f>AL361/AL363</f>
        <v>5.2631578947368418E-2</v>
      </c>
      <c r="AN361" s="13"/>
      <c r="AO361" s="52">
        <v>0</v>
      </c>
      <c r="AP361" s="52">
        <v>0</v>
      </c>
      <c r="AQ361" s="52"/>
      <c r="AR361" s="52">
        <v>0</v>
      </c>
      <c r="AS361" s="103" t="s">
        <v>82</v>
      </c>
      <c r="AT361" s="52">
        <v>0</v>
      </c>
      <c r="AU361" s="51">
        <f>SUM(AO361:AT361)</f>
        <v>0</v>
      </c>
      <c r="AV361" s="15">
        <f>AU361/AU363</f>
        <v>0</v>
      </c>
      <c r="AW361" s="13"/>
      <c r="AX361" s="52">
        <v>0</v>
      </c>
      <c r="AY361" s="52">
        <v>0</v>
      </c>
      <c r="AZ361" s="103" t="s">
        <v>82</v>
      </c>
      <c r="BA361" s="52">
        <v>0</v>
      </c>
      <c r="BB361" s="52">
        <v>0</v>
      </c>
      <c r="BC361" s="51">
        <f>SUM(AX361:BB361)</f>
        <v>0</v>
      </c>
      <c r="BD361" s="15">
        <f>BC361/BC363</f>
        <v>0</v>
      </c>
      <c r="BE361" s="13"/>
      <c r="BF361" s="38"/>
      <c r="BG361" s="42"/>
      <c r="BH361" s="42"/>
      <c r="BI361" s="42"/>
    </row>
    <row r="362" spans="1:61" ht="21.75" customHeight="1">
      <c r="A362" s="8" t="s">
        <v>65</v>
      </c>
      <c r="B362" s="32" t="s">
        <v>59</v>
      </c>
      <c r="C362" s="45">
        <v>0</v>
      </c>
      <c r="D362" s="32">
        <v>0</v>
      </c>
      <c r="E362" s="32">
        <v>0</v>
      </c>
      <c r="F362" s="32">
        <v>0</v>
      </c>
      <c r="G362" s="32" t="s">
        <v>59</v>
      </c>
      <c r="H362" s="32">
        <v>0</v>
      </c>
      <c r="I362" s="32">
        <v>0</v>
      </c>
      <c r="J362" s="32">
        <v>0</v>
      </c>
      <c r="K362" s="23">
        <f>SUM(B362:J362)</f>
        <v>0</v>
      </c>
      <c r="L362" s="35">
        <f>K362/(K361+K362+K360)</f>
        <v>0</v>
      </c>
      <c r="M362" s="35">
        <f>K362/(K363)</f>
        <v>0</v>
      </c>
      <c r="N362" s="23"/>
      <c r="O362" s="35"/>
      <c r="P362" s="13"/>
      <c r="Q362" s="14">
        <v>0</v>
      </c>
      <c r="R362" s="14">
        <v>0</v>
      </c>
      <c r="S362" s="14">
        <v>0</v>
      </c>
      <c r="T362" s="38">
        <f>SUM(Q362:S362)</f>
        <v>0</v>
      </c>
      <c r="U362" s="15">
        <f>T362/T363</f>
        <v>0</v>
      </c>
      <c r="V362" s="13"/>
      <c r="W362" s="14">
        <v>0</v>
      </c>
      <c r="X362" s="14">
        <v>0</v>
      </c>
      <c r="Y362" s="14">
        <v>0</v>
      </c>
      <c r="Z362" s="33" t="s">
        <v>82</v>
      </c>
      <c r="AA362" s="14">
        <v>0</v>
      </c>
      <c r="AB362" s="45">
        <v>0</v>
      </c>
      <c r="AC362" s="38">
        <f>SUM(W362:AB362)</f>
        <v>0</v>
      </c>
      <c r="AD362" s="15">
        <f>AC362/AC363</f>
        <v>0</v>
      </c>
      <c r="AE362" s="13"/>
      <c r="AF362" s="14">
        <v>0</v>
      </c>
      <c r="AG362" s="14">
        <v>0</v>
      </c>
      <c r="AH362" s="9" t="s">
        <v>82</v>
      </c>
      <c r="AI362" s="14">
        <v>0</v>
      </c>
      <c r="AJ362" s="14">
        <v>0</v>
      </c>
      <c r="AK362" s="14">
        <v>0</v>
      </c>
      <c r="AL362" s="14">
        <f>SUM(AF362:AK362)</f>
        <v>0</v>
      </c>
      <c r="AM362" s="15">
        <f>AL362/AL363</f>
        <v>0</v>
      </c>
      <c r="AN362" s="13"/>
      <c r="AO362" s="14">
        <v>0</v>
      </c>
      <c r="AP362" s="14">
        <v>0</v>
      </c>
      <c r="AQ362" s="14"/>
      <c r="AR362" s="14">
        <v>0</v>
      </c>
      <c r="AS362" s="9" t="s">
        <v>82</v>
      </c>
      <c r="AT362" s="47">
        <v>0</v>
      </c>
      <c r="AU362" s="38">
        <f>SUM(AO362:AT362)</f>
        <v>0</v>
      </c>
      <c r="AV362" s="15">
        <f>AU362/AU363</f>
        <v>0</v>
      </c>
      <c r="AW362" s="13"/>
      <c r="AX362" s="14">
        <v>0</v>
      </c>
      <c r="AY362" s="14">
        <v>0</v>
      </c>
      <c r="AZ362" s="9" t="s">
        <v>82</v>
      </c>
      <c r="BA362" s="14">
        <v>0</v>
      </c>
      <c r="BB362" s="14">
        <v>0</v>
      </c>
      <c r="BC362" s="38">
        <f>SUM(AX362:BB362)</f>
        <v>0</v>
      </c>
      <c r="BD362" s="15">
        <f>BC362/BC363</f>
        <v>0</v>
      </c>
      <c r="BE362" s="13"/>
      <c r="BF362" s="38"/>
      <c r="BG362" s="42"/>
      <c r="BH362" s="42"/>
      <c r="BI362" s="42"/>
    </row>
    <row r="363" spans="1:61" ht="21.75" customHeight="1">
      <c r="A363" s="39" t="s">
        <v>66</v>
      </c>
      <c r="B363" s="32" t="s">
        <v>59</v>
      </c>
      <c r="C363" s="51">
        <f>SUM(C360:C362)</f>
        <v>3</v>
      </c>
      <c r="D363" s="32">
        <f>SUM(D360:D362)</f>
        <v>15</v>
      </c>
      <c r="E363" s="32">
        <f>SUM(E360:E362)</f>
        <v>4</v>
      </c>
      <c r="F363" s="32">
        <f>SUM(F360:F362)</f>
        <v>11</v>
      </c>
      <c r="G363" s="32" t="s">
        <v>59</v>
      </c>
      <c r="H363" s="32">
        <f>SUM(H360:H362)</f>
        <v>10</v>
      </c>
      <c r="I363" s="32">
        <f>SUM(I360:I362)</f>
        <v>10</v>
      </c>
      <c r="J363" s="32">
        <f>SUM(J360:J362)</f>
        <v>11</v>
      </c>
      <c r="K363" s="23">
        <f>SUM(B363:J363)</f>
        <v>64</v>
      </c>
      <c r="L363" s="35">
        <f>K363/(K362+K361+K360)</f>
        <v>1</v>
      </c>
      <c r="M363" s="35">
        <f>K363/(K360+K361+K362)</f>
        <v>1</v>
      </c>
      <c r="N363" s="37">
        <f>T363+AC363+AL363+AU363</f>
        <v>60</v>
      </c>
      <c r="O363" s="35">
        <f>N363/K363</f>
        <v>0.9375</v>
      </c>
      <c r="P363" s="13"/>
      <c r="Q363" s="38">
        <f>SUM(Q360:Q362)</f>
        <v>3</v>
      </c>
      <c r="R363" s="38">
        <f>SUM(R360:R362)</f>
        <v>9</v>
      </c>
      <c r="S363" s="38">
        <f>SUM(S360:S362)</f>
        <v>1</v>
      </c>
      <c r="T363" s="38">
        <f>SUM(Q363:S363)</f>
        <v>13</v>
      </c>
      <c r="U363" s="40">
        <f>T363/(T360+T361+T362)</f>
        <v>1</v>
      </c>
      <c r="V363" s="13"/>
      <c r="W363" s="38">
        <f>SUM(W360:W362)</f>
        <v>5</v>
      </c>
      <c r="X363" s="38">
        <f>SUM(X360:X362)</f>
        <v>3</v>
      </c>
      <c r="Y363" s="38">
        <f>SUM(Y360:Y362)</f>
        <v>8</v>
      </c>
      <c r="Z363" s="33" t="s">
        <v>82</v>
      </c>
      <c r="AA363" s="38">
        <f>SUM(AA360:AA362)</f>
        <v>3</v>
      </c>
      <c r="AB363" s="51">
        <f>SUM(AB360:AB362)</f>
        <v>1</v>
      </c>
      <c r="AC363" s="38">
        <f>SUM(W363:AB363)</f>
        <v>20</v>
      </c>
      <c r="AD363" s="40">
        <f>AC363/(AC360+AC361+AC362)</f>
        <v>1</v>
      </c>
      <c r="AE363" s="13"/>
      <c r="AF363" s="38">
        <f>SUM(AF360:AF362)</f>
        <v>5</v>
      </c>
      <c r="AG363" s="38">
        <f>SUM(AG360:AG362)</f>
        <v>5</v>
      </c>
      <c r="AH363" s="9" t="s">
        <v>82</v>
      </c>
      <c r="AI363" s="38">
        <f>SUM(AI360:AI362)</f>
        <v>1</v>
      </c>
      <c r="AJ363" s="38">
        <f>SUM(AJ360:AJ362)</f>
        <v>0</v>
      </c>
      <c r="AK363" s="38">
        <f>SUM(AK360:AK362)</f>
        <v>8</v>
      </c>
      <c r="AL363" s="38">
        <f>SUM(AF363:AK363)</f>
        <v>19</v>
      </c>
      <c r="AM363" s="41">
        <f>AL363/(AL360+AL361+AL362)</f>
        <v>1</v>
      </c>
      <c r="AN363" s="13"/>
      <c r="AO363" s="38">
        <f>SUM(AO360:AO362)</f>
        <v>1</v>
      </c>
      <c r="AP363" s="38">
        <f>SUM(AP360:AP362)</f>
        <v>2</v>
      </c>
      <c r="AQ363" s="38">
        <f>SUM(AQ360:AQ362)</f>
        <v>2</v>
      </c>
      <c r="AR363" s="38">
        <f>SUM(AR360:AR362)</f>
        <v>1</v>
      </c>
      <c r="AS363" s="9" t="s">
        <v>82</v>
      </c>
      <c r="AT363" s="104">
        <f>SUM(AT360:AT362)</f>
        <v>2</v>
      </c>
      <c r="AU363" s="38">
        <f>SUM(AO363:AT363)</f>
        <v>8</v>
      </c>
      <c r="AV363" s="40">
        <f>AU363/(AU360+AU361+AU362)</f>
        <v>1</v>
      </c>
      <c r="AW363" s="13"/>
      <c r="AX363" s="38">
        <f>SUM(AX360:AX362)</f>
        <v>1</v>
      </c>
      <c r="AY363" s="38">
        <f>SUM(AY360:AY362)</f>
        <v>1</v>
      </c>
      <c r="AZ363" s="9" t="s">
        <v>82</v>
      </c>
      <c r="BA363" s="38">
        <f>SUM(BA360:BA362)</f>
        <v>0</v>
      </c>
      <c r="BB363" s="38">
        <f>SUM(BB360:BB362)</f>
        <v>2</v>
      </c>
      <c r="BC363" s="38">
        <f>SUM(AX363:BB363)</f>
        <v>4</v>
      </c>
      <c r="BD363" s="40">
        <f>BC363/(BC360+BC361+BC362)</f>
        <v>1</v>
      </c>
      <c r="BE363" s="13"/>
      <c r="BF363" s="38"/>
      <c r="BG363" s="42"/>
      <c r="BH363" s="42"/>
      <c r="BI363" s="42"/>
    </row>
    <row r="364" spans="1:61" ht="68.25" customHeight="1">
      <c r="A364" s="102" t="s">
        <v>174</v>
      </c>
      <c r="B364" s="181" t="s">
        <v>140</v>
      </c>
      <c r="C364" s="182"/>
      <c r="D364" s="182"/>
      <c r="E364" s="182"/>
      <c r="F364" s="182"/>
      <c r="G364" s="22"/>
      <c r="H364" s="22"/>
      <c r="I364" s="22"/>
      <c r="J364" s="22"/>
      <c r="K364" s="21"/>
      <c r="L364" s="24"/>
      <c r="M364" s="24"/>
      <c r="N364" s="26"/>
      <c r="O364" s="24"/>
      <c r="P364" s="27"/>
      <c r="Q364" s="28"/>
      <c r="R364" s="28"/>
      <c r="S364" s="28"/>
      <c r="T364" s="26"/>
      <c r="U364" s="24"/>
      <c r="V364" s="27"/>
      <c r="W364" s="28"/>
      <c r="X364" s="28"/>
      <c r="Y364" s="28"/>
      <c r="Z364" s="28"/>
      <c r="AA364" s="28"/>
      <c r="AB364" s="28"/>
      <c r="AC364" s="26"/>
      <c r="AD364" s="24"/>
      <c r="AE364" s="27"/>
      <c r="AF364" s="28"/>
      <c r="AG364" s="28"/>
      <c r="AH364" s="28"/>
      <c r="AI364" s="28"/>
      <c r="AJ364" s="28"/>
      <c r="AK364" s="28"/>
      <c r="AL364" s="26"/>
      <c r="AM364" s="29"/>
      <c r="AN364" s="27"/>
      <c r="AO364" s="26"/>
      <c r="AP364" s="26"/>
      <c r="AQ364" s="26"/>
      <c r="AR364" s="26"/>
      <c r="AS364" s="26"/>
      <c r="AT364" s="26"/>
      <c r="AU364" s="26"/>
      <c r="AV364" s="24"/>
      <c r="AW364" s="27"/>
      <c r="AX364" s="26"/>
      <c r="AY364" s="26"/>
      <c r="AZ364" s="26"/>
      <c r="BA364" s="26"/>
      <c r="BB364" s="26"/>
      <c r="BC364" s="26"/>
      <c r="BD364" s="24"/>
      <c r="BE364" s="27"/>
      <c r="BF364" s="26"/>
      <c r="BG364" s="22"/>
      <c r="BH364" s="21"/>
      <c r="BI364" s="22"/>
    </row>
    <row r="365" spans="1:61" ht="32.25" customHeight="1">
      <c r="A365" s="10"/>
      <c r="B365" s="30" t="s">
        <v>0</v>
      </c>
      <c r="C365" s="30" t="s">
        <v>1</v>
      </c>
      <c r="D365" s="30" t="s">
        <v>2</v>
      </c>
      <c r="E365" s="30" t="s">
        <v>3</v>
      </c>
      <c r="F365" s="30" t="s">
        <v>4</v>
      </c>
      <c r="G365" s="30" t="s">
        <v>5</v>
      </c>
      <c r="H365" s="30" t="s">
        <v>68</v>
      </c>
      <c r="I365" s="30" t="s">
        <v>7</v>
      </c>
      <c r="J365" s="30" t="s">
        <v>8</v>
      </c>
      <c r="K365" s="10" t="s">
        <v>9</v>
      </c>
      <c r="L365" s="10" t="s">
        <v>56</v>
      </c>
      <c r="M365" s="20"/>
      <c r="N365" s="12"/>
      <c r="O365" s="20"/>
      <c r="P365" s="27"/>
      <c r="Q365" s="30" t="s">
        <v>15</v>
      </c>
      <c r="R365" s="30" t="s">
        <v>16</v>
      </c>
      <c r="S365" s="30" t="s">
        <v>28</v>
      </c>
      <c r="T365" s="20"/>
      <c r="U365" s="11"/>
      <c r="V365" s="27"/>
      <c r="W365" s="30" t="s">
        <v>15</v>
      </c>
      <c r="X365" s="30" t="s">
        <v>20</v>
      </c>
      <c r="Y365" s="30" t="s">
        <v>21</v>
      </c>
      <c r="Z365" s="30" t="s">
        <v>22</v>
      </c>
      <c r="AA365" s="30" t="s">
        <v>23</v>
      </c>
      <c r="AB365" s="30" t="s">
        <v>24</v>
      </c>
      <c r="AC365" s="20"/>
      <c r="AD365" s="11"/>
      <c r="AE365" s="27"/>
      <c r="AF365" s="30" t="s">
        <v>20</v>
      </c>
      <c r="AG365" s="30" t="s">
        <v>21</v>
      </c>
      <c r="AH365" s="30" t="s">
        <v>22</v>
      </c>
      <c r="AI365" s="30" t="s">
        <v>23</v>
      </c>
      <c r="AJ365" s="30" t="s">
        <v>24</v>
      </c>
      <c r="AK365" s="30" t="s">
        <v>28</v>
      </c>
      <c r="AL365" s="20"/>
      <c r="AM365" s="44"/>
      <c r="AN365" s="27"/>
      <c r="AO365" s="30" t="s">
        <v>15</v>
      </c>
      <c r="AP365" s="30" t="s">
        <v>20</v>
      </c>
      <c r="AQ365" s="30" t="s">
        <v>21</v>
      </c>
      <c r="AR365" s="30" t="s">
        <v>16</v>
      </c>
      <c r="AS365" s="30" t="s">
        <v>22</v>
      </c>
      <c r="AT365" s="30" t="s">
        <v>24</v>
      </c>
      <c r="AU365" s="20"/>
      <c r="AV365" s="11"/>
      <c r="AW365" s="27"/>
      <c r="AX365" s="30" t="s">
        <v>15</v>
      </c>
      <c r="AY365" s="30" t="s">
        <v>20</v>
      </c>
      <c r="AZ365" s="30" t="s">
        <v>22</v>
      </c>
      <c r="BA365" s="30" t="s">
        <v>23</v>
      </c>
      <c r="BB365" s="30" t="s">
        <v>28</v>
      </c>
      <c r="BC365" s="20"/>
      <c r="BD365" s="11"/>
      <c r="BE365" s="27"/>
      <c r="BF365" s="9" t="s">
        <v>173</v>
      </c>
      <c r="BG365" s="9" t="s">
        <v>39</v>
      </c>
      <c r="BH365" s="9" t="s">
        <v>40</v>
      </c>
      <c r="BI365" s="9" t="s">
        <v>41</v>
      </c>
    </row>
    <row r="366" spans="1:61" ht="20.25" customHeight="1">
      <c r="A366" s="10" t="s">
        <v>97</v>
      </c>
      <c r="B366" s="32" t="s">
        <v>82</v>
      </c>
      <c r="C366" s="32">
        <v>0</v>
      </c>
      <c r="D366" s="32">
        <v>0</v>
      </c>
      <c r="E366" s="32">
        <v>0</v>
      </c>
      <c r="F366" s="32">
        <v>0</v>
      </c>
      <c r="G366" s="32" t="s">
        <v>82</v>
      </c>
      <c r="H366" s="32">
        <v>1</v>
      </c>
      <c r="I366" s="32">
        <v>0</v>
      </c>
      <c r="J366" s="33">
        <v>2</v>
      </c>
      <c r="K366" s="23">
        <f t="shared" ref="K366:K371" si="250">SUM(B366:J366)</f>
        <v>3</v>
      </c>
      <c r="L366" s="35">
        <f>K366/K372</f>
        <v>3.4883720930232558E-2</v>
      </c>
      <c r="M366" s="35">
        <f>K366/K375</f>
        <v>3.2608695652173912E-2</v>
      </c>
      <c r="N366" s="37"/>
      <c r="O366" s="35"/>
      <c r="P366" s="13"/>
      <c r="Q366" s="33">
        <v>0</v>
      </c>
      <c r="R366" s="33">
        <v>1</v>
      </c>
      <c r="S366" s="33">
        <v>0</v>
      </c>
      <c r="T366" s="14">
        <f t="shared" ref="T366:T371" si="251">SUM(Q366:S366)</f>
        <v>1</v>
      </c>
      <c r="U366" s="40">
        <f>T366/T372</f>
        <v>7.6923076923076927E-2</v>
      </c>
      <c r="V366" s="13"/>
      <c r="W366" s="33">
        <v>0</v>
      </c>
      <c r="X366" s="33">
        <v>0</v>
      </c>
      <c r="Y366" s="33">
        <v>0</v>
      </c>
      <c r="Z366" s="33" t="s">
        <v>82</v>
      </c>
      <c r="AA366" s="33">
        <v>0</v>
      </c>
      <c r="AB366" s="33">
        <v>0</v>
      </c>
      <c r="AC366" s="14">
        <f t="shared" ref="AC366:AC371" si="252">SUM(W366:AB366)</f>
        <v>0</v>
      </c>
      <c r="AD366" s="40">
        <f>AC366/AC372</f>
        <v>0</v>
      </c>
      <c r="AE366" s="13"/>
      <c r="AF366" s="33">
        <v>0</v>
      </c>
      <c r="AG366" s="33">
        <v>0</v>
      </c>
      <c r="AH366" s="9" t="s">
        <v>82</v>
      </c>
      <c r="AI366" s="33">
        <v>0</v>
      </c>
      <c r="AJ366" s="14">
        <v>0</v>
      </c>
      <c r="AK366" s="14">
        <v>1</v>
      </c>
      <c r="AL366" s="14">
        <f t="shared" ref="AL366:AL371" si="253">SUM(AF366:AK366)</f>
        <v>1</v>
      </c>
      <c r="AM366" s="40">
        <f>AL366/AL372</f>
        <v>0.05</v>
      </c>
      <c r="AN366" s="13"/>
      <c r="AO366" s="33">
        <v>0</v>
      </c>
      <c r="AP366" s="33">
        <v>0</v>
      </c>
      <c r="AQ366" s="33">
        <v>0</v>
      </c>
      <c r="AR366" s="33">
        <v>0</v>
      </c>
      <c r="AS366" s="9" t="s">
        <v>82</v>
      </c>
      <c r="AT366" s="33">
        <v>0</v>
      </c>
      <c r="AU366" s="14">
        <f t="shared" ref="AU366:AU371" si="254">SUM(AO366:AT366)</f>
        <v>0</v>
      </c>
      <c r="AV366" s="40">
        <f>AU366/AU372</f>
        <v>0</v>
      </c>
      <c r="AW366" s="13"/>
      <c r="AX366" s="33">
        <v>0</v>
      </c>
      <c r="AY366" s="33">
        <v>0</v>
      </c>
      <c r="AZ366" s="9" t="s">
        <v>82</v>
      </c>
      <c r="BA366" s="33">
        <v>0</v>
      </c>
      <c r="BB366" s="33">
        <v>1</v>
      </c>
      <c r="BC366" s="14">
        <f t="shared" ref="BC366:BC371" si="255">SUM(AX366:BB366)</f>
        <v>1</v>
      </c>
      <c r="BD366" s="40">
        <f>BC366/BC372</f>
        <v>0.16666666666666666</v>
      </c>
      <c r="BE366" s="13"/>
      <c r="BF366" s="14"/>
      <c r="BG366" s="15" t="e">
        <f>BF366/BF372</f>
        <v>#DIV/0!</v>
      </c>
      <c r="BH366" s="16"/>
      <c r="BI366" s="15"/>
    </row>
    <row r="367" spans="1:61" ht="20.25" customHeight="1">
      <c r="A367" s="10" t="s">
        <v>98</v>
      </c>
      <c r="B367" s="32">
        <v>1</v>
      </c>
      <c r="C367" s="32">
        <v>0</v>
      </c>
      <c r="D367" s="32">
        <v>0</v>
      </c>
      <c r="E367" s="32">
        <v>0</v>
      </c>
      <c r="F367" s="32">
        <v>0</v>
      </c>
      <c r="G367" s="32">
        <v>0</v>
      </c>
      <c r="H367" s="32">
        <v>4</v>
      </c>
      <c r="I367" s="32">
        <v>0</v>
      </c>
      <c r="J367" s="33">
        <v>1</v>
      </c>
      <c r="K367" s="23">
        <f t="shared" si="250"/>
        <v>6</v>
      </c>
      <c r="L367" s="35">
        <f>K367/K372</f>
        <v>6.9767441860465115E-2</v>
      </c>
      <c r="M367" s="35">
        <f>K367/K375</f>
        <v>6.5217391304347824E-2</v>
      </c>
      <c r="N367" s="37"/>
      <c r="O367" s="35"/>
      <c r="P367" s="13"/>
      <c r="Q367" s="33">
        <v>0</v>
      </c>
      <c r="R367" s="33">
        <v>4</v>
      </c>
      <c r="S367" s="33">
        <v>0</v>
      </c>
      <c r="T367" s="14">
        <f t="shared" si="251"/>
        <v>4</v>
      </c>
      <c r="U367" s="40">
        <f>T367/T372</f>
        <v>0.30769230769230771</v>
      </c>
      <c r="V367" s="13"/>
      <c r="W367" s="33">
        <v>0</v>
      </c>
      <c r="X367" s="33">
        <v>0</v>
      </c>
      <c r="Y367" s="33">
        <v>0</v>
      </c>
      <c r="Z367" s="33">
        <v>0</v>
      </c>
      <c r="AA367" s="33">
        <v>0</v>
      </c>
      <c r="AB367" s="33">
        <v>0</v>
      </c>
      <c r="AC367" s="14">
        <f t="shared" si="252"/>
        <v>0</v>
      </c>
      <c r="AD367" s="40">
        <f>AC367/AC372</f>
        <v>0</v>
      </c>
      <c r="AE367" s="13"/>
      <c r="AF367" s="33">
        <v>0</v>
      </c>
      <c r="AG367" s="33">
        <v>0</v>
      </c>
      <c r="AH367" s="14">
        <v>0</v>
      </c>
      <c r="AI367" s="33">
        <v>0</v>
      </c>
      <c r="AJ367" s="14">
        <v>0</v>
      </c>
      <c r="AK367" s="47">
        <v>1</v>
      </c>
      <c r="AL367" s="14">
        <f t="shared" si="253"/>
        <v>1</v>
      </c>
      <c r="AM367" s="40">
        <f>AL367/AL372</f>
        <v>0.05</v>
      </c>
      <c r="AN367" s="13"/>
      <c r="AO367" s="33">
        <v>0</v>
      </c>
      <c r="AP367" s="33">
        <v>0</v>
      </c>
      <c r="AQ367" s="33">
        <v>0</v>
      </c>
      <c r="AR367" s="33">
        <v>0</v>
      </c>
      <c r="AS367" s="14">
        <v>0</v>
      </c>
      <c r="AT367" s="33">
        <v>0</v>
      </c>
      <c r="AU367" s="14">
        <f t="shared" si="254"/>
        <v>0</v>
      </c>
      <c r="AV367" s="40">
        <f>AU367/AU372</f>
        <v>0</v>
      </c>
      <c r="AW367" s="13"/>
      <c r="AX367" s="33">
        <v>0</v>
      </c>
      <c r="AY367" s="33">
        <v>0</v>
      </c>
      <c r="AZ367" s="14">
        <v>0</v>
      </c>
      <c r="BA367" s="33">
        <v>0</v>
      </c>
      <c r="BB367" s="33">
        <v>0</v>
      </c>
      <c r="BC367" s="14">
        <f t="shared" si="255"/>
        <v>0</v>
      </c>
      <c r="BD367" s="40">
        <f>BC367/BC372</f>
        <v>0</v>
      </c>
      <c r="BE367" s="13"/>
      <c r="BF367" s="14"/>
      <c r="BG367" s="15" t="e">
        <f>BF367/BF372</f>
        <v>#DIV/0!</v>
      </c>
      <c r="BH367" s="16"/>
      <c r="BI367" s="15"/>
    </row>
    <row r="368" spans="1:61" ht="20.25" customHeight="1">
      <c r="A368" s="10" t="s">
        <v>99</v>
      </c>
      <c r="B368" s="32" t="s">
        <v>82</v>
      </c>
      <c r="C368" s="32">
        <v>0</v>
      </c>
      <c r="D368" s="32">
        <v>1</v>
      </c>
      <c r="E368" s="32">
        <v>0</v>
      </c>
      <c r="F368" s="32">
        <v>0</v>
      </c>
      <c r="G368" s="32" t="s">
        <v>82</v>
      </c>
      <c r="H368" s="32">
        <v>1</v>
      </c>
      <c r="I368" s="32">
        <v>1</v>
      </c>
      <c r="J368" s="33">
        <v>0</v>
      </c>
      <c r="K368" s="23">
        <f t="shared" si="250"/>
        <v>3</v>
      </c>
      <c r="L368" s="35">
        <f>K368/K372</f>
        <v>3.4883720930232558E-2</v>
      </c>
      <c r="M368" s="35">
        <f>K368/K375</f>
        <v>3.2608695652173912E-2</v>
      </c>
      <c r="N368" s="37"/>
      <c r="O368" s="35"/>
      <c r="P368" s="13"/>
      <c r="Q368" s="33">
        <v>0</v>
      </c>
      <c r="R368" s="33">
        <v>1</v>
      </c>
      <c r="S368" s="33">
        <v>0</v>
      </c>
      <c r="T368" s="14">
        <f t="shared" si="251"/>
        <v>1</v>
      </c>
      <c r="U368" s="40">
        <f>T368/T372</f>
        <v>7.6923076923076927E-2</v>
      </c>
      <c r="V368" s="13"/>
      <c r="W368" s="33">
        <v>1</v>
      </c>
      <c r="X368" s="33">
        <v>0</v>
      </c>
      <c r="Y368" s="33">
        <v>1</v>
      </c>
      <c r="Z368" s="33" t="s">
        <v>82</v>
      </c>
      <c r="AA368" s="33">
        <v>0</v>
      </c>
      <c r="AB368" s="33">
        <v>0</v>
      </c>
      <c r="AC368" s="14">
        <f t="shared" si="252"/>
        <v>2</v>
      </c>
      <c r="AD368" s="40">
        <f>AC368/AC372</f>
        <v>9.5238095238095233E-2</v>
      </c>
      <c r="AE368" s="13"/>
      <c r="AF368" s="33">
        <v>0</v>
      </c>
      <c r="AG368" s="33">
        <v>0</v>
      </c>
      <c r="AH368" s="9" t="s">
        <v>82</v>
      </c>
      <c r="AI368" s="33">
        <v>0</v>
      </c>
      <c r="AJ368" s="14">
        <v>0</v>
      </c>
      <c r="AK368" s="52">
        <v>0</v>
      </c>
      <c r="AL368" s="14">
        <f t="shared" si="253"/>
        <v>0</v>
      </c>
      <c r="AM368" s="40">
        <f>AL368/AL372</f>
        <v>0</v>
      </c>
      <c r="AN368" s="13"/>
      <c r="AO368" s="33">
        <v>0</v>
      </c>
      <c r="AP368" s="33">
        <v>0</v>
      </c>
      <c r="AQ368" s="33">
        <v>0</v>
      </c>
      <c r="AR368" s="33">
        <v>0</v>
      </c>
      <c r="AS368" s="9" t="s">
        <v>82</v>
      </c>
      <c r="AT368" s="33">
        <v>0</v>
      </c>
      <c r="AU368" s="14">
        <f t="shared" si="254"/>
        <v>0</v>
      </c>
      <c r="AV368" s="40">
        <f>AU368/AU372</f>
        <v>0</v>
      </c>
      <c r="AW368" s="13"/>
      <c r="AX368" s="33">
        <v>0</v>
      </c>
      <c r="AY368" s="33">
        <v>0</v>
      </c>
      <c r="AZ368" s="9" t="s">
        <v>82</v>
      </c>
      <c r="BA368" s="33">
        <v>0</v>
      </c>
      <c r="BB368" s="33">
        <v>0</v>
      </c>
      <c r="BC368" s="14">
        <f t="shared" si="255"/>
        <v>0</v>
      </c>
      <c r="BD368" s="40">
        <f>BC368/BC372</f>
        <v>0</v>
      </c>
      <c r="BE368" s="13"/>
      <c r="BF368" s="14"/>
      <c r="BG368" s="15" t="e">
        <f>BF368/BF372</f>
        <v>#DIV/0!</v>
      </c>
      <c r="BH368" s="16"/>
      <c r="BI368" s="15"/>
    </row>
    <row r="369" spans="1:61" ht="20.25" customHeight="1">
      <c r="A369" s="10" t="s">
        <v>100</v>
      </c>
      <c r="B369" s="32">
        <v>2</v>
      </c>
      <c r="C369" s="32">
        <v>3</v>
      </c>
      <c r="D369" s="32">
        <v>4</v>
      </c>
      <c r="E369" s="32">
        <v>2</v>
      </c>
      <c r="F369" s="32">
        <v>3</v>
      </c>
      <c r="G369" s="32">
        <v>5</v>
      </c>
      <c r="H369" s="32">
        <v>1</v>
      </c>
      <c r="I369" s="32">
        <v>4</v>
      </c>
      <c r="J369" s="33">
        <v>2</v>
      </c>
      <c r="K369" s="23">
        <f t="shared" si="250"/>
        <v>26</v>
      </c>
      <c r="L369" s="35">
        <f>K369/K372</f>
        <v>0.30232558139534882</v>
      </c>
      <c r="M369" s="35">
        <f>K369/K375</f>
        <v>0.28260869565217389</v>
      </c>
      <c r="N369" s="37"/>
      <c r="O369" s="35"/>
      <c r="P369" s="13"/>
      <c r="Q369" s="33">
        <v>2</v>
      </c>
      <c r="R369" s="33">
        <v>1</v>
      </c>
      <c r="S369" s="33">
        <v>0</v>
      </c>
      <c r="T369" s="14">
        <f t="shared" si="251"/>
        <v>3</v>
      </c>
      <c r="U369" s="40">
        <f>T369/T372</f>
        <v>0.23076923076923078</v>
      </c>
      <c r="V369" s="13"/>
      <c r="W369" s="33">
        <v>1</v>
      </c>
      <c r="X369" s="33">
        <v>1</v>
      </c>
      <c r="Y369" s="33">
        <v>2</v>
      </c>
      <c r="Z369" s="33">
        <v>1</v>
      </c>
      <c r="AA369" s="33">
        <v>1</v>
      </c>
      <c r="AB369" s="33">
        <v>1</v>
      </c>
      <c r="AC369" s="14">
        <f t="shared" si="252"/>
        <v>7</v>
      </c>
      <c r="AD369" s="40">
        <f>AC369/AC372</f>
        <v>0.33333333333333331</v>
      </c>
      <c r="AE369" s="13"/>
      <c r="AF369" s="33">
        <v>1</v>
      </c>
      <c r="AG369" s="33">
        <v>1</v>
      </c>
      <c r="AH369" s="14">
        <v>0</v>
      </c>
      <c r="AI369" s="33">
        <v>1</v>
      </c>
      <c r="AJ369" s="14">
        <v>0</v>
      </c>
      <c r="AK369" s="14">
        <v>1</v>
      </c>
      <c r="AL369" s="14">
        <f t="shared" si="253"/>
        <v>4</v>
      </c>
      <c r="AM369" s="40">
        <f>AL369/AL372</f>
        <v>0.2</v>
      </c>
      <c r="AN369" s="13"/>
      <c r="AO369" s="33">
        <v>1</v>
      </c>
      <c r="AP369" s="33">
        <v>1</v>
      </c>
      <c r="AQ369" s="33">
        <v>1</v>
      </c>
      <c r="AR369" s="33">
        <v>0</v>
      </c>
      <c r="AS369" s="14">
        <v>3</v>
      </c>
      <c r="AT369" s="33">
        <v>2</v>
      </c>
      <c r="AU369" s="14">
        <f t="shared" si="254"/>
        <v>8</v>
      </c>
      <c r="AV369" s="40">
        <f>AU369/AU372</f>
        <v>0.61538461538461542</v>
      </c>
      <c r="AW369" s="13"/>
      <c r="AX369" s="33">
        <v>0</v>
      </c>
      <c r="AY369" s="33">
        <v>0</v>
      </c>
      <c r="AZ369" s="14">
        <v>1</v>
      </c>
      <c r="BA369" s="33">
        <v>0</v>
      </c>
      <c r="BB369" s="33">
        <v>1</v>
      </c>
      <c r="BC369" s="14">
        <f t="shared" si="255"/>
        <v>2</v>
      </c>
      <c r="BD369" s="40">
        <f>BC369/BC372</f>
        <v>0.33333333333333331</v>
      </c>
      <c r="BE369" s="13"/>
      <c r="BF369" s="14"/>
      <c r="BG369" s="15" t="e">
        <f>BF369/BF372</f>
        <v>#DIV/0!</v>
      </c>
      <c r="BH369" s="16"/>
      <c r="BI369" s="15"/>
    </row>
    <row r="370" spans="1:61" ht="32.25" customHeight="1">
      <c r="A370" s="10" t="s">
        <v>101</v>
      </c>
      <c r="B370" s="32">
        <v>10</v>
      </c>
      <c r="C370" s="32">
        <v>0</v>
      </c>
      <c r="D370" s="32">
        <v>8</v>
      </c>
      <c r="E370" s="32">
        <v>0</v>
      </c>
      <c r="F370" s="32">
        <v>4</v>
      </c>
      <c r="G370" s="32">
        <v>5</v>
      </c>
      <c r="H370" s="32">
        <v>3</v>
      </c>
      <c r="I370" s="32">
        <v>4</v>
      </c>
      <c r="J370" s="33">
        <v>2</v>
      </c>
      <c r="K370" s="23">
        <f t="shared" si="250"/>
        <v>36</v>
      </c>
      <c r="L370" s="35">
        <f>K370/K372</f>
        <v>0.41860465116279072</v>
      </c>
      <c r="M370" s="35">
        <f>K370/K375</f>
        <v>0.39130434782608697</v>
      </c>
      <c r="N370" s="37"/>
      <c r="O370" s="35"/>
      <c r="P370" s="13"/>
      <c r="Q370" s="33">
        <v>0</v>
      </c>
      <c r="R370" s="33">
        <v>2</v>
      </c>
      <c r="S370" s="33">
        <v>0</v>
      </c>
      <c r="T370" s="14">
        <f t="shared" si="251"/>
        <v>2</v>
      </c>
      <c r="U370" s="40">
        <f>T370/T372</f>
        <v>0.15384615384615385</v>
      </c>
      <c r="V370" s="13"/>
      <c r="W370" s="33">
        <v>3</v>
      </c>
      <c r="X370" s="33">
        <v>0</v>
      </c>
      <c r="Y370" s="33">
        <v>3</v>
      </c>
      <c r="Z370" s="33">
        <v>0</v>
      </c>
      <c r="AA370" s="33">
        <v>0</v>
      </c>
      <c r="AB370" s="33">
        <v>0</v>
      </c>
      <c r="AC370" s="14">
        <f t="shared" si="252"/>
        <v>6</v>
      </c>
      <c r="AD370" s="40">
        <f>AC370/AC372</f>
        <v>0.2857142857142857</v>
      </c>
      <c r="AE370" s="13"/>
      <c r="AF370" s="33">
        <v>3</v>
      </c>
      <c r="AG370" s="33">
        <v>4</v>
      </c>
      <c r="AH370" s="14">
        <v>2</v>
      </c>
      <c r="AI370" s="33">
        <v>0</v>
      </c>
      <c r="AJ370" s="14">
        <v>0</v>
      </c>
      <c r="AK370" s="14">
        <v>2</v>
      </c>
      <c r="AL370" s="14">
        <f t="shared" si="253"/>
        <v>11</v>
      </c>
      <c r="AM370" s="40">
        <f>AL370/AL372</f>
        <v>0.55000000000000004</v>
      </c>
      <c r="AN370" s="13"/>
      <c r="AO370" s="33">
        <v>0</v>
      </c>
      <c r="AP370" s="33">
        <v>0</v>
      </c>
      <c r="AQ370" s="33">
        <v>1</v>
      </c>
      <c r="AR370" s="33">
        <v>1</v>
      </c>
      <c r="AS370" s="14">
        <v>2</v>
      </c>
      <c r="AT370" s="33">
        <v>0</v>
      </c>
      <c r="AU370" s="14">
        <f t="shared" si="254"/>
        <v>4</v>
      </c>
      <c r="AV370" s="40">
        <f>AU370/AU372</f>
        <v>0.30769230769230771</v>
      </c>
      <c r="AW370" s="13"/>
      <c r="AX370" s="33">
        <v>1</v>
      </c>
      <c r="AY370" s="33">
        <v>1</v>
      </c>
      <c r="AZ370" s="14">
        <v>1</v>
      </c>
      <c r="BA370" s="33">
        <v>0</v>
      </c>
      <c r="BB370" s="33">
        <v>0</v>
      </c>
      <c r="BC370" s="14">
        <f t="shared" si="255"/>
        <v>3</v>
      </c>
      <c r="BD370" s="40">
        <f>BC370/BC372</f>
        <v>0.5</v>
      </c>
      <c r="BE370" s="13"/>
      <c r="BF370" s="14"/>
      <c r="BG370" s="15" t="e">
        <f>BF370/BF372</f>
        <v>#DIV/0!</v>
      </c>
      <c r="BH370" s="16"/>
      <c r="BI370" s="15"/>
    </row>
    <row r="371" spans="1:61" ht="20.25" customHeight="1">
      <c r="A371" s="10" t="s">
        <v>102</v>
      </c>
      <c r="B371" s="32" t="s">
        <v>82</v>
      </c>
      <c r="C371" s="32">
        <v>0</v>
      </c>
      <c r="D371" s="32">
        <v>2</v>
      </c>
      <c r="E371" s="32">
        <v>2</v>
      </c>
      <c r="F371" s="32">
        <v>4</v>
      </c>
      <c r="G371" s="32" t="s">
        <v>82</v>
      </c>
      <c r="H371" s="32">
        <v>0</v>
      </c>
      <c r="I371" s="32">
        <v>1</v>
      </c>
      <c r="J371" s="33">
        <v>3</v>
      </c>
      <c r="K371" s="23">
        <f t="shared" si="250"/>
        <v>12</v>
      </c>
      <c r="L371" s="35">
        <f>K371/K372</f>
        <v>0.13953488372093023</v>
      </c>
      <c r="M371" s="35">
        <f>K371/K375</f>
        <v>0.13043478260869565</v>
      </c>
      <c r="N371" s="37"/>
      <c r="O371" s="35"/>
      <c r="P371" s="13"/>
      <c r="Q371" s="33">
        <v>1</v>
      </c>
      <c r="R371" s="33">
        <v>0</v>
      </c>
      <c r="S371" s="33">
        <v>1</v>
      </c>
      <c r="T371" s="14">
        <f t="shared" si="251"/>
        <v>2</v>
      </c>
      <c r="U371" s="40">
        <f>T371/T372</f>
        <v>0.15384615384615385</v>
      </c>
      <c r="V371" s="13"/>
      <c r="W371" s="33">
        <v>0</v>
      </c>
      <c r="X371" s="33">
        <v>2</v>
      </c>
      <c r="Y371" s="33">
        <v>2</v>
      </c>
      <c r="Z371" s="33" t="s">
        <v>82</v>
      </c>
      <c r="AA371" s="33">
        <v>2</v>
      </c>
      <c r="AB371" s="33">
        <v>0</v>
      </c>
      <c r="AC371" s="14">
        <f t="shared" si="252"/>
        <v>6</v>
      </c>
      <c r="AD371" s="40">
        <f>AC371/AC372</f>
        <v>0.2857142857142857</v>
      </c>
      <c r="AE371" s="13"/>
      <c r="AF371" s="33">
        <v>1</v>
      </c>
      <c r="AG371" s="33">
        <v>0</v>
      </c>
      <c r="AH371" s="9" t="s">
        <v>82</v>
      </c>
      <c r="AI371" s="33">
        <v>0</v>
      </c>
      <c r="AJ371" s="47">
        <v>0</v>
      </c>
      <c r="AK371" s="14">
        <v>2</v>
      </c>
      <c r="AL371" s="14">
        <f t="shared" si="253"/>
        <v>3</v>
      </c>
      <c r="AM371" s="40">
        <f>AL371/AL372</f>
        <v>0.15</v>
      </c>
      <c r="AN371" s="13"/>
      <c r="AO371" s="33">
        <v>0</v>
      </c>
      <c r="AP371" s="33">
        <v>1</v>
      </c>
      <c r="AQ371" s="33">
        <v>0</v>
      </c>
      <c r="AR371" s="33">
        <v>0</v>
      </c>
      <c r="AS371" s="9" t="s">
        <v>82</v>
      </c>
      <c r="AT371" s="33">
        <v>0</v>
      </c>
      <c r="AU371" s="14">
        <f t="shared" si="254"/>
        <v>1</v>
      </c>
      <c r="AV371" s="40">
        <f>AU371/AU372</f>
        <v>7.6923076923076927E-2</v>
      </c>
      <c r="AW371" s="13"/>
      <c r="AX371" s="33">
        <v>0</v>
      </c>
      <c r="AY371" s="33">
        <v>0</v>
      </c>
      <c r="AZ371" s="9" t="s">
        <v>82</v>
      </c>
      <c r="BA371" s="33">
        <v>0</v>
      </c>
      <c r="BB371" s="33">
        <v>0</v>
      </c>
      <c r="BC371" s="14">
        <f t="shared" si="255"/>
        <v>0</v>
      </c>
      <c r="BD371" s="40">
        <f>BC371/BC372</f>
        <v>0</v>
      </c>
      <c r="BE371" s="13"/>
      <c r="BF371" s="38"/>
      <c r="BG371" s="15" t="e">
        <f>BF371/BF372</f>
        <v>#DIV/0!</v>
      </c>
      <c r="BH371" s="32"/>
      <c r="BI371" s="40"/>
    </row>
    <row r="372" spans="1:61" ht="21.75" customHeight="1">
      <c r="A372" s="10" t="s">
        <v>9</v>
      </c>
      <c r="B372" s="32">
        <f t="shared" ref="B372:L372" si="256">SUM(B366:B371)</f>
        <v>13</v>
      </c>
      <c r="C372" s="32">
        <f t="shared" si="256"/>
        <v>3</v>
      </c>
      <c r="D372" s="32">
        <f t="shared" si="256"/>
        <v>15</v>
      </c>
      <c r="E372" s="32">
        <f t="shared" si="256"/>
        <v>4</v>
      </c>
      <c r="F372" s="32">
        <f t="shared" si="256"/>
        <v>11</v>
      </c>
      <c r="G372" s="32">
        <f t="shared" si="256"/>
        <v>10</v>
      </c>
      <c r="H372" s="32">
        <f t="shared" si="256"/>
        <v>10</v>
      </c>
      <c r="I372" s="32">
        <f t="shared" si="256"/>
        <v>10</v>
      </c>
      <c r="J372" s="32">
        <f t="shared" si="256"/>
        <v>10</v>
      </c>
      <c r="K372" s="23">
        <f t="shared" si="256"/>
        <v>86</v>
      </c>
      <c r="L372" s="35">
        <f t="shared" si="256"/>
        <v>1</v>
      </c>
      <c r="M372" s="35">
        <f>K372/K375</f>
        <v>0.93478260869565222</v>
      </c>
      <c r="N372" s="37">
        <f>T372+AC372+AL372+AU372</f>
        <v>67</v>
      </c>
      <c r="O372" s="35">
        <f>N372/K372</f>
        <v>0.77906976744186052</v>
      </c>
      <c r="P372" s="13">
        <f t="shared" ref="P372:BF372" si="257">SUM(P366:P371)</f>
        <v>0</v>
      </c>
      <c r="Q372" s="47">
        <f t="shared" si="257"/>
        <v>3</v>
      </c>
      <c r="R372" s="14">
        <f t="shared" si="257"/>
        <v>9</v>
      </c>
      <c r="S372" s="14">
        <f t="shared" si="257"/>
        <v>1</v>
      </c>
      <c r="T372" s="14">
        <f t="shared" si="257"/>
        <v>13</v>
      </c>
      <c r="U372" s="40">
        <f t="shared" si="257"/>
        <v>1</v>
      </c>
      <c r="V372" s="13">
        <f t="shared" si="257"/>
        <v>0</v>
      </c>
      <c r="W372" s="47">
        <f t="shared" si="257"/>
        <v>5</v>
      </c>
      <c r="X372" s="47">
        <f t="shared" si="257"/>
        <v>3</v>
      </c>
      <c r="Y372" s="47">
        <f t="shared" si="257"/>
        <v>8</v>
      </c>
      <c r="Z372" s="47">
        <f t="shared" si="257"/>
        <v>1</v>
      </c>
      <c r="AA372" s="47">
        <f t="shared" si="257"/>
        <v>3</v>
      </c>
      <c r="AB372" s="47">
        <f t="shared" si="257"/>
        <v>1</v>
      </c>
      <c r="AC372" s="45">
        <f t="shared" si="257"/>
        <v>21</v>
      </c>
      <c r="AD372" s="40">
        <f t="shared" si="257"/>
        <v>0.99999999999999989</v>
      </c>
      <c r="AE372" s="13">
        <f t="shared" si="257"/>
        <v>0</v>
      </c>
      <c r="AF372" s="47">
        <f t="shared" si="257"/>
        <v>5</v>
      </c>
      <c r="AG372" s="47">
        <f t="shared" si="257"/>
        <v>5</v>
      </c>
      <c r="AH372" s="47">
        <f t="shared" si="257"/>
        <v>2</v>
      </c>
      <c r="AI372" s="47">
        <f t="shared" si="257"/>
        <v>1</v>
      </c>
      <c r="AJ372" s="124">
        <f t="shared" si="257"/>
        <v>0</v>
      </c>
      <c r="AK372" s="47">
        <f t="shared" si="257"/>
        <v>7</v>
      </c>
      <c r="AL372" s="45">
        <f t="shared" si="257"/>
        <v>20</v>
      </c>
      <c r="AM372" s="40">
        <f t="shared" si="257"/>
        <v>1</v>
      </c>
      <c r="AN372" s="13">
        <f t="shared" si="257"/>
        <v>0</v>
      </c>
      <c r="AO372" s="47">
        <f t="shared" si="257"/>
        <v>1</v>
      </c>
      <c r="AP372" s="47">
        <f t="shared" si="257"/>
        <v>2</v>
      </c>
      <c r="AQ372" s="47">
        <f t="shared" si="257"/>
        <v>2</v>
      </c>
      <c r="AR372" s="47">
        <f t="shared" si="257"/>
        <v>1</v>
      </c>
      <c r="AS372" s="47">
        <f t="shared" si="257"/>
        <v>5</v>
      </c>
      <c r="AT372" s="47">
        <f t="shared" si="257"/>
        <v>2</v>
      </c>
      <c r="AU372" s="45">
        <f t="shared" si="257"/>
        <v>13</v>
      </c>
      <c r="AV372" s="40">
        <f t="shared" si="257"/>
        <v>1</v>
      </c>
      <c r="AW372" s="13">
        <f t="shared" si="257"/>
        <v>0</v>
      </c>
      <c r="AX372" s="47">
        <f t="shared" si="257"/>
        <v>1</v>
      </c>
      <c r="AY372" s="47">
        <f t="shared" si="257"/>
        <v>1</v>
      </c>
      <c r="AZ372" s="47">
        <f t="shared" si="257"/>
        <v>2</v>
      </c>
      <c r="BA372" s="47">
        <f t="shared" si="257"/>
        <v>0</v>
      </c>
      <c r="BB372" s="47">
        <f t="shared" si="257"/>
        <v>2</v>
      </c>
      <c r="BC372" s="45">
        <f t="shared" si="257"/>
        <v>6</v>
      </c>
      <c r="BD372" s="40">
        <f t="shared" si="257"/>
        <v>1</v>
      </c>
      <c r="BE372" s="13">
        <f t="shared" si="257"/>
        <v>0</v>
      </c>
      <c r="BF372" s="38">
        <f t="shared" si="257"/>
        <v>0</v>
      </c>
      <c r="BG372" s="15" t="e">
        <f>BF372/BF372</f>
        <v>#DIV/0!</v>
      </c>
      <c r="BH372" s="32"/>
      <c r="BI372" s="40"/>
    </row>
    <row r="373" spans="1:61" ht="21.75" customHeight="1">
      <c r="A373" s="8" t="s">
        <v>64</v>
      </c>
      <c r="B373" s="32">
        <v>3</v>
      </c>
      <c r="C373" s="14">
        <v>0</v>
      </c>
      <c r="D373" s="32">
        <v>0</v>
      </c>
      <c r="E373" s="32">
        <v>2</v>
      </c>
      <c r="F373" s="32">
        <v>0</v>
      </c>
      <c r="G373" s="32">
        <v>0</v>
      </c>
      <c r="H373" s="32">
        <v>0</v>
      </c>
      <c r="I373" s="32">
        <v>0</v>
      </c>
      <c r="J373" s="32">
        <v>1</v>
      </c>
      <c r="K373" s="37">
        <f>SUM(B373:J373)</f>
        <v>6</v>
      </c>
      <c r="L373" s="35">
        <f>K373/(K372+K373+K374)</f>
        <v>6.5217391304347824E-2</v>
      </c>
      <c r="M373" s="35">
        <f>K373/(K375)</f>
        <v>6.5217391304347824E-2</v>
      </c>
      <c r="N373" s="37"/>
      <c r="O373" s="35"/>
      <c r="P373" s="13"/>
      <c r="Q373" s="52">
        <v>0</v>
      </c>
      <c r="R373" s="14">
        <v>0</v>
      </c>
      <c r="S373" s="14">
        <v>0</v>
      </c>
      <c r="T373" s="38">
        <f>SUM(Q373:S373)</f>
        <v>0</v>
      </c>
      <c r="U373" s="15">
        <f>T373/T375</f>
        <v>0</v>
      </c>
      <c r="V373" s="13"/>
      <c r="W373" s="52">
        <v>0</v>
      </c>
      <c r="X373" s="52">
        <v>0</v>
      </c>
      <c r="Y373" s="52">
        <v>0</v>
      </c>
      <c r="Z373" s="52">
        <v>0</v>
      </c>
      <c r="AA373" s="52">
        <v>2</v>
      </c>
      <c r="AB373" s="52">
        <v>0</v>
      </c>
      <c r="AC373" s="51">
        <f>SUM(W373:AB373)</f>
        <v>2</v>
      </c>
      <c r="AD373" s="15">
        <f>AC373/AC375</f>
        <v>8.6956521739130432E-2</v>
      </c>
      <c r="AE373" s="13"/>
      <c r="AF373" s="52">
        <v>0</v>
      </c>
      <c r="AG373" s="52">
        <v>0</v>
      </c>
      <c r="AH373" s="52">
        <v>0</v>
      </c>
      <c r="AI373" s="52">
        <v>0</v>
      </c>
      <c r="AJ373" s="104">
        <f>SUM(AD373:AI373)</f>
        <v>8.6956521739130432E-2</v>
      </c>
      <c r="AK373" s="52">
        <v>1</v>
      </c>
      <c r="AL373" s="49">
        <f>SUM(AF373:AK373)</f>
        <v>1.0869565217391304</v>
      </c>
      <c r="AM373" s="15">
        <f>AL373/AL375</f>
        <v>5.154639175257731E-2</v>
      </c>
      <c r="AN373" s="13"/>
      <c r="AO373" s="52">
        <v>0</v>
      </c>
      <c r="AP373" s="52">
        <v>0</v>
      </c>
      <c r="AQ373" s="52">
        <v>0</v>
      </c>
      <c r="AR373" s="52">
        <v>0</v>
      </c>
      <c r="AS373" s="52">
        <v>0</v>
      </c>
      <c r="AT373" s="52">
        <v>0</v>
      </c>
      <c r="AU373" s="51">
        <f>SUM(AO373:AT373)</f>
        <v>0</v>
      </c>
      <c r="AV373" s="15">
        <f>AU373/AU375</f>
        <v>0</v>
      </c>
      <c r="AW373" s="13"/>
      <c r="AX373" s="52">
        <v>0</v>
      </c>
      <c r="AY373" s="52">
        <v>0</v>
      </c>
      <c r="AZ373" s="52">
        <v>0</v>
      </c>
      <c r="BA373" s="52">
        <v>0</v>
      </c>
      <c r="BB373" s="52">
        <v>0</v>
      </c>
      <c r="BC373" s="51">
        <f>SUM(AX373:BB373)</f>
        <v>0</v>
      </c>
      <c r="BD373" s="15">
        <f>BC373/BC375</f>
        <v>0</v>
      </c>
      <c r="BE373" s="13"/>
      <c r="BF373" s="38"/>
      <c r="BG373" s="42"/>
      <c r="BH373" s="42"/>
      <c r="BI373" s="42"/>
    </row>
    <row r="374" spans="1:61" ht="21.75" customHeight="1">
      <c r="A374" s="8" t="s">
        <v>65</v>
      </c>
      <c r="B374" s="32">
        <v>0</v>
      </c>
      <c r="C374" s="45">
        <v>0</v>
      </c>
      <c r="D374" s="32">
        <v>0</v>
      </c>
      <c r="E374" s="32">
        <v>0</v>
      </c>
      <c r="F374" s="32">
        <v>0</v>
      </c>
      <c r="G374" s="32">
        <v>0</v>
      </c>
      <c r="H374" s="32">
        <v>0</v>
      </c>
      <c r="I374" s="32">
        <v>0</v>
      </c>
      <c r="J374" s="32">
        <v>0</v>
      </c>
      <c r="K374" s="23">
        <f>SUM(B374:J374)</f>
        <v>0</v>
      </c>
      <c r="L374" s="35">
        <f>K374/(K373+K374+K372)</f>
        <v>0</v>
      </c>
      <c r="M374" s="35">
        <f>K374/(K375)</f>
        <v>0</v>
      </c>
      <c r="N374" s="23"/>
      <c r="O374" s="35"/>
      <c r="P374" s="13"/>
      <c r="Q374" s="14">
        <v>0</v>
      </c>
      <c r="R374" s="14">
        <v>0</v>
      </c>
      <c r="S374" s="14">
        <v>0</v>
      </c>
      <c r="T374" s="38">
        <f>SUM(Q374:S374)</f>
        <v>0</v>
      </c>
      <c r="U374" s="15">
        <f>T374/T375</f>
        <v>0</v>
      </c>
      <c r="V374" s="13"/>
      <c r="W374" s="14">
        <v>0</v>
      </c>
      <c r="X374" s="14">
        <v>0</v>
      </c>
      <c r="Y374" s="14">
        <v>0</v>
      </c>
      <c r="Z374" s="14">
        <v>0</v>
      </c>
      <c r="AA374" s="14">
        <v>0</v>
      </c>
      <c r="AB374" s="45">
        <v>0</v>
      </c>
      <c r="AC374" s="38">
        <f>SUM(W374:AB374)</f>
        <v>0</v>
      </c>
      <c r="AD374" s="15">
        <f>AC374/AC375</f>
        <v>0</v>
      </c>
      <c r="AE374" s="13"/>
      <c r="AF374" s="14">
        <v>0</v>
      </c>
      <c r="AG374" s="14">
        <v>0</v>
      </c>
      <c r="AH374" s="14">
        <v>0</v>
      </c>
      <c r="AI374" s="14">
        <v>0</v>
      </c>
      <c r="AJ374" s="125">
        <v>0</v>
      </c>
      <c r="AK374" s="14">
        <v>0</v>
      </c>
      <c r="AL374" s="14">
        <f>SUM(AF374:AK374)</f>
        <v>0</v>
      </c>
      <c r="AM374" s="15">
        <f>AL374/AL375</f>
        <v>0</v>
      </c>
      <c r="AN374" s="13"/>
      <c r="AO374" s="14">
        <v>0</v>
      </c>
      <c r="AP374" s="14">
        <v>0</v>
      </c>
      <c r="AQ374" s="14">
        <v>0</v>
      </c>
      <c r="AR374" s="14">
        <v>0</v>
      </c>
      <c r="AS374" s="14">
        <v>0</v>
      </c>
      <c r="AT374" s="47">
        <v>0</v>
      </c>
      <c r="AU374" s="38">
        <f>SUM(AO374:AT374)</f>
        <v>0</v>
      </c>
      <c r="AV374" s="15">
        <f>AU374/AU375</f>
        <v>0</v>
      </c>
      <c r="AW374" s="13"/>
      <c r="AX374" s="14">
        <v>0</v>
      </c>
      <c r="AY374" s="14">
        <v>0</v>
      </c>
      <c r="AZ374" s="14">
        <v>0</v>
      </c>
      <c r="BA374" s="14">
        <v>0</v>
      </c>
      <c r="BB374" s="14">
        <v>0</v>
      </c>
      <c r="BC374" s="38">
        <f>SUM(AX374:BB374)</f>
        <v>0</v>
      </c>
      <c r="BD374" s="15">
        <f>BC374/BC375</f>
        <v>0</v>
      </c>
      <c r="BE374" s="13"/>
      <c r="BF374" s="38"/>
      <c r="BG374" s="42"/>
      <c r="BH374" s="42"/>
      <c r="BI374" s="42"/>
    </row>
    <row r="375" spans="1:61" ht="21.75" customHeight="1">
      <c r="A375" s="39" t="s">
        <v>66</v>
      </c>
      <c r="B375" s="32">
        <f t="shared" ref="B375:J375" si="258">SUM(B372:B374)</f>
        <v>16</v>
      </c>
      <c r="C375" s="51">
        <f t="shared" si="258"/>
        <v>3</v>
      </c>
      <c r="D375" s="32">
        <f t="shared" si="258"/>
        <v>15</v>
      </c>
      <c r="E375" s="32">
        <f t="shared" si="258"/>
        <v>6</v>
      </c>
      <c r="F375" s="32">
        <f t="shared" si="258"/>
        <v>11</v>
      </c>
      <c r="G375" s="32">
        <f t="shared" si="258"/>
        <v>10</v>
      </c>
      <c r="H375" s="32">
        <f t="shared" si="258"/>
        <v>10</v>
      </c>
      <c r="I375" s="32">
        <f t="shared" si="258"/>
        <v>10</v>
      </c>
      <c r="J375" s="32">
        <f t="shared" si="258"/>
        <v>11</v>
      </c>
      <c r="K375" s="23">
        <f>SUM(B375:J375)</f>
        <v>92</v>
      </c>
      <c r="L375" s="35">
        <f>K375/(K374+K373+K372)</f>
        <v>1</v>
      </c>
      <c r="M375" s="35">
        <f>K375/(K372+K373+K374)</f>
        <v>1</v>
      </c>
      <c r="N375" s="37">
        <f>T375+AC375+AL375+AU375</f>
        <v>70.086956521739125</v>
      </c>
      <c r="O375" s="35">
        <f>N375/K375</f>
        <v>0.76181474480151223</v>
      </c>
      <c r="P375" s="13"/>
      <c r="Q375" s="38">
        <f>SUM(Q372:Q374)</f>
        <v>3</v>
      </c>
      <c r="R375" s="38">
        <f>SUM(R372:R374)</f>
        <v>9</v>
      </c>
      <c r="S375" s="38">
        <f>SUM(S372:S374)</f>
        <v>1</v>
      </c>
      <c r="T375" s="38">
        <f>SUM(Q375:S375)</f>
        <v>13</v>
      </c>
      <c r="U375" s="40">
        <f>T375/(T372+T373+T374)</f>
        <v>1</v>
      </c>
      <c r="V375" s="13"/>
      <c r="W375" s="38">
        <f t="shared" ref="W375:AB375" si="259">SUM(W372:W374)</f>
        <v>5</v>
      </c>
      <c r="X375" s="38">
        <f t="shared" si="259"/>
        <v>3</v>
      </c>
      <c r="Y375" s="38">
        <f t="shared" si="259"/>
        <v>8</v>
      </c>
      <c r="Z375" s="38">
        <f t="shared" si="259"/>
        <v>1</v>
      </c>
      <c r="AA375" s="38">
        <f t="shared" si="259"/>
        <v>5</v>
      </c>
      <c r="AB375" s="51">
        <f t="shared" si="259"/>
        <v>1</v>
      </c>
      <c r="AC375" s="38">
        <f>SUM(W375:AB375)</f>
        <v>23</v>
      </c>
      <c r="AD375" s="40">
        <f>AC375/(AC372+AC373+AC374)</f>
        <v>1</v>
      </c>
      <c r="AE375" s="13"/>
      <c r="AF375" s="38">
        <f t="shared" ref="AF375:AK375" si="260">SUM(AF372:AF374)</f>
        <v>5</v>
      </c>
      <c r="AG375" s="38">
        <f t="shared" si="260"/>
        <v>5</v>
      </c>
      <c r="AH375" s="38">
        <f t="shared" si="260"/>
        <v>2</v>
      </c>
      <c r="AI375" s="38">
        <f t="shared" si="260"/>
        <v>1</v>
      </c>
      <c r="AJ375" s="104">
        <f t="shared" si="260"/>
        <v>8.6956521739130432E-2</v>
      </c>
      <c r="AK375" s="38">
        <f t="shared" si="260"/>
        <v>8</v>
      </c>
      <c r="AL375" s="38">
        <f>SUM(AF375:AK375)</f>
        <v>21.086956521739133</v>
      </c>
      <c r="AM375" s="41">
        <f>AL375/(AL372+AL373+AL374)</f>
        <v>1.0000000000000002</v>
      </c>
      <c r="AN375" s="13"/>
      <c r="AO375" s="38">
        <f t="shared" ref="AO375:AT375" si="261">SUM(AO372:AO374)</f>
        <v>1</v>
      </c>
      <c r="AP375" s="38">
        <f t="shared" si="261"/>
        <v>2</v>
      </c>
      <c r="AQ375" s="38">
        <f t="shared" si="261"/>
        <v>2</v>
      </c>
      <c r="AR375" s="38">
        <f t="shared" si="261"/>
        <v>1</v>
      </c>
      <c r="AS375" s="38">
        <f t="shared" si="261"/>
        <v>5</v>
      </c>
      <c r="AT375" s="104">
        <f t="shared" si="261"/>
        <v>2</v>
      </c>
      <c r="AU375" s="38">
        <f>SUM(AO375:AT375)</f>
        <v>13</v>
      </c>
      <c r="AV375" s="40">
        <f>AU375/(AU372+AU373+AU374)</f>
        <v>1</v>
      </c>
      <c r="AW375" s="13"/>
      <c r="AX375" s="38">
        <f>SUM(AX372:AX374)</f>
        <v>1</v>
      </c>
      <c r="AY375" s="38">
        <f>SUM(AY372:AY374)</f>
        <v>1</v>
      </c>
      <c r="AZ375" s="38">
        <f>SUM(AZ372:AZ374)</f>
        <v>2</v>
      </c>
      <c r="BA375" s="38">
        <f>SUM(BA372:BA374)</f>
        <v>0</v>
      </c>
      <c r="BB375" s="38">
        <f>SUM(BB372:BB374)</f>
        <v>2</v>
      </c>
      <c r="BC375" s="38">
        <f>SUM(AX375:BB375)</f>
        <v>6</v>
      </c>
      <c r="BD375" s="40">
        <f>BC375/(BC372+BC373+BC374)</f>
        <v>1</v>
      </c>
      <c r="BE375" s="13"/>
      <c r="BF375" s="38"/>
      <c r="BG375" s="42"/>
      <c r="BH375" s="42"/>
      <c r="BI375" s="42"/>
    </row>
    <row r="376" spans="1:61" ht="56.25" customHeight="1">
      <c r="A376" s="43" t="s">
        <v>175</v>
      </c>
      <c r="B376" s="181" t="s">
        <v>143</v>
      </c>
      <c r="C376" s="182"/>
      <c r="D376" s="182"/>
      <c r="E376" s="182"/>
      <c r="F376" s="182"/>
      <c r="G376" s="22"/>
      <c r="H376" s="22"/>
      <c r="I376" s="22"/>
      <c r="J376" s="22"/>
      <c r="K376" s="21"/>
      <c r="L376" s="24"/>
      <c r="M376" s="24"/>
      <c r="N376" s="26"/>
      <c r="O376" s="24"/>
      <c r="P376" s="27"/>
      <c r="Q376" s="28"/>
      <c r="R376" s="28"/>
      <c r="S376" s="28"/>
      <c r="T376" s="26"/>
      <c r="U376" s="24"/>
      <c r="V376" s="27"/>
      <c r="W376" s="28"/>
      <c r="X376" s="28"/>
      <c r="Y376" s="28"/>
      <c r="Z376" s="28"/>
      <c r="AA376" s="28"/>
      <c r="AB376" s="28"/>
      <c r="AC376" s="26"/>
      <c r="AD376" s="24"/>
      <c r="AE376" s="27"/>
      <c r="AF376" s="28"/>
      <c r="AG376" s="28"/>
      <c r="AH376" s="28"/>
      <c r="AI376" s="28"/>
      <c r="AJ376" s="28"/>
      <c r="AK376" s="28"/>
      <c r="AL376" s="26"/>
      <c r="AM376" s="29"/>
      <c r="AN376" s="27"/>
      <c r="AO376" s="26"/>
      <c r="AP376" s="26"/>
      <c r="AQ376" s="26"/>
      <c r="AR376" s="26"/>
      <c r="AS376" s="26"/>
      <c r="AT376" s="26"/>
      <c r="AU376" s="26"/>
      <c r="AV376" s="24"/>
      <c r="AW376" s="27"/>
      <c r="AX376" s="26"/>
      <c r="AY376" s="26"/>
      <c r="AZ376" s="26"/>
      <c r="BA376" s="26"/>
      <c r="BB376" s="26"/>
      <c r="BC376" s="26"/>
      <c r="BD376" s="24"/>
      <c r="BE376" s="27"/>
      <c r="BF376" s="26"/>
      <c r="BG376" s="22"/>
      <c r="BH376" s="21"/>
      <c r="BI376" s="22"/>
    </row>
    <row r="377" spans="1:61" ht="32.25" customHeight="1">
      <c r="A377" s="10"/>
      <c r="B377" s="30" t="s">
        <v>0</v>
      </c>
      <c r="C377" s="30" t="s">
        <v>1</v>
      </c>
      <c r="D377" s="30" t="s">
        <v>2</v>
      </c>
      <c r="E377" s="30" t="s">
        <v>3</v>
      </c>
      <c r="F377" s="30" t="s">
        <v>4</v>
      </c>
      <c r="G377" s="30" t="s">
        <v>5</v>
      </c>
      <c r="H377" s="30" t="s">
        <v>68</v>
      </c>
      <c r="I377" s="30" t="s">
        <v>7</v>
      </c>
      <c r="J377" s="30" t="s">
        <v>8</v>
      </c>
      <c r="K377" s="10" t="s">
        <v>9</v>
      </c>
      <c r="L377" s="10" t="s">
        <v>56</v>
      </c>
      <c r="M377" s="20"/>
      <c r="N377" s="12"/>
      <c r="O377" s="20"/>
      <c r="P377" s="27"/>
      <c r="Q377" s="30" t="s">
        <v>15</v>
      </c>
      <c r="R377" s="30" t="s">
        <v>16</v>
      </c>
      <c r="S377" s="30" t="s">
        <v>28</v>
      </c>
      <c r="T377" s="20"/>
      <c r="U377" s="11"/>
      <c r="V377" s="27"/>
      <c r="W377" s="30" t="s">
        <v>15</v>
      </c>
      <c r="X377" s="30" t="s">
        <v>20</v>
      </c>
      <c r="Y377" s="30" t="s">
        <v>21</v>
      </c>
      <c r="Z377" s="30" t="s">
        <v>22</v>
      </c>
      <c r="AA377" s="30" t="s">
        <v>23</v>
      </c>
      <c r="AB377" s="30" t="s">
        <v>24</v>
      </c>
      <c r="AC377" s="20"/>
      <c r="AD377" s="11"/>
      <c r="AE377" s="27"/>
      <c r="AF377" s="30" t="s">
        <v>20</v>
      </c>
      <c r="AG377" s="30" t="s">
        <v>21</v>
      </c>
      <c r="AH377" s="30" t="s">
        <v>22</v>
      </c>
      <c r="AI377" s="30" t="s">
        <v>23</v>
      </c>
      <c r="AJ377" s="30" t="s">
        <v>24</v>
      </c>
      <c r="AK377" s="30" t="s">
        <v>28</v>
      </c>
      <c r="AL377" s="20"/>
      <c r="AM377" s="44"/>
      <c r="AN377" s="27"/>
      <c r="AO377" s="30" t="s">
        <v>15</v>
      </c>
      <c r="AP377" s="30" t="s">
        <v>20</v>
      </c>
      <c r="AQ377" s="30" t="s">
        <v>21</v>
      </c>
      <c r="AR377" s="30" t="s">
        <v>16</v>
      </c>
      <c r="AS377" s="30" t="s">
        <v>22</v>
      </c>
      <c r="AT377" s="30" t="s">
        <v>24</v>
      </c>
      <c r="AU377" s="20"/>
      <c r="AV377" s="11"/>
      <c r="AW377" s="27"/>
      <c r="AX377" s="30" t="s">
        <v>15</v>
      </c>
      <c r="AY377" s="30" t="s">
        <v>20</v>
      </c>
      <c r="AZ377" s="30" t="s">
        <v>22</v>
      </c>
      <c r="BA377" s="30" t="s">
        <v>23</v>
      </c>
      <c r="BB377" s="30" t="s">
        <v>28</v>
      </c>
      <c r="BC377" s="20"/>
      <c r="BD377" s="11"/>
      <c r="BE377" s="27"/>
      <c r="BF377" s="9" t="s">
        <v>38</v>
      </c>
      <c r="BG377" s="9" t="s">
        <v>39</v>
      </c>
      <c r="BH377" s="9" t="s">
        <v>40</v>
      </c>
      <c r="BI377" s="9" t="s">
        <v>41</v>
      </c>
    </row>
    <row r="378" spans="1:61" ht="56.25" customHeight="1">
      <c r="A378" s="10" t="s">
        <v>176</v>
      </c>
      <c r="B378" s="32" t="s">
        <v>59</v>
      </c>
      <c r="C378" s="32">
        <v>0</v>
      </c>
      <c r="D378" s="32">
        <v>5</v>
      </c>
      <c r="E378" s="32">
        <v>0</v>
      </c>
      <c r="F378" s="32">
        <v>2</v>
      </c>
      <c r="G378" s="32" t="s">
        <v>59</v>
      </c>
      <c r="H378" s="32">
        <v>3</v>
      </c>
      <c r="I378" s="32">
        <v>2</v>
      </c>
      <c r="J378" s="33">
        <v>1</v>
      </c>
      <c r="K378" s="23">
        <f>SUM(B378:J378)</f>
        <v>13</v>
      </c>
      <c r="L378" s="35">
        <f>K378/K382</f>
        <v>0.20634920634920634</v>
      </c>
      <c r="M378" s="35">
        <f>K378/K385</f>
        <v>0.19696969696969696</v>
      </c>
      <c r="N378" s="37"/>
      <c r="O378" s="35"/>
      <c r="P378" s="13"/>
      <c r="Q378" s="33">
        <v>1</v>
      </c>
      <c r="R378" s="33">
        <v>3</v>
      </c>
      <c r="S378" s="33">
        <v>0</v>
      </c>
      <c r="T378" s="14">
        <f>SUM(Q378:S378)</f>
        <v>4</v>
      </c>
      <c r="U378" s="40">
        <f>T378/T382</f>
        <v>0.30769230769230771</v>
      </c>
      <c r="V378" s="13"/>
      <c r="W378" s="33">
        <v>1</v>
      </c>
      <c r="X378" s="33">
        <v>0</v>
      </c>
      <c r="Y378" s="33">
        <v>3</v>
      </c>
      <c r="Z378" s="33" t="s">
        <v>82</v>
      </c>
      <c r="AA378" s="33">
        <v>0</v>
      </c>
      <c r="AB378" s="33">
        <v>0</v>
      </c>
      <c r="AC378" s="14">
        <f>SUM(W378:AB378)</f>
        <v>4</v>
      </c>
      <c r="AD378" s="40">
        <f>AC378/AC382</f>
        <v>0.19047619047619047</v>
      </c>
      <c r="AE378" s="13"/>
      <c r="AF378" s="33">
        <v>1</v>
      </c>
      <c r="AG378" s="33">
        <v>2</v>
      </c>
      <c r="AH378" s="9" t="s">
        <v>82</v>
      </c>
      <c r="AI378" s="33">
        <v>0</v>
      </c>
      <c r="AJ378" s="32">
        <v>0</v>
      </c>
      <c r="AK378" s="32">
        <v>1</v>
      </c>
      <c r="AL378" s="14">
        <f>SUM(AF378:AK378)</f>
        <v>4</v>
      </c>
      <c r="AM378" s="40">
        <f>AL378/AL382</f>
        <v>0.23529411764705882</v>
      </c>
      <c r="AN378" s="13"/>
      <c r="AO378" s="33">
        <v>0</v>
      </c>
      <c r="AP378" s="33">
        <v>1</v>
      </c>
      <c r="AQ378" s="33">
        <v>0</v>
      </c>
      <c r="AR378" s="33">
        <v>0</v>
      </c>
      <c r="AS378" s="9" t="s">
        <v>82</v>
      </c>
      <c r="AT378" s="33">
        <v>0</v>
      </c>
      <c r="AU378" s="14">
        <f>SUM(AO378:AT378)</f>
        <v>1</v>
      </c>
      <c r="AV378" s="40">
        <f>AU378/AU382</f>
        <v>0.125</v>
      </c>
      <c r="AW378" s="13"/>
      <c r="AX378" s="33">
        <v>0</v>
      </c>
      <c r="AY378" s="33">
        <v>0</v>
      </c>
      <c r="AZ378" s="9" t="s">
        <v>82</v>
      </c>
      <c r="BA378" s="33">
        <v>0</v>
      </c>
      <c r="BB378" s="33">
        <v>0</v>
      </c>
      <c r="BC378" s="14">
        <f>SUM(AX378:BB378)</f>
        <v>0</v>
      </c>
      <c r="BD378" s="40">
        <f>BC378/BC382</f>
        <v>0</v>
      </c>
      <c r="BE378" s="13"/>
      <c r="BF378" s="14"/>
      <c r="BG378" s="15" t="e">
        <f>BF378/BF382</f>
        <v>#DIV/0!</v>
      </c>
      <c r="BH378" s="16"/>
      <c r="BI378" s="15"/>
    </row>
    <row r="379" spans="1:61" ht="32.25" customHeight="1">
      <c r="A379" s="10" t="s">
        <v>145</v>
      </c>
      <c r="B379" s="32" t="s">
        <v>59</v>
      </c>
      <c r="C379" s="32">
        <v>1</v>
      </c>
      <c r="D379" s="32">
        <v>0</v>
      </c>
      <c r="E379" s="32">
        <v>1</v>
      </c>
      <c r="F379" s="32">
        <v>1</v>
      </c>
      <c r="G379" s="32" t="s">
        <v>59</v>
      </c>
      <c r="H379" s="32">
        <v>1</v>
      </c>
      <c r="I379" s="32">
        <v>1</v>
      </c>
      <c r="J379" s="33">
        <v>1</v>
      </c>
      <c r="K379" s="23">
        <f>SUM(B379:J379)</f>
        <v>6</v>
      </c>
      <c r="L379" s="35">
        <f>K379/K382</f>
        <v>9.5238095238095233E-2</v>
      </c>
      <c r="M379" s="35">
        <f>K379/K385</f>
        <v>9.0909090909090912E-2</v>
      </c>
      <c r="N379" s="37"/>
      <c r="O379" s="35"/>
      <c r="P379" s="13"/>
      <c r="Q379" s="33">
        <v>0</v>
      </c>
      <c r="R379" s="33">
        <v>1</v>
      </c>
      <c r="S379" s="33">
        <v>0</v>
      </c>
      <c r="T379" s="14">
        <f>SUM(Q379:S379)</f>
        <v>1</v>
      </c>
      <c r="U379" s="40">
        <f>T379/T382</f>
        <v>7.6923076923076927E-2</v>
      </c>
      <c r="V379" s="13"/>
      <c r="W379" s="33">
        <v>1</v>
      </c>
      <c r="X379" s="33">
        <v>1</v>
      </c>
      <c r="Y379" s="33">
        <v>0</v>
      </c>
      <c r="Z379" s="33" t="s">
        <v>82</v>
      </c>
      <c r="AA379" s="33">
        <v>1</v>
      </c>
      <c r="AB379" s="33">
        <v>0</v>
      </c>
      <c r="AC379" s="14">
        <f>SUM(W379:AB379)</f>
        <v>3</v>
      </c>
      <c r="AD379" s="40">
        <f>AC379/AC382</f>
        <v>0.14285714285714285</v>
      </c>
      <c r="AE379" s="13"/>
      <c r="AF379" s="33">
        <v>0</v>
      </c>
      <c r="AG379" s="33">
        <v>0</v>
      </c>
      <c r="AH379" s="9" t="s">
        <v>82</v>
      </c>
      <c r="AI379" s="33">
        <v>0</v>
      </c>
      <c r="AJ379" s="32">
        <v>0</v>
      </c>
      <c r="AK379" s="32">
        <v>1</v>
      </c>
      <c r="AL379" s="14">
        <f>SUM(AF379:AK379)</f>
        <v>1</v>
      </c>
      <c r="AM379" s="40">
        <f>AL379/AL382</f>
        <v>5.8823529411764705E-2</v>
      </c>
      <c r="AN379" s="13"/>
      <c r="AO379" s="33">
        <v>0</v>
      </c>
      <c r="AP379" s="33">
        <v>0</v>
      </c>
      <c r="AQ379" s="33">
        <v>0</v>
      </c>
      <c r="AR379" s="33">
        <v>0</v>
      </c>
      <c r="AS379" s="9" t="s">
        <v>82</v>
      </c>
      <c r="AT379" s="33">
        <v>1</v>
      </c>
      <c r="AU379" s="14">
        <f>SUM(AO379:AT379)</f>
        <v>1</v>
      </c>
      <c r="AV379" s="40">
        <f>AU379/AU382</f>
        <v>0.125</v>
      </c>
      <c r="AW379" s="13"/>
      <c r="AX379" s="33">
        <v>0</v>
      </c>
      <c r="AY379" s="33">
        <v>0</v>
      </c>
      <c r="AZ379" s="9" t="s">
        <v>82</v>
      </c>
      <c r="BA379" s="33">
        <v>0</v>
      </c>
      <c r="BB379" s="33">
        <v>0</v>
      </c>
      <c r="BC379" s="14">
        <f>SUM(AX379:BB379)</f>
        <v>0</v>
      </c>
      <c r="BD379" s="40">
        <f>BC379/BC382</f>
        <v>0</v>
      </c>
      <c r="BE379" s="13"/>
      <c r="BF379" s="14"/>
      <c r="BG379" s="15" t="e">
        <f>BF379/BF382</f>
        <v>#DIV/0!</v>
      </c>
      <c r="BH379" s="16"/>
      <c r="BI379" s="15"/>
    </row>
    <row r="380" spans="1:61" ht="32.25" customHeight="1">
      <c r="A380" s="10" t="s">
        <v>146</v>
      </c>
      <c r="B380" s="32" t="s">
        <v>59</v>
      </c>
      <c r="C380" s="32">
        <v>0</v>
      </c>
      <c r="D380" s="32">
        <v>0</v>
      </c>
      <c r="E380" s="32">
        <v>0</v>
      </c>
      <c r="F380" s="32">
        <v>0</v>
      </c>
      <c r="G380" s="32" t="s">
        <v>59</v>
      </c>
      <c r="H380" s="32">
        <v>0</v>
      </c>
      <c r="I380" s="32">
        <v>0</v>
      </c>
      <c r="J380" s="33">
        <v>1</v>
      </c>
      <c r="K380" s="23">
        <f>SUM(B380:J380)</f>
        <v>1</v>
      </c>
      <c r="L380" s="35">
        <f>K380/K382</f>
        <v>1.5873015873015872E-2</v>
      </c>
      <c r="M380" s="35">
        <f>K380/K385</f>
        <v>1.5151515151515152E-2</v>
      </c>
      <c r="N380" s="37"/>
      <c r="O380" s="35"/>
      <c r="P380" s="13"/>
      <c r="Q380" s="33">
        <v>0</v>
      </c>
      <c r="R380" s="33">
        <v>0</v>
      </c>
      <c r="S380" s="33">
        <v>0</v>
      </c>
      <c r="T380" s="14">
        <f>SUM(Q380:S380)</f>
        <v>0</v>
      </c>
      <c r="U380" s="40">
        <f>T380/T382</f>
        <v>0</v>
      </c>
      <c r="V380" s="13"/>
      <c r="W380" s="33">
        <v>0</v>
      </c>
      <c r="X380" s="33">
        <v>0</v>
      </c>
      <c r="Y380" s="33">
        <v>0</v>
      </c>
      <c r="Z380" s="33" t="s">
        <v>82</v>
      </c>
      <c r="AA380" s="33">
        <v>0</v>
      </c>
      <c r="AB380" s="33">
        <v>0</v>
      </c>
      <c r="AC380" s="14">
        <f>SUM(W380:AB380)</f>
        <v>0</v>
      </c>
      <c r="AD380" s="40">
        <f>AC380/AC382</f>
        <v>0</v>
      </c>
      <c r="AE380" s="13"/>
      <c r="AF380" s="33">
        <v>0</v>
      </c>
      <c r="AG380" s="33">
        <v>0</v>
      </c>
      <c r="AH380" s="9" t="s">
        <v>82</v>
      </c>
      <c r="AI380" s="33">
        <v>0</v>
      </c>
      <c r="AJ380" s="32">
        <v>0</v>
      </c>
      <c r="AK380" s="32">
        <v>0</v>
      </c>
      <c r="AL380" s="14">
        <f>SUM(AF380:AK380)</f>
        <v>0</v>
      </c>
      <c r="AM380" s="40">
        <f>AL380/AL382</f>
        <v>0</v>
      </c>
      <c r="AN380" s="13"/>
      <c r="AO380" s="33">
        <v>0</v>
      </c>
      <c r="AP380" s="33">
        <v>0</v>
      </c>
      <c r="AQ380" s="33">
        <v>0</v>
      </c>
      <c r="AR380" s="33">
        <v>0</v>
      </c>
      <c r="AS380" s="9" t="s">
        <v>82</v>
      </c>
      <c r="AT380" s="33">
        <v>0</v>
      </c>
      <c r="AU380" s="14">
        <f>SUM(AO380:AT380)</f>
        <v>0</v>
      </c>
      <c r="AV380" s="40">
        <f>AU380/AU382</f>
        <v>0</v>
      </c>
      <c r="AW380" s="13"/>
      <c r="AX380" s="33">
        <v>0</v>
      </c>
      <c r="AY380" s="33">
        <v>0</v>
      </c>
      <c r="AZ380" s="9" t="s">
        <v>82</v>
      </c>
      <c r="BA380" s="33">
        <v>0</v>
      </c>
      <c r="BB380" s="33">
        <v>1</v>
      </c>
      <c r="BC380" s="14">
        <f>SUM(AX380:BB380)</f>
        <v>1</v>
      </c>
      <c r="BD380" s="40">
        <f>BC380/BC382</f>
        <v>0.25</v>
      </c>
      <c r="BE380" s="13"/>
      <c r="BF380" s="14"/>
      <c r="BG380" s="15" t="e">
        <f>BF380/BF382</f>
        <v>#DIV/0!</v>
      </c>
      <c r="BH380" s="16"/>
      <c r="BI380" s="15"/>
    </row>
    <row r="381" spans="1:61" ht="56.25" customHeight="1">
      <c r="A381" s="115" t="s">
        <v>177</v>
      </c>
      <c r="B381" s="32" t="s">
        <v>59</v>
      </c>
      <c r="C381" s="32">
        <v>2</v>
      </c>
      <c r="D381" s="32">
        <v>9</v>
      </c>
      <c r="E381" s="32">
        <v>5</v>
      </c>
      <c r="F381" s="32">
        <v>7</v>
      </c>
      <c r="G381" s="32" t="s">
        <v>59</v>
      </c>
      <c r="H381" s="32">
        <v>6</v>
      </c>
      <c r="I381" s="32">
        <v>7</v>
      </c>
      <c r="J381" s="33">
        <v>7</v>
      </c>
      <c r="K381" s="23">
        <f>SUM(B381:J381)</f>
        <v>43</v>
      </c>
      <c r="L381" s="35">
        <f>K381/K382</f>
        <v>0.68253968253968256</v>
      </c>
      <c r="M381" s="35">
        <f>K381/K385</f>
        <v>0.65151515151515149</v>
      </c>
      <c r="N381" s="37"/>
      <c r="O381" s="35"/>
      <c r="P381" s="13"/>
      <c r="Q381" s="33">
        <v>2</v>
      </c>
      <c r="R381" s="33">
        <v>5</v>
      </c>
      <c r="S381" s="33">
        <v>1</v>
      </c>
      <c r="T381" s="14">
        <f>SUM(Q381:S381)</f>
        <v>8</v>
      </c>
      <c r="U381" s="40">
        <f>T381/T382</f>
        <v>0.61538461538461542</v>
      </c>
      <c r="V381" s="13"/>
      <c r="W381" s="33">
        <v>3</v>
      </c>
      <c r="X381" s="33">
        <v>1</v>
      </c>
      <c r="Y381" s="33">
        <v>5</v>
      </c>
      <c r="Z381" s="33" t="s">
        <v>82</v>
      </c>
      <c r="AA381" s="33">
        <v>4</v>
      </c>
      <c r="AB381" s="33">
        <v>1</v>
      </c>
      <c r="AC381" s="14">
        <f>SUM(W381:AB381)</f>
        <v>14</v>
      </c>
      <c r="AD381" s="40">
        <f>AC381/AC382</f>
        <v>0.66666666666666663</v>
      </c>
      <c r="AE381" s="13"/>
      <c r="AF381" s="33">
        <v>4</v>
      </c>
      <c r="AG381" s="33">
        <v>2</v>
      </c>
      <c r="AH381" s="9" t="s">
        <v>82</v>
      </c>
      <c r="AI381" s="33">
        <v>1</v>
      </c>
      <c r="AJ381" s="32">
        <v>0</v>
      </c>
      <c r="AK381" s="32">
        <v>5</v>
      </c>
      <c r="AL381" s="14">
        <f>SUM(AF381:AK381)</f>
        <v>12</v>
      </c>
      <c r="AM381" s="40">
        <f>AL381/AL382</f>
        <v>0.70588235294117652</v>
      </c>
      <c r="AN381" s="13"/>
      <c r="AO381" s="33">
        <v>1</v>
      </c>
      <c r="AP381" s="33">
        <v>1</v>
      </c>
      <c r="AQ381" s="33">
        <v>2</v>
      </c>
      <c r="AR381" s="33">
        <v>1</v>
      </c>
      <c r="AS381" s="9" t="s">
        <v>82</v>
      </c>
      <c r="AT381" s="33">
        <v>1</v>
      </c>
      <c r="AU381" s="14">
        <f>SUM(AO381:AT381)</f>
        <v>6</v>
      </c>
      <c r="AV381" s="40">
        <f>AU381/AU382</f>
        <v>0.75</v>
      </c>
      <c r="AW381" s="13"/>
      <c r="AX381" s="33">
        <v>1</v>
      </c>
      <c r="AY381" s="33">
        <v>1</v>
      </c>
      <c r="AZ381" s="9" t="s">
        <v>82</v>
      </c>
      <c r="BA381" s="33">
        <v>0</v>
      </c>
      <c r="BB381" s="33">
        <v>1</v>
      </c>
      <c r="BC381" s="14">
        <f>SUM(AX381:BB381)</f>
        <v>3</v>
      </c>
      <c r="BD381" s="40">
        <f>BC381/BC382</f>
        <v>0.75</v>
      </c>
      <c r="BE381" s="13"/>
      <c r="BF381" s="14"/>
      <c r="BG381" s="15" t="e">
        <f>BF381/BF382</f>
        <v>#DIV/0!</v>
      </c>
      <c r="BH381" s="16"/>
      <c r="BI381" s="15"/>
    </row>
    <row r="382" spans="1:61" ht="21.75" customHeight="1">
      <c r="A382" s="10" t="s">
        <v>9</v>
      </c>
      <c r="B382" s="32" t="s">
        <v>59</v>
      </c>
      <c r="C382" s="32">
        <f>SUM(C376:C381)</f>
        <v>3</v>
      </c>
      <c r="D382" s="32">
        <f>SUM(D376:D381)</f>
        <v>14</v>
      </c>
      <c r="E382" s="32">
        <f>SUM(E376:E381)</f>
        <v>6</v>
      </c>
      <c r="F382" s="32">
        <f>SUM(F376:F381)</f>
        <v>10</v>
      </c>
      <c r="G382" s="32" t="s">
        <v>59</v>
      </c>
      <c r="H382" s="32">
        <f>SUM(H376:H381)</f>
        <v>10</v>
      </c>
      <c r="I382" s="32">
        <f>SUM(I376:I381)</f>
        <v>10</v>
      </c>
      <c r="J382" s="32">
        <f>SUM(J376:J381)</f>
        <v>10</v>
      </c>
      <c r="K382" s="23">
        <f>SUM(K376:K381)</f>
        <v>63</v>
      </c>
      <c r="L382" s="35">
        <f>SUM(L376:L381)</f>
        <v>1</v>
      </c>
      <c r="M382" s="35">
        <f>K382/K385</f>
        <v>0.95454545454545459</v>
      </c>
      <c r="N382" s="37">
        <f>T382+AC382+AL382+AU382</f>
        <v>59</v>
      </c>
      <c r="O382" s="35">
        <f>N382/K382</f>
        <v>0.93650793650793651</v>
      </c>
      <c r="P382" s="13">
        <f t="shared" ref="P382:Y382" si="262">SUM(P376:P381)</f>
        <v>0</v>
      </c>
      <c r="Q382" s="47">
        <f t="shared" si="262"/>
        <v>3</v>
      </c>
      <c r="R382" s="14">
        <f t="shared" si="262"/>
        <v>9</v>
      </c>
      <c r="S382" s="14">
        <f t="shared" si="262"/>
        <v>1</v>
      </c>
      <c r="T382" s="14">
        <f t="shared" si="262"/>
        <v>13</v>
      </c>
      <c r="U382" s="40">
        <f t="shared" si="262"/>
        <v>1</v>
      </c>
      <c r="V382" s="13">
        <f t="shared" si="262"/>
        <v>0</v>
      </c>
      <c r="W382" s="47">
        <f t="shared" si="262"/>
        <v>5</v>
      </c>
      <c r="X382" s="47">
        <f t="shared" si="262"/>
        <v>2</v>
      </c>
      <c r="Y382" s="47">
        <f t="shared" si="262"/>
        <v>8</v>
      </c>
      <c r="Z382" s="112" t="s">
        <v>82</v>
      </c>
      <c r="AA382" s="47">
        <f t="shared" ref="AA382:AG382" si="263">SUM(AA376:AA381)</f>
        <v>5</v>
      </c>
      <c r="AB382" s="47">
        <f t="shared" si="263"/>
        <v>1</v>
      </c>
      <c r="AC382" s="45">
        <f t="shared" si="263"/>
        <v>21</v>
      </c>
      <c r="AD382" s="40">
        <f t="shared" si="263"/>
        <v>1</v>
      </c>
      <c r="AE382" s="13">
        <f t="shared" si="263"/>
        <v>0</v>
      </c>
      <c r="AF382" s="47">
        <f t="shared" si="263"/>
        <v>5</v>
      </c>
      <c r="AG382" s="47">
        <f t="shared" si="263"/>
        <v>4</v>
      </c>
      <c r="AH382" s="113" t="s">
        <v>82</v>
      </c>
      <c r="AI382" s="47">
        <f t="shared" ref="AI382:AR382" si="264">SUM(AI376:AI381)</f>
        <v>1</v>
      </c>
      <c r="AJ382" s="47">
        <f t="shared" si="264"/>
        <v>0</v>
      </c>
      <c r="AK382" s="47">
        <f t="shared" si="264"/>
        <v>7</v>
      </c>
      <c r="AL382" s="45">
        <f t="shared" si="264"/>
        <v>17</v>
      </c>
      <c r="AM382" s="40">
        <f t="shared" si="264"/>
        <v>1</v>
      </c>
      <c r="AN382" s="13">
        <f t="shared" si="264"/>
        <v>0</v>
      </c>
      <c r="AO382" s="47">
        <f t="shared" si="264"/>
        <v>1</v>
      </c>
      <c r="AP382" s="47">
        <f t="shared" si="264"/>
        <v>2</v>
      </c>
      <c r="AQ382" s="47">
        <f t="shared" si="264"/>
        <v>2</v>
      </c>
      <c r="AR382" s="47">
        <f t="shared" si="264"/>
        <v>1</v>
      </c>
      <c r="AS382" s="113" t="s">
        <v>82</v>
      </c>
      <c r="AT382" s="47">
        <f t="shared" ref="AT382:AY382" si="265">SUM(AT376:AT381)</f>
        <v>2</v>
      </c>
      <c r="AU382" s="45">
        <f t="shared" si="265"/>
        <v>8</v>
      </c>
      <c r="AV382" s="40">
        <f t="shared" si="265"/>
        <v>1</v>
      </c>
      <c r="AW382" s="13">
        <f t="shared" si="265"/>
        <v>0</v>
      </c>
      <c r="AX382" s="47">
        <f t="shared" si="265"/>
        <v>1</v>
      </c>
      <c r="AY382" s="47">
        <f t="shared" si="265"/>
        <v>1</v>
      </c>
      <c r="AZ382" s="113" t="s">
        <v>82</v>
      </c>
      <c r="BA382" s="47">
        <f>SUM(BA376:BA381)</f>
        <v>0</v>
      </c>
      <c r="BB382" s="47">
        <f>SUM(BB376:BB381)</f>
        <v>2</v>
      </c>
      <c r="BC382" s="45">
        <f>SUM(BC376:BC381)</f>
        <v>4</v>
      </c>
      <c r="BD382" s="40">
        <f>SUM(BD376:BD381)</f>
        <v>1</v>
      </c>
      <c r="BE382" s="13">
        <f>SUM(BE376:BE381)</f>
        <v>0</v>
      </c>
      <c r="BF382" s="14">
        <f>SUM(BF378:BF381)</f>
        <v>0</v>
      </c>
      <c r="BG382" s="15" t="e">
        <f>BF382/BF382</f>
        <v>#DIV/0!</v>
      </c>
      <c r="BH382" s="16"/>
      <c r="BI382" s="15"/>
    </row>
    <row r="383" spans="1:61" ht="21.75" customHeight="1">
      <c r="A383" s="8" t="s">
        <v>64</v>
      </c>
      <c r="B383" s="32" t="s">
        <v>59</v>
      </c>
      <c r="C383" s="32">
        <v>0</v>
      </c>
      <c r="D383" s="32">
        <v>1</v>
      </c>
      <c r="E383" s="32">
        <v>0</v>
      </c>
      <c r="F383" s="32">
        <v>1</v>
      </c>
      <c r="G383" s="32" t="s">
        <v>59</v>
      </c>
      <c r="H383" s="32">
        <v>0</v>
      </c>
      <c r="I383" s="32">
        <v>0</v>
      </c>
      <c r="J383" s="32">
        <v>1</v>
      </c>
      <c r="K383" s="23">
        <f>SUM(B383:J383)</f>
        <v>3</v>
      </c>
      <c r="L383" s="35">
        <f>K383/(K382+K383+K384)</f>
        <v>4.5454545454545456E-2</v>
      </c>
      <c r="M383" s="35">
        <f>K383/(K385)</f>
        <v>4.5454545454545456E-2</v>
      </c>
      <c r="N383" s="37"/>
      <c r="O383" s="35"/>
      <c r="P383" s="13"/>
      <c r="Q383" s="52">
        <v>0</v>
      </c>
      <c r="R383" s="14">
        <v>0</v>
      </c>
      <c r="S383" s="14">
        <v>0</v>
      </c>
      <c r="T383" s="38">
        <f>SUM(Q383:S383)</f>
        <v>0</v>
      </c>
      <c r="U383" s="15">
        <f>T383/T385</f>
        <v>0</v>
      </c>
      <c r="V383" s="13"/>
      <c r="W383" s="52">
        <v>0</v>
      </c>
      <c r="X383" s="52">
        <v>1</v>
      </c>
      <c r="Y383" s="52">
        <v>0</v>
      </c>
      <c r="Z383" s="114" t="s">
        <v>82</v>
      </c>
      <c r="AA383" s="52">
        <v>0</v>
      </c>
      <c r="AB383" s="118">
        <v>0</v>
      </c>
      <c r="AC383" s="51">
        <f>SUM(W383:AB383)</f>
        <v>1</v>
      </c>
      <c r="AD383" s="15">
        <f>AC383/AC385</f>
        <v>4.5454545454545456E-2</v>
      </c>
      <c r="AE383" s="13"/>
      <c r="AF383" s="52">
        <v>0</v>
      </c>
      <c r="AG383" s="52">
        <v>1</v>
      </c>
      <c r="AH383" s="103" t="s">
        <v>82</v>
      </c>
      <c r="AI383" s="52">
        <v>0</v>
      </c>
      <c r="AJ383" s="118">
        <v>0</v>
      </c>
      <c r="AK383" s="118">
        <v>1</v>
      </c>
      <c r="AL383" s="49">
        <f>SUM(AF383:AK383)</f>
        <v>2</v>
      </c>
      <c r="AM383" s="15">
        <f>AL383/AL385</f>
        <v>0.10526315789473684</v>
      </c>
      <c r="AN383" s="13"/>
      <c r="AO383" s="52">
        <v>0</v>
      </c>
      <c r="AP383" s="52">
        <v>0</v>
      </c>
      <c r="AQ383" s="52">
        <v>0</v>
      </c>
      <c r="AR383" s="52">
        <v>0</v>
      </c>
      <c r="AS383" s="103" t="s">
        <v>82</v>
      </c>
      <c r="AT383" s="118">
        <v>0</v>
      </c>
      <c r="AU383" s="51">
        <f>SUM(AO383:AT383)</f>
        <v>0</v>
      </c>
      <c r="AV383" s="15">
        <f>AU383/AU385</f>
        <v>0</v>
      </c>
      <c r="AW383" s="13"/>
      <c r="AX383" s="52">
        <v>0</v>
      </c>
      <c r="AY383" s="52">
        <v>0</v>
      </c>
      <c r="AZ383" s="103" t="s">
        <v>82</v>
      </c>
      <c r="BA383" s="118">
        <v>0</v>
      </c>
      <c r="BB383" s="118">
        <v>0</v>
      </c>
      <c r="BC383" s="51">
        <f>SUM(AX383:BB383)</f>
        <v>0</v>
      </c>
      <c r="BD383" s="15">
        <f>BC383/BC385</f>
        <v>0</v>
      </c>
      <c r="BE383" s="13"/>
      <c r="BF383" s="38"/>
      <c r="BG383" s="42"/>
      <c r="BH383" s="42"/>
      <c r="BI383" s="42"/>
    </row>
    <row r="384" spans="1:61" ht="20.25" customHeight="1">
      <c r="A384" s="8" t="s">
        <v>65</v>
      </c>
      <c r="B384" s="32" t="s">
        <v>59</v>
      </c>
      <c r="C384" s="32">
        <v>0</v>
      </c>
      <c r="D384" s="32">
        <v>0</v>
      </c>
      <c r="E384" s="32">
        <v>0</v>
      </c>
      <c r="F384" s="32">
        <v>0</v>
      </c>
      <c r="G384" s="32" t="s">
        <v>59</v>
      </c>
      <c r="H384" s="32">
        <v>0</v>
      </c>
      <c r="I384" s="32">
        <v>0</v>
      </c>
      <c r="J384" s="32">
        <v>0</v>
      </c>
      <c r="K384" s="23">
        <f>SUM(B384:J384)</f>
        <v>0</v>
      </c>
      <c r="L384" s="35">
        <f>K384/(K383+K384+K382)</f>
        <v>0</v>
      </c>
      <c r="M384" s="35">
        <f>K384/(K385)</f>
        <v>0</v>
      </c>
      <c r="N384" s="23"/>
      <c r="O384" s="35"/>
      <c r="P384" s="13"/>
      <c r="Q384" s="14">
        <v>0</v>
      </c>
      <c r="R384" s="14">
        <v>0</v>
      </c>
      <c r="S384" s="14">
        <v>0</v>
      </c>
      <c r="T384" s="38">
        <f>SUM(Q384:S384)</f>
        <v>0</v>
      </c>
      <c r="U384" s="15">
        <f>T384/T385</f>
        <v>0</v>
      </c>
      <c r="V384" s="13"/>
      <c r="W384" s="14">
        <v>0</v>
      </c>
      <c r="X384" s="14">
        <v>0</v>
      </c>
      <c r="Y384" s="14">
        <v>0</v>
      </c>
      <c r="Z384" s="33" t="s">
        <v>82</v>
      </c>
      <c r="AA384" s="14">
        <v>0</v>
      </c>
      <c r="AB384" s="32">
        <v>0</v>
      </c>
      <c r="AC384" s="38">
        <f>SUM(W384:AB384)</f>
        <v>0</v>
      </c>
      <c r="AD384" s="15">
        <f>AC384/AC385</f>
        <v>0</v>
      </c>
      <c r="AE384" s="13"/>
      <c r="AF384" s="14">
        <v>0</v>
      </c>
      <c r="AG384" s="14">
        <v>0</v>
      </c>
      <c r="AH384" s="9" t="s">
        <v>82</v>
      </c>
      <c r="AI384" s="14">
        <v>0</v>
      </c>
      <c r="AJ384" s="32">
        <v>0</v>
      </c>
      <c r="AK384" s="32">
        <v>0</v>
      </c>
      <c r="AL384" s="14">
        <f>SUM(AF384:AK384)</f>
        <v>0</v>
      </c>
      <c r="AM384" s="15">
        <f>AL384/AL385</f>
        <v>0</v>
      </c>
      <c r="AN384" s="13"/>
      <c r="AO384" s="14">
        <v>0</v>
      </c>
      <c r="AP384" s="14">
        <v>0</v>
      </c>
      <c r="AQ384" s="14">
        <v>0</v>
      </c>
      <c r="AR384" s="14">
        <v>0</v>
      </c>
      <c r="AS384" s="9" t="s">
        <v>82</v>
      </c>
      <c r="AT384" s="32">
        <v>0</v>
      </c>
      <c r="AU384" s="38">
        <f>SUM(AO384:AT384)</f>
        <v>0</v>
      </c>
      <c r="AV384" s="15">
        <f>AU384/AU385</f>
        <v>0</v>
      </c>
      <c r="AW384" s="13"/>
      <c r="AX384" s="14">
        <v>0</v>
      </c>
      <c r="AY384" s="14">
        <v>0</v>
      </c>
      <c r="AZ384" s="9" t="s">
        <v>82</v>
      </c>
      <c r="BA384" s="32">
        <v>0</v>
      </c>
      <c r="BB384" s="32">
        <v>0</v>
      </c>
      <c r="BC384" s="38">
        <f>SUM(AX384:BB384)</f>
        <v>0</v>
      </c>
      <c r="BD384" s="15">
        <f>BC384/BC385</f>
        <v>0</v>
      </c>
      <c r="BE384" s="13"/>
      <c r="BF384" s="38"/>
      <c r="BG384" s="42"/>
      <c r="BH384" s="42"/>
      <c r="BI384" s="42"/>
    </row>
    <row r="385" spans="1:61" ht="20.25" customHeight="1">
      <c r="A385" s="39" t="s">
        <v>66</v>
      </c>
      <c r="B385" s="32" t="s">
        <v>59</v>
      </c>
      <c r="C385" s="32">
        <f>SUM(C382:C384)</f>
        <v>3</v>
      </c>
      <c r="D385" s="32">
        <f>SUM(D382:D384)</f>
        <v>15</v>
      </c>
      <c r="E385" s="32">
        <f>SUM(E382:E384)</f>
        <v>6</v>
      </c>
      <c r="F385" s="32">
        <f>SUM(F382:F384)</f>
        <v>11</v>
      </c>
      <c r="G385" s="32" t="s">
        <v>59</v>
      </c>
      <c r="H385" s="32">
        <f>SUM(H382:H384)</f>
        <v>10</v>
      </c>
      <c r="I385" s="32">
        <f>SUM(I382:I384)</f>
        <v>10</v>
      </c>
      <c r="J385" s="32">
        <f>SUM(J382:J384)</f>
        <v>11</v>
      </c>
      <c r="K385" s="23">
        <f>SUM(B385:J385)</f>
        <v>66</v>
      </c>
      <c r="L385" s="35">
        <f>K385/(K384+K383+K382)</f>
        <v>1</v>
      </c>
      <c r="M385" s="35">
        <f>K385/(K382+K383+K384)</f>
        <v>1</v>
      </c>
      <c r="N385" s="37">
        <f>T385+AC385+AL385+AU385</f>
        <v>62</v>
      </c>
      <c r="O385" s="35">
        <f>N385/K385</f>
        <v>0.93939393939393945</v>
      </c>
      <c r="P385" s="13"/>
      <c r="Q385" s="38">
        <f>SUM(Q382:Q384)</f>
        <v>3</v>
      </c>
      <c r="R385" s="38">
        <f>SUM(R382:R384)</f>
        <v>9</v>
      </c>
      <c r="S385" s="38">
        <f>SUM(S382:S384)</f>
        <v>1</v>
      </c>
      <c r="T385" s="38">
        <f>SUM(Q385:S385)</f>
        <v>13</v>
      </c>
      <c r="U385" s="40">
        <f>T385/(T382+T383+T384)</f>
        <v>1</v>
      </c>
      <c r="V385" s="13"/>
      <c r="W385" s="38">
        <f>SUM(W382:W384)</f>
        <v>5</v>
      </c>
      <c r="X385" s="38">
        <f>SUM(X382:X384)</f>
        <v>3</v>
      </c>
      <c r="Y385" s="38">
        <f>SUM(Y382:Y384)</f>
        <v>8</v>
      </c>
      <c r="Z385" s="33" t="s">
        <v>82</v>
      </c>
      <c r="AA385" s="38">
        <f>SUM(AA382:AA384)</f>
        <v>5</v>
      </c>
      <c r="AB385" s="38">
        <f>SUM(AB382:AB384)</f>
        <v>1</v>
      </c>
      <c r="AC385" s="38">
        <f>SUM(W385:AB385)</f>
        <v>22</v>
      </c>
      <c r="AD385" s="40">
        <f>AC385/(AC382+AC383+AC384)</f>
        <v>1</v>
      </c>
      <c r="AE385" s="13"/>
      <c r="AF385" s="38">
        <f>SUM(AF382:AF384)</f>
        <v>5</v>
      </c>
      <c r="AG385" s="38">
        <f>SUM(AG382:AG384)</f>
        <v>5</v>
      </c>
      <c r="AH385" s="9" t="s">
        <v>82</v>
      </c>
      <c r="AI385" s="38">
        <f>SUM(AI382:AI384)</f>
        <v>1</v>
      </c>
      <c r="AJ385" s="38">
        <f>SUM(AJ382:AJ384)</f>
        <v>0</v>
      </c>
      <c r="AK385" s="38">
        <f>SUM(AK382:AK384)</f>
        <v>8</v>
      </c>
      <c r="AL385" s="38">
        <f>SUM(AF385:AK385)</f>
        <v>19</v>
      </c>
      <c r="AM385" s="41">
        <f>AL385/(AL382+AL383+AL384)</f>
        <v>1</v>
      </c>
      <c r="AN385" s="13"/>
      <c r="AO385" s="38">
        <f>SUM(AO382:AO384)</f>
        <v>1</v>
      </c>
      <c r="AP385" s="38">
        <f>SUM(AP382:AP384)</f>
        <v>2</v>
      </c>
      <c r="AQ385" s="38">
        <f>SUM(AQ382:AQ384)</f>
        <v>2</v>
      </c>
      <c r="AR385" s="38">
        <f>SUM(AR382:AR384)</f>
        <v>1</v>
      </c>
      <c r="AS385" s="9" t="s">
        <v>82</v>
      </c>
      <c r="AT385" s="38">
        <f>SUM(AT382:AT384)</f>
        <v>2</v>
      </c>
      <c r="AU385" s="38">
        <f>SUM(AO385:AT385)</f>
        <v>8</v>
      </c>
      <c r="AV385" s="40">
        <f>AU385/(AU382+AU383+AU384)</f>
        <v>1</v>
      </c>
      <c r="AW385" s="13"/>
      <c r="AX385" s="38">
        <f>SUM(AX382:AX384)</f>
        <v>1</v>
      </c>
      <c r="AY385" s="38">
        <f>SUM(AY382:AY384)</f>
        <v>1</v>
      </c>
      <c r="AZ385" s="9" t="s">
        <v>82</v>
      </c>
      <c r="BA385" s="38">
        <f>SUM(BA382:BA384)</f>
        <v>0</v>
      </c>
      <c r="BB385" s="38">
        <f>SUM(BB382:BB384)</f>
        <v>2</v>
      </c>
      <c r="BC385" s="38">
        <f>SUM(AX385:BB385)</f>
        <v>4</v>
      </c>
      <c r="BD385" s="40">
        <f>BC385/(BC382+BC383+BC384)</f>
        <v>1</v>
      </c>
      <c r="BE385" s="13"/>
      <c r="BF385" s="38"/>
      <c r="BG385" s="42"/>
      <c r="BH385" s="42"/>
      <c r="BI385" s="42"/>
    </row>
    <row r="386" spans="1:61" ht="44.25" customHeight="1">
      <c r="A386" s="53" t="s">
        <v>178</v>
      </c>
      <c r="B386" s="126"/>
      <c r="C386" s="126"/>
      <c r="D386" s="126"/>
      <c r="E386" s="126"/>
      <c r="F386" s="126"/>
      <c r="G386" s="126"/>
      <c r="H386" s="126"/>
      <c r="I386" s="126"/>
      <c r="J386" s="127"/>
      <c r="K386" s="21"/>
      <c r="L386" s="24"/>
      <c r="M386" s="24"/>
      <c r="N386" s="26"/>
      <c r="O386" s="24"/>
      <c r="P386" s="13"/>
      <c r="Q386" s="28"/>
      <c r="R386" s="28"/>
      <c r="S386" s="28"/>
      <c r="T386" s="28"/>
      <c r="U386" s="128"/>
      <c r="V386" s="13"/>
      <c r="W386" s="28"/>
      <c r="X386" s="28"/>
      <c r="Y386" s="28"/>
      <c r="Z386" s="28"/>
      <c r="AA386" s="28"/>
      <c r="AB386" s="28"/>
      <c r="AC386" s="28"/>
      <c r="AD386" s="128"/>
      <c r="AE386" s="13"/>
      <c r="AF386" s="28"/>
      <c r="AG386" s="28"/>
      <c r="AH386" s="28"/>
      <c r="AI386" s="28"/>
      <c r="AJ386" s="28"/>
      <c r="AK386" s="28"/>
      <c r="AL386" s="28"/>
      <c r="AM386" s="129"/>
      <c r="AN386" s="13"/>
      <c r="AO386" s="28"/>
      <c r="AP386" s="28"/>
      <c r="AQ386" s="28"/>
      <c r="AR386" s="28"/>
      <c r="AS386" s="28"/>
      <c r="AT386" s="28"/>
      <c r="AU386" s="28"/>
      <c r="AV386" s="128"/>
      <c r="AW386" s="13"/>
      <c r="AX386" s="28"/>
      <c r="AY386" s="28"/>
      <c r="AZ386" s="28"/>
      <c r="BA386" s="28"/>
      <c r="BB386" s="28"/>
      <c r="BC386" s="28"/>
      <c r="BD386" s="128"/>
      <c r="BE386" s="13"/>
      <c r="BF386" s="28"/>
      <c r="BG386" s="126"/>
      <c r="BH386" s="126"/>
      <c r="BI386" s="126"/>
    </row>
    <row r="387" spans="1:61" ht="32.5" customHeight="1">
      <c r="A387" s="20"/>
      <c r="B387" s="30" t="s">
        <v>0</v>
      </c>
      <c r="C387" s="30" t="s">
        <v>1</v>
      </c>
      <c r="D387" s="30" t="s">
        <v>2</v>
      </c>
      <c r="E387" s="30" t="s">
        <v>3</v>
      </c>
      <c r="F387" s="30" t="s">
        <v>4</v>
      </c>
      <c r="G387" s="30" t="s">
        <v>5</v>
      </c>
      <c r="H387" s="30" t="s">
        <v>68</v>
      </c>
      <c r="I387" s="30" t="s">
        <v>7</v>
      </c>
      <c r="J387" s="30" t="s">
        <v>8</v>
      </c>
      <c r="K387" s="10" t="s">
        <v>9</v>
      </c>
      <c r="L387" s="10" t="s">
        <v>56</v>
      </c>
      <c r="M387" s="20"/>
      <c r="N387" s="37"/>
      <c r="O387" s="35"/>
      <c r="P387" s="13"/>
      <c r="Q387" s="38"/>
      <c r="R387" s="38"/>
      <c r="S387" s="38"/>
      <c r="T387" s="110"/>
      <c r="U387" s="40"/>
      <c r="V387" s="13"/>
      <c r="W387" s="30" t="s">
        <v>15</v>
      </c>
      <c r="X387" s="30" t="s">
        <v>20</v>
      </c>
      <c r="Y387" s="30" t="s">
        <v>21</v>
      </c>
      <c r="Z387" s="30" t="s">
        <v>22</v>
      </c>
      <c r="AA387" s="30" t="s">
        <v>23</v>
      </c>
      <c r="AB387" s="30" t="s">
        <v>24</v>
      </c>
      <c r="AC387" s="110"/>
      <c r="AD387" s="40"/>
      <c r="AE387" s="13"/>
      <c r="AF387" s="30" t="s">
        <v>20</v>
      </c>
      <c r="AG387" s="30" t="s">
        <v>21</v>
      </c>
      <c r="AH387" s="30" t="s">
        <v>22</v>
      </c>
      <c r="AI387" s="30" t="s">
        <v>23</v>
      </c>
      <c r="AJ387" s="30" t="s">
        <v>24</v>
      </c>
      <c r="AK387" s="54"/>
      <c r="AL387" s="110"/>
      <c r="AM387" s="41"/>
      <c r="AN387" s="13"/>
      <c r="AO387" s="30" t="s">
        <v>15</v>
      </c>
      <c r="AP387" s="30" t="s">
        <v>20</v>
      </c>
      <c r="AQ387" s="30" t="s">
        <v>21</v>
      </c>
      <c r="AR387" s="30" t="s">
        <v>16</v>
      </c>
      <c r="AS387" s="30" t="s">
        <v>22</v>
      </c>
      <c r="AT387" s="30" t="s">
        <v>24</v>
      </c>
      <c r="AU387" s="110"/>
      <c r="AV387" s="40"/>
      <c r="AW387" s="13"/>
      <c r="AX387" s="30" t="s">
        <v>15</v>
      </c>
      <c r="AY387" s="30" t="s">
        <v>20</v>
      </c>
      <c r="AZ387" s="30" t="s">
        <v>22</v>
      </c>
      <c r="BA387" s="30" t="s">
        <v>24</v>
      </c>
      <c r="BB387" s="54"/>
      <c r="BC387" s="110"/>
      <c r="BD387" s="40"/>
      <c r="BE387" s="13"/>
      <c r="BF387" s="38"/>
      <c r="BG387" s="42"/>
      <c r="BH387" s="42"/>
      <c r="BI387" s="42"/>
    </row>
    <row r="388" spans="1:61" ht="44.75" customHeight="1">
      <c r="A388" s="10" t="s">
        <v>179</v>
      </c>
      <c r="B388" s="32">
        <v>0</v>
      </c>
      <c r="C388" s="32" t="s">
        <v>59</v>
      </c>
      <c r="D388" s="32" t="s">
        <v>59</v>
      </c>
      <c r="E388" s="32" t="s">
        <v>59</v>
      </c>
      <c r="F388" s="32" t="s">
        <v>59</v>
      </c>
      <c r="G388" s="32" t="s">
        <v>59</v>
      </c>
      <c r="H388" s="32" t="s">
        <v>59</v>
      </c>
      <c r="I388" s="32" t="s">
        <v>59</v>
      </c>
      <c r="J388" s="32" t="s">
        <v>59</v>
      </c>
      <c r="K388" s="23">
        <f t="shared" ref="K388:K394" si="266">SUM(B388:J388)</f>
        <v>0</v>
      </c>
      <c r="L388" s="35">
        <f>K388/K391</f>
        <v>0</v>
      </c>
      <c r="M388" s="35">
        <f>K388/K394</f>
        <v>0</v>
      </c>
      <c r="N388" s="37"/>
      <c r="O388" s="35"/>
      <c r="P388" s="13"/>
      <c r="Q388" s="9" t="s">
        <v>82</v>
      </c>
      <c r="R388" s="9" t="s">
        <v>82</v>
      </c>
      <c r="S388" s="16"/>
      <c r="T388" s="14">
        <f>SUM(Q388:S388)</f>
        <v>0</v>
      </c>
      <c r="U388" s="40"/>
      <c r="V388" s="13"/>
      <c r="W388" s="9" t="s">
        <v>82</v>
      </c>
      <c r="X388" s="9" t="s">
        <v>82</v>
      </c>
      <c r="Y388" s="9" t="s">
        <v>82</v>
      </c>
      <c r="Z388" s="33">
        <v>0</v>
      </c>
      <c r="AA388" s="9" t="s">
        <v>82</v>
      </c>
      <c r="AB388" s="9" t="s">
        <v>82</v>
      </c>
      <c r="AC388" s="14">
        <f>SUM(W388:AB388)</f>
        <v>0</v>
      </c>
      <c r="AD388" s="40"/>
      <c r="AE388" s="13"/>
      <c r="AF388" s="9" t="s">
        <v>82</v>
      </c>
      <c r="AG388" s="9" t="s">
        <v>82</v>
      </c>
      <c r="AH388" s="14">
        <v>0</v>
      </c>
      <c r="AI388" s="9" t="s">
        <v>82</v>
      </c>
      <c r="AJ388" s="9" t="s">
        <v>82</v>
      </c>
      <c r="AK388" s="16"/>
      <c r="AL388" s="14">
        <f>SUM(AF388:AK388)</f>
        <v>0</v>
      </c>
      <c r="AM388" s="41">
        <f>AL388/AL391</f>
        <v>0</v>
      </c>
      <c r="AN388" s="13"/>
      <c r="AO388" s="9" t="s">
        <v>82</v>
      </c>
      <c r="AP388" s="9" t="s">
        <v>82</v>
      </c>
      <c r="AQ388" s="9" t="s">
        <v>82</v>
      </c>
      <c r="AR388" s="9" t="s">
        <v>82</v>
      </c>
      <c r="AS388" s="14">
        <v>1</v>
      </c>
      <c r="AT388" s="9" t="s">
        <v>82</v>
      </c>
      <c r="AU388" s="14">
        <f>SUM(AO388:AT388)</f>
        <v>1</v>
      </c>
      <c r="AV388" s="40">
        <f>AU388/AU391</f>
        <v>0.2</v>
      </c>
      <c r="AW388" s="13"/>
      <c r="AX388" s="9" t="s">
        <v>82</v>
      </c>
      <c r="AY388" s="9" t="s">
        <v>82</v>
      </c>
      <c r="AZ388" s="14">
        <v>0</v>
      </c>
      <c r="BA388" s="9" t="s">
        <v>82</v>
      </c>
      <c r="BB388" s="16"/>
      <c r="BC388" s="14">
        <f>SUM(AX388:BB388)</f>
        <v>0</v>
      </c>
      <c r="BD388" s="40">
        <f>BC388/BC391</f>
        <v>0</v>
      </c>
      <c r="BE388" s="13"/>
      <c r="BF388" s="38"/>
      <c r="BG388" s="42"/>
      <c r="BH388" s="42"/>
      <c r="BI388" s="42"/>
    </row>
    <row r="389" spans="1:61" ht="44.75" customHeight="1">
      <c r="A389" s="10" t="s">
        <v>180</v>
      </c>
      <c r="B389" s="32">
        <v>12</v>
      </c>
      <c r="C389" s="32" t="s">
        <v>59</v>
      </c>
      <c r="D389" s="32" t="s">
        <v>59</v>
      </c>
      <c r="E389" s="32" t="s">
        <v>59</v>
      </c>
      <c r="F389" s="32" t="s">
        <v>59</v>
      </c>
      <c r="G389" s="32" t="s">
        <v>59</v>
      </c>
      <c r="H389" s="32" t="s">
        <v>59</v>
      </c>
      <c r="I389" s="32" t="s">
        <v>59</v>
      </c>
      <c r="J389" s="32" t="s">
        <v>59</v>
      </c>
      <c r="K389" s="23">
        <f t="shared" si="266"/>
        <v>12</v>
      </c>
      <c r="L389" s="35">
        <f>K389/K391</f>
        <v>0.92307692307692313</v>
      </c>
      <c r="M389" s="35">
        <f>K389/K394</f>
        <v>0.75</v>
      </c>
      <c r="N389" s="37"/>
      <c r="O389" s="35"/>
      <c r="P389" s="13"/>
      <c r="Q389" s="9" t="s">
        <v>82</v>
      </c>
      <c r="R389" s="9" t="s">
        <v>82</v>
      </c>
      <c r="S389" s="16"/>
      <c r="T389" s="14">
        <f>SUM(Q389:S389)</f>
        <v>0</v>
      </c>
      <c r="U389" s="40"/>
      <c r="V389" s="13"/>
      <c r="W389" s="9" t="s">
        <v>82</v>
      </c>
      <c r="X389" s="9" t="s">
        <v>82</v>
      </c>
      <c r="Y389" s="9" t="s">
        <v>82</v>
      </c>
      <c r="Z389" s="33">
        <v>1</v>
      </c>
      <c r="AA389" s="9" t="s">
        <v>82</v>
      </c>
      <c r="AB389" s="9" t="s">
        <v>82</v>
      </c>
      <c r="AC389" s="14">
        <f>SUM(W389:AB389)</f>
        <v>1</v>
      </c>
      <c r="AD389" s="40"/>
      <c r="AE389" s="13"/>
      <c r="AF389" s="9" t="s">
        <v>82</v>
      </c>
      <c r="AG389" s="9" t="s">
        <v>82</v>
      </c>
      <c r="AH389" s="14">
        <v>2</v>
      </c>
      <c r="AI389" s="9" t="s">
        <v>82</v>
      </c>
      <c r="AJ389" s="9" t="s">
        <v>82</v>
      </c>
      <c r="AK389" s="16"/>
      <c r="AL389" s="14">
        <f>SUM(AF389:AK389)</f>
        <v>2</v>
      </c>
      <c r="AM389" s="41">
        <f>AL389/AL391</f>
        <v>1</v>
      </c>
      <c r="AN389" s="13"/>
      <c r="AO389" s="9" t="s">
        <v>82</v>
      </c>
      <c r="AP389" s="9" t="s">
        <v>82</v>
      </c>
      <c r="AQ389" s="9" t="s">
        <v>82</v>
      </c>
      <c r="AR389" s="9" t="s">
        <v>82</v>
      </c>
      <c r="AS389" s="14">
        <v>4</v>
      </c>
      <c r="AT389" s="9" t="s">
        <v>82</v>
      </c>
      <c r="AU389" s="14">
        <f>SUM(AO389:AT389)</f>
        <v>4</v>
      </c>
      <c r="AV389" s="40">
        <f>AU389/AU391</f>
        <v>0.8</v>
      </c>
      <c r="AW389" s="13"/>
      <c r="AX389" s="9" t="s">
        <v>82</v>
      </c>
      <c r="AY389" s="9" t="s">
        <v>82</v>
      </c>
      <c r="AZ389" s="14">
        <v>2</v>
      </c>
      <c r="BA389" s="9" t="s">
        <v>82</v>
      </c>
      <c r="BB389" s="16"/>
      <c r="BC389" s="14">
        <f>SUM(AX389:BB389)</f>
        <v>2</v>
      </c>
      <c r="BD389" s="40">
        <f>BC389/BC391</f>
        <v>1</v>
      </c>
      <c r="BE389" s="13"/>
      <c r="BF389" s="38"/>
      <c r="BG389" s="42"/>
      <c r="BH389" s="42"/>
      <c r="BI389" s="42"/>
    </row>
    <row r="390" spans="1:61" ht="44.75" customHeight="1">
      <c r="A390" s="10" t="s">
        <v>181</v>
      </c>
      <c r="B390" s="32">
        <v>1</v>
      </c>
      <c r="C390" s="32" t="s">
        <v>59</v>
      </c>
      <c r="D390" s="32" t="s">
        <v>59</v>
      </c>
      <c r="E390" s="32" t="s">
        <v>59</v>
      </c>
      <c r="F390" s="32" t="s">
        <v>59</v>
      </c>
      <c r="G390" s="32" t="s">
        <v>59</v>
      </c>
      <c r="H390" s="32" t="s">
        <v>59</v>
      </c>
      <c r="I390" s="32" t="s">
        <v>59</v>
      </c>
      <c r="J390" s="32" t="s">
        <v>59</v>
      </c>
      <c r="K390" s="23">
        <f t="shared" si="266"/>
        <v>1</v>
      </c>
      <c r="L390" s="35">
        <f>K390/K391</f>
        <v>7.6923076923076927E-2</v>
      </c>
      <c r="M390" s="35">
        <f>K390/K394</f>
        <v>6.25E-2</v>
      </c>
      <c r="N390" s="37"/>
      <c r="O390" s="35"/>
      <c r="P390" s="13"/>
      <c r="Q390" s="9" t="s">
        <v>82</v>
      </c>
      <c r="R390" s="9" t="s">
        <v>82</v>
      </c>
      <c r="S390" s="16"/>
      <c r="T390" s="14">
        <f>SUM(Q390:S390)</f>
        <v>0</v>
      </c>
      <c r="U390" s="40"/>
      <c r="V390" s="13"/>
      <c r="W390" s="9" t="s">
        <v>82</v>
      </c>
      <c r="X390" s="9" t="s">
        <v>82</v>
      </c>
      <c r="Y390" s="9" t="s">
        <v>82</v>
      </c>
      <c r="Z390" s="33">
        <v>0</v>
      </c>
      <c r="AA390" s="9" t="s">
        <v>82</v>
      </c>
      <c r="AB390" s="9" t="s">
        <v>82</v>
      </c>
      <c r="AC390" s="14">
        <f>SUM(W390:AB390)</f>
        <v>0</v>
      </c>
      <c r="AD390" s="40"/>
      <c r="AE390" s="13"/>
      <c r="AF390" s="9" t="s">
        <v>82</v>
      </c>
      <c r="AG390" s="9" t="s">
        <v>82</v>
      </c>
      <c r="AH390" s="14">
        <v>0</v>
      </c>
      <c r="AI390" s="9" t="s">
        <v>82</v>
      </c>
      <c r="AJ390" s="9" t="s">
        <v>82</v>
      </c>
      <c r="AK390" s="16"/>
      <c r="AL390" s="14">
        <f>SUM(AF390:AK390)</f>
        <v>0</v>
      </c>
      <c r="AM390" s="41">
        <f>AL390/AL391</f>
        <v>0</v>
      </c>
      <c r="AN390" s="13"/>
      <c r="AO390" s="9" t="s">
        <v>82</v>
      </c>
      <c r="AP390" s="9" t="s">
        <v>82</v>
      </c>
      <c r="AQ390" s="9" t="s">
        <v>82</v>
      </c>
      <c r="AR390" s="9" t="s">
        <v>82</v>
      </c>
      <c r="AS390" s="14">
        <v>0</v>
      </c>
      <c r="AT390" s="9" t="s">
        <v>82</v>
      </c>
      <c r="AU390" s="14">
        <f>SUM(AO390:AT390)</f>
        <v>0</v>
      </c>
      <c r="AV390" s="40">
        <f>AU390/AU391</f>
        <v>0</v>
      </c>
      <c r="AW390" s="13"/>
      <c r="AX390" s="9" t="s">
        <v>82</v>
      </c>
      <c r="AY390" s="9" t="s">
        <v>82</v>
      </c>
      <c r="AZ390" s="14">
        <v>0</v>
      </c>
      <c r="BA390" s="9" t="s">
        <v>82</v>
      </c>
      <c r="BB390" s="16"/>
      <c r="BC390" s="14">
        <f>SUM(AX390:BB390)</f>
        <v>0</v>
      </c>
      <c r="BD390" s="40">
        <f>BC390/BC391</f>
        <v>0</v>
      </c>
      <c r="BE390" s="13"/>
      <c r="BF390" s="38"/>
      <c r="BG390" s="42"/>
      <c r="BH390" s="42"/>
      <c r="BI390" s="42"/>
    </row>
    <row r="391" spans="1:61" ht="21.75" customHeight="1">
      <c r="A391" s="10" t="s">
        <v>9</v>
      </c>
      <c r="B391" s="32">
        <f>SUM(B388:B390)</f>
        <v>13</v>
      </c>
      <c r="C391" s="32" t="s">
        <v>59</v>
      </c>
      <c r="D391" s="32" t="s">
        <v>59</v>
      </c>
      <c r="E391" s="32" t="s">
        <v>59</v>
      </c>
      <c r="F391" s="32" t="s">
        <v>59</v>
      </c>
      <c r="G391" s="32" t="s">
        <v>59</v>
      </c>
      <c r="H391" s="32" t="s">
        <v>59</v>
      </c>
      <c r="I391" s="32" t="s">
        <v>59</v>
      </c>
      <c r="J391" s="32" t="s">
        <v>59</v>
      </c>
      <c r="K391" s="23">
        <f t="shared" si="266"/>
        <v>13</v>
      </c>
      <c r="L391" s="35">
        <f>SUM(L388:L390)</f>
        <v>1</v>
      </c>
      <c r="M391" s="35">
        <f>K391/K394</f>
        <v>0.8125</v>
      </c>
      <c r="N391" s="37">
        <f>T391+AC391+AL391+AU391</f>
        <v>8</v>
      </c>
      <c r="O391" s="35">
        <f>N391/K391</f>
        <v>0.61538461538461542</v>
      </c>
      <c r="P391" s="13"/>
      <c r="Q391" s="45">
        <f>SUM(Q388:Q390)</f>
        <v>0</v>
      </c>
      <c r="R391" s="46">
        <f>SUM(R388:R390)</f>
        <v>0</v>
      </c>
      <c r="S391" s="46">
        <f>SUM(S388:S390)</f>
        <v>0</v>
      </c>
      <c r="T391" s="14">
        <f>SUM(T388:T390)</f>
        <v>0</v>
      </c>
      <c r="U391" s="40"/>
      <c r="V391" s="13"/>
      <c r="W391" s="45">
        <f t="shared" ref="W391:AC391" si="267">SUM(W388:W390)</f>
        <v>0</v>
      </c>
      <c r="X391" s="45">
        <f t="shared" si="267"/>
        <v>0</v>
      </c>
      <c r="Y391" s="45">
        <f t="shared" si="267"/>
        <v>0</v>
      </c>
      <c r="Z391" s="45">
        <f t="shared" si="267"/>
        <v>1</v>
      </c>
      <c r="AA391" s="45">
        <f t="shared" si="267"/>
        <v>0</v>
      </c>
      <c r="AB391" s="45">
        <f t="shared" si="267"/>
        <v>0</v>
      </c>
      <c r="AC391" s="45">
        <f t="shared" si="267"/>
        <v>1</v>
      </c>
      <c r="AD391" s="40"/>
      <c r="AE391" s="13"/>
      <c r="AF391" s="45">
        <f t="shared" ref="AF391:AM391" si="268">SUM(AF388:AF390)</f>
        <v>0</v>
      </c>
      <c r="AG391" s="45">
        <f t="shared" si="268"/>
        <v>0</v>
      </c>
      <c r="AH391" s="45">
        <f t="shared" si="268"/>
        <v>2</v>
      </c>
      <c r="AI391" s="45">
        <f t="shared" si="268"/>
        <v>0</v>
      </c>
      <c r="AJ391" s="45">
        <f t="shared" si="268"/>
        <v>0</v>
      </c>
      <c r="AK391" s="45">
        <f t="shared" si="268"/>
        <v>0</v>
      </c>
      <c r="AL391" s="45">
        <f t="shared" si="268"/>
        <v>2</v>
      </c>
      <c r="AM391" s="41">
        <f t="shared" si="268"/>
        <v>1</v>
      </c>
      <c r="AN391" s="13"/>
      <c r="AO391" s="45">
        <f t="shared" ref="AO391:AV391" si="269">SUM(AO388:AO390)</f>
        <v>0</v>
      </c>
      <c r="AP391" s="45">
        <f t="shared" si="269"/>
        <v>0</v>
      </c>
      <c r="AQ391" s="45">
        <f t="shared" si="269"/>
        <v>0</v>
      </c>
      <c r="AR391" s="45">
        <f t="shared" si="269"/>
        <v>0</v>
      </c>
      <c r="AS391" s="45">
        <f t="shared" si="269"/>
        <v>5</v>
      </c>
      <c r="AT391" s="45">
        <f t="shared" si="269"/>
        <v>0</v>
      </c>
      <c r="AU391" s="45">
        <f t="shared" si="269"/>
        <v>5</v>
      </c>
      <c r="AV391" s="40">
        <f t="shared" si="269"/>
        <v>1</v>
      </c>
      <c r="AW391" s="13"/>
      <c r="AX391" s="45">
        <f t="shared" ref="AX391:BD391" si="270">SUM(AX388:AX390)</f>
        <v>0</v>
      </c>
      <c r="AY391" s="45">
        <f t="shared" si="270"/>
        <v>0</v>
      </c>
      <c r="AZ391" s="45">
        <f t="shared" si="270"/>
        <v>2</v>
      </c>
      <c r="BA391" s="45">
        <f t="shared" si="270"/>
        <v>0</v>
      </c>
      <c r="BB391" s="45">
        <f t="shared" si="270"/>
        <v>0</v>
      </c>
      <c r="BC391" s="45">
        <f t="shared" si="270"/>
        <v>2</v>
      </c>
      <c r="BD391" s="40">
        <f t="shared" si="270"/>
        <v>1</v>
      </c>
      <c r="BE391" s="13"/>
      <c r="BF391" s="38"/>
      <c r="BG391" s="42"/>
      <c r="BH391" s="42"/>
      <c r="BI391" s="42"/>
    </row>
    <row r="392" spans="1:61" ht="21.75" customHeight="1">
      <c r="A392" s="8" t="s">
        <v>64</v>
      </c>
      <c r="B392" s="32">
        <v>3</v>
      </c>
      <c r="C392" s="32" t="s">
        <v>59</v>
      </c>
      <c r="D392" s="32" t="s">
        <v>59</v>
      </c>
      <c r="E392" s="32" t="s">
        <v>59</v>
      </c>
      <c r="F392" s="32" t="s">
        <v>59</v>
      </c>
      <c r="G392" s="32" t="s">
        <v>59</v>
      </c>
      <c r="H392" s="32" t="s">
        <v>59</v>
      </c>
      <c r="I392" s="32" t="s">
        <v>59</v>
      </c>
      <c r="J392" s="32" t="s">
        <v>59</v>
      </c>
      <c r="K392" s="23">
        <f t="shared" si="266"/>
        <v>3</v>
      </c>
      <c r="L392" s="35">
        <f>K392/(K391+K392+K393)</f>
        <v>0.1875</v>
      </c>
      <c r="M392" s="35">
        <f>K392/(K394)</f>
        <v>0.1875</v>
      </c>
      <c r="N392" s="37"/>
      <c r="O392" s="35"/>
      <c r="P392" s="13"/>
      <c r="Q392" s="49"/>
      <c r="R392" s="50"/>
      <c r="S392" s="50"/>
      <c r="T392" s="38">
        <f>SUM(Q392:S392)</f>
        <v>0</v>
      </c>
      <c r="U392" s="15" t="e">
        <f>T392/T394</f>
        <v>#DIV/0!</v>
      </c>
      <c r="V392" s="13"/>
      <c r="W392" s="49"/>
      <c r="X392" s="58" t="s">
        <v>82</v>
      </c>
      <c r="Y392" s="49"/>
      <c r="Z392" s="49">
        <v>0</v>
      </c>
      <c r="AA392" s="49"/>
      <c r="AB392" s="49">
        <v>0</v>
      </c>
      <c r="AC392" s="51">
        <f>SUM(W392:AB392)</f>
        <v>0</v>
      </c>
      <c r="AD392" s="15">
        <f>AC392/AC394</f>
        <v>0</v>
      </c>
      <c r="AE392" s="13"/>
      <c r="AF392" s="58" t="s">
        <v>82</v>
      </c>
      <c r="AG392" s="49"/>
      <c r="AH392" s="49">
        <v>0</v>
      </c>
      <c r="AI392" s="49"/>
      <c r="AJ392" s="49"/>
      <c r="AK392" s="49"/>
      <c r="AL392" s="49">
        <f>SUM(AF392:AK392)</f>
        <v>0</v>
      </c>
      <c r="AM392" s="15">
        <f>AL392/AL394</f>
        <v>0</v>
      </c>
      <c r="AN392" s="13"/>
      <c r="AO392" s="49"/>
      <c r="AP392" s="58" t="s">
        <v>82</v>
      </c>
      <c r="AQ392" s="49"/>
      <c r="AR392" s="49"/>
      <c r="AS392" s="49">
        <v>0</v>
      </c>
      <c r="AT392" s="49">
        <v>0</v>
      </c>
      <c r="AU392" s="51">
        <f>SUM(AO392:AT392)</f>
        <v>0</v>
      </c>
      <c r="AV392" s="15">
        <f>AU392/AU394</f>
        <v>0</v>
      </c>
      <c r="AW392" s="13"/>
      <c r="AX392" s="49"/>
      <c r="AY392" s="58" t="s">
        <v>82</v>
      </c>
      <c r="AZ392" s="49">
        <v>0</v>
      </c>
      <c r="BA392" s="49"/>
      <c r="BB392" s="49"/>
      <c r="BC392" s="51">
        <f>SUM(AX392:BB392)</f>
        <v>0</v>
      </c>
      <c r="BD392" s="15">
        <f>BC392/BC394</f>
        <v>0</v>
      </c>
      <c r="BE392" s="13"/>
      <c r="BF392" s="38"/>
      <c r="BG392" s="42"/>
      <c r="BH392" s="42"/>
      <c r="BI392" s="42"/>
    </row>
    <row r="393" spans="1:61" ht="21.75" customHeight="1">
      <c r="A393" s="8" t="s">
        <v>65</v>
      </c>
      <c r="B393" s="32">
        <v>0</v>
      </c>
      <c r="C393" s="32" t="s">
        <v>59</v>
      </c>
      <c r="D393" s="32" t="s">
        <v>59</v>
      </c>
      <c r="E393" s="32" t="s">
        <v>59</v>
      </c>
      <c r="F393" s="32" t="s">
        <v>59</v>
      </c>
      <c r="G393" s="32" t="s">
        <v>59</v>
      </c>
      <c r="H393" s="32" t="s">
        <v>59</v>
      </c>
      <c r="I393" s="32" t="s">
        <v>59</v>
      </c>
      <c r="J393" s="32" t="s">
        <v>59</v>
      </c>
      <c r="K393" s="23">
        <f t="shared" si="266"/>
        <v>0</v>
      </c>
      <c r="L393" s="35">
        <f>K393/(K392+K393+K391)</f>
        <v>0</v>
      </c>
      <c r="M393" s="35">
        <f>K393/(K394)</f>
        <v>0</v>
      </c>
      <c r="N393" s="23"/>
      <c r="O393" s="35"/>
      <c r="P393" s="13"/>
      <c r="Q393" s="14"/>
      <c r="R393" s="14"/>
      <c r="S393" s="14"/>
      <c r="T393" s="38">
        <f>SUM(Q393:S393)</f>
        <v>0</v>
      </c>
      <c r="U393" s="15" t="e">
        <f>T393/T394</f>
        <v>#DIV/0!</v>
      </c>
      <c r="V393" s="13"/>
      <c r="W393" s="14"/>
      <c r="X393" s="9" t="s">
        <v>82</v>
      </c>
      <c r="Y393" s="14"/>
      <c r="Z393" s="14">
        <v>0</v>
      </c>
      <c r="AA393" s="14"/>
      <c r="AB393" s="45">
        <v>0</v>
      </c>
      <c r="AC393" s="38">
        <f>SUM(W393:AB393)</f>
        <v>0</v>
      </c>
      <c r="AD393" s="15">
        <f>AC393/AC394</f>
        <v>0</v>
      </c>
      <c r="AE393" s="13"/>
      <c r="AF393" s="9" t="s">
        <v>82</v>
      </c>
      <c r="AG393" s="14"/>
      <c r="AH393" s="14">
        <v>0</v>
      </c>
      <c r="AI393" s="14"/>
      <c r="AJ393" s="14"/>
      <c r="AK393" s="14"/>
      <c r="AL393" s="14">
        <f>SUM(AF393:AK393)</f>
        <v>0</v>
      </c>
      <c r="AM393" s="15">
        <f>AL393/AL394</f>
        <v>0</v>
      </c>
      <c r="AN393" s="13"/>
      <c r="AO393" s="14"/>
      <c r="AP393" s="9" t="s">
        <v>82</v>
      </c>
      <c r="AQ393" s="14"/>
      <c r="AR393" s="14"/>
      <c r="AS393" s="14">
        <v>0</v>
      </c>
      <c r="AT393" s="45">
        <v>0</v>
      </c>
      <c r="AU393" s="38">
        <f>SUM(AO393:AT393)</f>
        <v>0</v>
      </c>
      <c r="AV393" s="15">
        <f>AU393/AU394</f>
        <v>0</v>
      </c>
      <c r="AW393" s="13"/>
      <c r="AX393" s="14"/>
      <c r="AY393" s="9" t="s">
        <v>82</v>
      </c>
      <c r="AZ393" s="14">
        <v>0</v>
      </c>
      <c r="BA393" s="14"/>
      <c r="BB393" s="14"/>
      <c r="BC393" s="38">
        <f>SUM(AX393:BB393)</f>
        <v>0</v>
      </c>
      <c r="BD393" s="15">
        <f>BC393/BC394</f>
        <v>0</v>
      </c>
      <c r="BE393" s="13"/>
      <c r="BF393" s="38"/>
      <c r="BG393" s="42"/>
      <c r="BH393" s="42"/>
      <c r="BI393" s="42"/>
    </row>
    <row r="394" spans="1:61" ht="21.75" customHeight="1">
      <c r="A394" s="39" t="s">
        <v>66</v>
      </c>
      <c r="B394" s="32">
        <f>SUM(B391:B393)</f>
        <v>16</v>
      </c>
      <c r="C394" s="32" t="s">
        <v>59</v>
      </c>
      <c r="D394" s="32" t="s">
        <v>59</v>
      </c>
      <c r="E394" s="32" t="s">
        <v>59</v>
      </c>
      <c r="F394" s="32" t="s">
        <v>59</v>
      </c>
      <c r="G394" s="32" t="s">
        <v>59</v>
      </c>
      <c r="H394" s="32" t="s">
        <v>59</v>
      </c>
      <c r="I394" s="32" t="s">
        <v>59</v>
      </c>
      <c r="J394" s="32" t="s">
        <v>59</v>
      </c>
      <c r="K394" s="23">
        <f t="shared" si="266"/>
        <v>16</v>
      </c>
      <c r="L394" s="35">
        <f>K394/(K393+K392+K391)</f>
        <v>1</v>
      </c>
      <c r="M394" s="35">
        <f>K394/(K391+K392+K393)</f>
        <v>1</v>
      </c>
      <c r="N394" s="37">
        <f>T394+AC394+AL394+AU394</f>
        <v>8</v>
      </c>
      <c r="O394" s="35">
        <f>N394/K394</f>
        <v>0.5</v>
      </c>
      <c r="P394" s="13"/>
      <c r="Q394" s="38">
        <f>SUM(Q391:Q393)</f>
        <v>0</v>
      </c>
      <c r="R394" s="38">
        <f>SUM(R391:R393)</f>
        <v>0</v>
      </c>
      <c r="S394" s="38">
        <f>SUM(S391:S393)</f>
        <v>0</v>
      </c>
      <c r="T394" s="38">
        <f>SUM(Q394:S394)</f>
        <v>0</v>
      </c>
      <c r="U394" s="40" t="e">
        <f>T394/(T391+T392+T393)</f>
        <v>#DIV/0!</v>
      </c>
      <c r="V394" s="13"/>
      <c r="W394" s="38">
        <f t="shared" ref="W394:AB394" si="271">SUM(W391:W393)</f>
        <v>0</v>
      </c>
      <c r="X394" s="38">
        <f t="shared" si="271"/>
        <v>0</v>
      </c>
      <c r="Y394" s="38">
        <f t="shared" si="271"/>
        <v>0</v>
      </c>
      <c r="Z394" s="38">
        <f t="shared" si="271"/>
        <v>1</v>
      </c>
      <c r="AA394" s="38">
        <f t="shared" si="271"/>
        <v>0</v>
      </c>
      <c r="AB394" s="51">
        <f t="shared" si="271"/>
        <v>0</v>
      </c>
      <c r="AC394" s="38">
        <f>SUM(W394:AB394)</f>
        <v>1</v>
      </c>
      <c r="AD394" s="40">
        <f>AC394/(AC391+AC392+AC393)</f>
        <v>1</v>
      </c>
      <c r="AE394" s="13"/>
      <c r="AF394" s="38">
        <f t="shared" ref="AF394:AK394" si="272">SUM(AF391:AF393)</f>
        <v>0</v>
      </c>
      <c r="AG394" s="38">
        <f t="shared" si="272"/>
        <v>0</v>
      </c>
      <c r="AH394" s="38">
        <f t="shared" si="272"/>
        <v>2</v>
      </c>
      <c r="AI394" s="38">
        <f t="shared" si="272"/>
        <v>0</v>
      </c>
      <c r="AJ394" s="38">
        <f t="shared" si="272"/>
        <v>0</v>
      </c>
      <c r="AK394" s="38">
        <f t="shared" si="272"/>
        <v>0</v>
      </c>
      <c r="AL394" s="38">
        <f>SUM(AF394:AK394)</f>
        <v>2</v>
      </c>
      <c r="AM394" s="41">
        <f>AL394/(AL391+AL392+AL393)</f>
        <v>1</v>
      </c>
      <c r="AN394" s="13"/>
      <c r="AO394" s="38">
        <f t="shared" ref="AO394:AT394" si="273">SUM(AO391:AO393)</f>
        <v>0</v>
      </c>
      <c r="AP394" s="38">
        <f t="shared" si="273"/>
        <v>0</v>
      </c>
      <c r="AQ394" s="38">
        <f t="shared" si="273"/>
        <v>0</v>
      </c>
      <c r="AR394" s="38">
        <f t="shared" si="273"/>
        <v>0</v>
      </c>
      <c r="AS394" s="38">
        <f t="shared" si="273"/>
        <v>5</v>
      </c>
      <c r="AT394" s="51">
        <f t="shared" si="273"/>
        <v>0</v>
      </c>
      <c r="AU394" s="38">
        <f>SUM(AO394:AT394)</f>
        <v>5</v>
      </c>
      <c r="AV394" s="40">
        <f>AU394/(AU391+AU392+AU393)</f>
        <v>1</v>
      </c>
      <c r="AW394" s="13"/>
      <c r="AX394" s="38">
        <f>SUM(AX391:AX393)</f>
        <v>0</v>
      </c>
      <c r="AY394" s="38">
        <f>SUM(AY391:AY393)</f>
        <v>0</v>
      </c>
      <c r="AZ394" s="38">
        <f>SUM(AZ391:AZ393)</f>
        <v>2</v>
      </c>
      <c r="BA394" s="38">
        <f>SUM(BA391:BA393)</f>
        <v>0</v>
      </c>
      <c r="BB394" s="38">
        <f>SUM(BB391:BB393)</f>
        <v>0</v>
      </c>
      <c r="BC394" s="38">
        <f>SUM(AX394:BB394)</f>
        <v>2</v>
      </c>
      <c r="BD394" s="40">
        <f>BC394/(BC391+BC392+BC393)</f>
        <v>1</v>
      </c>
      <c r="BE394" s="13"/>
      <c r="BF394" s="38"/>
      <c r="BG394" s="42"/>
      <c r="BH394" s="42"/>
      <c r="BI394" s="42"/>
    </row>
    <row r="395" spans="1:61" ht="56.25" customHeight="1">
      <c r="A395" s="43" t="s">
        <v>182</v>
      </c>
      <c r="B395" s="181" t="s">
        <v>153</v>
      </c>
      <c r="C395" s="182"/>
      <c r="D395" s="182"/>
      <c r="E395" s="182"/>
      <c r="F395" s="182"/>
      <c r="G395" s="22"/>
      <c r="H395" s="22"/>
      <c r="I395" s="22"/>
      <c r="J395" s="22"/>
      <c r="K395" s="21"/>
      <c r="L395" s="24"/>
      <c r="M395" s="24"/>
      <c r="N395" s="26"/>
      <c r="O395" s="24"/>
      <c r="P395" s="27"/>
      <c r="Q395" s="28"/>
      <c r="R395" s="28"/>
      <c r="S395" s="28"/>
      <c r="T395" s="26"/>
      <c r="U395" s="24"/>
      <c r="V395" s="27"/>
      <c r="W395" s="28"/>
      <c r="X395" s="28"/>
      <c r="Y395" s="28"/>
      <c r="Z395" s="28"/>
      <c r="AA395" s="28"/>
      <c r="AB395" s="28"/>
      <c r="AC395" s="26"/>
      <c r="AD395" s="24"/>
      <c r="AE395" s="27"/>
      <c r="AF395" s="28"/>
      <c r="AG395" s="28"/>
      <c r="AH395" s="28"/>
      <c r="AI395" s="28"/>
      <c r="AJ395" s="28"/>
      <c r="AK395" s="28"/>
      <c r="AL395" s="26"/>
      <c r="AM395" s="29"/>
      <c r="AN395" s="27"/>
      <c r="AO395" s="26"/>
      <c r="AP395" s="26"/>
      <c r="AQ395" s="26"/>
      <c r="AR395" s="26"/>
      <c r="AS395" s="26"/>
      <c r="AT395" s="26"/>
      <c r="AU395" s="26"/>
      <c r="AV395" s="24"/>
      <c r="AW395" s="27"/>
      <c r="AX395" s="26"/>
      <c r="AY395" s="26"/>
      <c r="AZ395" s="26"/>
      <c r="BA395" s="26"/>
      <c r="BB395" s="26"/>
      <c r="BC395" s="26"/>
      <c r="BD395" s="24"/>
      <c r="BE395" s="27"/>
      <c r="BF395" s="26"/>
      <c r="BG395" s="22"/>
      <c r="BH395" s="21"/>
      <c r="BI395" s="22"/>
    </row>
    <row r="396" spans="1:61" ht="32.25" customHeight="1">
      <c r="A396" s="10"/>
      <c r="B396" s="30" t="s">
        <v>0</v>
      </c>
      <c r="C396" s="30" t="s">
        <v>1</v>
      </c>
      <c r="D396" s="30" t="s">
        <v>2</v>
      </c>
      <c r="E396" s="30" t="s">
        <v>3</v>
      </c>
      <c r="F396" s="30" t="s">
        <v>4</v>
      </c>
      <c r="G396" s="30" t="s">
        <v>5</v>
      </c>
      <c r="H396" s="30" t="s">
        <v>68</v>
      </c>
      <c r="I396" s="30" t="s">
        <v>7</v>
      </c>
      <c r="J396" s="30" t="s">
        <v>8</v>
      </c>
      <c r="K396" s="10" t="s">
        <v>9</v>
      </c>
      <c r="L396" s="10" t="s">
        <v>56</v>
      </c>
      <c r="M396" s="20"/>
      <c r="N396" s="12"/>
      <c r="O396" s="20"/>
      <c r="P396" s="27"/>
      <c r="Q396" s="30" t="s">
        <v>15</v>
      </c>
      <c r="R396" s="30" t="s">
        <v>16</v>
      </c>
      <c r="S396" s="30" t="s">
        <v>28</v>
      </c>
      <c r="T396" s="20"/>
      <c r="U396" s="11"/>
      <c r="V396" s="27"/>
      <c r="W396" s="30" t="s">
        <v>15</v>
      </c>
      <c r="X396" s="30" t="s">
        <v>20</v>
      </c>
      <c r="Y396" s="30" t="s">
        <v>21</v>
      </c>
      <c r="Z396" s="30" t="s">
        <v>22</v>
      </c>
      <c r="AA396" s="30" t="s">
        <v>23</v>
      </c>
      <c r="AB396" s="30" t="s">
        <v>24</v>
      </c>
      <c r="AC396" s="20"/>
      <c r="AD396" s="11"/>
      <c r="AE396" s="27"/>
      <c r="AF396" s="30" t="s">
        <v>20</v>
      </c>
      <c r="AG396" s="30" t="s">
        <v>21</v>
      </c>
      <c r="AH396" s="30" t="s">
        <v>22</v>
      </c>
      <c r="AI396" s="30" t="s">
        <v>23</v>
      </c>
      <c r="AJ396" s="30" t="s">
        <v>24</v>
      </c>
      <c r="AK396" s="30" t="s">
        <v>28</v>
      </c>
      <c r="AL396" s="20"/>
      <c r="AM396" s="44"/>
      <c r="AN396" s="27"/>
      <c r="AO396" s="30" t="s">
        <v>15</v>
      </c>
      <c r="AP396" s="30" t="s">
        <v>20</v>
      </c>
      <c r="AQ396" s="30" t="s">
        <v>21</v>
      </c>
      <c r="AR396" s="30" t="s">
        <v>16</v>
      </c>
      <c r="AS396" s="30" t="s">
        <v>22</v>
      </c>
      <c r="AT396" s="30" t="s">
        <v>24</v>
      </c>
      <c r="AU396" s="20"/>
      <c r="AV396" s="11"/>
      <c r="AW396" s="27"/>
      <c r="AX396" s="30" t="s">
        <v>15</v>
      </c>
      <c r="AY396" s="30" t="s">
        <v>20</v>
      </c>
      <c r="AZ396" s="30" t="s">
        <v>22</v>
      </c>
      <c r="BA396" s="30" t="s">
        <v>23</v>
      </c>
      <c r="BB396" s="30" t="s">
        <v>28</v>
      </c>
      <c r="BC396" s="20"/>
      <c r="BD396" s="11"/>
      <c r="BE396" s="27"/>
      <c r="BF396" s="9" t="s">
        <v>38</v>
      </c>
      <c r="BG396" s="9" t="s">
        <v>39</v>
      </c>
      <c r="BH396" s="9" t="s">
        <v>40</v>
      </c>
      <c r="BI396" s="9" t="s">
        <v>41</v>
      </c>
    </row>
    <row r="397" spans="1:61" ht="20.25" customHeight="1">
      <c r="A397" s="10" t="s">
        <v>97</v>
      </c>
      <c r="B397" s="32" t="s">
        <v>59</v>
      </c>
      <c r="C397" s="32">
        <v>0</v>
      </c>
      <c r="D397" s="32">
        <v>0</v>
      </c>
      <c r="E397" s="32">
        <v>0</v>
      </c>
      <c r="F397" s="32">
        <v>1</v>
      </c>
      <c r="G397" s="32" t="s">
        <v>59</v>
      </c>
      <c r="H397" s="32">
        <v>1</v>
      </c>
      <c r="I397" s="32">
        <v>0</v>
      </c>
      <c r="J397" s="33">
        <v>1</v>
      </c>
      <c r="K397" s="23">
        <f t="shared" ref="K397:K402" si="274">SUM(B397:J397)</f>
        <v>3</v>
      </c>
      <c r="L397" s="35">
        <f>K397/K403</f>
        <v>4.5454545454545456E-2</v>
      </c>
      <c r="M397" s="35">
        <f>K397/K406</f>
        <v>4.5454545454545456E-2</v>
      </c>
      <c r="N397" s="37"/>
      <c r="O397" s="35"/>
      <c r="P397" s="13"/>
      <c r="Q397" s="33">
        <v>0</v>
      </c>
      <c r="R397" s="33">
        <v>1</v>
      </c>
      <c r="S397" s="33">
        <v>0</v>
      </c>
      <c r="T397" s="14">
        <f t="shared" ref="T397:T402" si="275">SUM(Q397:S397)</f>
        <v>1</v>
      </c>
      <c r="U397" s="40">
        <f>T397/T403</f>
        <v>7.6923076923076927E-2</v>
      </c>
      <c r="V397" s="13"/>
      <c r="W397" s="33">
        <v>0</v>
      </c>
      <c r="X397" s="33">
        <v>0</v>
      </c>
      <c r="Y397" s="33">
        <v>0</v>
      </c>
      <c r="Z397" s="33" t="s">
        <v>82</v>
      </c>
      <c r="AA397" s="33">
        <v>0</v>
      </c>
      <c r="AB397" s="33">
        <v>0</v>
      </c>
      <c r="AC397" s="14">
        <f t="shared" ref="AC397:AC402" si="276">SUM(W397:AB397)</f>
        <v>0</v>
      </c>
      <c r="AD397" s="40">
        <f>AC397/AC403</f>
        <v>0</v>
      </c>
      <c r="AE397" s="13"/>
      <c r="AF397" s="33">
        <v>1</v>
      </c>
      <c r="AG397" s="33">
        <v>0</v>
      </c>
      <c r="AH397" s="9" t="s">
        <v>82</v>
      </c>
      <c r="AI397" s="33">
        <v>0</v>
      </c>
      <c r="AJ397" s="32">
        <v>0</v>
      </c>
      <c r="AK397" s="32">
        <v>1</v>
      </c>
      <c r="AL397" s="14">
        <f t="shared" ref="AL397:AL402" si="277">SUM(AF397:AK397)</f>
        <v>2</v>
      </c>
      <c r="AM397" s="40">
        <f>AL397/AL403</f>
        <v>0.10526315789473684</v>
      </c>
      <c r="AN397" s="13"/>
      <c r="AO397" s="33">
        <v>0</v>
      </c>
      <c r="AP397" s="33">
        <v>0</v>
      </c>
      <c r="AQ397" s="33">
        <v>0</v>
      </c>
      <c r="AR397" s="33">
        <v>0</v>
      </c>
      <c r="AS397" s="9" t="s">
        <v>82</v>
      </c>
      <c r="AT397" s="33">
        <v>0</v>
      </c>
      <c r="AU397" s="14">
        <f t="shared" ref="AU397:AU402" si="278">SUM(AO397:AT397)</f>
        <v>0</v>
      </c>
      <c r="AV397" s="40">
        <f>AU397/AU403</f>
        <v>0</v>
      </c>
      <c r="AW397" s="13"/>
      <c r="AX397" s="33">
        <v>0</v>
      </c>
      <c r="AY397" s="33">
        <v>0</v>
      </c>
      <c r="AZ397" s="9" t="s">
        <v>82</v>
      </c>
      <c r="BA397" s="33">
        <v>0</v>
      </c>
      <c r="BB397" s="33">
        <v>0</v>
      </c>
      <c r="BC397" s="14">
        <f t="shared" ref="BC397:BC402" si="279">SUM(AX397:BB397)</f>
        <v>0</v>
      </c>
      <c r="BD397" s="40">
        <f>BC397/BC403</f>
        <v>0</v>
      </c>
      <c r="BE397" s="13"/>
      <c r="BF397" s="14"/>
      <c r="BG397" s="15" t="e">
        <f>BF397/BF403</f>
        <v>#DIV/0!</v>
      </c>
      <c r="BH397" s="16"/>
      <c r="BI397" s="15"/>
    </row>
    <row r="398" spans="1:61" ht="20.25" customHeight="1">
      <c r="A398" s="10" t="s">
        <v>98</v>
      </c>
      <c r="B398" s="32" t="s">
        <v>59</v>
      </c>
      <c r="C398" s="32">
        <v>0</v>
      </c>
      <c r="D398" s="32">
        <v>3</v>
      </c>
      <c r="E398" s="32">
        <v>0</v>
      </c>
      <c r="F398" s="32">
        <v>0</v>
      </c>
      <c r="G398" s="32" t="s">
        <v>59</v>
      </c>
      <c r="H398" s="32">
        <v>2</v>
      </c>
      <c r="I398" s="32">
        <v>1</v>
      </c>
      <c r="J398" s="33">
        <v>0</v>
      </c>
      <c r="K398" s="23">
        <f t="shared" si="274"/>
        <v>6</v>
      </c>
      <c r="L398" s="35">
        <f>K398/K403</f>
        <v>9.0909090909090912E-2</v>
      </c>
      <c r="M398" s="35">
        <f>K398/K406</f>
        <v>9.0909090909090912E-2</v>
      </c>
      <c r="N398" s="37"/>
      <c r="O398" s="35"/>
      <c r="P398" s="13"/>
      <c r="Q398" s="33">
        <v>1</v>
      </c>
      <c r="R398" s="33">
        <v>2</v>
      </c>
      <c r="S398" s="33">
        <v>0</v>
      </c>
      <c r="T398" s="14">
        <f t="shared" si="275"/>
        <v>3</v>
      </c>
      <c r="U398" s="40">
        <f>T398/T403</f>
        <v>0.23076923076923078</v>
      </c>
      <c r="V398" s="13"/>
      <c r="W398" s="33">
        <v>0</v>
      </c>
      <c r="X398" s="33">
        <v>0</v>
      </c>
      <c r="Y398" s="33">
        <v>2</v>
      </c>
      <c r="Z398" s="33" t="s">
        <v>82</v>
      </c>
      <c r="AA398" s="33">
        <v>0</v>
      </c>
      <c r="AB398" s="33">
        <v>0</v>
      </c>
      <c r="AC398" s="14">
        <f t="shared" si="276"/>
        <v>2</v>
      </c>
      <c r="AD398" s="40">
        <f>AC398/AC403</f>
        <v>9.0909090909090912E-2</v>
      </c>
      <c r="AE398" s="13"/>
      <c r="AF398" s="33">
        <v>0</v>
      </c>
      <c r="AG398" s="33">
        <v>1</v>
      </c>
      <c r="AH398" s="9" t="s">
        <v>82</v>
      </c>
      <c r="AI398" s="33">
        <v>0</v>
      </c>
      <c r="AJ398" s="32">
        <v>0</v>
      </c>
      <c r="AK398" s="32">
        <v>0</v>
      </c>
      <c r="AL398" s="14">
        <f t="shared" si="277"/>
        <v>1</v>
      </c>
      <c r="AM398" s="40">
        <f>AL398/AL403</f>
        <v>5.2631578947368418E-2</v>
      </c>
      <c r="AN398" s="13"/>
      <c r="AO398" s="33">
        <v>0</v>
      </c>
      <c r="AP398" s="33">
        <v>0</v>
      </c>
      <c r="AQ398" s="33">
        <v>0</v>
      </c>
      <c r="AR398" s="33">
        <v>0</v>
      </c>
      <c r="AS398" s="9" t="s">
        <v>82</v>
      </c>
      <c r="AT398" s="33">
        <v>0</v>
      </c>
      <c r="AU398" s="14">
        <f t="shared" si="278"/>
        <v>0</v>
      </c>
      <c r="AV398" s="40">
        <f>AU398/AU403</f>
        <v>0</v>
      </c>
      <c r="AW398" s="13"/>
      <c r="AX398" s="33">
        <v>0</v>
      </c>
      <c r="AY398" s="33">
        <v>0</v>
      </c>
      <c r="AZ398" s="9" t="s">
        <v>82</v>
      </c>
      <c r="BA398" s="33">
        <v>0</v>
      </c>
      <c r="BB398" s="33">
        <v>0</v>
      </c>
      <c r="BC398" s="14">
        <f t="shared" si="279"/>
        <v>0</v>
      </c>
      <c r="BD398" s="40">
        <f>BC398/BC403</f>
        <v>0</v>
      </c>
      <c r="BE398" s="13"/>
      <c r="BF398" s="14"/>
      <c r="BG398" s="15" t="e">
        <f>BF398/BF403</f>
        <v>#DIV/0!</v>
      </c>
      <c r="BH398" s="16"/>
      <c r="BI398" s="15"/>
    </row>
    <row r="399" spans="1:61" ht="20.25" customHeight="1">
      <c r="A399" s="10" t="s">
        <v>99</v>
      </c>
      <c r="B399" s="32" t="s">
        <v>59</v>
      </c>
      <c r="C399" s="32">
        <v>0</v>
      </c>
      <c r="D399" s="32">
        <v>0</v>
      </c>
      <c r="E399" s="32">
        <v>0</v>
      </c>
      <c r="F399" s="32">
        <v>2</v>
      </c>
      <c r="G399" s="32" t="s">
        <v>59</v>
      </c>
      <c r="H399" s="32">
        <v>1</v>
      </c>
      <c r="I399" s="32">
        <v>3</v>
      </c>
      <c r="J399" s="33">
        <v>1</v>
      </c>
      <c r="K399" s="23">
        <f t="shared" si="274"/>
        <v>7</v>
      </c>
      <c r="L399" s="35">
        <f>K399/K403</f>
        <v>0.10606060606060606</v>
      </c>
      <c r="M399" s="35">
        <f>K399/K406</f>
        <v>0.10606060606060606</v>
      </c>
      <c r="N399" s="37"/>
      <c r="O399" s="35"/>
      <c r="P399" s="13"/>
      <c r="Q399" s="33">
        <v>1</v>
      </c>
      <c r="R399" s="33">
        <v>1</v>
      </c>
      <c r="S399" s="33">
        <v>0</v>
      </c>
      <c r="T399" s="14">
        <f t="shared" si="275"/>
        <v>2</v>
      </c>
      <c r="U399" s="40">
        <f>T399/T403</f>
        <v>0.15384615384615385</v>
      </c>
      <c r="V399" s="13"/>
      <c r="W399" s="33">
        <v>2</v>
      </c>
      <c r="X399" s="33">
        <v>1</v>
      </c>
      <c r="Y399" s="33">
        <v>0</v>
      </c>
      <c r="Z399" s="33" t="s">
        <v>82</v>
      </c>
      <c r="AA399" s="33">
        <v>0</v>
      </c>
      <c r="AB399" s="33">
        <v>0</v>
      </c>
      <c r="AC399" s="14">
        <f t="shared" si="276"/>
        <v>3</v>
      </c>
      <c r="AD399" s="40">
        <f>AC399/AC403</f>
        <v>0.13636363636363635</v>
      </c>
      <c r="AE399" s="13"/>
      <c r="AF399" s="33">
        <v>1</v>
      </c>
      <c r="AG399" s="33">
        <v>0</v>
      </c>
      <c r="AH399" s="9" t="s">
        <v>82</v>
      </c>
      <c r="AI399" s="33">
        <v>0</v>
      </c>
      <c r="AJ399" s="32">
        <v>0</v>
      </c>
      <c r="AK399" s="32">
        <v>1</v>
      </c>
      <c r="AL399" s="14">
        <f t="shared" si="277"/>
        <v>2</v>
      </c>
      <c r="AM399" s="40">
        <f>AL399/AL403</f>
        <v>0.10526315789473684</v>
      </c>
      <c r="AN399" s="13"/>
      <c r="AO399" s="33">
        <v>0</v>
      </c>
      <c r="AP399" s="33">
        <v>0</v>
      </c>
      <c r="AQ399" s="33">
        <v>0</v>
      </c>
      <c r="AR399" s="33">
        <v>0</v>
      </c>
      <c r="AS399" s="9" t="s">
        <v>82</v>
      </c>
      <c r="AT399" s="33">
        <v>0</v>
      </c>
      <c r="AU399" s="14">
        <f t="shared" si="278"/>
        <v>0</v>
      </c>
      <c r="AV399" s="40">
        <f>AU399/AU403</f>
        <v>0</v>
      </c>
      <c r="AW399" s="13"/>
      <c r="AX399" s="33">
        <v>0</v>
      </c>
      <c r="AY399" s="33">
        <v>0</v>
      </c>
      <c r="AZ399" s="9" t="s">
        <v>82</v>
      </c>
      <c r="BA399" s="33">
        <v>0</v>
      </c>
      <c r="BB399" s="33">
        <v>0</v>
      </c>
      <c r="BC399" s="14">
        <f t="shared" si="279"/>
        <v>0</v>
      </c>
      <c r="BD399" s="40">
        <f>BC399/BC403</f>
        <v>0</v>
      </c>
      <c r="BE399" s="13"/>
      <c r="BF399" s="14"/>
      <c r="BG399" s="15" t="e">
        <f>BF399/BF403</f>
        <v>#DIV/0!</v>
      </c>
      <c r="BH399" s="16"/>
      <c r="BI399" s="15"/>
    </row>
    <row r="400" spans="1:61" ht="20.25" customHeight="1">
      <c r="A400" s="10" t="s">
        <v>100</v>
      </c>
      <c r="B400" s="32" t="s">
        <v>59</v>
      </c>
      <c r="C400" s="32">
        <v>2</v>
      </c>
      <c r="D400" s="32">
        <v>7</v>
      </c>
      <c r="E400" s="32">
        <v>2</v>
      </c>
      <c r="F400" s="32">
        <v>5</v>
      </c>
      <c r="G400" s="32" t="s">
        <v>59</v>
      </c>
      <c r="H400" s="32">
        <v>3</v>
      </c>
      <c r="I400" s="32">
        <v>4</v>
      </c>
      <c r="J400" s="33">
        <v>5</v>
      </c>
      <c r="K400" s="23">
        <f t="shared" si="274"/>
        <v>28</v>
      </c>
      <c r="L400" s="35">
        <f>K400/K403</f>
        <v>0.42424242424242425</v>
      </c>
      <c r="M400" s="35">
        <f>K400/K406</f>
        <v>0.42424242424242425</v>
      </c>
      <c r="N400" s="37"/>
      <c r="O400" s="35"/>
      <c r="P400" s="13"/>
      <c r="Q400" s="33">
        <v>0</v>
      </c>
      <c r="R400" s="33">
        <v>3</v>
      </c>
      <c r="S400" s="33">
        <v>0</v>
      </c>
      <c r="T400" s="14">
        <f t="shared" si="275"/>
        <v>3</v>
      </c>
      <c r="U400" s="40">
        <f>T400/T403</f>
        <v>0.23076923076923078</v>
      </c>
      <c r="V400" s="13"/>
      <c r="W400" s="33">
        <v>2</v>
      </c>
      <c r="X400" s="33">
        <v>1</v>
      </c>
      <c r="Y400" s="33">
        <v>3</v>
      </c>
      <c r="Z400" s="33" t="s">
        <v>82</v>
      </c>
      <c r="AA400" s="33">
        <v>2</v>
      </c>
      <c r="AB400" s="33">
        <v>1</v>
      </c>
      <c r="AC400" s="14">
        <f t="shared" si="276"/>
        <v>9</v>
      </c>
      <c r="AD400" s="40">
        <f>AC400/AC403</f>
        <v>0.40909090909090912</v>
      </c>
      <c r="AE400" s="13"/>
      <c r="AF400" s="33">
        <v>2</v>
      </c>
      <c r="AG400" s="33">
        <v>2</v>
      </c>
      <c r="AH400" s="9" t="s">
        <v>82</v>
      </c>
      <c r="AI400" s="33">
        <v>0</v>
      </c>
      <c r="AJ400" s="32">
        <v>0</v>
      </c>
      <c r="AK400" s="32">
        <v>3</v>
      </c>
      <c r="AL400" s="14">
        <f t="shared" si="277"/>
        <v>7</v>
      </c>
      <c r="AM400" s="40">
        <f>AL400/AL403</f>
        <v>0.36842105263157893</v>
      </c>
      <c r="AN400" s="13"/>
      <c r="AO400" s="33">
        <v>1</v>
      </c>
      <c r="AP400" s="33">
        <v>2</v>
      </c>
      <c r="AQ400" s="33">
        <v>2</v>
      </c>
      <c r="AR400" s="33">
        <v>0</v>
      </c>
      <c r="AS400" s="9" t="s">
        <v>82</v>
      </c>
      <c r="AT400" s="33">
        <v>1</v>
      </c>
      <c r="AU400" s="14">
        <f t="shared" si="278"/>
        <v>6</v>
      </c>
      <c r="AV400" s="40">
        <f>AU400/AU403</f>
        <v>0.75</v>
      </c>
      <c r="AW400" s="13"/>
      <c r="AX400" s="33">
        <v>1</v>
      </c>
      <c r="AY400" s="33">
        <v>0</v>
      </c>
      <c r="AZ400" s="9" t="s">
        <v>82</v>
      </c>
      <c r="BA400" s="33">
        <v>0</v>
      </c>
      <c r="BB400" s="33">
        <v>2</v>
      </c>
      <c r="BC400" s="14">
        <f t="shared" si="279"/>
        <v>3</v>
      </c>
      <c r="BD400" s="40">
        <f>BC400/BC403</f>
        <v>0.75</v>
      </c>
      <c r="BE400" s="13"/>
      <c r="BF400" s="14"/>
      <c r="BG400" s="15" t="e">
        <f>BF400/BF403</f>
        <v>#DIV/0!</v>
      </c>
      <c r="BH400" s="16"/>
      <c r="BI400" s="15"/>
    </row>
    <row r="401" spans="1:61" ht="32.25" customHeight="1">
      <c r="A401" s="10" t="s">
        <v>101</v>
      </c>
      <c r="B401" s="32" t="s">
        <v>59</v>
      </c>
      <c r="C401" s="32">
        <v>1</v>
      </c>
      <c r="D401" s="32">
        <v>4</v>
      </c>
      <c r="E401" s="32">
        <v>4</v>
      </c>
      <c r="F401" s="32">
        <v>3</v>
      </c>
      <c r="G401" s="32" t="s">
        <v>59</v>
      </c>
      <c r="H401" s="32">
        <v>3</v>
      </c>
      <c r="I401" s="32">
        <v>2</v>
      </c>
      <c r="J401" s="33">
        <v>2</v>
      </c>
      <c r="K401" s="23">
        <f t="shared" si="274"/>
        <v>19</v>
      </c>
      <c r="L401" s="35">
        <f>K401/K403</f>
        <v>0.2878787878787879</v>
      </c>
      <c r="M401" s="35">
        <f>K401/K406</f>
        <v>0.2878787878787879</v>
      </c>
      <c r="N401" s="37"/>
      <c r="O401" s="35"/>
      <c r="P401" s="13"/>
      <c r="Q401" s="33">
        <v>1</v>
      </c>
      <c r="R401" s="33">
        <v>2</v>
      </c>
      <c r="S401" s="33">
        <v>0</v>
      </c>
      <c r="T401" s="14">
        <f t="shared" si="275"/>
        <v>3</v>
      </c>
      <c r="U401" s="40">
        <f>T401/T403</f>
        <v>0.23076923076923078</v>
      </c>
      <c r="V401" s="13"/>
      <c r="W401" s="33">
        <v>1</v>
      </c>
      <c r="X401" s="33">
        <v>1</v>
      </c>
      <c r="Y401" s="33">
        <v>2</v>
      </c>
      <c r="Z401" s="33" t="s">
        <v>82</v>
      </c>
      <c r="AA401" s="33">
        <v>3</v>
      </c>
      <c r="AB401" s="33">
        <v>0</v>
      </c>
      <c r="AC401" s="14">
        <f t="shared" si="276"/>
        <v>7</v>
      </c>
      <c r="AD401" s="40">
        <f>AC401/AC403</f>
        <v>0.31818181818181818</v>
      </c>
      <c r="AE401" s="13"/>
      <c r="AF401" s="33">
        <v>1</v>
      </c>
      <c r="AG401" s="33">
        <v>2</v>
      </c>
      <c r="AH401" s="9" t="s">
        <v>82</v>
      </c>
      <c r="AI401" s="33">
        <v>1</v>
      </c>
      <c r="AJ401" s="32">
        <v>0</v>
      </c>
      <c r="AK401" s="32">
        <v>2</v>
      </c>
      <c r="AL401" s="14">
        <f t="shared" si="277"/>
        <v>6</v>
      </c>
      <c r="AM401" s="40">
        <f>AL401/AL403</f>
        <v>0.31578947368421051</v>
      </c>
      <c r="AN401" s="13"/>
      <c r="AO401" s="33">
        <v>0</v>
      </c>
      <c r="AP401" s="33">
        <v>0</v>
      </c>
      <c r="AQ401" s="33">
        <v>0</v>
      </c>
      <c r="AR401" s="33">
        <v>1</v>
      </c>
      <c r="AS401" s="9" t="s">
        <v>82</v>
      </c>
      <c r="AT401" s="33">
        <v>1</v>
      </c>
      <c r="AU401" s="14">
        <f t="shared" si="278"/>
        <v>2</v>
      </c>
      <c r="AV401" s="40">
        <f>AU401/AU403</f>
        <v>0.25</v>
      </c>
      <c r="AW401" s="13"/>
      <c r="AX401" s="33">
        <v>0</v>
      </c>
      <c r="AY401" s="33">
        <v>1</v>
      </c>
      <c r="AZ401" s="9" t="s">
        <v>82</v>
      </c>
      <c r="BA401" s="33">
        <v>0</v>
      </c>
      <c r="BB401" s="33">
        <v>0</v>
      </c>
      <c r="BC401" s="14">
        <f t="shared" si="279"/>
        <v>1</v>
      </c>
      <c r="BD401" s="40">
        <f>BC401/BC403</f>
        <v>0.25</v>
      </c>
      <c r="BE401" s="13"/>
      <c r="BF401" s="14"/>
      <c r="BG401" s="15" t="e">
        <f>BF401/BF403</f>
        <v>#DIV/0!</v>
      </c>
      <c r="BH401" s="16"/>
      <c r="BI401" s="15"/>
    </row>
    <row r="402" spans="1:61" ht="20.25" customHeight="1">
      <c r="A402" s="10" t="s">
        <v>102</v>
      </c>
      <c r="B402" s="32" t="s">
        <v>59</v>
      </c>
      <c r="C402" s="32">
        <v>0</v>
      </c>
      <c r="D402" s="32">
        <v>1</v>
      </c>
      <c r="E402" s="32">
        <v>0</v>
      </c>
      <c r="F402" s="32">
        <v>0</v>
      </c>
      <c r="G402" s="32" t="s">
        <v>59</v>
      </c>
      <c r="H402" s="32">
        <v>0</v>
      </c>
      <c r="I402" s="32">
        <v>0</v>
      </c>
      <c r="J402" s="33">
        <v>2</v>
      </c>
      <c r="K402" s="23">
        <f t="shared" si="274"/>
        <v>3</v>
      </c>
      <c r="L402" s="35">
        <f>K402/K403</f>
        <v>4.5454545454545456E-2</v>
      </c>
      <c r="M402" s="35">
        <f>K402/K406</f>
        <v>4.5454545454545456E-2</v>
      </c>
      <c r="N402" s="37"/>
      <c r="O402" s="35"/>
      <c r="P402" s="13"/>
      <c r="Q402" s="33">
        <v>0</v>
      </c>
      <c r="R402" s="33">
        <v>0</v>
      </c>
      <c r="S402" s="33">
        <v>1</v>
      </c>
      <c r="T402" s="14">
        <f t="shared" si="275"/>
        <v>1</v>
      </c>
      <c r="U402" s="40">
        <f>T402/T403</f>
        <v>7.6923076923076927E-2</v>
      </c>
      <c r="V402" s="13"/>
      <c r="W402" s="33">
        <v>0</v>
      </c>
      <c r="X402" s="33">
        <v>0</v>
      </c>
      <c r="Y402" s="33">
        <v>1</v>
      </c>
      <c r="Z402" s="33" t="s">
        <v>82</v>
      </c>
      <c r="AA402" s="33">
        <v>0</v>
      </c>
      <c r="AB402" s="33">
        <v>0</v>
      </c>
      <c r="AC402" s="14">
        <f t="shared" si="276"/>
        <v>1</v>
      </c>
      <c r="AD402" s="40">
        <f>AC402/AC403</f>
        <v>4.5454545454545456E-2</v>
      </c>
      <c r="AE402" s="13"/>
      <c r="AF402" s="33">
        <v>0</v>
      </c>
      <c r="AG402" s="33">
        <v>0</v>
      </c>
      <c r="AH402" s="9" t="s">
        <v>82</v>
      </c>
      <c r="AI402" s="33">
        <v>0</v>
      </c>
      <c r="AJ402" s="32">
        <v>0</v>
      </c>
      <c r="AK402" s="32">
        <v>1</v>
      </c>
      <c r="AL402" s="14">
        <f t="shared" si="277"/>
        <v>1</v>
      </c>
      <c r="AM402" s="40">
        <f>AL402/AL403</f>
        <v>5.2631578947368418E-2</v>
      </c>
      <c r="AN402" s="13"/>
      <c r="AO402" s="33">
        <v>0</v>
      </c>
      <c r="AP402" s="33">
        <v>0</v>
      </c>
      <c r="AQ402" s="33">
        <v>0</v>
      </c>
      <c r="AR402" s="33">
        <v>0</v>
      </c>
      <c r="AS402" s="9" t="s">
        <v>82</v>
      </c>
      <c r="AT402" s="33">
        <v>0</v>
      </c>
      <c r="AU402" s="14">
        <f t="shared" si="278"/>
        <v>0</v>
      </c>
      <c r="AV402" s="40">
        <f>AU402/AU403</f>
        <v>0</v>
      </c>
      <c r="AW402" s="13"/>
      <c r="AX402" s="33">
        <v>0</v>
      </c>
      <c r="AY402" s="33">
        <v>0</v>
      </c>
      <c r="AZ402" s="9" t="s">
        <v>82</v>
      </c>
      <c r="BA402" s="33">
        <v>0</v>
      </c>
      <c r="BB402" s="33">
        <v>0</v>
      </c>
      <c r="BC402" s="14">
        <f t="shared" si="279"/>
        <v>0</v>
      </c>
      <c r="BD402" s="40">
        <f>BC402/BC403</f>
        <v>0</v>
      </c>
      <c r="BE402" s="13"/>
      <c r="BF402" s="38"/>
      <c r="BG402" s="15" t="e">
        <f>BF402/BF403</f>
        <v>#DIV/0!</v>
      </c>
      <c r="BH402" s="32"/>
      <c r="BI402" s="40"/>
    </row>
    <row r="403" spans="1:61" ht="21.75" customHeight="1">
      <c r="A403" s="10" t="s">
        <v>9</v>
      </c>
      <c r="B403" s="32" t="s">
        <v>59</v>
      </c>
      <c r="C403" s="32">
        <f>SUM(C397:C402)</f>
        <v>3</v>
      </c>
      <c r="D403" s="32">
        <f>SUM(D397:D402)</f>
        <v>15</v>
      </c>
      <c r="E403" s="32">
        <f>SUM(E397:E402)</f>
        <v>6</v>
      </c>
      <c r="F403" s="32">
        <f>SUM(F397:F402)</f>
        <v>11</v>
      </c>
      <c r="G403" s="32" t="s">
        <v>59</v>
      </c>
      <c r="H403" s="32">
        <f>SUM(H397:H402)</f>
        <v>10</v>
      </c>
      <c r="I403" s="32">
        <f>SUM(I397:I402)</f>
        <v>10</v>
      </c>
      <c r="J403" s="32">
        <f>SUM(J397:J402)</f>
        <v>11</v>
      </c>
      <c r="K403" s="23">
        <f>SUM(K397:K402)</f>
        <v>66</v>
      </c>
      <c r="L403" s="35">
        <f>SUM(L397:L402)</f>
        <v>1</v>
      </c>
      <c r="M403" s="35">
        <f>K403/K406</f>
        <v>1</v>
      </c>
      <c r="N403" s="37">
        <f>T403+AC403+AL403+AU403</f>
        <v>62</v>
      </c>
      <c r="O403" s="35">
        <f>N403/K403</f>
        <v>0.93939393939393945</v>
      </c>
      <c r="P403" s="13">
        <f t="shared" ref="P403:Y403" si="280">SUM(P397:P402)</f>
        <v>0</v>
      </c>
      <c r="Q403" s="47">
        <f t="shared" si="280"/>
        <v>3</v>
      </c>
      <c r="R403" s="14">
        <f t="shared" si="280"/>
        <v>9</v>
      </c>
      <c r="S403" s="14">
        <f t="shared" si="280"/>
        <v>1</v>
      </c>
      <c r="T403" s="14">
        <f t="shared" si="280"/>
        <v>13</v>
      </c>
      <c r="U403" s="40">
        <f t="shared" si="280"/>
        <v>1</v>
      </c>
      <c r="V403" s="13">
        <f t="shared" si="280"/>
        <v>0</v>
      </c>
      <c r="W403" s="47">
        <f t="shared" si="280"/>
        <v>5</v>
      </c>
      <c r="X403" s="47">
        <f t="shared" si="280"/>
        <v>3</v>
      </c>
      <c r="Y403" s="47">
        <f t="shared" si="280"/>
        <v>8</v>
      </c>
      <c r="Z403" s="112" t="s">
        <v>82</v>
      </c>
      <c r="AA403" s="47">
        <f t="shared" ref="AA403:AG403" si="281">SUM(AA397:AA402)</f>
        <v>5</v>
      </c>
      <c r="AB403" s="47">
        <f t="shared" si="281"/>
        <v>1</v>
      </c>
      <c r="AC403" s="45">
        <f t="shared" si="281"/>
        <v>22</v>
      </c>
      <c r="AD403" s="40">
        <f t="shared" si="281"/>
        <v>1</v>
      </c>
      <c r="AE403" s="13">
        <f t="shared" si="281"/>
        <v>0</v>
      </c>
      <c r="AF403" s="47">
        <f t="shared" si="281"/>
        <v>5</v>
      </c>
      <c r="AG403" s="47">
        <f t="shared" si="281"/>
        <v>5</v>
      </c>
      <c r="AH403" s="113" t="s">
        <v>82</v>
      </c>
      <c r="AI403" s="47">
        <f t="shared" ref="AI403:AR403" si="282">SUM(AI397:AI402)</f>
        <v>1</v>
      </c>
      <c r="AJ403" s="47">
        <f t="shared" si="282"/>
        <v>0</v>
      </c>
      <c r="AK403" s="47">
        <f t="shared" si="282"/>
        <v>8</v>
      </c>
      <c r="AL403" s="45">
        <f t="shared" si="282"/>
        <v>19</v>
      </c>
      <c r="AM403" s="40">
        <f t="shared" si="282"/>
        <v>1</v>
      </c>
      <c r="AN403" s="13">
        <f t="shared" si="282"/>
        <v>0</v>
      </c>
      <c r="AO403" s="47">
        <f t="shared" si="282"/>
        <v>1</v>
      </c>
      <c r="AP403" s="47">
        <f t="shared" si="282"/>
        <v>2</v>
      </c>
      <c r="AQ403" s="47">
        <f t="shared" si="282"/>
        <v>2</v>
      </c>
      <c r="AR403" s="47">
        <f t="shared" si="282"/>
        <v>1</v>
      </c>
      <c r="AS403" s="113" t="s">
        <v>82</v>
      </c>
      <c r="AT403" s="47">
        <f t="shared" ref="AT403:AY403" si="283">SUM(AT397:AT402)</f>
        <v>2</v>
      </c>
      <c r="AU403" s="45">
        <f t="shared" si="283"/>
        <v>8</v>
      </c>
      <c r="AV403" s="40">
        <f t="shared" si="283"/>
        <v>1</v>
      </c>
      <c r="AW403" s="13">
        <f t="shared" si="283"/>
        <v>0</v>
      </c>
      <c r="AX403" s="47">
        <f t="shared" si="283"/>
        <v>1</v>
      </c>
      <c r="AY403" s="47">
        <f t="shared" si="283"/>
        <v>1</v>
      </c>
      <c r="AZ403" s="113" t="s">
        <v>82</v>
      </c>
      <c r="BA403" s="47">
        <f t="shared" ref="BA403:BF403" si="284">SUM(BA397:BA402)</f>
        <v>0</v>
      </c>
      <c r="BB403" s="47">
        <f t="shared" si="284"/>
        <v>2</v>
      </c>
      <c r="BC403" s="45">
        <f t="shared" si="284"/>
        <v>4</v>
      </c>
      <c r="BD403" s="40">
        <f t="shared" si="284"/>
        <v>1</v>
      </c>
      <c r="BE403" s="13">
        <f t="shared" si="284"/>
        <v>0</v>
      </c>
      <c r="BF403" s="38">
        <f t="shared" si="284"/>
        <v>0</v>
      </c>
      <c r="BG403" s="15" t="e">
        <f>BF403/BF403</f>
        <v>#DIV/0!</v>
      </c>
      <c r="BH403" s="32"/>
      <c r="BI403" s="40"/>
    </row>
    <row r="404" spans="1:61" ht="21.75" customHeight="1">
      <c r="A404" s="8" t="s">
        <v>64</v>
      </c>
      <c r="B404" s="32" t="s">
        <v>59</v>
      </c>
      <c r="C404" s="32">
        <v>0</v>
      </c>
      <c r="D404" s="32">
        <v>0</v>
      </c>
      <c r="E404" s="32">
        <v>0</v>
      </c>
      <c r="F404" s="32">
        <v>0</v>
      </c>
      <c r="G404" s="32" t="s">
        <v>59</v>
      </c>
      <c r="H404" s="32">
        <v>0</v>
      </c>
      <c r="I404" s="32">
        <v>0</v>
      </c>
      <c r="J404" s="32">
        <v>0</v>
      </c>
      <c r="K404" s="23">
        <f>SUM(B404:J404)</f>
        <v>0</v>
      </c>
      <c r="L404" s="35">
        <f>K404/(K403+K404+K405)</f>
        <v>0</v>
      </c>
      <c r="M404" s="35">
        <f>K404/(K406)</f>
        <v>0</v>
      </c>
      <c r="N404" s="37"/>
      <c r="O404" s="35"/>
      <c r="P404" s="13"/>
      <c r="Q404" s="52">
        <v>0</v>
      </c>
      <c r="R404" s="14">
        <v>0</v>
      </c>
      <c r="S404" s="14">
        <v>0</v>
      </c>
      <c r="T404" s="38">
        <f>SUM(Q404:S404)</f>
        <v>0</v>
      </c>
      <c r="U404" s="15">
        <f>T404/T406</f>
        <v>0</v>
      </c>
      <c r="V404" s="13"/>
      <c r="W404" s="52">
        <v>0</v>
      </c>
      <c r="X404" s="52">
        <v>0</v>
      </c>
      <c r="Y404" s="52">
        <v>0</v>
      </c>
      <c r="Z404" s="114" t="s">
        <v>82</v>
      </c>
      <c r="AA404" s="52">
        <v>0</v>
      </c>
      <c r="AB404" s="118">
        <v>0</v>
      </c>
      <c r="AC404" s="51">
        <f>SUM(W404:AB404)</f>
        <v>0</v>
      </c>
      <c r="AD404" s="15">
        <f>AC404/AC406</f>
        <v>0</v>
      </c>
      <c r="AE404" s="13"/>
      <c r="AF404" s="52">
        <v>0</v>
      </c>
      <c r="AG404" s="52">
        <v>0</v>
      </c>
      <c r="AH404" s="103" t="s">
        <v>82</v>
      </c>
      <c r="AI404" s="52">
        <v>0</v>
      </c>
      <c r="AJ404" s="118">
        <v>0</v>
      </c>
      <c r="AK404" s="118">
        <v>0</v>
      </c>
      <c r="AL404" s="49">
        <f>SUM(AF404:AK404)</f>
        <v>0</v>
      </c>
      <c r="AM404" s="15">
        <f>AL404/AL406</f>
        <v>0</v>
      </c>
      <c r="AN404" s="13"/>
      <c r="AO404" s="52">
        <v>0</v>
      </c>
      <c r="AP404" s="52">
        <v>0</v>
      </c>
      <c r="AQ404" s="52">
        <v>0</v>
      </c>
      <c r="AR404" s="52">
        <v>0</v>
      </c>
      <c r="AS404" s="103" t="s">
        <v>82</v>
      </c>
      <c r="AT404" s="118">
        <v>0</v>
      </c>
      <c r="AU404" s="51">
        <f>SUM(AO404:AT404)</f>
        <v>0</v>
      </c>
      <c r="AV404" s="15">
        <f>AU404/AU406</f>
        <v>0</v>
      </c>
      <c r="AW404" s="13"/>
      <c r="AX404" s="52">
        <v>0</v>
      </c>
      <c r="AY404" s="52">
        <v>0</v>
      </c>
      <c r="AZ404" s="103" t="s">
        <v>82</v>
      </c>
      <c r="BA404" s="118">
        <v>0</v>
      </c>
      <c r="BB404" s="118">
        <v>0</v>
      </c>
      <c r="BC404" s="51">
        <f>SUM(AX404:BB404)</f>
        <v>0</v>
      </c>
      <c r="BD404" s="15">
        <f>BC404/BC406</f>
        <v>0</v>
      </c>
      <c r="BE404" s="13"/>
      <c r="BF404" s="38"/>
      <c r="BG404" s="42"/>
      <c r="BH404" s="42"/>
      <c r="BI404" s="42"/>
    </row>
    <row r="405" spans="1:61" ht="20.25" customHeight="1">
      <c r="A405" s="8" t="s">
        <v>65</v>
      </c>
      <c r="B405" s="32" t="s">
        <v>59</v>
      </c>
      <c r="C405" s="32">
        <v>0</v>
      </c>
      <c r="D405" s="32">
        <v>0</v>
      </c>
      <c r="E405" s="32">
        <v>0</v>
      </c>
      <c r="F405" s="32">
        <v>0</v>
      </c>
      <c r="G405" s="32" t="s">
        <v>59</v>
      </c>
      <c r="H405" s="32">
        <v>0</v>
      </c>
      <c r="I405" s="32">
        <v>0</v>
      </c>
      <c r="J405" s="32">
        <v>0</v>
      </c>
      <c r="K405" s="23">
        <f>SUM(B405:J405)</f>
        <v>0</v>
      </c>
      <c r="L405" s="35">
        <f>K405/(K404+K405+K403)</f>
        <v>0</v>
      </c>
      <c r="M405" s="35">
        <f>K405/(K406)</f>
        <v>0</v>
      </c>
      <c r="N405" s="23"/>
      <c r="O405" s="35"/>
      <c r="P405" s="13"/>
      <c r="Q405" s="14">
        <v>0</v>
      </c>
      <c r="R405" s="14">
        <v>0</v>
      </c>
      <c r="S405" s="14">
        <v>0</v>
      </c>
      <c r="T405" s="38">
        <f>SUM(Q405:S405)</f>
        <v>0</v>
      </c>
      <c r="U405" s="15">
        <f>T405/T406</f>
        <v>0</v>
      </c>
      <c r="V405" s="13"/>
      <c r="W405" s="14">
        <v>0</v>
      </c>
      <c r="X405" s="14">
        <v>0</v>
      </c>
      <c r="Y405" s="14">
        <v>0</v>
      </c>
      <c r="Z405" s="33" t="s">
        <v>82</v>
      </c>
      <c r="AA405" s="14">
        <v>0</v>
      </c>
      <c r="AB405" s="32">
        <v>0</v>
      </c>
      <c r="AC405" s="38">
        <f>SUM(W405:AB405)</f>
        <v>0</v>
      </c>
      <c r="AD405" s="15">
        <f>AC405/AC406</f>
        <v>0</v>
      </c>
      <c r="AE405" s="13"/>
      <c r="AF405" s="14">
        <v>0</v>
      </c>
      <c r="AG405" s="14">
        <v>0</v>
      </c>
      <c r="AH405" s="9" t="s">
        <v>82</v>
      </c>
      <c r="AI405" s="14">
        <v>0</v>
      </c>
      <c r="AJ405" s="32">
        <v>0</v>
      </c>
      <c r="AK405" s="32">
        <v>0</v>
      </c>
      <c r="AL405" s="14">
        <f>SUM(AF405:AK405)</f>
        <v>0</v>
      </c>
      <c r="AM405" s="15">
        <f>AL405/AL406</f>
        <v>0</v>
      </c>
      <c r="AN405" s="13"/>
      <c r="AO405" s="14">
        <v>0</v>
      </c>
      <c r="AP405" s="14">
        <v>0</v>
      </c>
      <c r="AQ405" s="14">
        <v>0</v>
      </c>
      <c r="AR405" s="14">
        <v>0</v>
      </c>
      <c r="AS405" s="9" t="s">
        <v>82</v>
      </c>
      <c r="AT405" s="32">
        <v>0</v>
      </c>
      <c r="AU405" s="38">
        <f>SUM(AO405:AT405)</f>
        <v>0</v>
      </c>
      <c r="AV405" s="15">
        <f>AU405/AU406</f>
        <v>0</v>
      </c>
      <c r="AW405" s="13"/>
      <c r="AX405" s="14">
        <v>0</v>
      </c>
      <c r="AY405" s="14">
        <v>0</v>
      </c>
      <c r="AZ405" s="9" t="s">
        <v>82</v>
      </c>
      <c r="BA405" s="32">
        <v>0</v>
      </c>
      <c r="BB405" s="32">
        <v>0</v>
      </c>
      <c r="BC405" s="38">
        <f>SUM(AX405:BB405)</f>
        <v>0</v>
      </c>
      <c r="BD405" s="15">
        <f>BC405/BC406</f>
        <v>0</v>
      </c>
      <c r="BE405" s="13"/>
      <c r="BF405" s="38"/>
      <c r="BG405" s="42"/>
      <c r="BH405" s="42"/>
      <c r="BI405" s="42"/>
    </row>
    <row r="406" spans="1:61" ht="20.25" customHeight="1">
      <c r="A406" s="39" t="s">
        <v>66</v>
      </c>
      <c r="B406" s="32" t="s">
        <v>59</v>
      </c>
      <c r="C406" s="32">
        <f>SUM(C403:C405)</f>
        <v>3</v>
      </c>
      <c r="D406" s="32">
        <f>SUM(D403:D405)</f>
        <v>15</v>
      </c>
      <c r="E406" s="32">
        <f>SUM(E403:E405)</f>
        <v>6</v>
      </c>
      <c r="F406" s="32">
        <f>SUM(F403:F405)</f>
        <v>11</v>
      </c>
      <c r="G406" s="32" t="s">
        <v>59</v>
      </c>
      <c r="H406" s="32">
        <f>SUM(H403:H405)</f>
        <v>10</v>
      </c>
      <c r="I406" s="32">
        <f>SUM(I403:I405)</f>
        <v>10</v>
      </c>
      <c r="J406" s="32">
        <f>SUM(J403:J405)</f>
        <v>11</v>
      </c>
      <c r="K406" s="23">
        <f>SUM(B406:J406)</f>
        <v>66</v>
      </c>
      <c r="L406" s="35">
        <f>K406/(K405+K404+K403)</f>
        <v>1</v>
      </c>
      <c r="M406" s="35">
        <f>K406/(K403+K404+K405)</f>
        <v>1</v>
      </c>
      <c r="N406" s="37">
        <f>T406+AC406+AL406+AU406</f>
        <v>62</v>
      </c>
      <c r="O406" s="35">
        <f>N406/K406</f>
        <v>0.93939393939393945</v>
      </c>
      <c r="P406" s="13"/>
      <c r="Q406" s="38">
        <f>SUM(Q403:Q405)</f>
        <v>3</v>
      </c>
      <c r="R406" s="38">
        <f>SUM(R403:R405)</f>
        <v>9</v>
      </c>
      <c r="S406" s="38">
        <f>SUM(S403:S405)</f>
        <v>1</v>
      </c>
      <c r="T406" s="38">
        <f>SUM(Q406:S406)</f>
        <v>13</v>
      </c>
      <c r="U406" s="40">
        <f>T406/(T403+T404+T405)</f>
        <v>1</v>
      </c>
      <c r="V406" s="13"/>
      <c r="W406" s="38">
        <f>SUM(W403:W405)</f>
        <v>5</v>
      </c>
      <c r="X406" s="38">
        <f>SUM(X403:X405)</f>
        <v>3</v>
      </c>
      <c r="Y406" s="38">
        <f>SUM(Y403:Y405)</f>
        <v>8</v>
      </c>
      <c r="Z406" s="33" t="s">
        <v>82</v>
      </c>
      <c r="AA406" s="38">
        <f>SUM(AA403:AA405)</f>
        <v>5</v>
      </c>
      <c r="AB406" s="38">
        <f>SUM(AB403:AB405)</f>
        <v>1</v>
      </c>
      <c r="AC406" s="38">
        <f>SUM(W406:AB406)</f>
        <v>22</v>
      </c>
      <c r="AD406" s="40">
        <f>AC406/(AC403+AC404+AC405)</f>
        <v>1</v>
      </c>
      <c r="AE406" s="13"/>
      <c r="AF406" s="38">
        <f>SUM(AF403:AF405)</f>
        <v>5</v>
      </c>
      <c r="AG406" s="38">
        <f>SUM(AG403:AG405)</f>
        <v>5</v>
      </c>
      <c r="AH406" s="9" t="s">
        <v>82</v>
      </c>
      <c r="AI406" s="38">
        <f>SUM(AI403:AI405)</f>
        <v>1</v>
      </c>
      <c r="AJ406" s="38">
        <f>SUM(AJ403:AJ405)</f>
        <v>0</v>
      </c>
      <c r="AK406" s="38">
        <f>SUM(AK403:AK405)</f>
        <v>8</v>
      </c>
      <c r="AL406" s="38">
        <f>SUM(AF406:AK406)</f>
        <v>19</v>
      </c>
      <c r="AM406" s="41">
        <f>AL406/(AL403+AL404+AL405)</f>
        <v>1</v>
      </c>
      <c r="AN406" s="13"/>
      <c r="AO406" s="38">
        <f>SUM(AO403:AO405)</f>
        <v>1</v>
      </c>
      <c r="AP406" s="38">
        <f>SUM(AP403:AP405)</f>
        <v>2</v>
      </c>
      <c r="AQ406" s="38">
        <f>SUM(AQ403:AQ405)</f>
        <v>2</v>
      </c>
      <c r="AR406" s="38">
        <f>SUM(AR403:AR405)</f>
        <v>1</v>
      </c>
      <c r="AS406" s="9" t="s">
        <v>82</v>
      </c>
      <c r="AT406" s="38">
        <f>SUM(AT403:AT405)</f>
        <v>2</v>
      </c>
      <c r="AU406" s="38">
        <f>SUM(AO406:AT406)</f>
        <v>8</v>
      </c>
      <c r="AV406" s="40">
        <f>AU406/(AU403+AU404+AU405)</f>
        <v>1</v>
      </c>
      <c r="AW406" s="13"/>
      <c r="AX406" s="38">
        <f>SUM(AX403:AX405)</f>
        <v>1</v>
      </c>
      <c r="AY406" s="38">
        <f>SUM(AY403:AY405)</f>
        <v>1</v>
      </c>
      <c r="AZ406" s="9" t="s">
        <v>82</v>
      </c>
      <c r="BA406" s="38">
        <f>SUM(BA403:BA405)</f>
        <v>0</v>
      </c>
      <c r="BB406" s="38">
        <f>SUM(BB403:BB405)</f>
        <v>2</v>
      </c>
      <c r="BC406" s="38">
        <f>SUM(AX406:BB406)</f>
        <v>4</v>
      </c>
      <c r="BD406" s="40">
        <f>BC406/(BC403+BC404+BC405)</f>
        <v>1</v>
      </c>
      <c r="BE406" s="13"/>
      <c r="BF406" s="38"/>
      <c r="BG406" s="42"/>
      <c r="BH406" s="42"/>
      <c r="BI406" s="42"/>
    </row>
    <row r="407" spans="1:61" ht="68.25" customHeight="1">
      <c r="A407" s="102" t="s">
        <v>183</v>
      </c>
      <c r="B407" s="181" t="s">
        <v>153</v>
      </c>
      <c r="C407" s="182"/>
      <c r="D407" s="182"/>
      <c r="E407" s="182"/>
      <c r="F407" s="182"/>
      <c r="G407" s="22"/>
      <c r="H407" s="22"/>
      <c r="I407" s="22"/>
      <c r="J407" s="22"/>
      <c r="K407" s="21"/>
      <c r="L407" s="24"/>
      <c r="M407" s="24"/>
      <c r="N407" s="26"/>
      <c r="O407" s="24"/>
      <c r="P407" s="27"/>
      <c r="Q407" s="28"/>
      <c r="R407" s="28"/>
      <c r="S407" s="28"/>
      <c r="T407" s="26"/>
      <c r="U407" s="24"/>
      <c r="V407" s="27"/>
      <c r="W407" s="28"/>
      <c r="X407" s="28"/>
      <c r="Y407" s="28"/>
      <c r="Z407" s="28"/>
      <c r="AA407" s="28"/>
      <c r="AB407" s="28"/>
      <c r="AC407" s="26"/>
      <c r="AD407" s="24"/>
      <c r="AE407" s="27"/>
      <c r="AF407" s="28"/>
      <c r="AG407" s="28"/>
      <c r="AH407" s="28"/>
      <c r="AI407" s="28"/>
      <c r="AJ407" s="28"/>
      <c r="AK407" s="28"/>
      <c r="AL407" s="26"/>
      <c r="AM407" s="29"/>
      <c r="AN407" s="27"/>
      <c r="AO407" s="26"/>
      <c r="AP407" s="26"/>
      <c r="AQ407" s="26"/>
      <c r="AR407" s="26"/>
      <c r="AS407" s="26"/>
      <c r="AT407" s="26"/>
      <c r="AU407" s="26"/>
      <c r="AV407" s="24"/>
      <c r="AW407" s="27"/>
      <c r="AX407" s="26"/>
      <c r="AY407" s="26"/>
      <c r="AZ407" s="26"/>
      <c r="BA407" s="26"/>
      <c r="BB407" s="26"/>
      <c r="BC407" s="26"/>
      <c r="BD407" s="24"/>
      <c r="BE407" s="27"/>
      <c r="BF407" s="26"/>
      <c r="BG407" s="22"/>
      <c r="BH407" s="21"/>
      <c r="BI407" s="22"/>
    </row>
    <row r="408" spans="1:61" ht="32.25" customHeight="1">
      <c r="A408" s="10"/>
      <c r="B408" s="30" t="s">
        <v>0</v>
      </c>
      <c r="C408" s="30" t="s">
        <v>1</v>
      </c>
      <c r="D408" s="30" t="s">
        <v>2</v>
      </c>
      <c r="E408" s="30" t="s">
        <v>3</v>
      </c>
      <c r="F408" s="30" t="s">
        <v>4</v>
      </c>
      <c r="G408" s="30" t="s">
        <v>5</v>
      </c>
      <c r="H408" s="30" t="s">
        <v>68</v>
      </c>
      <c r="I408" s="30" t="s">
        <v>7</v>
      </c>
      <c r="J408" s="30" t="s">
        <v>8</v>
      </c>
      <c r="K408" s="10" t="s">
        <v>9</v>
      </c>
      <c r="L408" s="10" t="s">
        <v>56</v>
      </c>
      <c r="M408" s="20"/>
      <c r="N408" s="12"/>
      <c r="O408" s="20"/>
      <c r="P408" s="27"/>
      <c r="Q408" s="30" t="s">
        <v>15</v>
      </c>
      <c r="R408" s="30" t="s">
        <v>16</v>
      </c>
      <c r="S408" s="30" t="s">
        <v>28</v>
      </c>
      <c r="T408" s="20"/>
      <c r="U408" s="11"/>
      <c r="V408" s="27"/>
      <c r="W408" s="30" t="s">
        <v>15</v>
      </c>
      <c r="X408" s="30" t="s">
        <v>20</v>
      </c>
      <c r="Y408" s="30" t="s">
        <v>21</v>
      </c>
      <c r="Z408" s="30" t="s">
        <v>22</v>
      </c>
      <c r="AA408" s="30" t="s">
        <v>23</v>
      </c>
      <c r="AB408" s="30" t="s">
        <v>24</v>
      </c>
      <c r="AC408" s="20"/>
      <c r="AD408" s="11"/>
      <c r="AE408" s="27"/>
      <c r="AF408" s="30" t="s">
        <v>20</v>
      </c>
      <c r="AG408" s="30" t="s">
        <v>21</v>
      </c>
      <c r="AH408" s="30" t="s">
        <v>22</v>
      </c>
      <c r="AI408" s="30" t="s">
        <v>23</v>
      </c>
      <c r="AJ408" s="30" t="s">
        <v>24</v>
      </c>
      <c r="AK408" s="30" t="s">
        <v>28</v>
      </c>
      <c r="AL408" s="20"/>
      <c r="AM408" s="44"/>
      <c r="AN408" s="27"/>
      <c r="AO408" s="30" t="s">
        <v>15</v>
      </c>
      <c r="AP408" s="30" t="s">
        <v>20</v>
      </c>
      <c r="AQ408" s="30" t="s">
        <v>21</v>
      </c>
      <c r="AR408" s="30" t="s">
        <v>16</v>
      </c>
      <c r="AS408" s="30" t="s">
        <v>22</v>
      </c>
      <c r="AT408" s="30" t="s">
        <v>24</v>
      </c>
      <c r="AU408" s="20"/>
      <c r="AV408" s="11"/>
      <c r="AW408" s="27"/>
      <c r="AX408" s="30" t="s">
        <v>15</v>
      </c>
      <c r="AY408" s="30" t="s">
        <v>20</v>
      </c>
      <c r="AZ408" s="30" t="s">
        <v>22</v>
      </c>
      <c r="BA408" s="30" t="s">
        <v>23</v>
      </c>
      <c r="BB408" s="30" t="s">
        <v>28</v>
      </c>
      <c r="BC408" s="20"/>
      <c r="BD408" s="11"/>
      <c r="BE408" s="27"/>
      <c r="BF408" s="9" t="s">
        <v>38</v>
      </c>
      <c r="BG408" s="9" t="s">
        <v>39</v>
      </c>
      <c r="BH408" s="9" t="s">
        <v>40</v>
      </c>
      <c r="BI408" s="9" t="s">
        <v>41</v>
      </c>
    </row>
    <row r="409" spans="1:61" ht="20.25" customHeight="1">
      <c r="A409" s="10" t="s">
        <v>97</v>
      </c>
      <c r="B409" s="32" t="s">
        <v>59</v>
      </c>
      <c r="C409" s="32">
        <v>0</v>
      </c>
      <c r="D409" s="32">
        <v>0</v>
      </c>
      <c r="E409" s="32">
        <v>0</v>
      </c>
      <c r="F409" s="32">
        <v>1</v>
      </c>
      <c r="G409" s="32" t="s">
        <v>59</v>
      </c>
      <c r="H409" s="32">
        <v>1</v>
      </c>
      <c r="I409" s="32">
        <v>0</v>
      </c>
      <c r="J409" s="33">
        <v>1</v>
      </c>
      <c r="K409" s="23">
        <f t="shared" ref="K409:K414" si="285">SUM(B409:J409)</f>
        <v>3</v>
      </c>
      <c r="L409" s="35">
        <f>K409/K415</f>
        <v>3.9473684210526314E-2</v>
      </c>
      <c r="M409" s="35">
        <f>K409/K418</f>
        <v>3.9473684210526314E-2</v>
      </c>
      <c r="N409" s="37"/>
      <c r="O409" s="35"/>
      <c r="P409" s="13"/>
      <c r="Q409" s="33">
        <v>0</v>
      </c>
      <c r="R409" s="33">
        <v>1</v>
      </c>
      <c r="S409" s="33">
        <v>0</v>
      </c>
      <c r="T409" s="14">
        <f t="shared" ref="T409:T414" si="286">SUM(Q409:S409)</f>
        <v>1</v>
      </c>
      <c r="U409" s="40">
        <f>T409/T415</f>
        <v>7.6923076923076927E-2</v>
      </c>
      <c r="V409" s="13"/>
      <c r="W409" s="33">
        <v>0</v>
      </c>
      <c r="X409" s="33">
        <v>0</v>
      </c>
      <c r="Y409" s="33">
        <v>0</v>
      </c>
      <c r="Z409" s="33" t="s">
        <v>82</v>
      </c>
      <c r="AA409" s="33">
        <v>0</v>
      </c>
      <c r="AB409" s="33">
        <v>0</v>
      </c>
      <c r="AC409" s="14">
        <f t="shared" ref="AC409:AC414" si="287">SUM(W409:AB409)</f>
        <v>0</v>
      </c>
      <c r="AD409" s="40">
        <f>AC409/AC415</f>
        <v>0</v>
      </c>
      <c r="AE409" s="13"/>
      <c r="AF409" s="33">
        <v>1</v>
      </c>
      <c r="AG409" s="33">
        <v>0</v>
      </c>
      <c r="AH409" s="9" t="s">
        <v>82</v>
      </c>
      <c r="AI409" s="33">
        <v>0</v>
      </c>
      <c r="AJ409" s="32">
        <v>0</v>
      </c>
      <c r="AK409" s="32">
        <v>1</v>
      </c>
      <c r="AL409" s="14">
        <f t="shared" ref="AL409:AL414" si="288">SUM(AF409:AK409)</f>
        <v>2</v>
      </c>
      <c r="AM409" s="40">
        <f>AL409/AL415</f>
        <v>9.5238095238095233E-2</v>
      </c>
      <c r="AN409" s="13"/>
      <c r="AO409" s="33">
        <v>0</v>
      </c>
      <c r="AP409" s="33">
        <v>0</v>
      </c>
      <c r="AQ409" s="33">
        <v>0</v>
      </c>
      <c r="AR409" s="33">
        <v>0</v>
      </c>
      <c r="AS409" s="9" t="s">
        <v>82</v>
      </c>
      <c r="AT409" s="33">
        <v>0</v>
      </c>
      <c r="AU409" s="14">
        <f t="shared" ref="AU409:AU414" si="289">SUM(AO409:AT409)</f>
        <v>0</v>
      </c>
      <c r="AV409" s="40">
        <f>AU409/AU415</f>
        <v>0</v>
      </c>
      <c r="AW409" s="13"/>
      <c r="AX409" s="33">
        <v>0</v>
      </c>
      <c r="AY409" s="33">
        <v>0</v>
      </c>
      <c r="AZ409" s="9" t="s">
        <v>82</v>
      </c>
      <c r="BA409" s="33">
        <v>0</v>
      </c>
      <c r="BB409" s="33">
        <v>0</v>
      </c>
      <c r="BC409" s="14">
        <f t="shared" ref="BC409:BC414" si="290">SUM(AX409:BB409)</f>
        <v>0</v>
      </c>
      <c r="BD409" s="40">
        <f>BC409/BC415</f>
        <v>0</v>
      </c>
      <c r="BE409" s="13"/>
      <c r="BF409" s="14"/>
      <c r="BG409" s="15" t="e">
        <f>BF409/BF415</f>
        <v>#DIV/0!</v>
      </c>
      <c r="BH409" s="16"/>
      <c r="BI409" s="15"/>
    </row>
    <row r="410" spans="1:61" ht="20.25" customHeight="1">
      <c r="A410" s="10" t="s">
        <v>98</v>
      </c>
      <c r="B410" s="32" t="s">
        <v>59</v>
      </c>
      <c r="C410" s="32">
        <v>0</v>
      </c>
      <c r="D410" s="32">
        <v>3</v>
      </c>
      <c r="E410" s="32">
        <v>0</v>
      </c>
      <c r="F410" s="32">
        <v>0</v>
      </c>
      <c r="G410" s="32">
        <v>0</v>
      </c>
      <c r="H410" s="32">
        <v>2</v>
      </c>
      <c r="I410" s="32">
        <v>1</v>
      </c>
      <c r="J410" s="33">
        <v>0</v>
      </c>
      <c r="K410" s="23">
        <f t="shared" si="285"/>
        <v>6</v>
      </c>
      <c r="L410" s="35">
        <f>K410/K415</f>
        <v>7.8947368421052627E-2</v>
      </c>
      <c r="M410" s="35">
        <f>K410/K418</f>
        <v>7.8947368421052627E-2</v>
      </c>
      <c r="N410" s="37"/>
      <c r="O410" s="35"/>
      <c r="P410" s="13"/>
      <c r="Q410" s="33">
        <v>1</v>
      </c>
      <c r="R410" s="33">
        <v>2</v>
      </c>
      <c r="S410" s="33">
        <v>0</v>
      </c>
      <c r="T410" s="14">
        <f t="shared" si="286"/>
        <v>3</v>
      </c>
      <c r="U410" s="40">
        <f>T410/T415</f>
        <v>0.23076923076923078</v>
      </c>
      <c r="V410" s="13"/>
      <c r="W410" s="33">
        <v>0</v>
      </c>
      <c r="X410" s="33">
        <v>0</v>
      </c>
      <c r="Y410" s="33">
        <v>2</v>
      </c>
      <c r="Z410" s="33">
        <v>0</v>
      </c>
      <c r="AA410" s="33">
        <v>0</v>
      </c>
      <c r="AB410" s="33">
        <v>0</v>
      </c>
      <c r="AC410" s="14">
        <f t="shared" si="287"/>
        <v>2</v>
      </c>
      <c r="AD410" s="40">
        <f>AC410/AC415</f>
        <v>8.6956521739130432E-2</v>
      </c>
      <c r="AE410" s="13"/>
      <c r="AF410" s="33">
        <v>0</v>
      </c>
      <c r="AG410" s="33">
        <v>1</v>
      </c>
      <c r="AH410" s="14">
        <v>0</v>
      </c>
      <c r="AI410" s="33">
        <v>0</v>
      </c>
      <c r="AJ410" s="32">
        <v>0</v>
      </c>
      <c r="AK410" s="32">
        <v>0</v>
      </c>
      <c r="AL410" s="14">
        <f t="shared" si="288"/>
        <v>1</v>
      </c>
      <c r="AM410" s="40">
        <f>AL410/AL415</f>
        <v>4.7619047619047616E-2</v>
      </c>
      <c r="AN410" s="13"/>
      <c r="AO410" s="33">
        <v>0</v>
      </c>
      <c r="AP410" s="33">
        <v>0</v>
      </c>
      <c r="AQ410" s="33">
        <v>0</v>
      </c>
      <c r="AR410" s="33">
        <v>0</v>
      </c>
      <c r="AS410" s="14">
        <v>0</v>
      </c>
      <c r="AT410" s="33">
        <v>0</v>
      </c>
      <c r="AU410" s="14">
        <f t="shared" si="289"/>
        <v>0</v>
      </c>
      <c r="AV410" s="40">
        <f>AU410/AU415</f>
        <v>0</v>
      </c>
      <c r="AW410" s="13"/>
      <c r="AX410" s="33">
        <v>0</v>
      </c>
      <c r="AY410" s="33">
        <v>0</v>
      </c>
      <c r="AZ410" s="14">
        <v>0</v>
      </c>
      <c r="BA410" s="33">
        <v>0</v>
      </c>
      <c r="BB410" s="33">
        <v>0</v>
      </c>
      <c r="BC410" s="14">
        <f t="shared" si="290"/>
        <v>0</v>
      </c>
      <c r="BD410" s="40">
        <f>BC410/BC415</f>
        <v>0</v>
      </c>
      <c r="BE410" s="13"/>
      <c r="BF410" s="14"/>
      <c r="BG410" s="15" t="e">
        <f>BF410/BF415</f>
        <v>#DIV/0!</v>
      </c>
      <c r="BH410" s="16"/>
      <c r="BI410" s="15"/>
    </row>
    <row r="411" spans="1:61" ht="20.25" customHeight="1">
      <c r="A411" s="10" t="s">
        <v>99</v>
      </c>
      <c r="B411" s="32" t="s">
        <v>59</v>
      </c>
      <c r="C411" s="32">
        <v>0</v>
      </c>
      <c r="D411" s="32">
        <v>0</v>
      </c>
      <c r="E411" s="32">
        <v>0</v>
      </c>
      <c r="F411" s="32">
        <v>2</v>
      </c>
      <c r="G411" s="32" t="s">
        <v>59</v>
      </c>
      <c r="H411" s="32">
        <v>1</v>
      </c>
      <c r="I411" s="32">
        <v>3</v>
      </c>
      <c r="J411" s="33">
        <v>1</v>
      </c>
      <c r="K411" s="23">
        <f t="shared" si="285"/>
        <v>7</v>
      </c>
      <c r="L411" s="35">
        <f>K411/K415</f>
        <v>9.2105263157894732E-2</v>
      </c>
      <c r="M411" s="35">
        <f>K411/K418</f>
        <v>9.2105263157894732E-2</v>
      </c>
      <c r="N411" s="37"/>
      <c r="O411" s="35"/>
      <c r="P411" s="13"/>
      <c r="Q411" s="33">
        <v>1</v>
      </c>
      <c r="R411" s="33">
        <v>1</v>
      </c>
      <c r="S411" s="33">
        <v>0</v>
      </c>
      <c r="T411" s="14">
        <f t="shared" si="286"/>
        <v>2</v>
      </c>
      <c r="U411" s="40">
        <f>T411/T415</f>
        <v>0.15384615384615385</v>
      </c>
      <c r="V411" s="13"/>
      <c r="W411" s="33">
        <v>2</v>
      </c>
      <c r="X411" s="33">
        <v>1</v>
      </c>
      <c r="Y411" s="33">
        <v>0</v>
      </c>
      <c r="Z411" s="33" t="s">
        <v>82</v>
      </c>
      <c r="AA411" s="33">
        <v>0</v>
      </c>
      <c r="AB411" s="33">
        <v>0</v>
      </c>
      <c r="AC411" s="14">
        <f t="shared" si="287"/>
        <v>3</v>
      </c>
      <c r="AD411" s="40">
        <f>AC411/AC415</f>
        <v>0.13043478260869565</v>
      </c>
      <c r="AE411" s="13"/>
      <c r="AF411" s="33">
        <v>1</v>
      </c>
      <c r="AG411" s="33">
        <v>0</v>
      </c>
      <c r="AH411" s="9" t="s">
        <v>82</v>
      </c>
      <c r="AI411" s="33">
        <v>0</v>
      </c>
      <c r="AJ411" s="32">
        <v>0</v>
      </c>
      <c r="AK411" s="32">
        <v>1</v>
      </c>
      <c r="AL411" s="14">
        <f t="shared" si="288"/>
        <v>2</v>
      </c>
      <c r="AM411" s="40">
        <f>AL411/AL415</f>
        <v>9.5238095238095233E-2</v>
      </c>
      <c r="AN411" s="13"/>
      <c r="AO411" s="33">
        <v>0</v>
      </c>
      <c r="AP411" s="33">
        <v>0</v>
      </c>
      <c r="AQ411" s="33">
        <v>0</v>
      </c>
      <c r="AR411" s="33">
        <v>0</v>
      </c>
      <c r="AS411" s="9" t="s">
        <v>82</v>
      </c>
      <c r="AT411" s="33">
        <v>0</v>
      </c>
      <c r="AU411" s="14">
        <f t="shared" si="289"/>
        <v>0</v>
      </c>
      <c r="AV411" s="40">
        <f>AU411/AU415</f>
        <v>0</v>
      </c>
      <c r="AW411" s="13"/>
      <c r="AX411" s="33">
        <v>0</v>
      </c>
      <c r="AY411" s="33">
        <v>0</v>
      </c>
      <c r="AZ411" s="9" t="s">
        <v>82</v>
      </c>
      <c r="BA411" s="33">
        <v>0</v>
      </c>
      <c r="BB411" s="33">
        <v>0</v>
      </c>
      <c r="BC411" s="14">
        <f t="shared" si="290"/>
        <v>0</v>
      </c>
      <c r="BD411" s="40">
        <f>BC411/BC415</f>
        <v>0</v>
      </c>
      <c r="BE411" s="13"/>
      <c r="BF411" s="14"/>
      <c r="BG411" s="15" t="e">
        <f>BF411/BF415</f>
        <v>#DIV/0!</v>
      </c>
      <c r="BH411" s="16"/>
      <c r="BI411" s="15"/>
    </row>
    <row r="412" spans="1:61" ht="20.25" customHeight="1">
      <c r="A412" s="10" t="s">
        <v>100</v>
      </c>
      <c r="B412" s="32" t="s">
        <v>59</v>
      </c>
      <c r="C412" s="32">
        <v>2</v>
      </c>
      <c r="D412" s="32">
        <v>7</v>
      </c>
      <c r="E412" s="32">
        <v>2</v>
      </c>
      <c r="F412" s="32">
        <v>5</v>
      </c>
      <c r="G412" s="32">
        <v>4</v>
      </c>
      <c r="H412" s="32">
        <v>3</v>
      </c>
      <c r="I412" s="32">
        <v>4</v>
      </c>
      <c r="J412" s="33">
        <v>5</v>
      </c>
      <c r="K412" s="23">
        <f t="shared" si="285"/>
        <v>32</v>
      </c>
      <c r="L412" s="35">
        <f>K412/K415</f>
        <v>0.42105263157894735</v>
      </c>
      <c r="M412" s="35">
        <f>K412/K418</f>
        <v>0.42105263157894735</v>
      </c>
      <c r="N412" s="37"/>
      <c r="O412" s="35"/>
      <c r="P412" s="13"/>
      <c r="Q412" s="33">
        <v>0</v>
      </c>
      <c r="R412" s="33">
        <v>3</v>
      </c>
      <c r="S412" s="33">
        <v>0</v>
      </c>
      <c r="T412" s="14">
        <f t="shared" si="286"/>
        <v>3</v>
      </c>
      <c r="U412" s="40">
        <f>T412/T415</f>
        <v>0.23076923076923078</v>
      </c>
      <c r="V412" s="13"/>
      <c r="W412" s="33">
        <v>2</v>
      </c>
      <c r="X412" s="33">
        <v>1</v>
      </c>
      <c r="Y412" s="33">
        <v>3</v>
      </c>
      <c r="Z412" s="33">
        <v>1</v>
      </c>
      <c r="AA412" s="33">
        <v>2</v>
      </c>
      <c r="AB412" s="33">
        <v>1</v>
      </c>
      <c r="AC412" s="14">
        <f t="shared" si="287"/>
        <v>10</v>
      </c>
      <c r="AD412" s="40">
        <f>AC412/AC415</f>
        <v>0.43478260869565216</v>
      </c>
      <c r="AE412" s="13"/>
      <c r="AF412" s="33">
        <v>2</v>
      </c>
      <c r="AG412" s="33">
        <v>2</v>
      </c>
      <c r="AH412" s="14">
        <v>1</v>
      </c>
      <c r="AI412" s="33">
        <v>0</v>
      </c>
      <c r="AJ412" s="32">
        <v>0</v>
      </c>
      <c r="AK412" s="32">
        <v>3</v>
      </c>
      <c r="AL412" s="14">
        <f t="shared" si="288"/>
        <v>8</v>
      </c>
      <c r="AM412" s="40">
        <f>AL412/AL415</f>
        <v>0.38095238095238093</v>
      </c>
      <c r="AN412" s="13"/>
      <c r="AO412" s="33">
        <v>1</v>
      </c>
      <c r="AP412" s="33">
        <v>2</v>
      </c>
      <c r="AQ412" s="33">
        <v>2</v>
      </c>
      <c r="AR412" s="33">
        <v>0</v>
      </c>
      <c r="AS412" s="14">
        <v>2</v>
      </c>
      <c r="AT412" s="33">
        <v>1</v>
      </c>
      <c r="AU412" s="14">
        <f t="shared" si="289"/>
        <v>8</v>
      </c>
      <c r="AV412" s="40">
        <f>AU412/AU415</f>
        <v>0.61538461538461542</v>
      </c>
      <c r="AW412" s="13"/>
      <c r="AX412" s="33">
        <v>1</v>
      </c>
      <c r="AY412" s="33">
        <v>0</v>
      </c>
      <c r="AZ412" s="14">
        <v>2</v>
      </c>
      <c r="BA412" s="32">
        <v>0</v>
      </c>
      <c r="BB412" s="33">
        <v>2</v>
      </c>
      <c r="BC412" s="14">
        <f t="shared" si="290"/>
        <v>5</v>
      </c>
      <c r="BD412" s="40">
        <f>BC412/BC415</f>
        <v>0.83333333333333337</v>
      </c>
      <c r="BE412" s="13"/>
      <c r="BF412" s="14"/>
      <c r="BG412" s="15" t="e">
        <f>BF412/BF415</f>
        <v>#DIV/0!</v>
      </c>
      <c r="BH412" s="16"/>
      <c r="BI412" s="15"/>
    </row>
    <row r="413" spans="1:61" ht="32.25" customHeight="1">
      <c r="A413" s="10" t="s">
        <v>101</v>
      </c>
      <c r="B413" s="32" t="s">
        <v>59</v>
      </c>
      <c r="C413" s="32">
        <v>1</v>
      </c>
      <c r="D413" s="32">
        <v>4</v>
      </c>
      <c r="E413" s="32">
        <v>4</v>
      </c>
      <c r="F413" s="32">
        <v>3</v>
      </c>
      <c r="G413" s="32">
        <v>6</v>
      </c>
      <c r="H413" s="32">
        <v>3</v>
      </c>
      <c r="I413" s="32">
        <v>2</v>
      </c>
      <c r="J413" s="33">
        <v>2</v>
      </c>
      <c r="K413" s="23">
        <f t="shared" si="285"/>
        <v>25</v>
      </c>
      <c r="L413" s="35">
        <f>K413/K415</f>
        <v>0.32894736842105265</v>
      </c>
      <c r="M413" s="35">
        <f>K413/K418</f>
        <v>0.32894736842105265</v>
      </c>
      <c r="N413" s="37"/>
      <c r="O413" s="35"/>
      <c r="P413" s="13"/>
      <c r="Q413" s="33">
        <v>1</v>
      </c>
      <c r="R413" s="33">
        <v>2</v>
      </c>
      <c r="S413" s="33">
        <v>0</v>
      </c>
      <c r="T413" s="14">
        <f t="shared" si="286"/>
        <v>3</v>
      </c>
      <c r="U413" s="40">
        <f>T413/T415</f>
        <v>0.23076923076923078</v>
      </c>
      <c r="V413" s="13"/>
      <c r="W413" s="33">
        <v>1</v>
      </c>
      <c r="X413" s="33">
        <v>1</v>
      </c>
      <c r="Y413" s="33">
        <v>2</v>
      </c>
      <c r="Z413" s="33">
        <v>0</v>
      </c>
      <c r="AA413" s="33">
        <v>3</v>
      </c>
      <c r="AB413" s="33">
        <v>0</v>
      </c>
      <c r="AC413" s="14">
        <f t="shared" si="287"/>
        <v>7</v>
      </c>
      <c r="AD413" s="40">
        <f>AC413/AC415</f>
        <v>0.30434782608695654</v>
      </c>
      <c r="AE413" s="13"/>
      <c r="AF413" s="33">
        <v>1</v>
      </c>
      <c r="AG413" s="33">
        <v>2</v>
      </c>
      <c r="AH413" s="14">
        <v>1</v>
      </c>
      <c r="AI413" s="33">
        <v>1</v>
      </c>
      <c r="AJ413" s="32">
        <v>0</v>
      </c>
      <c r="AK413" s="32">
        <v>2</v>
      </c>
      <c r="AL413" s="14">
        <f t="shared" si="288"/>
        <v>7</v>
      </c>
      <c r="AM413" s="40">
        <f>AL413/AL415</f>
        <v>0.33333333333333331</v>
      </c>
      <c r="AN413" s="13"/>
      <c r="AO413" s="33">
        <v>0</v>
      </c>
      <c r="AP413" s="33">
        <v>0</v>
      </c>
      <c r="AQ413" s="33">
        <v>0</v>
      </c>
      <c r="AR413" s="33">
        <v>1</v>
      </c>
      <c r="AS413" s="14">
        <v>3</v>
      </c>
      <c r="AT413" s="33">
        <v>1</v>
      </c>
      <c r="AU413" s="14">
        <f t="shared" si="289"/>
        <v>5</v>
      </c>
      <c r="AV413" s="40">
        <f>AU413/AU415</f>
        <v>0.38461538461538464</v>
      </c>
      <c r="AW413" s="13"/>
      <c r="AX413" s="33">
        <v>0</v>
      </c>
      <c r="AY413" s="33">
        <v>1</v>
      </c>
      <c r="AZ413" s="14">
        <v>0</v>
      </c>
      <c r="BA413" s="32">
        <v>0</v>
      </c>
      <c r="BB413" s="33">
        <v>0</v>
      </c>
      <c r="BC413" s="14">
        <f t="shared" si="290"/>
        <v>1</v>
      </c>
      <c r="BD413" s="40">
        <f>BC413/BC415</f>
        <v>0.16666666666666666</v>
      </c>
      <c r="BE413" s="13"/>
      <c r="BF413" s="14"/>
      <c r="BG413" s="15" t="e">
        <f>BF413/BF415</f>
        <v>#DIV/0!</v>
      </c>
      <c r="BH413" s="16"/>
      <c r="BI413" s="15"/>
    </row>
    <row r="414" spans="1:61" ht="20.25" customHeight="1">
      <c r="A414" s="10" t="s">
        <v>102</v>
      </c>
      <c r="B414" s="32" t="s">
        <v>59</v>
      </c>
      <c r="C414" s="32">
        <v>0</v>
      </c>
      <c r="D414" s="32">
        <v>1</v>
      </c>
      <c r="E414" s="32">
        <v>0</v>
      </c>
      <c r="F414" s="32">
        <v>0</v>
      </c>
      <c r="G414" s="32" t="s">
        <v>59</v>
      </c>
      <c r="H414" s="32">
        <v>0</v>
      </c>
      <c r="I414" s="32">
        <v>0</v>
      </c>
      <c r="J414" s="33">
        <v>2</v>
      </c>
      <c r="K414" s="23">
        <f t="shared" si="285"/>
        <v>3</v>
      </c>
      <c r="L414" s="35">
        <f>K414/K415</f>
        <v>3.9473684210526314E-2</v>
      </c>
      <c r="M414" s="35">
        <f>K414/K418</f>
        <v>3.9473684210526314E-2</v>
      </c>
      <c r="N414" s="37"/>
      <c r="O414" s="35"/>
      <c r="P414" s="13"/>
      <c r="Q414" s="33">
        <v>0</v>
      </c>
      <c r="R414" s="33">
        <v>0</v>
      </c>
      <c r="S414" s="33">
        <v>1</v>
      </c>
      <c r="T414" s="14">
        <f t="shared" si="286"/>
        <v>1</v>
      </c>
      <c r="U414" s="40">
        <f>T414/T415</f>
        <v>7.6923076923076927E-2</v>
      </c>
      <c r="V414" s="13"/>
      <c r="W414" s="33">
        <v>0</v>
      </c>
      <c r="X414" s="33">
        <v>0</v>
      </c>
      <c r="Y414" s="33">
        <v>1</v>
      </c>
      <c r="Z414" s="33" t="s">
        <v>82</v>
      </c>
      <c r="AA414" s="33">
        <v>0</v>
      </c>
      <c r="AB414" s="33">
        <v>0</v>
      </c>
      <c r="AC414" s="14">
        <f t="shared" si="287"/>
        <v>1</v>
      </c>
      <c r="AD414" s="40">
        <f>AC414/AC415</f>
        <v>4.3478260869565216E-2</v>
      </c>
      <c r="AE414" s="13"/>
      <c r="AF414" s="33">
        <v>0</v>
      </c>
      <c r="AG414" s="33">
        <v>0</v>
      </c>
      <c r="AH414" s="9" t="s">
        <v>82</v>
      </c>
      <c r="AI414" s="33">
        <v>0</v>
      </c>
      <c r="AJ414" s="32">
        <v>0</v>
      </c>
      <c r="AK414" s="32">
        <v>1</v>
      </c>
      <c r="AL414" s="14">
        <f t="shared" si="288"/>
        <v>1</v>
      </c>
      <c r="AM414" s="40">
        <f>AL414/AL415</f>
        <v>4.7619047619047616E-2</v>
      </c>
      <c r="AN414" s="13"/>
      <c r="AO414" s="33">
        <v>0</v>
      </c>
      <c r="AP414" s="33">
        <v>0</v>
      </c>
      <c r="AQ414" s="33">
        <v>0</v>
      </c>
      <c r="AR414" s="33">
        <v>0</v>
      </c>
      <c r="AS414" s="9" t="s">
        <v>82</v>
      </c>
      <c r="AT414" s="33">
        <v>0</v>
      </c>
      <c r="AU414" s="14">
        <f t="shared" si="289"/>
        <v>0</v>
      </c>
      <c r="AV414" s="40">
        <f>AU414/AU415</f>
        <v>0</v>
      </c>
      <c r="AW414" s="13"/>
      <c r="AX414" s="33">
        <v>0</v>
      </c>
      <c r="AY414" s="33">
        <v>0</v>
      </c>
      <c r="AZ414" s="9" t="s">
        <v>82</v>
      </c>
      <c r="BA414" s="33">
        <v>0</v>
      </c>
      <c r="BB414" s="33">
        <v>0</v>
      </c>
      <c r="BC414" s="14">
        <f t="shared" si="290"/>
        <v>0</v>
      </c>
      <c r="BD414" s="40">
        <f>BC414/BC415</f>
        <v>0</v>
      </c>
      <c r="BE414" s="13"/>
      <c r="BF414" s="38"/>
      <c r="BG414" s="15" t="e">
        <f>BF414/BF415</f>
        <v>#DIV/0!</v>
      </c>
      <c r="BH414" s="32"/>
      <c r="BI414" s="40"/>
    </row>
    <row r="415" spans="1:61" ht="21.75" customHeight="1">
      <c r="A415" s="10" t="s">
        <v>9</v>
      </c>
      <c r="B415" s="32" t="s">
        <v>59</v>
      </c>
      <c r="C415" s="32">
        <f t="shared" ref="C415:L415" si="291">SUM(C409:C414)</f>
        <v>3</v>
      </c>
      <c r="D415" s="32">
        <f t="shared" si="291"/>
        <v>15</v>
      </c>
      <c r="E415" s="32">
        <f t="shared" si="291"/>
        <v>6</v>
      </c>
      <c r="F415" s="32">
        <f t="shared" si="291"/>
        <v>11</v>
      </c>
      <c r="G415" s="32">
        <f t="shared" si="291"/>
        <v>10</v>
      </c>
      <c r="H415" s="32">
        <f t="shared" si="291"/>
        <v>10</v>
      </c>
      <c r="I415" s="32">
        <f t="shared" si="291"/>
        <v>10</v>
      </c>
      <c r="J415" s="32">
        <f t="shared" si="291"/>
        <v>11</v>
      </c>
      <c r="K415" s="23">
        <f t="shared" si="291"/>
        <v>76</v>
      </c>
      <c r="L415" s="35">
        <f t="shared" si="291"/>
        <v>1</v>
      </c>
      <c r="M415" s="35">
        <f>K415/K418</f>
        <v>1</v>
      </c>
      <c r="N415" s="37">
        <f>T415+AC415+AL415+AU415</f>
        <v>70</v>
      </c>
      <c r="O415" s="35">
        <f>N415/K415</f>
        <v>0.92105263157894735</v>
      </c>
      <c r="P415" s="13">
        <f t="shared" ref="P415:BF415" si="292">SUM(P409:P414)</f>
        <v>0</v>
      </c>
      <c r="Q415" s="47">
        <f t="shared" si="292"/>
        <v>3</v>
      </c>
      <c r="R415" s="14">
        <f t="shared" si="292"/>
        <v>9</v>
      </c>
      <c r="S415" s="14">
        <f t="shared" si="292"/>
        <v>1</v>
      </c>
      <c r="T415" s="14">
        <f t="shared" si="292"/>
        <v>13</v>
      </c>
      <c r="U415" s="40">
        <f t="shared" si="292"/>
        <v>1</v>
      </c>
      <c r="V415" s="13">
        <f t="shared" si="292"/>
        <v>0</v>
      </c>
      <c r="W415" s="47">
        <f t="shared" si="292"/>
        <v>5</v>
      </c>
      <c r="X415" s="47">
        <f t="shared" si="292"/>
        <v>3</v>
      </c>
      <c r="Y415" s="47">
        <f t="shared" si="292"/>
        <v>8</v>
      </c>
      <c r="Z415" s="47">
        <f t="shared" si="292"/>
        <v>1</v>
      </c>
      <c r="AA415" s="47">
        <f t="shared" si="292"/>
        <v>5</v>
      </c>
      <c r="AB415" s="47">
        <f t="shared" si="292"/>
        <v>1</v>
      </c>
      <c r="AC415" s="45">
        <f t="shared" si="292"/>
        <v>23</v>
      </c>
      <c r="AD415" s="40">
        <f t="shared" si="292"/>
        <v>1</v>
      </c>
      <c r="AE415" s="13">
        <f t="shared" si="292"/>
        <v>0</v>
      </c>
      <c r="AF415" s="47">
        <f t="shared" si="292"/>
        <v>5</v>
      </c>
      <c r="AG415" s="47">
        <f t="shared" si="292"/>
        <v>5</v>
      </c>
      <c r="AH415" s="47">
        <f t="shared" si="292"/>
        <v>2</v>
      </c>
      <c r="AI415" s="47">
        <f t="shared" si="292"/>
        <v>1</v>
      </c>
      <c r="AJ415" s="47">
        <f t="shared" si="292"/>
        <v>0</v>
      </c>
      <c r="AK415" s="47">
        <f t="shared" si="292"/>
        <v>8</v>
      </c>
      <c r="AL415" s="45">
        <f t="shared" si="292"/>
        <v>21</v>
      </c>
      <c r="AM415" s="40">
        <f t="shared" si="292"/>
        <v>1</v>
      </c>
      <c r="AN415" s="13">
        <f t="shared" si="292"/>
        <v>0</v>
      </c>
      <c r="AO415" s="47">
        <f t="shared" si="292"/>
        <v>1</v>
      </c>
      <c r="AP415" s="47">
        <f t="shared" si="292"/>
        <v>2</v>
      </c>
      <c r="AQ415" s="47">
        <f t="shared" si="292"/>
        <v>2</v>
      </c>
      <c r="AR415" s="47">
        <f t="shared" si="292"/>
        <v>1</v>
      </c>
      <c r="AS415" s="47">
        <f t="shared" si="292"/>
        <v>5</v>
      </c>
      <c r="AT415" s="47">
        <f t="shared" si="292"/>
        <v>2</v>
      </c>
      <c r="AU415" s="45">
        <f t="shared" si="292"/>
        <v>13</v>
      </c>
      <c r="AV415" s="40">
        <f t="shared" si="292"/>
        <v>1</v>
      </c>
      <c r="AW415" s="13">
        <f t="shared" si="292"/>
        <v>0</v>
      </c>
      <c r="AX415" s="47">
        <f t="shared" si="292"/>
        <v>1</v>
      </c>
      <c r="AY415" s="47">
        <f t="shared" si="292"/>
        <v>1</v>
      </c>
      <c r="AZ415" s="47">
        <f t="shared" si="292"/>
        <v>2</v>
      </c>
      <c r="BA415" s="47">
        <f t="shared" si="292"/>
        <v>0</v>
      </c>
      <c r="BB415" s="47">
        <f t="shared" si="292"/>
        <v>2</v>
      </c>
      <c r="BC415" s="45">
        <f t="shared" si="292"/>
        <v>6</v>
      </c>
      <c r="BD415" s="40">
        <f t="shared" si="292"/>
        <v>1</v>
      </c>
      <c r="BE415" s="13">
        <f t="shared" si="292"/>
        <v>0</v>
      </c>
      <c r="BF415" s="38">
        <f t="shared" si="292"/>
        <v>0</v>
      </c>
      <c r="BG415" s="15" t="e">
        <f>BF415/BF415</f>
        <v>#DIV/0!</v>
      </c>
      <c r="BH415" s="32"/>
      <c r="BI415" s="40"/>
    </row>
    <row r="416" spans="1:61" ht="21.75" customHeight="1">
      <c r="A416" s="8" t="s">
        <v>64</v>
      </c>
      <c r="B416" s="32" t="s">
        <v>59</v>
      </c>
      <c r="C416" s="32">
        <v>0</v>
      </c>
      <c r="D416" s="32">
        <v>0</v>
      </c>
      <c r="E416" s="32">
        <v>0</v>
      </c>
      <c r="F416" s="32">
        <v>0</v>
      </c>
      <c r="G416" s="32">
        <v>0</v>
      </c>
      <c r="H416" s="32">
        <v>0</v>
      </c>
      <c r="I416" s="32">
        <v>0</v>
      </c>
      <c r="J416" s="32">
        <v>0</v>
      </c>
      <c r="K416" s="23">
        <f>SUM(B416:J416)</f>
        <v>0</v>
      </c>
      <c r="L416" s="35">
        <f>K416/(K415+K416+K417)</f>
        <v>0</v>
      </c>
      <c r="M416" s="35">
        <f>K416/(K418)</f>
        <v>0</v>
      </c>
      <c r="N416" s="37"/>
      <c r="O416" s="35"/>
      <c r="P416" s="13"/>
      <c r="Q416" s="52">
        <v>0</v>
      </c>
      <c r="R416" s="14">
        <v>0</v>
      </c>
      <c r="S416" s="14">
        <v>0</v>
      </c>
      <c r="T416" s="38">
        <f>SUM(Q416:S416)</f>
        <v>0</v>
      </c>
      <c r="U416" s="15">
        <f>T416/T418</f>
        <v>0</v>
      </c>
      <c r="V416" s="13"/>
      <c r="W416" s="52">
        <v>0</v>
      </c>
      <c r="X416" s="52">
        <v>0</v>
      </c>
      <c r="Y416" s="52">
        <v>0</v>
      </c>
      <c r="Z416" s="52">
        <v>0</v>
      </c>
      <c r="AA416" s="52">
        <v>0</v>
      </c>
      <c r="AB416" s="118">
        <v>0</v>
      </c>
      <c r="AC416" s="51">
        <f>SUM(W416:AB416)</f>
        <v>0</v>
      </c>
      <c r="AD416" s="15">
        <f>AC416/AC418</f>
        <v>0</v>
      </c>
      <c r="AE416" s="13"/>
      <c r="AF416" s="52">
        <v>0</v>
      </c>
      <c r="AG416" s="52">
        <v>0</v>
      </c>
      <c r="AH416" s="52">
        <v>0</v>
      </c>
      <c r="AI416" s="52">
        <v>0</v>
      </c>
      <c r="AJ416" s="118">
        <v>0</v>
      </c>
      <c r="AK416" s="118">
        <v>0</v>
      </c>
      <c r="AL416" s="49">
        <f>SUM(AF416:AK416)</f>
        <v>0</v>
      </c>
      <c r="AM416" s="15">
        <f>AL416/AL418</f>
        <v>0</v>
      </c>
      <c r="AN416" s="13"/>
      <c r="AO416" s="52"/>
      <c r="AP416" s="52">
        <v>0</v>
      </c>
      <c r="AQ416" s="52">
        <v>0</v>
      </c>
      <c r="AR416" s="52">
        <v>0</v>
      </c>
      <c r="AS416" s="52">
        <v>0</v>
      </c>
      <c r="AT416" s="118">
        <v>0</v>
      </c>
      <c r="AU416" s="51">
        <f>SUM(AO416:AT416)</f>
        <v>0</v>
      </c>
      <c r="AV416" s="15">
        <f>AU416/AU418</f>
        <v>0</v>
      </c>
      <c r="AW416" s="13"/>
      <c r="AX416" s="52"/>
      <c r="AY416" s="52">
        <v>0</v>
      </c>
      <c r="AZ416" s="52">
        <v>0</v>
      </c>
      <c r="BA416" s="118">
        <v>0</v>
      </c>
      <c r="BB416" s="118">
        <v>0</v>
      </c>
      <c r="BC416" s="51">
        <f>SUM(AX416:BB416)</f>
        <v>0</v>
      </c>
      <c r="BD416" s="15">
        <f>BC416/BC418</f>
        <v>0</v>
      </c>
      <c r="BE416" s="13"/>
      <c r="BF416" s="38"/>
      <c r="BG416" s="42"/>
      <c r="BH416" s="42"/>
      <c r="BI416" s="42"/>
    </row>
    <row r="417" spans="1:61" ht="20.25" customHeight="1">
      <c r="A417" s="8" t="s">
        <v>65</v>
      </c>
      <c r="B417" s="32" t="s">
        <v>59</v>
      </c>
      <c r="C417" s="32">
        <v>0</v>
      </c>
      <c r="D417" s="32">
        <v>0</v>
      </c>
      <c r="E417" s="32">
        <v>0</v>
      </c>
      <c r="F417" s="32">
        <v>0</v>
      </c>
      <c r="G417" s="32">
        <v>0</v>
      </c>
      <c r="H417" s="32">
        <v>0</v>
      </c>
      <c r="I417" s="32">
        <v>0</v>
      </c>
      <c r="J417" s="32">
        <v>0</v>
      </c>
      <c r="K417" s="23">
        <f>SUM(B417:J417)</f>
        <v>0</v>
      </c>
      <c r="L417" s="35">
        <f>K417/(K416+K417+K415)</f>
        <v>0</v>
      </c>
      <c r="M417" s="35">
        <f>K417/(K418)</f>
        <v>0</v>
      </c>
      <c r="N417" s="23"/>
      <c r="O417" s="35"/>
      <c r="P417" s="13"/>
      <c r="Q417" s="14">
        <v>0</v>
      </c>
      <c r="R417" s="14">
        <v>0</v>
      </c>
      <c r="S417" s="14">
        <v>0</v>
      </c>
      <c r="T417" s="38">
        <f>SUM(Q417:S417)</f>
        <v>0</v>
      </c>
      <c r="U417" s="15">
        <f>T417/T418</f>
        <v>0</v>
      </c>
      <c r="V417" s="13"/>
      <c r="W417" s="14">
        <v>0</v>
      </c>
      <c r="X417" s="14">
        <v>0</v>
      </c>
      <c r="Y417" s="14">
        <v>0</v>
      </c>
      <c r="Z417" s="14">
        <v>0</v>
      </c>
      <c r="AA417" s="14">
        <v>0</v>
      </c>
      <c r="AB417" s="32">
        <v>0</v>
      </c>
      <c r="AC417" s="38">
        <f>SUM(W417:AB417)</f>
        <v>0</v>
      </c>
      <c r="AD417" s="15">
        <f>AC417/AC418</f>
        <v>0</v>
      </c>
      <c r="AE417" s="13"/>
      <c r="AF417" s="14">
        <v>0</v>
      </c>
      <c r="AG417" s="47">
        <v>0</v>
      </c>
      <c r="AH417" s="14">
        <v>0</v>
      </c>
      <c r="AI417" s="14">
        <v>0</v>
      </c>
      <c r="AJ417" s="32">
        <v>0</v>
      </c>
      <c r="AK417" s="32">
        <v>0</v>
      </c>
      <c r="AL417" s="14">
        <f>SUM(AF417:AK417)</f>
        <v>0</v>
      </c>
      <c r="AM417" s="15">
        <f>AL417/AL418</f>
        <v>0</v>
      </c>
      <c r="AN417" s="13"/>
      <c r="AO417" s="14"/>
      <c r="AP417" s="14">
        <v>0</v>
      </c>
      <c r="AQ417" s="47">
        <v>0</v>
      </c>
      <c r="AR417" s="14">
        <v>0</v>
      </c>
      <c r="AS417" s="14">
        <v>0</v>
      </c>
      <c r="AT417" s="32">
        <v>0</v>
      </c>
      <c r="AU417" s="38">
        <f>SUM(AO417:AT417)</f>
        <v>0</v>
      </c>
      <c r="AV417" s="15">
        <f>AU417/AU418</f>
        <v>0</v>
      </c>
      <c r="AW417" s="13"/>
      <c r="AX417" s="14"/>
      <c r="AY417" s="14">
        <v>0</v>
      </c>
      <c r="AZ417" s="14">
        <v>0</v>
      </c>
      <c r="BA417" s="32">
        <v>0</v>
      </c>
      <c r="BB417" s="32">
        <v>0</v>
      </c>
      <c r="BC417" s="38">
        <f>SUM(AX417:BB417)</f>
        <v>0</v>
      </c>
      <c r="BD417" s="15">
        <f>BC417/BC418</f>
        <v>0</v>
      </c>
      <c r="BE417" s="13"/>
      <c r="BF417" s="38"/>
      <c r="BG417" s="42"/>
      <c r="BH417" s="42"/>
      <c r="BI417" s="42"/>
    </row>
    <row r="418" spans="1:61" ht="20.25" customHeight="1">
      <c r="A418" s="39" t="s">
        <v>66</v>
      </c>
      <c r="B418" s="32" t="s">
        <v>59</v>
      </c>
      <c r="C418" s="32">
        <f t="shared" ref="C418:J418" si="293">SUM(C415:C417)</f>
        <v>3</v>
      </c>
      <c r="D418" s="32">
        <f t="shared" si="293"/>
        <v>15</v>
      </c>
      <c r="E418" s="32">
        <f t="shared" si="293"/>
        <v>6</v>
      </c>
      <c r="F418" s="32">
        <f t="shared" si="293"/>
        <v>11</v>
      </c>
      <c r="G418" s="32">
        <f t="shared" si="293"/>
        <v>10</v>
      </c>
      <c r="H418" s="32">
        <f t="shared" si="293"/>
        <v>10</v>
      </c>
      <c r="I418" s="32">
        <f t="shared" si="293"/>
        <v>10</v>
      </c>
      <c r="J418" s="32">
        <f t="shared" si="293"/>
        <v>11</v>
      </c>
      <c r="K418" s="23">
        <f>SUM(B418:J418)</f>
        <v>76</v>
      </c>
      <c r="L418" s="35">
        <f>K418/(K417+K416+K415)</f>
        <v>1</v>
      </c>
      <c r="M418" s="35">
        <f>K418/(K415+K416+K417)</f>
        <v>1</v>
      </c>
      <c r="N418" s="37">
        <f>T418+AC418+AL418+AU418</f>
        <v>70</v>
      </c>
      <c r="O418" s="35">
        <f>N418/K418</f>
        <v>0.92105263157894735</v>
      </c>
      <c r="P418" s="13"/>
      <c r="Q418" s="38">
        <f>SUM(Q415:Q417)</f>
        <v>3</v>
      </c>
      <c r="R418" s="38">
        <f>SUM(R415:R417)</f>
        <v>9</v>
      </c>
      <c r="S418" s="38">
        <f>SUM(S415:S417)</f>
        <v>1</v>
      </c>
      <c r="T418" s="38">
        <f>SUM(Q418:S418)</f>
        <v>13</v>
      </c>
      <c r="U418" s="40">
        <f>T418/(T415+T416+T417)</f>
        <v>1</v>
      </c>
      <c r="V418" s="13"/>
      <c r="W418" s="38">
        <f t="shared" ref="W418:AB418" si="294">SUM(W415:W417)</f>
        <v>5</v>
      </c>
      <c r="X418" s="38">
        <f t="shared" si="294"/>
        <v>3</v>
      </c>
      <c r="Y418" s="38">
        <f t="shared" si="294"/>
        <v>8</v>
      </c>
      <c r="Z418" s="38">
        <f t="shared" si="294"/>
        <v>1</v>
      </c>
      <c r="AA418" s="38">
        <f t="shared" si="294"/>
        <v>5</v>
      </c>
      <c r="AB418" s="38">
        <f t="shared" si="294"/>
        <v>1</v>
      </c>
      <c r="AC418" s="38">
        <f>SUM(W418:AB418)</f>
        <v>23</v>
      </c>
      <c r="AD418" s="40">
        <f>AC418/(AC415+AC416+AC417)</f>
        <v>1</v>
      </c>
      <c r="AE418" s="13"/>
      <c r="AF418" s="38">
        <f t="shared" ref="AF418:AK418" si="295">SUM(AF415:AF417)</f>
        <v>5</v>
      </c>
      <c r="AG418" s="104">
        <f t="shared" si="295"/>
        <v>5</v>
      </c>
      <c r="AH418" s="38">
        <f t="shared" si="295"/>
        <v>2</v>
      </c>
      <c r="AI418" s="38">
        <f t="shared" si="295"/>
        <v>1</v>
      </c>
      <c r="AJ418" s="38">
        <f t="shared" si="295"/>
        <v>0</v>
      </c>
      <c r="AK418" s="38">
        <f t="shared" si="295"/>
        <v>8</v>
      </c>
      <c r="AL418" s="38">
        <f>SUM(AF418:AK418)</f>
        <v>21</v>
      </c>
      <c r="AM418" s="41">
        <f>AL418/(AL415+AL416+AL417)</f>
        <v>1</v>
      </c>
      <c r="AN418" s="13"/>
      <c r="AO418" s="38">
        <f t="shared" ref="AO418:AT418" si="296">SUM(AO415:AO417)</f>
        <v>1</v>
      </c>
      <c r="AP418" s="38">
        <f t="shared" si="296"/>
        <v>2</v>
      </c>
      <c r="AQ418" s="104">
        <f t="shared" si="296"/>
        <v>2</v>
      </c>
      <c r="AR418" s="38">
        <f t="shared" si="296"/>
        <v>1</v>
      </c>
      <c r="AS418" s="38">
        <f t="shared" si="296"/>
        <v>5</v>
      </c>
      <c r="AT418" s="38">
        <f t="shared" si="296"/>
        <v>2</v>
      </c>
      <c r="AU418" s="38">
        <f>SUM(AO418:AT418)</f>
        <v>13</v>
      </c>
      <c r="AV418" s="40">
        <f>AU418/(AU415+AU416+AU417)</f>
        <v>1</v>
      </c>
      <c r="AW418" s="13"/>
      <c r="AX418" s="38">
        <f>SUM(AX415:AX417)</f>
        <v>1</v>
      </c>
      <c r="AY418" s="38">
        <f>SUM(AY415:AY417)</f>
        <v>1</v>
      </c>
      <c r="AZ418" s="38">
        <f>SUM(AZ415:AZ417)</f>
        <v>2</v>
      </c>
      <c r="BA418" s="38">
        <f>SUM(BA415:BA417)</f>
        <v>0</v>
      </c>
      <c r="BB418" s="38">
        <f>SUM(BB415:BB417)</f>
        <v>2</v>
      </c>
      <c r="BC418" s="38">
        <f>SUM(AX418:BB418)</f>
        <v>6</v>
      </c>
      <c r="BD418" s="40">
        <f>BC418/(BC415+BC416+BC417)</f>
        <v>1</v>
      </c>
      <c r="BE418" s="13"/>
      <c r="BF418" s="38"/>
      <c r="BG418" s="42"/>
      <c r="BH418" s="42"/>
      <c r="BI418" s="42"/>
    </row>
    <row r="419" spans="1:61" ht="56.25" customHeight="1">
      <c r="A419" s="43" t="s">
        <v>184</v>
      </c>
      <c r="B419" s="181" t="s">
        <v>156</v>
      </c>
      <c r="C419" s="182"/>
      <c r="D419" s="182"/>
      <c r="E419" s="182"/>
      <c r="F419" s="182"/>
      <c r="G419" s="22"/>
      <c r="H419" s="22"/>
      <c r="I419" s="22"/>
      <c r="J419" s="22"/>
      <c r="K419" s="21"/>
      <c r="L419" s="24"/>
      <c r="M419" s="24"/>
      <c r="N419" s="26"/>
      <c r="O419" s="24"/>
      <c r="P419" s="27"/>
      <c r="Q419" s="28"/>
      <c r="R419" s="28"/>
      <c r="S419" s="28"/>
      <c r="T419" s="26"/>
      <c r="U419" s="24"/>
      <c r="V419" s="27"/>
      <c r="W419" s="28"/>
      <c r="X419" s="28"/>
      <c r="Y419" s="28"/>
      <c r="Z419" s="28"/>
      <c r="AA419" s="28"/>
      <c r="AB419" s="28"/>
      <c r="AC419" s="26"/>
      <c r="AD419" s="24"/>
      <c r="AE419" s="27"/>
      <c r="AF419" s="28"/>
      <c r="AG419" s="28"/>
      <c r="AH419" s="28"/>
      <c r="AI419" s="28"/>
      <c r="AJ419" s="28"/>
      <c r="AK419" s="28"/>
      <c r="AL419" s="26"/>
      <c r="AM419" s="29"/>
      <c r="AN419" s="27"/>
      <c r="AO419" s="26"/>
      <c r="AP419" s="26"/>
      <c r="AQ419" s="26"/>
      <c r="AR419" s="26"/>
      <c r="AS419" s="26"/>
      <c r="AT419" s="26"/>
      <c r="AU419" s="26"/>
      <c r="AV419" s="24"/>
      <c r="AW419" s="27"/>
      <c r="AX419" s="26"/>
      <c r="AY419" s="26"/>
      <c r="AZ419" s="26"/>
      <c r="BA419" s="26"/>
      <c r="BB419" s="26"/>
      <c r="BC419" s="26"/>
      <c r="BD419" s="24"/>
      <c r="BE419" s="27"/>
      <c r="BF419" s="26"/>
      <c r="BG419" s="22"/>
      <c r="BH419" s="21"/>
      <c r="BI419" s="22"/>
    </row>
    <row r="420" spans="1:61" ht="32.25" customHeight="1">
      <c r="A420" s="10"/>
      <c r="B420" s="30" t="s">
        <v>0</v>
      </c>
      <c r="C420" s="30" t="s">
        <v>1</v>
      </c>
      <c r="D420" s="30" t="s">
        <v>2</v>
      </c>
      <c r="E420" s="30" t="s">
        <v>3</v>
      </c>
      <c r="F420" s="30" t="s">
        <v>4</v>
      </c>
      <c r="G420" s="30" t="s">
        <v>5</v>
      </c>
      <c r="H420" s="30" t="s">
        <v>68</v>
      </c>
      <c r="I420" s="30" t="s">
        <v>7</v>
      </c>
      <c r="J420" s="30" t="s">
        <v>8</v>
      </c>
      <c r="K420" s="10" t="s">
        <v>9</v>
      </c>
      <c r="L420" s="10" t="s">
        <v>56</v>
      </c>
      <c r="M420" s="20"/>
      <c r="N420" s="12"/>
      <c r="O420" s="20"/>
      <c r="P420" s="27"/>
      <c r="Q420" s="30" t="s">
        <v>15</v>
      </c>
      <c r="R420" s="30" t="s">
        <v>16</v>
      </c>
      <c r="S420" s="30" t="s">
        <v>28</v>
      </c>
      <c r="T420" s="20"/>
      <c r="U420" s="11"/>
      <c r="V420" s="27"/>
      <c r="W420" s="30" t="s">
        <v>15</v>
      </c>
      <c r="X420" s="30" t="s">
        <v>20</v>
      </c>
      <c r="Y420" s="30" t="s">
        <v>21</v>
      </c>
      <c r="Z420" s="30" t="s">
        <v>22</v>
      </c>
      <c r="AA420" s="30" t="s">
        <v>23</v>
      </c>
      <c r="AB420" s="30" t="s">
        <v>24</v>
      </c>
      <c r="AC420" s="20"/>
      <c r="AD420" s="11"/>
      <c r="AE420" s="27"/>
      <c r="AF420" s="30" t="s">
        <v>20</v>
      </c>
      <c r="AG420" s="30" t="s">
        <v>21</v>
      </c>
      <c r="AH420" s="30" t="s">
        <v>22</v>
      </c>
      <c r="AI420" s="30" t="s">
        <v>23</v>
      </c>
      <c r="AJ420" s="30" t="s">
        <v>24</v>
      </c>
      <c r="AK420" s="30" t="s">
        <v>28</v>
      </c>
      <c r="AL420" s="20"/>
      <c r="AM420" s="44"/>
      <c r="AN420" s="27"/>
      <c r="AO420" s="30" t="s">
        <v>15</v>
      </c>
      <c r="AP420" s="30" t="s">
        <v>20</v>
      </c>
      <c r="AQ420" s="30" t="s">
        <v>21</v>
      </c>
      <c r="AR420" s="30" t="s">
        <v>16</v>
      </c>
      <c r="AS420" s="30" t="s">
        <v>22</v>
      </c>
      <c r="AT420" s="30" t="s">
        <v>24</v>
      </c>
      <c r="AU420" s="20"/>
      <c r="AV420" s="11"/>
      <c r="AW420" s="27"/>
      <c r="AX420" s="30" t="s">
        <v>15</v>
      </c>
      <c r="AY420" s="30" t="s">
        <v>20</v>
      </c>
      <c r="AZ420" s="30" t="s">
        <v>22</v>
      </c>
      <c r="BA420" s="30" t="s">
        <v>24</v>
      </c>
      <c r="BB420" s="30" t="s">
        <v>28</v>
      </c>
      <c r="BC420" s="20"/>
      <c r="BD420" s="11"/>
      <c r="BE420" s="27"/>
      <c r="BF420" s="9" t="s">
        <v>38</v>
      </c>
      <c r="BG420" s="9" t="s">
        <v>39</v>
      </c>
      <c r="BH420" s="9" t="s">
        <v>40</v>
      </c>
      <c r="BI420" s="9" t="s">
        <v>41</v>
      </c>
    </row>
    <row r="421" spans="1:61" ht="32.25" customHeight="1">
      <c r="A421" s="10" t="s">
        <v>157</v>
      </c>
      <c r="B421" s="32" t="s">
        <v>59</v>
      </c>
      <c r="C421" s="32">
        <v>0</v>
      </c>
      <c r="D421" s="32">
        <v>1</v>
      </c>
      <c r="E421" s="32">
        <v>0</v>
      </c>
      <c r="F421" s="32">
        <v>0</v>
      </c>
      <c r="G421" s="32" t="s">
        <v>59</v>
      </c>
      <c r="H421" s="32">
        <v>0</v>
      </c>
      <c r="I421" s="32">
        <v>0</v>
      </c>
      <c r="J421" s="33">
        <v>1</v>
      </c>
      <c r="K421" s="23">
        <f>SUM(B421:J421)</f>
        <v>2</v>
      </c>
      <c r="L421" s="35">
        <f>K421/K425</f>
        <v>3.125E-2</v>
      </c>
      <c r="M421" s="35">
        <f>K421/K428</f>
        <v>3.0303030303030304E-2</v>
      </c>
      <c r="N421" s="37"/>
      <c r="O421" s="35"/>
      <c r="P421" s="13"/>
      <c r="Q421" s="33">
        <v>0</v>
      </c>
      <c r="R421" s="33">
        <v>0</v>
      </c>
      <c r="S421" s="33">
        <v>0</v>
      </c>
      <c r="T421" s="14">
        <f>SUM(Q421:S421)</f>
        <v>0</v>
      </c>
      <c r="U421" s="40">
        <f>T421/T425</f>
        <v>0</v>
      </c>
      <c r="V421" s="13"/>
      <c r="W421" s="33">
        <v>0</v>
      </c>
      <c r="X421" s="33">
        <v>0</v>
      </c>
      <c r="Y421" s="33">
        <v>1</v>
      </c>
      <c r="Z421" s="33" t="s">
        <v>82</v>
      </c>
      <c r="AA421" s="33">
        <v>0</v>
      </c>
      <c r="AB421" s="33">
        <v>0</v>
      </c>
      <c r="AC421" s="14">
        <f>SUM(W421:AB421)</f>
        <v>1</v>
      </c>
      <c r="AD421" s="40">
        <f>AC421/AC425</f>
        <v>4.7619047619047616E-2</v>
      </c>
      <c r="AE421" s="13"/>
      <c r="AF421" s="33">
        <v>0</v>
      </c>
      <c r="AG421" s="33">
        <v>0</v>
      </c>
      <c r="AH421" s="33" t="s">
        <v>82</v>
      </c>
      <c r="AI421" s="33">
        <v>0</v>
      </c>
      <c r="AJ421" s="32">
        <v>0</v>
      </c>
      <c r="AK421" s="32">
        <v>1</v>
      </c>
      <c r="AL421" s="14">
        <f>SUM(AF421:AK421)</f>
        <v>1</v>
      </c>
      <c r="AM421" s="40">
        <f>AL421/AL425</f>
        <v>5.2631578947368418E-2</v>
      </c>
      <c r="AN421" s="13"/>
      <c r="AO421" s="33">
        <v>0</v>
      </c>
      <c r="AP421" s="33">
        <v>0</v>
      </c>
      <c r="AQ421" s="33">
        <v>0</v>
      </c>
      <c r="AR421" s="33">
        <v>0</v>
      </c>
      <c r="AS421" s="33" t="s">
        <v>82</v>
      </c>
      <c r="AT421" s="33">
        <v>0</v>
      </c>
      <c r="AU421" s="14">
        <f>SUM(AO421:AT421)</f>
        <v>0</v>
      </c>
      <c r="AV421" s="40">
        <f>AU421/AU425</f>
        <v>0</v>
      </c>
      <c r="AW421" s="13"/>
      <c r="AX421" s="33">
        <v>0</v>
      </c>
      <c r="AY421" s="33">
        <v>0</v>
      </c>
      <c r="AZ421" s="33" t="s">
        <v>82</v>
      </c>
      <c r="BA421" s="33">
        <v>0</v>
      </c>
      <c r="BB421" s="33">
        <v>0</v>
      </c>
      <c r="BC421" s="14">
        <f>SUM(AX421:BB421)</f>
        <v>0</v>
      </c>
      <c r="BD421" s="40">
        <f>BC421/BC425</f>
        <v>0</v>
      </c>
      <c r="BE421" s="13"/>
      <c r="BF421" s="14"/>
      <c r="BG421" s="15" t="e">
        <f>BF421/BF425</f>
        <v>#DIV/0!</v>
      </c>
      <c r="BH421" s="16"/>
      <c r="BI421" s="15"/>
    </row>
    <row r="422" spans="1:61" ht="32.25" customHeight="1">
      <c r="A422" s="10" t="s">
        <v>158</v>
      </c>
      <c r="B422" s="32" t="s">
        <v>59</v>
      </c>
      <c r="C422" s="32">
        <v>0</v>
      </c>
      <c r="D422" s="32">
        <v>1</v>
      </c>
      <c r="E422" s="32">
        <v>0</v>
      </c>
      <c r="F422" s="32">
        <v>2</v>
      </c>
      <c r="G422" s="32" t="s">
        <v>59</v>
      </c>
      <c r="H422" s="32">
        <v>7</v>
      </c>
      <c r="I422" s="32">
        <v>5</v>
      </c>
      <c r="J422" s="33">
        <v>1</v>
      </c>
      <c r="K422" s="23">
        <f>SUM(B422:J422)</f>
        <v>16</v>
      </c>
      <c r="L422" s="35">
        <f>K422/K425</f>
        <v>0.25</v>
      </c>
      <c r="M422" s="35">
        <f>K422/K428</f>
        <v>0.24242424242424243</v>
      </c>
      <c r="N422" s="37"/>
      <c r="O422" s="35"/>
      <c r="P422" s="13"/>
      <c r="Q422" s="33">
        <v>2</v>
      </c>
      <c r="R422" s="33">
        <v>6</v>
      </c>
      <c r="S422" s="33">
        <v>1</v>
      </c>
      <c r="T422" s="14">
        <f>SUM(Q422:S422)</f>
        <v>9</v>
      </c>
      <c r="U422" s="40">
        <f>T422/T425</f>
        <v>0.69230769230769229</v>
      </c>
      <c r="V422" s="13"/>
      <c r="W422" s="33">
        <v>2</v>
      </c>
      <c r="X422" s="33">
        <v>1</v>
      </c>
      <c r="Y422" s="33">
        <v>1</v>
      </c>
      <c r="Z422" s="33" t="s">
        <v>82</v>
      </c>
      <c r="AA422" s="33">
        <v>0</v>
      </c>
      <c r="AB422" s="33">
        <v>0</v>
      </c>
      <c r="AC422" s="14">
        <f>SUM(W422:AB422)</f>
        <v>4</v>
      </c>
      <c r="AD422" s="40">
        <f>AC422/AC425</f>
        <v>0.19047619047619047</v>
      </c>
      <c r="AE422" s="13"/>
      <c r="AF422" s="33">
        <v>1</v>
      </c>
      <c r="AG422" s="33">
        <v>0</v>
      </c>
      <c r="AH422" s="33" t="s">
        <v>82</v>
      </c>
      <c r="AI422" s="33">
        <v>0</v>
      </c>
      <c r="AJ422" s="32">
        <v>0</v>
      </c>
      <c r="AK422" s="32">
        <v>0</v>
      </c>
      <c r="AL422" s="14">
        <f>SUM(AF422:AK422)</f>
        <v>1</v>
      </c>
      <c r="AM422" s="40">
        <f>AL422/AL425</f>
        <v>5.2631578947368418E-2</v>
      </c>
      <c r="AN422" s="13"/>
      <c r="AO422" s="33">
        <v>1</v>
      </c>
      <c r="AP422" s="33">
        <v>0</v>
      </c>
      <c r="AQ422" s="33">
        <v>0</v>
      </c>
      <c r="AR422" s="33">
        <v>1</v>
      </c>
      <c r="AS422" s="33" t="s">
        <v>82</v>
      </c>
      <c r="AT422" s="33">
        <v>0</v>
      </c>
      <c r="AU422" s="14">
        <f>SUM(AO422:AT422)</f>
        <v>2</v>
      </c>
      <c r="AV422" s="40">
        <f>AU422/AU425</f>
        <v>0.25</v>
      </c>
      <c r="AW422" s="13"/>
      <c r="AX422" s="33">
        <v>0</v>
      </c>
      <c r="AY422" s="33">
        <v>0</v>
      </c>
      <c r="AZ422" s="33" t="s">
        <v>82</v>
      </c>
      <c r="BA422" s="33">
        <v>0</v>
      </c>
      <c r="BB422" s="33">
        <v>0</v>
      </c>
      <c r="BC422" s="14">
        <f>SUM(AX422:BB422)</f>
        <v>0</v>
      </c>
      <c r="BD422" s="40">
        <f>BC422/BC425</f>
        <v>0</v>
      </c>
      <c r="BE422" s="13"/>
      <c r="BF422" s="14"/>
      <c r="BG422" s="15" t="e">
        <f>BF422/BF425</f>
        <v>#DIV/0!</v>
      </c>
      <c r="BH422" s="16"/>
      <c r="BI422" s="15"/>
    </row>
    <row r="423" spans="1:61" ht="32.25" customHeight="1">
      <c r="A423" s="10" t="s">
        <v>159</v>
      </c>
      <c r="B423" s="32" t="s">
        <v>59</v>
      </c>
      <c r="C423" s="32">
        <v>0</v>
      </c>
      <c r="D423" s="32">
        <v>1</v>
      </c>
      <c r="E423" s="32">
        <v>1</v>
      </c>
      <c r="F423" s="32">
        <v>0</v>
      </c>
      <c r="G423" s="32" t="s">
        <v>59</v>
      </c>
      <c r="H423" s="32">
        <v>0</v>
      </c>
      <c r="I423" s="32">
        <v>1</v>
      </c>
      <c r="J423" s="33">
        <v>2</v>
      </c>
      <c r="K423" s="23">
        <f>SUM(B423:J423)</f>
        <v>5</v>
      </c>
      <c r="L423" s="35">
        <f>K423/K425</f>
        <v>7.8125E-2</v>
      </c>
      <c r="M423" s="35">
        <f>K423/K428</f>
        <v>7.575757575757576E-2</v>
      </c>
      <c r="N423" s="37"/>
      <c r="O423" s="35"/>
      <c r="P423" s="13"/>
      <c r="Q423" s="33">
        <v>0</v>
      </c>
      <c r="R423" s="33">
        <v>0</v>
      </c>
      <c r="S423" s="33">
        <v>0</v>
      </c>
      <c r="T423" s="14">
        <f>SUM(Q423:S423)</f>
        <v>0</v>
      </c>
      <c r="U423" s="40">
        <f>T423/T425</f>
        <v>0</v>
      </c>
      <c r="V423" s="13"/>
      <c r="W423" s="33">
        <v>1</v>
      </c>
      <c r="X423" s="33">
        <v>0</v>
      </c>
      <c r="Y423" s="33">
        <v>1</v>
      </c>
      <c r="Z423" s="33" t="s">
        <v>82</v>
      </c>
      <c r="AA423" s="33">
        <v>1</v>
      </c>
      <c r="AB423" s="33">
        <v>0</v>
      </c>
      <c r="AC423" s="14">
        <f>SUM(W423:AB423)</f>
        <v>3</v>
      </c>
      <c r="AD423" s="40">
        <f>AC423/AC425</f>
        <v>0.14285714285714285</v>
      </c>
      <c r="AE423" s="13"/>
      <c r="AF423" s="33">
        <v>0</v>
      </c>
      <c r="AG423" s="33">
        <v>0</v>
      </c>
      <c r="AH423" s="33" t="s">
        <v>82</v>
      </c>
      <c r="AI423" s="33">
        <v>0</v>
      </c>
      <c r="AJ423" s="32">
        <v>0</v>
      </c>
      <c r="AK423" s="32">
        <v>2</v>
      </c>
      <c r="AL423" s="14">
        <f>SUM(AF423:AK423)</f>
        <v>2</v>
      </c>
      <c r="AM423" s="40">
        <f>AL423/AL425</f>
        <v>0.10526315789473684</v>
      </c>
      <c r="AN423" s="13"/>
      <c r="AO423" s="33">
        <v>0</v>
      </c>
      <c r="AP423" s="33">
        <v>0</v>
      </c>
      <c r="AQ423" s="33">
        <v>0</v>
      </c>
      <c r="AR423" s="33">
        <v>0</v>
      </c>
      <c r="AS423" s="33" t="s">
        <v>82</v>
      </c>
      <c r="AT423" s="33">
        <v>0</v>
      </c>
      <c r="AU423" s="14">
        <f>SUM(AO423:AT423)</f>
        <v>0</v>
      </c>
      <c r="AV423" s="40">
        <f>AU423/AU425</f>
        <v>0</v>
      </c>
      <c r="AW423" s="13"/>
      <c r="AX423" s="33">
        <v>0</v>
      </c>
      <c r="AY423" s="33">
        <v>0</v>
      </c>
      <c r="AZ423" s="33" t="s">
        <v>82</v>
      </c>
      <c r="BA423" s="33">
        <v>0</v>
      </c>
      <c r="BB423" s="33">
        <v>2</v>
      </c>
      <c r="BC423" s="14">
        <f>SUM(AX423:BB423)</f>
        <v>2</v>
      </c>
      <c r="BD423" s="40">
        <f>BC423/BC425</f>
        <v>0.66666666666666663</v>
      </c>
      <c r="BE423" s="13"/>
      <c r="BF423" s="14"/>
      <c r="BG423" s="15" t="e">
        <f>BF423/BF425</f>
        <v>#DIV/0!</v>
      </c>
      <c r="BH423" s="16"/>
      <c r="BI423" s="15"/>
    </row>
    <row r="424" spans="1:61" ht="32.25" customHeight="1">
      <c r="A424" s="115" t="s">
        <v>160</v>
      </c>
      <c r="B424" s="32" t="s">
        <v>59</v>
      </c>
      <c r="C424" s="32">
        <v>3</v>
      </c>
      <c r="D424" s="32">
        <v>12</v>
      </c>
      <c r="E424" s="32">
        <v>4</v>
      </c>
      <c r="F424" s="32">
        <v>8</v>
      </c>
      <c r="G424" s="32" t="s">
        <v>59</v>
      </c>
      <c r="H424" s="32">
        <v>3</v>
      </c>
      <c r="I424" s="32">
        <v>4</v>
      </c>
      <c r="J424" s="33">
        <v>7</v>
      </c>
      <c r="K424" s="23">
        <f>SUM(B424:J424)</f>
        <v>41</v>
      </c>
      <c r="L424" s="35">
        <f>K424/K425</f>
        <v>0.640625</v>
      </c>
      <c r="M424" s="35">
        <f>K424/K428</f>
        <v>0.62121212121212122</v>
      </c>
      <c r="N424" s="37"/>
      <c r="O424" s="35"/>
      <c r="P424" s="13"/>
      <c r="Q424" s="33">
        <v>1</v>
      </c>
      <c r="R424" s="33">
        <v>3</v>
      </c>
      <c r="S424" s="33">
        <v>0</v>
      </c>
      <c r="T424" s="14">
        <f>SUM(Q424:S424)</f>
        <v>4</v>
      </c>
      <c r="U424" s="40">
        <f>T424/T425</f>
        <v>0.30769230769230771</v>
      </c>
      <c r="V424" s="13"/>
      <c r="W424" s="33">
        <v>2</v>
      </c>
      <c r="X424" s="33">
        <v>2</v>
      </c>
      <c r="Y424" s="33">
        <v>5</v>
      </c>
      <c r="Z424" s="33" t="s">
        <v>82</v>
      </c>
      <c r="AA424" s="33">
        <v>3</v>
      </c>
      <c r="AB424" s="33">
        <v>1</v>
      </c>
      <c r="AC424" s="14">
        <f>SUM(W424:AB424)</f>
        <v>13</v>
      </c>
      <c r="AD424" s="40">
        <f>AC424/AC425</f>
        <v>0.61904761904761907</v>
      </c>
      <c r="AE424" s="13"/>
      <c r="AF424" s="33">
        <v>4</v>
      </c>
      <c r="AG424" s="33">
        <v>5</v>
      </c>
      <c r="AH424" s="33" t="s">
        <v>82</v>
      </c>
      <c r="AI424" s="33">
        <v>1</v>
      </c>
      <c r="AJ424" s="32">
        <v>0</v>
      </c>
      <c r="AK424" s="32">
        <v>5</v>
      </c>
      <c r="AL424" s="14">
        <f>SUM(AF424:AK424)</f>
        <v>15</v>
      </c>
      <c r="AM424" s="40">
        <f>AL424/AL425</f>
        <v>0.78947368421052633</v>
      </c>
      <c r="AN424" s="13"/>
      <c r="AO424" s="33">
        <v>0</v>
      </c>
      <c r="AP424" s="33">
        <v>2</v>
      </c>
      <c r="AQ424" s="33">
        <v>2</v>
      </c>
      <c r="AR424" s="33">
        <v>0</v>
      </c>
      <c r="AS424" s="33" t="s">
        <v>82</v>
      </c>
      <c r="AT424" s="33">
        <v>2</v>
      </c>
      <c r="AU424" s="14">
        <f>SUM(AO424:AT424)</f>
        <v>6</v>
      </c>
      <c r="AV424" s="40">
        <f>AU424/AU425</f>
        <v>0.75</v>
      </c>
      <c r="AW424" s="13"/>
      <c r="AX424" s="33">
        <v>1</v>
      </c>
      <c r="AY424" s="33">
        <v>0</v>
      </c>
      <c r="AZ424" s="33" t="s">
        <v>82</v>
      </c>
      <c r="BA424" s="33">
        <v>0</v>
      </c>
      <c r="BB424" s="33">
        <v>0</v>
      </c>
      <c r="BC424" s="14">
        <f>SUM(AX424:BB424)</f>
        <v>1</v>
      </c>
      <c r="BD424" s="40">
        <f>BC424/BC425</f>
        <v>0.33333333333333331</v>
      </c>
      <c r="BE424" s="13"/>
      <c r="BF424" s="14"/>
      <c r="BG424" s="15" t="e">
        <f>BF424/BF425</f>
        <v>#DIV/0!</v>
      </c>
      <c r="BH424" s="16"/>
      <c r="BI424" s="15"/>
    </row>
    <row r="425" spans="1:61" ht="21.75" customHeight="1">
      <c r="A425" s="10" t="s">
        <v>9</v>
      </c>
      <c r="B425" s="32" t="s">
        <v>59</v>
      </c>
      <c r="C425" s="32">
        <f>SUM(C419:C424)</f>
        <v>3</v>
      </c>
      <c r="D425" s="32">
        <f>SUM(D419:D424)</f>
        <v>15</v>
      </c>
      <c r="E425" s="32">
        <f>SUM(E419:E424)</f>
        <v>5</v>
      </c>
      <c r="F425" s="32">
        <f>SUM(F419:F424)</f>
        <v>10</v>
      </c>
      <c r="G425" s="32" t="s">
        <v>59</v>
      </c>
      <c r="H425" s="32">
        <f>SUM(H419:H424)</f>
        <v>10</v>
      </c>
      <c r="I425" s="32">
        <f>SUM(I419:I424)</f>
        <v>10</v>
      </c>
      <c r="J425" s="32">
        <f>SUM(J419:J424)</f>
        <v>11</v>
      </c>
      <c r="K425" s="23">
        <f>SUM(K419:K424)</f>
        <v>64</v>
      </c>
      <c r="L425" s="35">
        <f>SUM(L419:L424)</f>
        <v>1</v>
      </c>
      <c r="M425" s="35">
        <f>K425/K428</f>
        <v>0.96969696969696972</v>
      </c>
      <c r="N425" s="37">
        <f>T425+AC425+AL425+AU425</f>
        <v>61</v>
      </c>
      <c r="O425" s="35">
        <f>N425/K425</f>
        <v>0.953125</v>
      </c>
      <c r="P425" s="13">
        <f t="shared" ref="P425:Y425" si="297">SUM(P419:P424)</f>
        <v>0</v>
      </c>
      <c r="Q425" s="47">
        <f t="shared" si="297"/>
        <v>3</v>
      </c>
      <c r="R425" s="14">
        <f t="shared" si="297"/>
        <v>9</v>
      </c>
      <c r="S425" s="14">
        <f t="shared" si="297"/>
        <v>1</v>
      </c>
      <c r="T425" s="14">
        <f t="shared" si="297"/>
        <v>13</v>
      </c>
      <c r="U425" s="40">
        <f t="shared" si="297"/>
        <v>1</v>
      </c>
      <c r="V425" s="13">
        <f t="shared" si="297"/>
        <v>0</v>
      </c>
      <c r="W425" s="47">
        <f t="shared" si="297"/>
        <v>5</v>
      </c>
      <c r="X425" s="47">
        <f t="shared" si="297"/>
        <v>3</v>
      </c>
      <c r="Y425" s="47">
        <f t="shared" si="297"/>
        <v>8</v>
      </c>
      <c r="Z425" s="112" t="s">
        <v>82</v>
      </c>
      <c r="AA425" s="47">
        <f t="shared" ref="AA425:AG425" si="298">SUM(AA419:AA424)</f>
        <v>4</v>
      </c>
      <c r="AB425" s="47">
        <f t="shared" si="298"/>
        <v>1</v>
      </c>
      <c r="AC425" s="45">
        <f t="shared" si="298"/>
        <v>21</v>
      </c>
      <c r="AD425" s="40">
        <f t="shared" si="298"/>
        <v>1</v>
      </c>
      <c r="AE425" s="13">
        <f t="shared" si="298"/>
        <v>0</v>
      </c>
      <c r="AF425" s="47">
        <f t="shared" si="298"/>
        <v>5</v>
      </c>
      <c r="AG425" s="47">
        <f t="shared" si="298"/>
        <v>5</v>
      </c>
      <c r="AH425" s="112" t="s">
        <v>82</v>
      </c>
      <c r="AI425" s="47">
        <f t="shared" ref="AI425:AR425" si="299">SUM(AI419:AI424)</f>
        <v>1</v>
      </c>
      <c r="AJ425" s="47">
        <f t="shared" si="299"/>
        <v>0</v>
      </c>
      <c r="AK425" s="47">
        <f t="shared" si="299"/>
        <v>8</v>
      </c>
      <c r="AL425" s="45">
        <f t="shared" si="299"/>
        <v>19</v>
      </c>
      <c r="AM425" s="40">
        <f t="shared" si="299"/>
        <v>1</v>
      </c>
      <c r="AN425" s="13">
        <f t="shared" si="299"/>
        <v>0</v>
      </c>
      <c r="AO425" s="47">
        <f t="shared" si="299"/>
        <v>1</v>
      </c>
      <c r="AP425" s="47">
        <f t="shared" si="299"/>
        <v>2</v>
      </c>
      <c r="AQ425" s="47">
        <f t="shared" si="299"/>
        <v>2</v>
      </c>
      <c r="AR425" s="47">
        <f t="shared" si="299"/>
        <v>1</v>
      </c>
      <c r="AS425" s="112" t="s">
        <v>82</v>
      </c>
      <c r="AT425" s="47">
        <f t="shared" ref="AT425:AY425" si="300">SUM(AT419:AT424)</f>
        <v>2</v>
      </c>
      <c r="AU425" s="45">
        <f t="shared" si="300"/>
        <v>8</v>
      </c>
      <c r="AV425" s="40">
        <f t="shared" si="300"/>
        <v>1</v>
      </c>
      <c r="AW425" s="13">
        <f t="shared" si="300"/>
        <v>0</v>
      </c>
      <c r="AX425" s="47">
        <f t="shared" si="300"/>
        <v>1</v>
      </c>
      <c r="AY425" s="47">
        <f t="shared" si="300"/>
        <v>0</v>
      </c>
      <c r="AZ425" s="112" t="s">
        <v>82</v>
      </c>
      <c r="BA425" s="47">
        <f>SUM(BA419:BA424)</f>
        <v>0</v>
      </c>
      <c r="BB425" s="47">
        <f>SUM(BB419:BB424)</f>
        <v>2</v>
      </c>
      <c r="BC425" s="45">
        <f>SUM(BC419:BC424)</f>
        <v>3</v>
      </c>
      <c r="BD425" s="40">
        <f>SUM(BD419:BD424)</f>
        <v>1</v>
      </c>
      <c r="BE425" s="13">
        <f>SUM(BE419:BE424)</f>
        <v>0</v>
      </c>
      <c r="BF425" s="14">
        <f>SUM(BF421:BF424)</f>
        <v>0</v>
      </c>
      <c r="BG425" s="15" t="e">
        <f>SUM(BG421:BG424)</f>
        <v>#DIV/0!</v>
      </c>
      <c r="BH425" s="16"/>
      <c r="BI425" s="15"/>
    </row>
    <row r="426" spans="1:61" ht="21.75" customHeight="1">
      <c r="A426" s="8" t="s">
        <v>64</v>
      </c>
      <c r="B426" s="32" t="s">
        <v>59</v>
      </c>
      <c r="C426" s="32">
        <v>0</v>
      </c>
      <c r="D426" s="32">
        <v>0</v>
      </c>
      <c r="E426" s="32">
        <v>1</v>
      </c>
      <c r="F426" s="32">
        <v>1</v>
      </c>
      <c r="G426" s="32" t="s">
        <v>59</v>
      </c>
      <c r="H426" s="32">
        <v>0</v>
      </c>
      <c r="I426" s="32">
        <v>0</v>
      </c>
      <c r="J426" s="32">
        <v>0</v>
      </c>
      <c r="K426" s="23">
        <f>SUM(B426:J426)</f>
        <v>2</v>
      </c>
      <c r="L426" s="35">
        <f>K426/(K425+K426+K427)</f>
        <v>3.0303030303030304E-2</v>
      </c>
      <c r="M426" s="35">
        <f>K426/(K428)</f>
        <v>3.0303030303030304E-2</v>
      </c>
      <c r="N426" s="37"/>
      <c r="O426" s="35"/>
      <c r="P426" s="13"/>
      <c r="Q426" s="52">
        <v>0</v>
      </c>
      <c r="R426" s="14">
        <v>0</v>
      </c>
      <c r="S426" s="14">
        <v>0</v>
      </c>
      <c r="T426" s="38">
        <f>SUM(Q426:S426)</f>
        <v>0</v>
      </c>
      <c r="U426" s="15">
        <f>T426/T428</f>
        <v>0</v>
      </c>
      <c r="V426" s="13"/>
      <c r="W426" s="52">
        <v>0</v>
      </c>
      <c r="X426" s="52">
        <v>0</v>
      </c>
      <c r="Y426" s="52">
        <v>0</v>
      </c>
      <c r="Z426" s="114" t="s">
        <v>82</v>
      </c>
      <c r="AA426" s="52">
        <v>1</v>
      </c>
      <c r="AB426" s="118">
        <v>0</v>
      </c>
      <c r="AC426" s="51">
        <f>SUM(W426:AB426)</f>
        <v>1</v>
      </c>
      <c r="AD426" s="15">
        <f>AC426/AC428</f>
        <v>4.5454545454545456E-2</v>
      </c>
      <c r="AE426" s="13"/>
      <c r="AF426" s="52">
        <v>0</v>
      </c>
      <c r="AG426" s="52">
        <v>0</v>
      </c>
      <c r="AH426" s="114" t="s">
        <v>82</v>
      </c>
      <c r="AI426" s="52">
        <v>0</v>
      </c>
      <c r="AJ426" s="118">
        <v>0</v>
      </c>
      <c r="AK426" s="118">
        <v>0</v>
      </c>
      <c r="AL426" s="49">
        <f>SUM(AF426:AK426)</f>
        <v>0</v>
      </c>
      <c r="AM426" s="15">
        <f>AL426/AL428</f>
        <v>0</v>
      </c>
      <c r="AN426" s="13"/>
      <c r="AO426" s="52">
        <v>0</v>
      </c>
      <c r="AP426" s="52">
        <v>0</v>
      </c>
      <c r="AQ426" s="52">
        <v>0</v>
      </c>
      <c r="AR426" s="52">
        <v>0</v>
      </c>
      <c r="AS426" s="114" t="s">
        <v>82</v>
      </c>
      <c r="AT426" s="118">
        <v>0</v>
      </c>
      <c r="AU426" s="51">
        <f>SUM(AO426:AT426)</f>
        <v>0</v>
      </c>
      <c r="AV426" s="15">
        <f>AU426/AU428</f>
        <v>0</v>
      </c>
      <c r="AW426" s="13"/>
      <c r="AX426" s="52">
        <v>0</v>
      </c>
      <c r="AY426" s="52">
        <v>1</v>
      </c>
      <c r="AZ426" s="114" t="s">
        <v>82</v>
      </c>
      <c r="BA426" s="118">
        <v>0</v>
      </c>
      <c r="BB426" s="118">
        <v>0</v>
      </c>
      <c r="BC426" s="51">
        <f>SUM(AX426:BB426)</f>
        <v>1</v>
      </c>
      <c r="BD426" s="15">
        <f>BC426/BC428</f>
        <v>0.25</v>
      </c>
      <c r="BE426" s="13"/>
      <c r="BF426" s="38"/>
      <c r="BG426" s="42"/>
      <c r="BH426" s="42"/>
      <c r="BI426" s="42"/>
    </row>
    <row r="427" spans="1:61" ht="20.25" customHeight="1">
      <c r="A427" s="8" t="s">
        <v>65</v>
      </c>
      <c r="B427" s="32" t="s">
        <v>59</v>
      </c>
      <c r="C427" s="32">
        <v>0</v>
      </c>
      <c r="D427" s="32">
        <v>0</v>
      </c>
      <c r="E427" s="32">
        <v>0</v>
      </c>
      <c r="F427" s="32">
        <v>0</v>
      </c>
      <c r="G427" s="32" t="s">
        <v>59</v>
      </c>
      <c r="H427" s="32">
        <v>0</v>
      </c>
      <c r="I427" s="32">
        <v>0</v>
      </c>
      <c r="J427" s="32">
        <v>0</v>
      </c>
      <c r="K427" s="23">
        <f>SUM(B427:J427)</f>
        <v>0</v>
      </c>
      <c r="L427" s="35">
        <f>K427/(K426+K427+K425)</f>
        <v>0</v>
      </c>
      <c r="M427" s="35">
        <f>K427/(K428)</f>
        <v>0</v>
      </c>
      <c r="N427" s="23"/>
      <c r="O427" s="35"/>
      <c r="P427" s="13"/>
      <c r="Q427" s="14">
        <v>0</v>
      </c>
      <c r="R427" s="14">
        <v>0</v>
      </c>
      <c r="S427" s="14">
        <v>0</v>
      </c>
      <c r="T427" s="38">
        <f>SUM(Q427:S427)</f>
        <v>0</v>
      </c>
      <c r="U427" s="15">
        <f>T427/T428</f>
        <v>0</v>
      </c>
      <c r="V427" s="13"/>
      <c r="W427" s="14">
        <v>0</v>
      </c>
      <c r="X427" s="14">
        <v>0</v>
      </c>
      <c r="Y427" s="47">
        <v>0</v>
      </c>
      <c r="Z427" s="33" t="s">
        <v>82</v>
      </c>
      <c r="AA427" s="14">
        <v>0</v>
      </c>
      <c r="AB427" s="32">
        <v>0</v>
      </c>
      <c r="AC427" s="38">
        <f>SUM(W427:AB427)</f>
        <v>0</v>
      </c>
      <c r="AD427" s="15">
        <f>AC427/AC428</f>
        <v>0</v>
      </c>
      <c r="AE427" s="13"/>
      <c r="AF427" s="14">
        <v>0</v>
      </c>
      <c r="AG427" s="47">
        <v>0</v>
      </c>
      <c r="AH427" s="33" t="s">
        <v>82</v>
      </c>
      <c r="AI427" s="14">
        <v>0</v>
      </c>
      <c r="AJ427" s="32">
        <v>0</v>
      </c>
      <c r="AK427" s="32">
        <v>0</v>
      </c>
      <c r="AL427" s="14">
        <f>SUM(AF427:AK427)</f>
        <v>0</v>
      </c>
      <c r="AM427" s="15">
        <f>AL427/AL428</f>
        <v>0</v>
      </c>
      <c r="AN427" s="13"/>
      <c r="AO427" s="14">
        <v>0</v>
      </c>
      <c r="AP427" s="14">
        <v>0</v>
      </c>
      <c r="AQ427" s="47">
        <v>0</v>
      </c>
      <c r="AR427" s="14">
        <v>0</v>
      </c>
      <c r="AS427" s="33" t="s">
        <v>82</v>
      </c>
      <c r="AT427" s="32">
        <v>0</v>
      </c>
      <c r="AU427" s="38">
        <f>SUM(AO427:AT427)</f>
        <v>0</v>
      </c>
      <c r="AV427" s="15">
        <f>AU427/AU428</f>
        <v>0</v>
      </c>
      <c r="AW427" s="13"/>
      <c r="AX427" s="14">
        <v>0</v>
      </c>
      <c r="AY427" s="14">
        <v>0</v>
      </c>
      <c r="AZ427" s="33" t="s">
        <v>82</v>
      </c>
      <c r="BA427" s="32">
        <v>0</v>
      </c>
      <c r="BB427" s="32">
        <v>0</v>
      </c>
      <c r="BC427" s="38">
        <f>SUM(AX427:BB427)</f>
        <v>0</v>
      </c>
      <c r="BD427" s="15">
        <f>BC427/BC428</f>
        <v>0</v>
      </c>
      <c r="BE427" s="13"/>
      <c r="BF427" s="38"/>
      <c r="BG427" s="42"/>
      <c r="BH427" s="42"/>
      <c r="BI427" s="42"/>
    </row>
    <row r="428" spans="1:61" ht="20.25" customHeight="1">
      <c r="A428" s="39" t="s">
        <v>66</v>
      </c>
      <c r="B428" s="32" t="s">
        <v>59</v>
      </c>
      <c r="C428" s="32">
        <f>SUM(C425:C427)</f>
        <v>3</v>
      </c>
      <c r="D428" s="32">
        <f>SUM(D425:D427)</f>
        <v>15</v>
      </c>
      <c r="E428" s="32">
        <f>SUM(E425:E427)</f>
        <v>6</v>
      </c>
      <c r="F428" s="32">
        <f>SUM(F425:F427)</f>
        <v>11</v>
      </c>
      <c r="G428" s="32" t="s">
        <v>59</v>
      </c>
      <c r="H428" s="32">
        <f>SUM(H425:H427)</f>
        <v>10</v>
      </c>
      <c r="I428" s="32">
        <f>SUM(I425:I427)</f>
        <v>10</v>
      </c>
      <c r="J428" s="32">
        <f>SUM(J425:J427)</f>
        <v>11</v>
      </c>
      <c r="K428" s="23">
        <f>SUM(B428:J428)</f>
        <v>66</v>
      </c>
      <c r="L428" s="35">
        <f>K428/(K427+K426+K425)</f>
        <v>1</v>
      </c>
      <c r="M428" s="35">
        <f>K428/(K425+K426+K427)</f>
        <v>1</v>
      </c>
      <c r="N428" s="37">
        <f>T428+AC428+AL428+AU428</f>
        <v>62</v>
      </c>
      <c r="O428" s="35">
        <f>N428/K428</f>
        <v>0.93939393939393945</v>
      </c>
      <c r="P428" s="13"/>
      <c r="Q428" s="38">
        <f>SUM(Q425:Q427)</f>
        <v>3</v>
      </c>
      <c r="R428" s="38">
        <f>SUM(R425:R427)</f>
        <v>9</v>
      </c>
      <c r="S428" s="38">
        <f>SUM(S425:S427)</f>
        <v>1</v>
      </c>
      <c r="T428" s="38">
        <f>SUM(Q428:S428)</f>
        <v>13</v>
      </c>
      <c r="U428" s="40">
        <f>T428/(T425+T426+T427)</f>
        <v>1</v>
      </c>
      <c r="V428" s="13"/>
      <c r="W428" s="38">
        <f>SUM(W425:W427)</f>
        <v>5</v>
      </c>
      <c r="X428" s="38">
        <f>SUM(X425:X427)</f>
        <v>3</v>
      </c>
      <c r="Y428" s="104">
        <f>SUM(Y425:Y427)</f>
        <v>8</v>
      </c>
      <c r="Z428" s="33" t="s">
        <v>82</v>
      </c>
      <c r="AA428" s="38">
        <f>SUM(AA425:AA427)</f>
        <v>5</v>
      </c>
      <c r="AB428" s="38">
        <f>SUM(AB425:AB427)</f>
        <v>1</v>
      </c>
      <c r="AC428" s="38">
        <f>SUM(W428:AB428)</f>
        <v>22</v>
      </c>
      <c r="AD428" s="40">
        <f>AC428/(AC425+AC426+AC427)</f>
        <v>1</v>
      </c>
      <c r="AE428" s="13"/>
      <c r="AF428" s="38">
        <f>SUM(AF425:AF427)</f>
        <v>5</v>
      </c>
      <c r="AG428" s="104">
        <f>SUM(AG425:AG427)</f>
        <v>5</v>
      </c>
      <c r="AH428" s="33" t="s">
        <v>82</v>
      </c>
      <c r="AI428" s="38">
        <f>SUM(AI425:AI427)</f>
        <v>1</v>
      </c>
      <c r="AJ428" s="38">
        <f>SUM(AJ425:AJ427)</f>
        <v>0</v>
      </c>
      <c r="AK428" s="38">
        <f>SUM(AK425:AK427)</f>
        <v>8</v>
      </c>
      <c r="AL428" s="38">
        <f>SUM(AF428:AK428)</f>
        <v>19</v>
      </c>
      <c r="AM428" s="41">
        <f>AL428/(AL425+AL426+AL427)</f>
        <v>1</v>
      </c>
      <c r="AN428" s="13"/>
      <c r="AO428" s="38">
        <f>SUM(AO425:AO427)</f>
        <v>1</v>
      </c>
      <c r="AP428" s="38">
        <f>SUM(AP425:AP427)</f>
        <v>2</v>
      </c>
      <c r="AQ428" s="104">
        <f>SUM(AQ425:AQ427)</f>
        <v>2</v>
      </c>
      <c r="AR428" s="38">
        <f>SUM(AR425:AR427)</f>
        <v>1</v>
      </c>
      <c r="AS428" s="33" t="s">
        <v>82</v>
      </c>
      <c r="AT428" s="38">
        <f>SUM(AT425:AT427)</f>
        <v>2</v>
      </c>
      <c r="AU428" s="38">
        <f>SUM(AO428:AT428)</f>
        <v>8</v>
      </c>
      <c r="AV428" s="40">
        <f>AU428/(AU425+AU426+AU427)</f>
        <v>1</v>
      </c>
      <c r="AW428" s="13"/>
      <c r="AX428" s="38">
        <f>SUM(AX425:AX427)</f>
        <v>1</v>
      </c>
      <c r="AY428" s="38">
        <f>SUM(AY425:AY427)</f>
        <v>1</v>
      </c>
      <c r="AZ428" s="33" t="s">
        <v>82</v>
      </c>
      <c r="BA428" s="38">
        <f>SUM(BA425:BA427)</f>
        <v>0</v>
      </c>
      <c r="BB428" s="38">
        <f>SUM(BB425:BB427)</f>
        <v>2</v>
      </c>
      <c r="BC428" s="38">
        <f>SUM(AX428:BB428)</f>
        <v>4</v>
      </c>
      <c r="BD428" s="40">
        <f>BC428/(BC425+BC426+BC427)</f>
        <v>1</v>
      </c>
      <c r="BE428" s="13"/>
      <c r="BF428" s="38"/>
      <c r="BG428" s="42"/>
      <c r="BH428" s="42"/>
      <c r="BI428" s="42"/>
    </row>
    <row r="429" spans="1:61" ht="68.25" customHeight="1">
      <c r="A429" s="53" t="s">
        <v>185</v>
      </c>
      <c r="B429" s="181" t="s">
        <v>156</v>
      </c>
      <c r="C429" s="182"/>
      <c r="D429" s="182"/>
      <c r="E429" s="182"/>
      <c r="F429" s="182"/>
      <c r="G429" s="22"/>
      <c r="H429" s="22"/>
      <c r="I429" s="22"/>
      <c r="J429" s="22"/>
      <c r="K429" s="21"/>
      <c r="L429" s="24"/>
      <c r="M429" s="24"/>
      <c r="N429" s="26"/>
      <c r="O429" s="24"/>
      <c r="P429" s="27"/>
      <c r="Q429" s="28"/>
      <c r="R429" s="28"/>
      <c r="S429" s="28"/>
      <c r="T429" s="26"/>
      <c r="U429" s="24"/>
      <c r="V429" s="27"/>
      <c r="W429" s="28"/>
      <c r="X429" s="28"/>
      <c r="Y429" s="28"/>
      <c r="Z429" s="28"/>
      <c r="AA429" s="28"/>
      <c r="AB429" s="28"/>
      <c r="AC429" s="26"/>
      <c r="AD429" s="24"/>
      <c r="AE429" s="27"/>
      <c r="AF429" s="28"/>
      <c r="AG429" s="28"/>
      <c r="AH429" s="28"/>
      <c r="AI429" s="28"/>
      <c r="AJ429" s="28"/>
      <c r="AK429" s="28"/>
      <c r="AL429" s="26"/>
      <c r="AM429" s="29"/>
      <c r="AN429" s="27"/>
      <c r="AO429" s="26"/>
      <c r="AP429" s="26"/>
      <c r="AQ429" s="26"/>
      <c r="AR429" s="26"/>
      <c r="AS429" s="26"/>
      <c r="AT429" s="26"/>
      <c r="AU429" s="26"/>
      <c r="AV429" s="24"/>
      <c r="AW429" s="27"/>
      <c r="AX429" s="26"/>
      <c r="AY429" s="26"/>
      <c r="AZ429" s="26"/>
      <c r="BA429" s="26"/>
      <c r="BB429" s="26"/>
      <c r="BC429" s="26"/>
      <c r="BD429" s="24"/>
      <c r="BE429" s="27"/>
      <c r="BF429" s="26"/>
      <c r="BG429" s="22"/>
      <c r="BH429" s="21"/>
      <c r="BI429" s="22"/>
    </row>
    <row r="430" spans="1:61" ht="32.25" customHeight="1">
      <c r="A430" s="10"/>
      <c r="B430" s="30" t="s">
        <v>0</v>
      </c>
      <c r="C430" s="30" t="s">
        <v>1</v>
      </c>
      <c r="D430" s="30" t="s">
        <v>2</v>
      </c>
      <c r="E430" s="30" t="s">
        <v>3</v>
      </c>
      <c r="F430" s="30" t="s">
        <v>4</v>
      </c>
      <c r="G430" s="30" t="s">
        <v>5</v>
      </c>
      <c r="H430" s="30" t="s">
        <v>68</v>
      </c>
      <c r="I430" s="30" t="s">
        <v>7</v>
      </c>
      <c r="J430" s="30" t="s">
        <v>8</v>
      </c>
      <c r="K430" s="10" t="s">
        <v>9</v>
      </c>
      <c r="L430" s="10" t="s">
        <v>56</v>
      </c>
      <c r="M430" s="20"/>
      <c r="N430" s="37"/>
      <c r="O430" s="35"/>
      <c r="P430" s="13"/>
      <c r="Q430" s="38"/>
      <c r="R430" s="38"/>
      <c r="S430" s="38"/>
      <c r="T430" s="110"/>
      <c r="U430" s="40"/>
      <c r="V430" s="13"/>
      <c r="W430" s="30" t="s">
        <v>15</v>
      </c>
      <c r="X430" s="30" t="s">
        <v>20</v>
      </c>
      <c r="Y430" s="30" t="s">
        <v>21</v>
      </c>
      <c r="Z430" s="30" t="s">
        <v>22</v>
      </c>
      <c r="AA430" s="30" t="s">
        <v>23</v>
      </c>
      <c r="AB430" s="30" t="s">
        <v>24</v>
      </c>
      <c r="AC430" s="110"/>
      <c r="AD430" s="40"/>
      <c r="AE430" s="13"/>
      <c r="AF430" s="30" t="s">
        <v>20</v>
      </c>
      <c r="AG430" s="30" t="s">
        <v>21</v>
      </c>
      <c r="AH430" s="30" t="s">
        <v>22</v>
      </c>
      <c r="AI430" s="30" t="s">
        <v>23</v>
      </c>
      <c r="AJ430" s="30" t="s">
        <v>24</v>
      </c>
      <c r="AK430" s="54"/>
      <c r="AL430" s="110"/>
      <c r="AM430" s="41"/>
      <c r="AN430" s="13"/>
      <c r="AO430" s="30" t="s">
        <v>15</v>
      </c>
      <c r="AP430" s="30" t="s">
        <v>20</v>
      </c>
      <c r="AQ430" s="30" t="s">
        <v>21</v>
      </c>
      <c r="AR430" s="30" t="s">
        <v>16</v>
      </c>
      <c r="AS430" s="30" t="s">
        <v>22</v>
      </c>
      <c r="AT430" s="30" t="s">
        <v>24</v>
      </c>
      <c r="AU430" s="110"/>
      <c r="AV430" s="40"/>
      <c r="AW430" s="13"/>
      <c r="AX430" s="30" t="s">
        <v>15</v>
      </c>
      <c r="AY430" s="30" t="s">
        <v>20</v>
      </c>
      <c r="AZ430" s="30" t="s">
        <v>22</v>
      </c>
      <c r="BA430" s="30" t="s">
        <v>24</v>
      </c>
      <c r="BB430" s="54"/>
      <c r="BC430" s="110"/>
      <c r="BD430" s="40"/>
      <c r="BE430" s="13"/>
      <c r="BF430" s="38"/>
      <c r="BG430" s="42"/>
      <c r="BH430" s="42"/>
      <c r="BI430" s="42"/>
    </row>
    <row r="431" spans="1:61" ht="32.25" customHeight="1">
      <c r="A431" s="10" t="s">
        <v>157</v>
      </c>
      <c r="B431" s="32">
        <v>0</v>
      </c>
      <c r="C431" s="32" t="s">
        <v>59</v>
      </c>
      <c r="D431" s="32" t="s">
        <v>59</v>
      </c>
      <c r="E431" s="32" t="s">
        <v>59</v>
      </c>
      <c r="F431" s="32" t="s">
        <v>59</v>
      </c>
      <c r="G431" s="32">
        <v>0</v>
      </c>
      <c r="H431" s="32" t="s">
        <v>59</v>
      </c>
      <c r="I431" s="32" t="s">
        <v>59</v>
      </c>
      <c r="J431" s="32" t="s">
        <v>59</v>
      </c>
      <c r="K431" s="23">
        <f t="shared" ref="K431:K437" si="301">SUM(B431:J431)</f>
        <v>0</v>
      </c>
      <c r="L431" s="35">
        <f>K431/K434</f>
        <v>0</v>
      </c>
      <c r="M431" s="35">
        <f>K431/K437</f>
        <v>0</v>
      </c>
      <c r="N431" s="37"/>
      <c r="O431" s="35"/>
      <c r="P431" s="13"/>
      <c r="Q431" s="9" t="s">
        <v>82</v>
      </c>
      <c r="R431" s="9" t="s">
        <v>82</v>
      </c>
      <c r="S431" s="16"/>
      <c r="T431" s="14">
        <f>SUM(Q431:S431)</f>
        <v>0</v>
      </c>
      <c r="U431" s="40"/>
      <c r="V431" s="13"/>
      <c r="W431" s="9" t="s">
        <v>82</v>
      </c>
      <c r="X431" s="9" t="s">
        <v>82</v>
      </c>
      <c r="Y431" s="9" t="s">
        <v>82</v>
      </c>
      <c r="Z431" s="14">
        <v>0</v>
      </c>
      <c r="AA431" s="9" t="s">
        <v>82</v>
      </c>
      <c r="AB431" s="9" t="s">
        <v>82</v>
      </c>
      <c r="AC431" s="14">
        <f>SUM(W431:AB431)</f>
        <v>0</v>
      </c>
      <c r="AD431" s="40"/>
      <c r="AE431" s="13"/>
      <c r="AF431" s="9" t="s">
        <v>82</v>
      </c>
      <c r="AG431" s="9" t="s">
        <v>82</v>
      </c>
      <c r="AH431" s="14">
        <v>0</v>
      </c>
      <c r="AI431" s="9" t="s">
        <v>82</v>
      </c>
      <c r="AJ431" s="9" t="s">
        <v>82</v>
      </c>
      <c r="AK431" s="16"/>
      <c r="AL431" s="14">
        <f>SUM(AF431:AK431)</f>
        <v>0</v>
      </c>
      <c r="AM431" s="41"/>
      <c r="AN431" s="13"/>
      <c r="AO431" s="9" t="s">
        <v>82</v>
      </c>
      <c r="AP431" s="9" t="s">
        <v>82</v>
      </c>
      <c r="AQ431" s="9" t="s">
        <v>82</v>
      </c>
      <c r="AR431" s="9" t="s">
        <v>82</v>
      </c>
      <c r="AS431" s="14">
        <v>0</v>
      </c>
      <c r="AT431" s="9" t="s">
        <v>82</v>
      </c>
      <c r="AU431" s="14">
        <f>SUM(AO431:AT431)</f>
        <v>0</v>
      </c>
      <c r="AV431" s="40"/>
      <c r="AW431" s="13"/>
      <c r="AX431" s="9" t="s">
        <v>82</v>
      </c>
      <c r="AY431" s="9" t="s">
        <v>82</v>
      </c>
      <c r="AZ431" s="14">
        <v>0</v>
      </c>
      <c r="BA431" s="9" t="s">
        <v>82</v>
      </c>
      <c r="BB431" s="16"/>
      <c r="BC431" s="14">
        <f>SUM(AX431:BB431)</f>
        <v>0</v>
      </c>
      <c r="BD431" s="40"/>
      <c r="BE431" s="13"/>
      <c r="BF431" s="38"/>
      <c r="BG431" s="42"/>
      <c r="BH431" s="42"/>
      <c r="BI431" s="42"/>
    </row>
    <row r="432" spans="1:61" ht="20.25" customHeight="1">
      <c r="A432" s="10" t="s">
        <v>162</v>
      </c>
      <c r="B432" s="32">
        <v>12</v>
      </c>
      <c r="C432" s="32" t="s">
        <v>59</v>
      </c>
      <c r="D432" s="32" t="s">
        <v>59</v>
      </c>
      <c r="E432" s="32" t="s">
        <v>59</v>
      </c>
      <c r="F432" s="32" t="s">
        <v>59</v>
      </c>
      <c r="G432" s="32">
        <v>8</v>
      </c>
      <c r="H432" s="32" t="s">
        <v>59</v>
      </c>
      <c r="I432" s="32" t="s">
        <v>59</v>
      </c>
      <c r="J432" s="32" t="s">
        <v>59</v>
      </c>
      <c r="K432" s="23">
        <f t="shared" si="301"/>
        <v>20</v>
      </c>
      <c r="L432" s="35">
        <f>K432/K434</f>
        <v>0.83333333333333337</v>
      </c>
      <c r="M432" s="35">
        <f>K432/K437</f>
        <v>0.76923076923076927</v>
      </c>
      <c r="N432" s="37"/>
      <c r="O432" s="35"/>
      <c r="P432" s="13"/>
      <c r="Q432" s="9" t="s">
        <v>82</v>
      </c>
      <c r="R432" s="9" t="s">
        <v>82</v>
      </c>
      <c r="S432" s="16"/>
      <c r="T432" s="14">
        <f>SUM(Q432:S432)</f>
        <v>0</v>
      </c>
      <c r="U432" s="40"/>
      <c r="V432" s="13"/>
      <c r="W432" s="9" t="s">
        <v>82</v>
      </c>
      <c r="X432" s="9" t="s">
        <v>82</v>
      </c>
      <c r="Y432" s="9" t="s">
        <v>82</v>
      </c>
      <c r="Z432" s="14">
        <v>0</v>
      </c>
      <c r="AA432" s="9" t="s">
        <v>82</v>
      </c>
      <c r="AB432" s="9" t="s">
        <v>82</v>
      </c>
      <c r="AC432" s="14">
        <f>SUM(W432:AB432)</f>
        <v>0</v>
      </c>
      <c r="AD432" s="40"/>
      <c r="AE432" s="13"/>
      <c r="AF432" s="9" t="s">
        <v>82</v>
      </c>
      <c r="AG432" s="9" t="s">
        <v>82</v>
      </c>
      <c r="AH432" s="14">
        <v>2</v>
      </c>
      <c r="AI432" s="9" t="s">
        <v>82</v>
      </c>
      <c r="AJ432" s="9" t="s">
        <v>82</v>
      </c>
      <c r="AK432" s="16"/>
      <c r="AL432" s="14">
        <f>SUM(AF432:AK432)</f>
        <v>2</v>
      </c>
      <c r="AM432" s="41"/>
      <c r="AN432" s="13"/>
      <c r="AO432" s="9" t="s">
        <v>82</v>
      </c>
      <c r="AP432" s="9" t="s">
        <v>82</v>
      </c>
      <c r="AQ432" s="9" t="s">
        <v>82</v>
      </c>
      <c r="AR432" s="9" t="s">
        <v>82</v>
      </c>
      <c r="AS432" s="14">
        <v>4</v>
      </c>
      <c r="AT432" s="9" t="s">
        <v>82</v>
      </c>
      <c r="AU432" s="14">
        <f>SUM(AO432:AT432)</f>
        <v>4</v>
      </c>
      <c r="AV432" s="40"/>
      <c r="AW432" s="13"/>
      <c r="AX432" s="9" t="s">
        <v>82</v>
      </c>
      <c r="AY432" s="9" t="s">
        <v>82</v>
      </c>
      <c r="AZ432" s="14">
        <v>2</v>
      </c>
      <c r="BA432" s="9" t="s">
        <v>82</v>
      </c>
      <c r="BB432" s="16"/>
      <c r="BC432" s="14">
        <f>SUM(AX432:BB432)</f>
        <v>2</v>
      </c>
      <c r="BD432" s="40"/>
      <c r="BE432" s="13"/>
      <c r="BF432" s="38"/>
      <c r="BG432" s="42"/>
      <c r="BH432" s="42"/>
      <c r="BI432" s="42"/>
    </row>
    <row r="433" spans="1:61" ht="32.25" customHeight="1">
      <c r="A433" s="10" t="s">
        <v>163</v>
      </c>
      <c r="B433" s="32">
        <v>2</v>
      </c>
      <c r="C433" s="32" t="s">
        <v>59</v>
      </c>
      <c r="D433" s="32" t="s">
        <v>59</v>
      </c>
      <c r="E433" s="32" t="s">
        <v>59</v>
      </c>
      <c r="F433" s="32" t="s">
        <v>59</v>
      </c>
      <c r="G433" s="32">
        <v>2</v>
      </c>
      <c r="H433" s="32" t="s">
        <v>59</v>
      </c>
      <c r="I433" s="32" t="s">
        <v>59</v>
      </c>
      <c r="J433" s="32" t="s">
        <v>59</v>
      </c>
      <c r="K433" s="23">
        <f t="shared" si="301"/>
        <v>4</v>
      </c>
      <c r="L433" s="35">
        <f>K433/K434</f>
        <v>0.16666666666666666</v>
      </c>
      <c r="M433" s="35">
        <f>K433/K437</f>
        <v>0.15384615384615385</v>
      </c>
      <c r="N433" s="37"/>
      <c r="O433" s="35"/>
      <c r="P433" s="13"/>
      <c r="Q433" s="9" t="s">
        <v>82</v>
      </c>
      <c r="R433" s="9" t="s">
        <v>82</v>
      </c>
      <c r="S433" s="16"/>
      <c r="T433" s="14">
        <f>SUM(Q433:S433)</f>
        <v>0</v>
      </c>
      <c r="U433" s="40"/>
      <c r="V433" s="13"/>
      <c r="W433" s="9" t="s">
        <v>82</v>
      </c>
      <c r="X433" s="9" t="s">
        <v>82</v>
      </c>
      <c r="Y433" s="9" t="s">
        <v>82</v>
      </c>
      <c r="Z433" s="14">
        <v>1</v>
      </c>
      <c r="AA433" s="9" t="s">
        <v>82</v>
      </c>
      <c r="AB433" s="9" t="s">
        <v>82</v>
      </c>
      <c r="AC433" s="14">
        <f>SUM(W433:AB433)</f>
        <v>1</v>
      </c>
      <c r="AD433" s="40"/>
      <c r="AE433" s="13"/>
      <c r="AF433" s="9" t="s">
        <v>82</v>
      </c>
      <c r="AG433" s="9" t="s">
        <v>82</v>
      </c>
      <c r="AH433" s="14">
        <v>0</v>
      </c>
      <c r="AI433" s="9" t="s">
        <v>82</v>
      </c>
      <c r="AJ433" s="9" t="s">
        <v>82</v>
      </c>
      <c r="AK433" s="16"/>
      <c r="AL433" s="14">
        <f>SUM(AF433:AK433)</f>
        <v>0</v>
      </c>
      <c r="AM433" s="41"/>
      <c r="AN433" s="13"/>
      <c r="AO433" s="9" t="s">
        <v>82</v>
      </c>
      <c r="AP433" s="9" t="s">
        <v>82</v>
      </c>
      <c r="AQ433" s="9" t="s">
        <v>82</v>
      </c>
      <c r="AR433" s="9" t="s">
        <v>82</v>
      </c>
      <c r="AS433" s="14">
        <v>1</v>
      </c>
      <c r="AT433" s="9" t="s">
        <v>82</v>
      </c>
      <c r="AU433" s="14">
        <f>SUM(AO433:AT433)</f>
        <v>1</v>
      </c>
      <c r="AV433" s="40"/>
      <c r="AW433" s="13"/>
      <c r="AX433" s="9" t="s">
        <v>82</v>
      </c>
      <c r="AY433" s="9" t="s">
        <v>82</v>
      </c>
      <c r="AZ433" s="14">
        <v>0</v>
      </c>
      <c r="BA433" s="9" t="s">
        <v>82</v>
      </c>
      <c r="BB433" s="16"/>
      <c r="BC433" s="14">
        <f>SUM(AX433:BB433)</f>
        <v>0</v>
      </c>
      <c r="BD433" s="40"/>
      <c r="BE433" s="13"/>
      <c r="BF433" s="38"/>
      <c r="BG433" s="42"/>
      <c r="BH433" s="42"/>
      <c r="BI433" s="42"/>
    </row>
    <row r="434" spans="1:61" ht="21.75" customHeight="1">
      <c r="A434" s="10" t="s">
        <v>9</v>
      </c>
      <c r="B434" s="32">
        <f t="shared" ref="B434:J434" si="302">SUM(B431:B433)</f>
        <v>14</v>
      </c>
      <c r="C434" s="32">
        <f t="shared" si="302"/>
        <v>0</v>
      </c>
      <c r="D434" s="32">
        <f t="shared" si="302"/>
        <v>0</v>
      </c>
      <c r="E434" s="32">
        <f t="shared" si="302"/>
        <v>0</v>
      </c>
      <c r="F434" s="32">
        <f t="shared" si="302"/>
        <v>0</v>
      </c>
      <c r="G434" s="32">
        <f t="shared" si="302"/>
        <v>10</v>
      </c>
      <c r="H434" s="32">
        <f t="shared" si="302"/>
        <v>0</v>
      </c>
      <c r="I434" s="32">
        <f t="shared" si="302"/>
        <v>0</v>
      </c>
      <c r="J434" s="32">
        <f t="shared" si="302"/>
        <v>0</v>
      </c>
      <c r="K434" s="23">
        <f t="shared" si="301"/>
        <v>24</v>
      </c>
      <c r="L434" s="35">
        <f>SUM(L431:L433)</f>
        <v>1</v>
      </c>
      <c r="M434" s="35">
        <f>K434/K437</f>
        <v>0.92307692307692313</v>
      </c>
      <c r="N434" s="37">
        <f>T434+AC434+AL434+AU434</f>
        <v>21</v>
      </c>
      <c r="O434" s="35">
        <f>N434/K434</f>
        <v>0.875</v>
      </c>
      <c r="P434" s="13"/>
      <c r="Q434" s="45">
        <f>SUM(Q431:Q433)</f>
        <v>0</v>
      </c>
      <c r="R434" s="46">
        <f>SUM(R431:R433)</f>
        <v>0</v>
      </c>
      <c r="S434" s="46">
        <f>SUM(S431:S433)</f>
        <v>0</v>
      </c>
      <c r="T434" s="14">
        <f>SUM(T426:T433)</f>
        <v>13</v>
      </c>
      <c r="U434" s="40"/>
      <c r="V434" s="13"/>
      <c r="W434" s="45">
        <f>SUM(W431:W433)</f>
        <v>0</v>
      </c>
      <c r="X434" s="45">
        <f>SUM(X431:X433)</f>
        <v>0</v>
      </c>
      <c r="Y434" s="45">
        <f>SUM(Y431:Y433)</f>
        <v>0</v>
      </c>
      <c r="Z434" s="45">
        <f>SUM(Z431:Z433)</f>
        <v>1</v>
      </c>
      <c r="AA434" s="45">
        <f>SUM(AA431:AA433)</f>
        <v>0</v>
      </c>
      <c r="AB434" s="45">
        <f>SUM(AA431:AB433)</f>
        <v>0</v>
      </c>
      <c r="AC434" s="45">
        <f>SUM(AC431:AC433)</f>
        <v>1</v>
      </c>
      <c r="AD434" s="40"/>
      <c r="AE434" s="13"/>
      <c r="AF434" s="45">
        <f t="shared" ref="AF434:AL434" si="303">SUM(AF431:AF433)</f>
        <v>0</v>
      </c>
      <c r="AG434" s="45">
        <f t="shared" si="303"/>
        <v>0</v>
      </c>
      <c r="AH434" s="45">
        <f t="shared" si="303"/>
        <v>2</v>
      </c>
      <c r="AI434" s="45">
        <f t="shared" si="303"/>
        <v>0</v>
      </c>
      <c r="AJ434" s="45">
        <f t="shared" si="303"/>
        <v>0</v>
      </c>
      <c r="AK434" s="45">
        <f t="shared" si="303"/>
        <v>0</v>
      </c>
      <c r="AL434" s="45">
        <f t="shared" si="303"/>
        <v>2</v>
      </c>
      <c r="AM434" s="41"/>
      <c r="AN434" s="13"/>
      <c r="AO434" s="45">
        <f t="shared" ref="AO434:AU434" si="304">SUM(AO431:AO433)</f>
        <v>0</v>
      </c>
      <c r="AP434" s="45">
        <f t="shared" si="304"/>
        <v>0</v>
      </c>
      <c r="AQ434" s="45">
        <f t="shared" si="304"/>
        <v>0</v>
      </c>
      <c r="AR434" s="45">
        <f t="shared" si="304"/>
        <v>0</v>
      </c>
      <c r="AS434" s="45">
        <f t="shared" si="304"/>
        <v>5</v>
      </c>
      <c r="AT434" s="45">
        <f t="shared" si="304"/>
        <v>0</v>
      </c>
      <c r="AU434" s="45">
        <f t="shared" si="304"/>
        <v>5</v>
      </c>
      <c r="AV434" s="40"/>
      <c r="AW434" s="13"/>
      <c r="AX434" s="45">
        <f t="shared" ref="AX434:BC434" si="305">SUM(AX431:AX433)</f>
        <v>0</v>
      </c>
      <c r="AY434" s="45">
        <f t="shared" si="305"/>
        <v>0</v>
      </c>
      <c r="AZ434" s="45">
        <f t="shared" si="305"/>
        <v>2</v>
      </c>
      <c r="BA434" s="45">
        <f t="shared" si="305"/>
        <v>0</v>
      </c>
      <c r="BB434" s="45">
        <f t="shared" si="305"/>
        <v>0</v>
      </c>
      <c r="BC434" s="45">
        <f t="shared" si="305"/>
        <v>2</v>
      </c>
      <c r="BD434" s="40"/>
      <c r="BE434" s="13"/>
      <c r="BF434" s="38"/>
      <c r="BG434" s="42"/>
      <c r="BH434" s="42"/>
      <c r="BI434" s="42"/>
    </row>
    <row r="435" spans="1:61" ht="21.75" customHeight="1">
      <c r="A435" s="8" t="s">
        <v>64</v>
      </c>
      <c r="B435" s="32">
        <v>2</v>
      </c>
      <c r="C435" s="32" t="s">
        <v>59</v>
      </c>
      <c r="D435" s="32" t="s">
        <v>59</v>
      </c>
      <c r="E435" s="32" t="s">
        <v>59</v>
      </c>
      <c r="F435" s="32" t="s">
        <v>59</v>
      </c>
      <c r="G435" s="32">
        <v>0</v>
      </c>
      <c r="H435" s="32" t="s">
        <v>59</v>
      </c>
      <c r="I435" s="32" t="s">
        <v>59</v>
      </c>
      <c r="J435" s="32" t="s">
        <v>59</v>
      </c>
      <c r="K435" s="23">
        <f t="shared" si="301"/>
        <v>2</v>
      </c>
      <c r="L435" s="35">
        <f>K435/(K434+K435+K436)</f>
        <v>7.6923076923076927E-2</v>
      </c>
      <c r="M435" s="35">
        <f>K435/(K437)</f>
        <v>7.6923076923076927E-2</v>
      </c>
      <c r="N435" s="37"/>
      <c r="O435" s="35"/>
      <c r="P435" s="13"/>
      <c r="Q435" s="49"/>
      <c r="R435" s="50"/>
      <c r="S435" s="50"/>
      <c r="T435" s="38">
        <f>SUM(Q435:S435)</f>
        <v>0</v>
      </c>
      <c r="U435" s="15" t="e">
        <f>T435/T437</f>
        <v>#DIV/0!</v>
      </c>
      <c r="V435" s="13"/>
      <c r="W435" s="49"/>
      <c r="X435" s="58" t="s">
        <v>82</v>
      </c>
      <c r="Y435" s="49"/>
      <c r="Z435" s="49">
        <v>0</v>
      </c>
      <c r="AA435" s="49"/>
      <c r="AB435" s="49">
        <v>0</v>
      </c>
      <c r="AC435" s="51">
        <f>SUM(W435:AB435)</f>
        <v>0</v>
      </c>
      <c r="AD435" s="15">
        <f>AC435/AC437</f>
        <v>0</v>
      </c>
      <c r="AE435" s="13"/>
      <c r="AF435" s="58" t="s">
        <v>82</v>
      </c>
      <c r="AG435" s="49"/>
      <c r="AH435" s="49">
        <v>0</v>
      </c>
      <c r="AI435" s="49"/>
      <c r="AJ435" s="49"/>
      <c r="AK435" s="49"/>
      <c r="AL435" s="49">
        <f>SUM(AF435:AK435)</f>
        <v>0</v>
      </c>
      <c r="AM435" s="15">
        <f>AL435/AL437</f>
        <v>0</v>
      </c>
      <c r="AN435" s="13"/>
      <c r="AO435" s="49"/>
      <c r="AP435" s="58" t="s">
        <v>82</v>
      </c>
      <c r="AQ435" s="49"/>
      <c r="AR435" s="49"/>
      <c r="AS435" s="49">
        <v>0</v>
      </c>
      <c r="AT435" s="49">
        <v>0</v>
      </c>
      <c r="AU435" s="51">
        <f>SUM(AO435:AT435)</f>
        <v>0</v>
      </c>
      <c r="AV435" s="15">
        <f>AU435/AU437</f>
        <v>0</v>
      </c>
      <c r="AW435" s="13"/>
      <c r="AX435" s="49"/>
      <c r="AY435" s="58" t="s">
        <v>82</v>
      </c>
      <c r="AZ435" s="49">
        <v>0</v>
      </c>
      <c r="BA435" s="49"/>
      <c r="BB435" s="49"/>
      <c r="BC435" s="51">
        <f>SUM(AX435:BB435)</f>
        <v>0</v>
      </c>
      <c r="BD435" s="15">
        <f>BC435/BC437</f>
        <v>0</v>
      </c>
      <c r="BE435" s="13"/>
      <c r="BF435" s="38"/>
      <c r="BG435" s="42"/>
      <c r="BH435" s="42"/>
      <c r="BI435" s="42"/>
    </row>
    <row r="436" spans="1:61" ht="20.25" customHeight="1">
      <c r="A436" s="8" t="s">
        <v>65</v>
      </c>
      <c r="B436" s="32">
        <v>0</v>
      </c>
      <c r="C436" s="32" t="s">
        <v>59</v>
      </c>
      <c r="D436" s="32" t="s">
        <v>59</v>
      </c>
      <c r="E436" s="32" t="s">
        <v>59</v>
      </c>
      <c r="F436" s="32" t="s">
        <v>59</v>
      </c>
      <c r="G436" s="32">
        <v>0</v>
      </c>
      <c r="H436" s="32" t="s">
        <v>59</v>
      </c>
      <c r="I436" s="32" t="s">
        <v>59</v>
      </c>
      <c r="J436" s="32" t="s">
        <v>59</v>
      </c>
      <c r="K436" s="23">
        <f t="shared" si="301"/>
        <v>0</v>
      </c>
      <c r="L436" s="35">
        <f>K436/(K435+K436+K434)</f>
        <v>0</v>
      </c>
      <c r="M436" s="35">
        <f>K436/(K437)</f>
        <v>0</v>
      </c>
      <c r="N436" s="23"/>
      <c r="O436" s="35"/>
      <c r="P436" s="13"/>
      <c r="Q436" s="14"/>
      <c r="R436" s="14"/>
      <c r="S436" s="14"/>
      <c r="T436" s="38">
        <f>SUM(Q436:S436)</f>
        <v>0</v>
      </c>
      <c r="U436" s="15" t="e">
        <f>T436/T437</f>
        <v>#DIV/0!</v>
      </c>
      <c r="V436" s="13"/>
      <c r="W436" s="14"/>
      <c r="X436" s="9" t="s">
        <v>82</v>
      </c>
      <c r="Y436" s="14"/>
      <c r="Z436" s="14">
        <v>0</v>
      </c>
      <c r="AA436" s="14"/>
      <c r="AB436" s="47">
        <v>0</v>
      </c>
      <c r="AC436" s="38">
        <f>SUM(W436:AB436)</f>
        <v>0</v>
      </c>
      <c r="AD436" s="15">
        <f>AC436/AC437</f>
        <v>0</v>
      </c>
      <c r="AE436" s="13"/>
      <c r="AF436" s="9" t="s">
        <v>82</v>
      </c>
      <c r="AG436" s="14"/>
      <c r="AH436" s="14">
        <v>0</v>
      </c>
      <c r="AI436" s="14"/>
      <c r="AJ436" s="14"/>
      <c r="AK436" s="14"/>
      <c r="AL436" s="14">
        <f>SUM(AF436:AK436)</f>
        <v>0</v>
      </c>
      <c r="AM436" s="15">
        <f>AL436/AL437</f>
        <v>0</v>
      </c>
      <c r="AN436" s="13"/>
      <c r="AO436" s="14"/>
      <c r="AP436" s="9" t="s">
        <v>82</v>
      </c>
      <c r="AQ436" s="14"/>
      <c r="AR436" s="14"/>
      <c r="AS436" s="14">
        <v>0</v>
      </c>
      <c r="AT436" s="47">
        <v>0</v>
      </c>
      <c r="AU436" s="38">
        <f>SUM(AO436:AT436)</f>
        <v>0</v>
      </c>
      <c r="AV436" s="15">
        <f>AU436/AU437</f>
        <v>0</v>
      </c>
      <c r="AW436" s="13"/>
      <c r="AX436" s="14"/>
      <c r="AY436" s="9" t="s">
        <v>82</v>
      </c>
      <c r="AZ436" s="14">
        <v>0</v>
      </c>
      <c r="BA436" s="14"/>
      <c r="BB436" s="14"/>
      <c r="BC436" s="38">
        <f>SUM(AX436:BB436)</f>
        <v>0</v>
      </c>
      <c r="BD436" s="15">
        <f>BC436/BC437</f>
        <v>0</v>
      </c>
      <c r="BE436" s="13"/>
      <c r="BF436" s="38"/>
      <c r="BG436" s="42"/>
      <c r="BH436" s="42"/>
      <c r="BI436" s="42"/>
    </row>
    <row r="437" spans="1:61" ht="20.25" customHeight="1">
      <c r="A437" s="39" t="s">
        <v>66</v>
      </c>
      <c r="B437" s="32">
        <f t="shared" ref="B437:J437" si="306">SUM(B434:B436)</f>
        <v>16</v>
      </c>
      <c r="C437" s="32">
        <f t="shared" si="306"/>
        <v>0</v>
      </c>
      <c r="D437" s="32">
        <f t="shared" si="306"/>
        <v>0</v>
      </c>
      <c r="E437" s="32">
        <f t="shared" si="306"/>
        <v>0</v>
      </c>
      <c r="F437" s="32">
        <f t="shared" si="306"/>
        <v>0</v>
      </c>
      <c r="G437" s="32">
        <f t="shared" si="306"/>
        <v>10</v>
      </c>
      <c r="H437" s="32">
        <f t="shared" si="306"/>
        <v>0</v>
      </c>
      <c r="I437" s="32">
        <f t="shared" si="306"/>
        <v>0</v>
      </c>
      <c r="J437" s="32">
        <f t="shared" si="306"/>
        <v>0</v>
      </c>
      <c r="K437" s="23">
        <f t="shared" si="301"/>
        <v>26</v>
      </c>
      <c r="L437" s="35">
        <f>K437/(K436+K435+K434)</f>
        <v>1</v>
      </c>
      <c r="M437" s="35">
        <f>K437/(K434+K435+K436)</f>
        <v>1</v>
      </c>
      <c r="N437" s="37">
        <f>T437+AC437+AL437+AU437</f>
        <v>8</v>
      </c>
      <c r="O437" s="35">
        <f>N437/K437</f>
        <v>0.30769230769230771</v>
      </c>
      <c r="P437" s="13"/>
      <c r="Q437" s="38">
        <f>SUM(Q434:Q436)</f>
        <v>0</v>
      </c>
      <c r="R437" s="38">
        <f>SUM(R434:R436)</f>
        <v>0</v>
      </c>
      <c r="S437" s="38">
        <f>SUM(S434:S436)</f>
        <v>0</v>
      </c>
      <c r="T437" s="38">
        <f>SUM(Q437:S437)</f>
        <v>0</v>
      </c>
      <c r="U437" s="40">
        <f>T437/(T434+T435+T436)</f>
        <v>0</v>
      </c>
      <c r="V437" s="13"/>
      <c r="W437" s="38">
        <f t="shared" ref="W437:AB437" si="307">SUM(W434:W436)</f>
        <v>0</v>
      </c>
      <c r="X437" s="38">
        <f t="shared" si="307"/>
        <v>0</v>
      </c>
      <c r="Y437" s="38">
        <f t="shared" si="307"/>
        <v>0</v>
      </c>
      <c r="Z437" s="38">
        <f t="shared" si="307"/>
        <v>1</v>
      </c>
      <c r="AA437" s="38">
        <f t="shared" si="307"/>
        <v>0</v>
      </c>
      <c r="AB437" s="104">
        <f t="shared" si="307"/>
        <v>0</v>
      </c>
      <c r="AC437" s="38">
        <f>SUM(W437:AB437)</f>
        <v>1</v>
      </c>
      <c r="AD437" s="40">
        <f>AC437/(AC434+AC435+AC436)</f>
        <v>1</v>
      </c>
      <c r="AE437" s="13"/>
      <c r="AF437" s="38">
        <f t="shared" ref="AF437:AK437" si="308">SUM(AF434:AF436)</f>
        <v>0</v>
      </c>
      <c r="AG437" s="38">
        <f t="shared" si="308"/>
        <v>0</v>
      </c>
      <c r="AH437" s="38">
        <f t="shared" si="308"/>
        <v>2</v>
      </c>
      <c r="AI437" s="38">
        <f t="shared" si="308"/>
        <v>0</v>
      </c>
      <c r="AJ437" s="38">
        <f t="shared" si="308"/>
        <v>0</v>
      </c>
      <c r="AK437" s="38">
        <f t="shared" si="308"/>
        <v>0</v>
      </c>
      <c r="AL437" s="38">
        <f>SUM(AF437:AK437)</f>
        <v>2</v>
      </c>
      <c r="AM437" s="41">
        <f>AL437/(AL434+AL435+AL436)</f>
        <v>1</v>
      </c>
      <c r="AN437" s="13"/>
      <c r="AO437" s="38">
        <f t="shared" ref="AO437:AT437" si="309">SUM(AO434:AO436)</f>
        <v>0</v>
      </c>
      <c r="AP437" s="38">
        <f t="shared" si="309"/>
        <v>0</v>
      </c>
      <c r="AQ437" s="38">
        <f t="shared" si="309"/>
        <v>0</v>
      </c>
      <c r="AR437" s="38">
        <f t="shared" si="309"/>
        <v>0</v>
      </c>
      <c r="AS437" s="38">
        <f t="shared" si="309"/>
        <v>5</v>
      </c>
      <c r="AT437" s="104">
        <f t="shared" si="309"/>
        <v>0</v>
      </c>
      <c r="AU437" s="38">
        <f>SUM(AO437:AT437)</f>
        <v>5</v>
      </c>
      <c r="AV437" s="40">
        <f>AU437/(AU434+AU435+AU436)</f>
        <v>1</v>
      </c>
      <c r="AW437" s="13"/>
      <c r="AX437" s="38">
        <f>SUM(AX434:AX436)</f>
        <v>0</v>
      </c>
      <c r="AY437" s="38">
        <f>SUM(AY434:AY436)</f>
        <v>0</v>
      </c>
      <c r="AZ437" s="38">
        <f>SUM(AZ434:AZ436)</f>
        <v>2</v>
      </c>
      <c r="BA437" s="38">
        <f>SUM(BA434:BA436)</f>
        <v>0</v>
      </c>
      <c r="BB437" s="38">
        <f>SUM(BB434:BB436)</f>
        <v>0</v>
      </c>
      <c r="BC437" s="38">
        <f>SUM(AX437:BB437)</f>
        <v>2</v>
      </c>
      <c r="BD437" s="40">
        <f>BC437/(BC434+BC435+BC436)</f>
        <v>1</v>
      </c>
      <c r="BE437" s="13"/>
      <c r="BF437" s="38"/>
      <c r="BG437" s="42"/>
      <c r="BH437" s="42"/>
      <c r="BI437" s="42"/>
    </row>
    <row r="438" spans="1:61" ht="56.25" customHeight="1">
      <c r="A438" s="102" t="s">
        <v>186</v>
      </c>
      <c r="B438" s="181" t="s">
        <v>156</v>
      </c>
      <c r="C438" s="182"/>
      <c r="D438" s="182"/>
      <c r="E438" s="182"/>
      <c r="F438" s="182"/>
      <c r="G438" s="22"/>
      <c r="H438" s="22"/>
      <c r="I438" s="22"/>
      <c r="J438" s="22"/>
      <c r="K438" s="21"/>
      <c r="L438" s="24"/>
      <c r="M438" s="24"/>
      <c r="N438" s="26"/>
      <c r="O438" s="24"/>
      <c r="P438" s="27"/>
      <c r="Q438" s="28"/>
      <c r="R438" s="28"/>
      <c r="S438" s="28"/>
      <c r="T438" s="26"/>
      <c r="U438" s="24"/>
      <c r="V438" s="27"/>
      <c r="W438" s="28"/>
      <c r="X438" s="28"/>
      <c r="Y438" s="28"/>
      <c r="Z438" s="28"/>
      <c r="AA438" s="28"/>
      <c r="AB438" s="28"/>
      <c r="AC438" s="26"/>
      <c r="AD438" s="24"/>
      <c r="AE438" s="27"/>
      <c r="AF438" s="28"/>
      <c r="AG438" s="28"/>
      <c r="AH438" s="28"/>
      <c r="AI438" s="28"/>
      <c r="AJ438" s="28"/>
      <c r="AK438" s="28"/>
      <c r="AL438" s="26"/>
      <c r="AM438" s="29"/>
      <c r="AN438" s="27"/>
      <c r="AO438" s="26"/>
      <c r="AP438" s="26"/>
      <c r="AQ438" s="26"/>
      <c r="AR438" s="26"/>
      <c r="AS438" s="26"/>
      <c r="AT438" s="26"/>
      <c r="AU438" s="26"/>
      <c r="AV438" s="24"/>
      <c r="AW438" s="27"/>
      <c r="AX438" s="26"/>
      <c r="AY438" s="26"/>
      <c r="AZ438" s="26"/>
      <c r="BA438" s="26"/>
      <c r="BB438" s="26"/>
      <c r="BC438" s="26"/>
      <c r="BD438" s="24"/>
      <c r="BE438" s="27"/>
      <c r="BF438" s="26"/>
      <c r="BG438" s="22"/>
      <c r="BH438" s="21"/>
      <c r="BI438" s="22"/>
    </row>
    <row r="439" spans="1:61" ht="32.5" customHeight="1">
      <c r="A439" s="10"/>
      <c r="B439" s="30" t="s">
        <v>0</v>
      </c>
      <c r="C439" s="30" t="s">
        <v>1</v>
      </c>
      <c r="D439" s="30" t="s">
        <v>2</v>
      </c>
      <c r="E439" s="30" t="s">
        <v>3</v>
      </c>
      <c r="F439" s="30" t="s">
        <v>4</v>
      </c>
      <c r="G439" s="30" t="s">
        <v>5</v>
      </c>
      <c r="H439" s="30" t="s">
        <v>68</v>
      </c>
      <c r="I439" s="30" t="s">
        <v>7</v>
      </c>
      <c r="J439" s="30" t="s">
        <v>8</v>
      </c>
      <c r="K439" s="10" t="s">
        <v>9</v>
      </c>
      <c r="L439" s="10" t="s">
        <v>56</v>
      </c>
      <c r="M439" s="20"/>
      <c r="N439" s="12"/>
      <c r="O439" s="20"/>
      <c r="P439" s="27"/>
      <c r="Q439" s="30" t="s">
        <v>15</v>
      </c>
      <c r="R439" s="30" t="s">
        <v>16</v>
      </c>
      <c r="S439" s="30" t="s">
        <v>28</v>
      </c>
      <c r="T439" s="20"/>
      <c r="U439" s="11"/>
      <c r="V439" s="27"/>
      <c r="W439" s="30" t="s">
        <v>15</v>
      </c>
      <c r="X439" s="30" t="s">
        <v>20</v>
      </c>
      <c r="Y439" s="30" t="s">
        <v>21</v>
      </c>
      <c r="Z439" s="30" t="s">
        <v>22</v>
      </c>
      <c r="AA439" s="30" t="s">
        <v>23</v>
      </c>
      <c r="AB439" s="30" t="s">
        <v>24</v>
      </c>
      <c r="AC439" s="20"/>
      <c r="AD439" s="11"/>
      <c r="AE439" s="27"/>
      <c r="AF439" s="30" t="s">
        <v>20</v>
      </c>
      <c r="AG439" s="30" t="s">
        <v>21</v>
      </c>
      <c r="AH439" s="30" t="s">
        <v>22</v>
      </c>
      <c r="AI439" s="30" t="s">
        <v>23</v>
      </c>
      <c r="AJ439" s="30" t="s">
        <v>24</v>
      </c>
      <c r="AK439" s="30" t="s">
        <v>28</v>
      </c>
      <c r="AL439" s="20"/>
      <c r="AM439" s="44"/>
      <c r="AN439" s="27"/>
      <c r="AO439" s="30" t="s">
        <v>15</v>
      </c>
      <c r="AP439" s="30" t="s">
        <v>20</v>
      </c>
      <c r="AQ439" s="30" t="s">
        <v>21</v>
      </c>
      <c r="AR439" s="30" t="s">
        <v>16</v>
      </c>
      <c r="AS439" s="30" t="s">
        <v>22</v>
      </c>
      <c r="AT439" s="30" t="s">
        <v>24</v>
      </c>
      <c r="AU439" s="20"/>
      <c r="AV439" s="11"/>
      <c r="AW439" s="27"/>
      <c r="AX439" s="30" t="s">
        <v>15</v>
      </c>
      <c r="AY439" s="30" t="s">
        <v>20</v>
      </c>
      <c r="AZ439" s="30" t="s">
        <v>22</v>
      </c>
      <c r="BA439" s="30" t="s">
        <v>23</v>
      </c>
      <c r="BB439" s="30" t="s">
        <v>28</v>
      </c>
      <c r="BC439" s="20"/>
      <c r="BD439" s="11"/>
      <c r="BE439" s="27"/>
      <c r="BF439" s="9" t="s">
        <v>38</v>
      </c>
      <c r="BG439" s="9" t="s">
        <v>39</v>
      </c>
      <c r="BH439" s="9" t="s">
        <v>40</v>
      </c>
      <c r="BI439" s="9" t="s">
        <v>41</v>
      </c>
    </row>
    <row r="440" spans="1:61" ht="32.75" customHeight="1">
      <c r="A440" s="10" t="s">
        <v>157</v>
      </c>
      <c r="B440" s="32">
        <v>0</v>
      </c>
      <c r="C440" s="32">
        <v>0</v>
      </c>
      <c r="D440" s="32">
        <v>1</v>
      </c>
      <c r="E440" s="32">
        <v>0</v>
      </c>
      <c r="F440" s="32">
        <v>0</v>
      </c>
      <c r="G440" s="32">
        <v>0</v>
      </c>
      <c r="H440" s="32">
        <v>0</v>
      </c>
      <c r="I440" s="32">
        <v>0</v>
      </c>
      <c r="J440" s="33">
        <v>1</v>
      </c>
      <c r="K440" s="23">
        <f>SUM(B440:J440)</f>
        <v>2</v>
      </c>
      <c r="L440" s="35">
        <f>K440/K444</f>
        <v>2.2727272727272728E-2</v>
      </c>
      <c r="M440" s="35">
        <f>K440/K447</f>
        <v>2.1739130434782608E-2</v>
      </c>
      <c r="N440" s="37"/>
      <c r="O440" s="35"/>
      <c r="P440" s="13"/>
      <c r="Q440" s="33">
        <v>0</v>
      </c>
      <c r="R440" s="33">
        <v>0</v>
      </c>
      <c r="S440" s="33">
        <v>0</v>
      </c>
      <c r="T440" s="14">
        <f>SUM(Q440:S440)</f>
        <v>0</v>
      </c>
      <c r="U440" s="40">
        <f>T440/T444</f>
        <v>0</v>
      </c>
      <c r="V440" s="13"/>
      <c r="W440" s="33">
        <v>0</v>
      </c>
      <c r="X440" s="33">
        <v>0</v>
      </c>
      <c r="Y440" s="33">
        <v>1</v>
      </c>
      <c r="Z440" s="14">
        <v>0</v>
      </c>
      <c r="AA440" s="33">
        <v>0</v>
      </c>
      <c r="AB440" s="33">
        <v>0</v>
      </c>
      <c r="AC440" s="14">
        <f>SUM(W440:AB440)</f>
        <v>1</v>
      </c>
      <c r="AD440" s="40">
        <f>AC440/AC444</f>
        <v>4.5454545454545456E-2</v>
      </c>
      <c r="AE440" s="13"/>
      <c r="AF440" s="33">
        <v>0</v>
      </c>
      <c r="AG440" s="33">
        <v>0</v>
      </c>
      <c r="AH440" s="14">
        <v>0</v>
      </c>
      <c r="AI440" s="33">
        <v>0</v>
      </c>
      <c r="AJ440" s="32">
        <v>0</v>
      </c>
      <c r="AK440" s="32">
        <v>1</v>
      </c>
      <c r="AL440" s="14">
        <f>SUM(AF440:AK440)</f>
        <v>1</v>
      </c>
      <c r="AM440" s="40">
        <f>AL440/AL444</f>
        <v>4.7619047619047616E-2</v>
      </c>
      <c r="AN440" s="13"/>
      <c r="AO440" s="33">
        <v>0</v>
      </c>
      <c r="AP440" s="33">
        <v>0</v>
      </c>
      <c r="AQ440" s="33">
        <v>0</v>
      </c>
      <c r="AR440" s="33">
        <v>0</v>
      </c>
      <c r="AS440" s="14">
        <v>0</v>
      </c>
      <c r="AT440" s="33">
        <v>0</v>
      </c>
      <c r="AU440" s="14">
        <f>SUM(AO440:AT440)</f>
        <v>0</v>
      </c>
      <c r="AV440" s="40">
        <f>AU440/AU444</f>
        <v>0</v>
      </c>
      <c r="AW440" s="13"/>
      <c r="AX440" s="33">
        <v>0</v>
      </c>
      <c r="AY440" s="33">
        <v>0</v>
      </c>
      <c r="AZ440" s="14">
        <v>0</v>
      </c>
      <c r="BA440" s="33">
        <v>0</v>
      </c>
      <c r="BB440" s="33">
        <v>0</v>
      </c>
      <c r="BC440" s="14">
        <f>SUM(AX440:BB440)</f>
        <v>0</v>
      </c>
      <c r="BD440" s="40">
        <f>BC440/BC444</f>
        <v>0</v>
      </c>
      <c r="BE440" s="13"/>
      <c r="BF440" s="14"/>
      <c r="BG440" s="15" t="e">
        <f>BF440/BF444</f>
        <v>#DIV/0!</v>
      </c>
      <c r="BH440" s="16"/>
      <c r="BI440" s="15"/>
    </row>
    <row r="441" spans="1:61" ht="32.75" customHeight="1">
      <c r="A441" s="10" t="s">
        <v>158</v>
      </c>
      <c r="B441" s="32">
        <v>12</v>
      </c>
      <c r="C441" s="32">
        <v>0</v>
      </c>
      <c r="D441" s="32">
        <v>1</v>
      </c>
      <c r="E441" s="32">
        <v>0</v>
      </c>
      <c r="F441" s="32">
        <v>2</v>
      </c>
      <c r="G441" s="32">
        <v>8</v>
      </c>
      <c r="H441" s="32">
        <v>7</v>
      </c>
      <c r="I441" s="32">
        <v>5</v>
      </c>
      <c r="J441" s="33">
        <v>1</v>
      </c>
      <c r="K441" s="23">
        <f>SUM(B441:J441)</f>
        <v>36</v>
      </c>
      <c r="L441" s="35">
        <f>K441/K444</f>
        <v>0.40909090909090912</v>
      </c>
      <c r="M441" s="35">
        <f>K441/K447</f>
        <v>0.39130434782608697</v>
      </c>
      <c r="N441" s="37"/>
      <c r="O441" s="35"/>
      <c r="P441" s="13"/>
      <c r="Q441" s="33">
        <v>2</v>
      </c>
      <c r="R441" s="33">
        <v>6</v>
      </c>
      <c r="S441" s="33">
        <v>1</v>
      </c>
      <c r="T441" s="14">
        <f>SUM(Q441:S441)</f>
        <v>9</v>
      </c>
      <c r="U441" s="40">
        <f>T441/T444</f>
        <v>0.69230769230769229</v>
      </c>
      <c r="V441" s="13"/>
      <c r="W441" s="33">
        <v>2</v>
      </c>
      <c r="X441" s="33">
        <v>1</v>
      </c>
      <c r="Y441" s="33">
        <v>1</v>
      </c>
      <c r="Z441" s="14">
        <v>0</v>
      </c>
      <c r="AA441" s="33">
        <v>0</v>
      </c>
      <c r="AB441" s="33">
        <v>0</v>
      </c>
      <c r="AC441" s="14">
        <f>SUM(W441:AB441)</f>
        <v>4</v>
      </c>
      <c r="AD441" s="40">
        <f>AC441/AC444</f>
        <v>0.18181818181818182</v>
      </c>
      <c r="AE441" s="13"/>
      <c r="AF441" s="33">
        <v>1</v>
      </c>
      <c r="AG441" s="33">
        <v>0</v>
      </c>
      <c r="AH441" s="14">
        <v>2</v>
      </c>
      <c r="AI441" s="33">
        <v>0</v>
      </c>
      <c r="AJ441" s="32">
        <v>0</v>
      </c>
      <c r="AK441" s="32">
        <v>0</v>
      </c>
      <c r="AL441" s="14">
        <f>SUM(AF441:AK441)</f>
        <v>3</v>
      </c>
      <c r="AM441" s="40">
        <f>AL441/AL444</f>
        <v>0.14285714285714285</v>
      </c>
      <c r="AN441" s="13"/>
      <c r="AO441" s="33">
        <v>1</v>
      </c>
      <c r="AP441" s="33">
        <v>0</v>
      </c>
      <c r="AQ441" s="33">
        <v>0</v>
      </c>
      <c r="AR441" s="33">
        <v>1</v>
      </c>
      <c r="AS441" s="14">
        <v>4</v>
      </c>
      <c r="AT441" s="33">
        <v>0</v>
      </c>
      <c r="AU441" s="14">
        <f>SUM(AO441:AT441)</f>
        <v>6</v>
      </c>
      <c r="AV441" s="40">
        <f>AU441/AU444</f>
        <v>0.46153846153846156</v>
      </c>
      <c r="AW441" s="13"/>
      <c r="AX441" s="33">
        <v>0</v>
      </c>
      <c r="AY441" s="33">
        <v>0</v>
      </c>
      <c r="AZ441" s="14">
        <v>2</v>
      </c>
      <c r="BA441" s="33">
        <v>0</v>
      </c>
      <c r="BB441" s="33">
        <v>0</v>
      </c>
      <c r="BC441" s="14">
        <f>SUM(AX441:BB441)</f>
        <v>2</v>
      </c>
      <c r="BD441" s="40">
        <f>BC441/BC444</f>
        <v>0.4</v>
      </c>
      <c r="BE441" s="13"/>
      <c r="BF441" s="14"/>
      <c r="BG441" s="15" t="e">
        <f>BF441/BF444</f>
        <v>#DIV/0!</v>
      </c>
      <c r="BH441" s="16"/>
      <c r="BI441" s="15"/>
    </row>
    <row r="442" spans="1:61" ht="32.75" customHeight="1">
      <c r="A442" s="10" t="s">
        <v>159</v>
      </c>
      <c r="B442" s="32">
        <v>2</v>
      </c>
      <c r="C442" s="32">
        <v>0</v>
      </c>
      <c r="D442" s="32">
        <v>1</v>
      </c>
      <c r="E442" s="32">
        <v>1</v>
      </c>
      <c r="F442" s="32">
        <v>0</v>
      </c>
      <c r="G442" s="32">
        <v>2</v>
      </c>
      <c r="H442" s="32">
        <v>0</v>
      </c>
      <c r="I442" s="32">
        <v>1</v>
      </c>
      <c r="J442" s="33">
        <v>2</v>
      </c>
      <c r="K442" s="23">
        <f>SUM(B442:J442)</f>
        <v>9</v>
      </c>
      <c r="L442" s="35">
        <f>K442/K444</f>
        <v>0.10227272727272728</v>
      </c>
      <c r="M442" s="35">
        <f>K442/K447</f>
        <v>9.7826086956521743E-2</v>
      </c>
      <c r="N442" s="37"/>
      <c r="O442" s="35"/>
      <c r="P442" s="13"/>
      <c r="Q442" s="33">
        <v>0</v>
      </c>
      <c r="R442" s="33">
        <v>0</v>
      </c>
      <c r="S442" s="33">
        <v>0</v>
      </c>
      <c r="T442" s="14">
        <f>SUM(Q442:S442)</f>
        <v>0</v>
      </c>
      <c r="U442" s="40">
        <f>T442/T444</f>
        <v>0</v>
      </c>
      <c r="V442" s="13"/>
      <c r="W442" s="33">
        <v>1</v>
      </c>
      <c r="X442" s="33">
        <v>0</v>
      </c>
      <c r="Y442" s="33">
        <v>1</v>
      </c>
      <c r="Z442" s="47">
        <v>1</v>
      </c>
      <c r="AA442" s="33">
        <v>1</v>
      </c>
      <c r="AB442" s="33">
        <v>0</v>
      </c>
      <c r="AC442" s="14">
        <f>SUM(W442:AB442)</f>
        <v>4</v>
      </c>
      <c r="AD442" s="40">
        <f>AC442/AC444</f>
        <v>0.18181818181818182</v>
      </c>
      <c r="AE442" s="13"/>
      <c r="AF442" s="33">
        <v>0</v>
      </c>
      <c r="AG442" s="33">
        <v>0</v>
      </c>
      <c r="AH442" s="47">
        <v>0</v>
      </c>
      <c r="AI442" s="33">
        <v>0</v>
      </c>
      <c r="AJ442" s="32">
        <v>0</v>
      </c>
      <c r="AK442" s="32">
        <v>2</v>
      </c>
      <c r="AL442" s="14">
        <f>SUM(AF442:AK442)</f>
        <v>2</v>
      </c>
      <c r="AM442" s="40">
        <f>AL442/AL444</f>
        <v>9.5238095238095233E-2</v>
      </c>
      <c r="AN442" s="13"/>
      <c r="AO442" s="33">
        <v>0</v>
      </c>
      <c r="AP442" s="33">
        <v>0</v>
      </c>
      <c r="AQ442" s="33">
        <v>0</v>
      </c>
      <c r="AR442" s="33">
        <v>0</v>
      </c>
      <c r="AS442" s="47">
        <v>1</v>
      </c>
      <c r="AT442" s="33">
        <v>0</v>
      </c>
      <c r="AU442" s="14">
        <f>SUM(AO442:AT442)</f>
        <v>1</v>
      </c>
      <c r="AV442" s="40">
        <f>AU442/AU444</f>
        <v>7.6923076923076927E-2</v>
      </c>
      <c r="AW442" s="13"/>
      <c r="AX442" s="33">
        <v>0</v>
      </c>
      <c r="AY442" s="33">
        <v>0</v>
      </c>
      <c r="AZ442" s="47">
        <v>0</v>
      </c>
      <c r="BA442" s="32">
        <v>0</v>
      </c>
      <c r="BB442" s="33">
        <v>2</v>
      </c>
      <c r="BC442" s="14">
        <f>SUM(AX442:BB442)</f>
        <v>2</v>
      </c>
      <c r="BD442" s="40">
        <f>BC442/BC444</f>
        <v>0.4</v>
      </c>
      <c r="BE442" s="13"/>
      <c r="BF442" s="14"/>
      <c r="BG442" s="15" t="e">
        <f>BF442/BF444</f>
        <v>#DIV/0!</v>
      </c>
      <c r="BH442" s="16"/>
      <c r="BI442" s="15"/>
    </row>
    <row r="443" spans="1:61" ht="32.75" customHeight="1">
      <c r="A443" s="115" t="s">
        <v>160</v>
      </c>
      <c r="B443" s="32" t="s">
        <v>59</v>
      </c>
      <c r="C443" s="32">
        <v>3</v>
      </c>
      <c r="D443" s="32">
        <v>12</v>
      </c>
      <c r="E443" s="32">
        <v>4</v>
      </c>
      <c r="F443" s="32">
        <v>8</v>
      </c>
      <c r="G443" s="32" t="s">
        <v>59</v>
      </c>
      <c r="H443" s="32">
        <v>3</v>
      </c>
      <c r="I443" s="32">
        <v>4</v>
      </c>
      <c r="J443" s="33">
        <v>7</v>
      </c>
      <c r="K443" s="23">
        <f>SUM(B443:J443)</f>
        <v>41</v>
      </c>
      <c r="L443" s="35">
        <f>K443/K444</f>
        <v>0.46590909090909088</v>
      </c>
      <c r="M443" s="35">
        <f>K443/K447</f>
        <v>0.44565217391304346</v>
      </c>
      <c r="N443" s="37"/>
      <c r="O443" s="35"/>
      <c r="P443" s="13"/>
      <c r="Q443" s="33">
        <v>1</v>
      </c>
      <c r="R443" s="33">
        <v>3</v>
      </c>
      <c r="S443" s="33">
        <v>0</v>
      </c>
      <c r="T443" s="14">
        <f>SUM(Q443:S443)</f>
        <v>4</v>
      </c>
      <c r="U443" s="40">
        <f>T443/T444</f>
        <v>0.30769230769230771</v>
      </c>
      <c r="V443" s="13"/>
      <c r="W443" s="33">
        <v>2</v>
      </c>
      <c r="X443" s="33">
        <v>2</v>
      </c>
      <c r="Y443" s="33">
        <v>5</v>
      </c>
      <c r="Z443" s="114" t="s">
        <v>82</v>
      </c>
      <c r="AA443" s="33">
        <v>3</v>
      </c>
      <c r="AB443" s="33">
        <v>1</v>
      </c>
      <c r="AC443" s="14">
        <f>SUM(W443:AB443)</f>
        <v>13</v>
      </c>
      <c r="AD443" s="40">
        <f>AC443/AC444</f>
        <v>0.59090909090909094</v>
      </c>
      <c r="AE443" s="13"/>
      <c r="AF443" s="33">
        <v>4</v>
      </c>
      <c r="AG443" s="33">
        <v>5</v>
      </c>
      <c r="AH443" s="103" t="s">
        <v>82</v>
      </c>
      <c r="AI443" s="33">
        <v>1</v>
      </c>
      <c r="AJ443" s="32">
        <v>0</v>
      </c>
      <c r="AK443" s="32">
        <v>5</v>
      </c>
      <c r="AL443" s="14">
        <f>SUM(AF443:AK443)</f>
        <v>15</v>
      </c>
      <c r="AM443" s="40">
        <f>AL443/AL444</f>
        <v>0.7142857142857143</v>
      </c>
      <c r="AN443" s="13"/>
      <c r="AO443" s="33">
        <v>0</v>
      </c>
      <c r="AP443" s="33">
        <v>2</v>
      </c>
      <c r="AQ443" s="33">
        <v>2</v>
      </c>
      <c r="AR443" s="33">
        <v>0</v>
      </c>
      <c r="AS443" s="103" t="s">
        <v>82</v>
      </c>
      <c r="AT443" s="33">
        <v>2</v>
      </c>
      <c r="AU443" s="14">
        <f>SUM(AO443:AT443)</f>
        <v>6</v>
      </c>
      <c r="AV443" s="40">
        <f>AU443/AU444</f>
        <v>0.46153846153846156</v>
      </c>
      <c r="AW443" s="13"/>
      <c r="AX443" s="33">
        <v>1</v>
      </c>
      <c r="AY443" s="33">
        <v>0</v>
      </c>
      <c r="AZ443" s="103" t="s">
        <v>82</v>
      </c>
      <c r="BA443" s="32">
        <v>0</v>
      </c>
      <c r="BB443" s="33">
        <v>0</v>
      </c>
      <c r="BC443" s="14">
        <f>SUM(AX443:BB443)</f>
        <v>1</v>
      </c>
      <c r="BD443" s="40">
        <f>BC443/BC444</f>
        <v>0.2</v>
      </c>
      <c r="BE443" s="13"/>
      <c r="BF443" s="14"/>
      <c r="BG443" s="15" t="e">
        <f>BF443/BF444</f>
        <v>#DIV/0!</v>
      </c>
      <c r="BH443" s="16"/>
      <c r="BI443" s="15"/>
    </row>
    <row r="444" spans="1:61" ht="21.75" customHeight="1">
      <c r="A444" s="10" t="s">
        <v>9</v>
      </c>
      <c r="B444" s="32">
        <f t="shared" ref="B444:L444" si="310">SUM(B438:B443)</f>
        <v>14</v>
      </c>
      <c r="C444" s="32">
        <f t="shared" si="310"/>
        <v>3</v>
      </c>
      <c r="D444" s="32">
        <f t="shared" si="310"/>
        <v>15</v>
      </c>
      <c r="E444" s="32">
        <f t="shared" si="310"/>
        <v>5</v>
      </c>
      <c r="F444" s="32">
        <f t="shared" si="310"/>
        <v>10</v>
      </c>
      <c r="G444" s="32">
        <f t="shared" si="310"/>
        <v>10</v>
      </c>
      <c r="H444" s="32">
        <f t="shared" si="310"/>
        <v>10</v>
      </c>
      <c r="I444" s="32">
        <f t="shared" si="310"/>
        <v>10</v>
      </c>
      <c r="J444" s="32">
        <f t="shared" si="310"/>
        <v>11</v>
      </c>
      <c r="K444" s="23">
        <f t="shared" si="310"/>
        <v>88</v>
      </c>
      <c r="L444" s="35">
        <f t="shared" si="310"/>
        <v>1</v>
      </c>
      <c r="M444" s="35">
        <f>K444/K447</f>
        <v>0.95652173913043481</v>
      </c>
      <c r="N444" s="37">
        <f>T444+AC444+AL444+AU444</f>
        <v>69</v>
      </c>
      <c r="O444" s="35">
        <f>N444/K444</f>
        <v>0.78409090909090906</v>
      </c>
      <c r="P444" s="13">
        <f t="shared" ref="P444:BE444" si="311">SUM(P438:P443)</f>
        <v>0</v>
      </c>
      <c r="Q444" s="47">
        <f t="shared" si="311"/>
        <v>3</v>
      </c>
      <c r="R444" s="14">
        <f t="shared" si="311"/>
        <v>9</v>
      </c>
      <c r="S444" s="14">
        <f t="shared" si="311"/>
        <v>1</v>
      </c>
      <c r="T444" s="14">
        <f t="shared" si="311"/>
        <v>13</v>
      </c>
      <c r="U444" s="40">
        <f t="shared" si="311"/>
        <v>1</v>
      </c>
      <c r="V444" s="13">
        <f t="shared" si="311"/>
        <v>0</v>
      </c>
      <c r="W444" s="47">
        <f t="shared" si="311"/>
        <v>5</v>
      </c>
      <c r="X444" s="47">
        <f t="shared" si="311"/>
        <v>3</v>
      </c>
      <c r="Y444" s="47">
        <f t="shared" si="311"/>
        <v>8</v>
      </c>
      <c r="Z444" s="47">
        <f t="shared" si="311"/>
        <v>1</v>
      </c>
      <c r="AA444" s="47">
        <f t="shared" si="311"/>
        <v>4</v>
      </c>
      <c r="AB444" s="47">
        <f t="shared" si="311"/>
        <v>1</v>
      </c>
      <c r="AC444" s="45">
        <f t="shared" si="311"/>
        <v>22</v>
      </c>
      <c r="AD444" s="40">
        <f t="shared" si="311"/>
        <v>1</v>
      </c>
      <c r="AE444" s="13">
        <f t="shared" si="311"/>
        <v>0</v>
      </c>
      <c r="AF444" s="47">
        <f t="shared" si="311"/>
        <v>5</v>
      </c>
      <c r="AG444" s="47">
        <f t="shared" si="311"/>
        <v>5</v>
      </c>
      <c r="AH444" s="47">
        <f t="shared" si="311"/>
        <v>2</v>
      </c>
      <c r="AI444" s="47">
        <f t="shared" si="311"/>
        <v>1</v>
      </c>
      <c r="AJ444" s="47">
        <f t="shared" si="311"/>
        <v>0</v>
      </c>
      <c r="AK444" s="47">
        <f t="shared" si="311"/>
        <v>8</v>
      </c>
      <c r="AL444" s="45">
        <f t="shared" si="311"/>
        <v>21</v>
      </c>
      <c r="AM444" s="40">
        <f t="shared" si="311"/>
        <v>1</v>
      </c>
      <c r="AN444" s="13">
        <f t="shared" si="311"/>
        <v>0</v>
      </c>
      <c r="AO444" s="47">
        <f t="shared" si="311"/>
        <v>1</v>
      </c>
      <c r="AP444" s="47">
        <f t="shared" si="311"/>
        <v>2</v>
      </c>
      <c r="AQ444" s="47">
        <f t="shared" si="311"/>
        <v>2</v>
      </c>
      <c r="AR444" s="47">
        <f t="shared" si="311"/>
        <v>1</v>
      </c>
      <c r="AS444" s="47">
        <f t="shared" si="311"/>
        <v>5</v>
      </c>
      <c r="AT444" s="47">
        <f t="shared" si="311"/>
        <v>2</v>
      </c>
      <c r="AU444" s="45">
        <f t="shared" si="311"/>
        <v>13</v>
      </c>
      <c r="AV444" s="40">
        <f t="shared" si="311"/>
        <v>1</v>
      </c>
      <c r="AW444" s="13">
        <f t="shared" si="311"/>
        <v>0</v>
      </c>
      <c r="AX444" s="45">
        <f t="shared" si="311"/>
        <v>1</v>
      </c>
      <c r="AY444" s="45">
        <f t="shared" si="311"/>
        <v>0</v>
      </c>
      <c r="AZ444" s="45">
        <f t="shared" si="311"/>
        <v>2</v>
      </c>
      <c r="BA444" s="45">
        <f t="shared" si="311"/>
        <v>0</v>
      </c>
      <c r="BB444" s="47">
        <f t="shared" si="311"/>
        <v>2</v>
      </c>
      <c r="BC444" s="45">
        <f t="shared" si="311"/>
        <v>5</v>
      </c>
      <c r="BD444" s="40">
        <f t="shared" si="311"/>
        <v>1</v>
      </c>
      <c r="BE444" s="13">
        <f t="shared" si="311"/>
        <v>0</v>
      </c>
      <c r="BF444" s="14">
        <f>SUM(BF440:BF443)</f>
        <v>0</v>
      </c>
      <c r="BG444" s="15" t="e">
        <f>SUM(BG440:BG443)</f>
        <v>#DIV/0!</v>
      </c>
      <c r="BH444" s="16"/>
      <c r="BI444" s="15"/>
    </row>
    <row r="445" spans="1:61" ht="21.75" customHeight="1">
      <c r="A445" s="8" t="s">
        <v>64</v>
      </c>
      <c r="B445" s="32">
        <v>2</v>
      </c>
      <c r="C445" s="32">
        <v>0</v>
      </c>
      <c r="D445" s="32">
        <v>0</v>
      </c>
      <c r="E445" s="32">
        <v>1</v>
      </c>
      <c r="F445" s="32">
        <v>1</v>
      </c>
      <c r="G445" s="32">
        <v>0</v>
      </c>
      <c r="H445" s="32">
        <v>0</v>
      </c>
      <c r="I445" s="32">
        <v>0</v>
      </c>
      <c r="J445" s="32">
        <v>0</v>
      </c>
      <c r="K445" s="23">
        <f>SUM(B445:J445)</f>
        <v>4</v>
      </c>
      <c r="L445" s="35">
        <f>K445/(K444+K445+K446)</f>
        <v>4.3478260869565216E-2</v>
      </c>
      <c r="M445" s="35">
        <f>K445/(K447)</f>
        <v>4.3478260869565216E-2</v>
      </c>
      <c r="N445" s="37"/>
      <c r="O445" s="35"/>
      <c r="P445" s="13"/>
      <c r="Q445" s="52">
        <v>0</v>
      </c>
      <c r="R445" s="14">
        <v>0</v>
      </c>
      <c r="S445" s="14">
        <v>0</v>
      </c>
      <c r="T445" s="38">
        <f>SUM(Q445:S445)</f>
        <v>0</v>
      </c>
      <c r="U445" s="15">
        <f>T445/T447</f>
        <v>0</v>
      </c>
      <c r="V445" s="13"/>
      <c r="W445" s="52">
        <v>0</v>
      </c>
      <c r="X445" s="52">
        <v>0</v>
      </c>
      <c r="Y445" s="52">
        <v>0</v>
      </c>
      <c r="Z445" s="52">
        <v>0</v>
      </c>
      <c r="AA445" s="52">
        <v>1</v>
      </c>
      <c r="AB445" s="118">
        <v>0</v>
      </c>
      <c r="AC445" s="51">
        <f>SUM(W445:AB445)</f>
        <v>1</v>
      </c>
      <c r="AD445" s="15">
        <f>AC445/AC447</f>
        <v>4.3478260869565216E-2</v>
      </c>
      <c r="AE445" s="13"/>
      <c r="AF445" s="52">
        <v>0</v>
      </c>
      <c r="AG445" s="52">
        <v>0</v>
      </c>
      <c r="AH445" s="52">
        <v>0</v>
      </c>
      <c r="AI445" s="52">
        <v>0</v>
      </c>
      <c r="AJ445" s="118">
        <v>0</v>
      </c>
      <c r="AK445" s="118">
        <v>0</v>
      </c>
      <c r="AL445" s="49">
        <f>SUM(AF445:AK445)</f>
        <v>0</v>
      </c>
      <c r="AM445" s="15">
        <f>AL445/AL447</f>
        <v>0</v>
      </c>
      <c r="AN445" s="13"/>
      <c r="AO445" s="52">
        <v>0</v>
      </c>
      <c r="AP445" s="52">
        <v>0</v>
      </c>
      <c r="AQ445" s="52">
        <v>0</v>
      </c>
      <c r="AR445" s="52">
        <v>0</v>
      </c>
      <c r="AS445" s="52">
        <v>0</v>
      </c>
      <c r="AT445" s="118">
        <v>0</v>
      </c>
      <c r="AU445" s="51">
        <f>SUM(AO445:AT445)</f>
        <v>0</v>
      </c>
      <c r="AV445" s="15">
        <f>AU445/AU447</f>
        <v>0</v>
      </c>
      <c r="AW445" s="13"/>
      <c r="AX445" s="49">
        <v>0</v>
      </c>
      <c r="AY445" s="49">
        <v>1</v>
      </c>
      <c r="AZ445" s="49"/>
      <c r="BA445" s="101">
        <v>0</v>
      </c>
      <c r="BB445" s="118">
        <v>0</v>
      </c>
      <c r="BC445" s="51">
        <f>SUM(AX445:BB445)</f>
        <v>1</v>
      </c>
      <c r="BD445" s="15">
        <f>BC445/BC447</f>
        <v>0.16666666666666666</v>
      </c>
      <c r="BE445" s="13"/>
      <c r="BF445" s="38"/>
      <c r="BG445" s="42"/>
      <c r="BH445" s="42"/>
      <c r="BI445" s="42"/>
    </row>
    <row r="446" spans="1:61" ht="20.25" customHeight="1">
      <c r="A446" s="8" t="s">
        <v>65</v>
      </c>
      <c r="B446" s="32">
        <v>0</v>
      </c>
      <c r="C446" s="32">
        <v>0</v>
      </c>
      <c r="D446" s="32">
        <v>0</v>
      </c>
      <c r="E446" s="32">
        <v>0</v>
      </c>
      <c r="F446" s="32">
        <v>0</v>
      </c>
      <c r="G446" s="32">
        <v>0</v>
      </c>
      <c r="H446" s="32">
        <v>0</v>
      </c>
      <c r="I446" s="32">
        <v>0</v>
      </c>
      <c r="J446" s="32">
        <v>0</v>
      </c>
      <c r="K446" s="23">
        <f>SUM(B446:J446)</f>
        <v>0</v>
      </c>
      <c r="L446" s="35">
        <f>K446/(K445+K446+K444)</f>
        <v>0</v>
      </c>
      <c r="M446" s="35">
        <f>K446/(K447)</f>
        <v>0</v>
      </c>
      <c r="N446" s="23"/>
      <c r="O446" s="35"/>
      <c r="P446" s="13"/>
      <c r="Q446" s="14">
        <v>0</v>
      </c>
      <c r="R446" s="14">
        <v>0</v>
      </c>
      <c r="S446" s="14">
        <v>0</v>
      </c>
      <c r="T446" s="38">
        <f>SUM(Q446:S446)</f>
        <v>0</v>
      </c>
      <c r="U446" s="15">
        <f>T446/T447</f>
        <v>0</v>
      </c>
      <c r="V446" s="13"/>
      <c r="W446" s="14">
        <v>0</v>
      </c>
      <c r="X446" s="14">
        <v>0</v>
      </c>
      <c r="Y446" s="14">
        <v>0</v>
      </c>
      <c r="Z446" s="14">
        <v>0</v>
      </c>
      <c r="AA446" s="14">
        <v>0</v>
      </c>
      <c r="AB446" s="32">
        <v>0</v>
      </c>
      <c r="AC446" s="38">
        <f>SUM(W446:AB446)</f>
        <v>0</v>
      </c>
      <c r="AD446" s="15">
        <f>AC446/AC447</f>
        <v>0</v>
      </c>
      <c r="AE446" s="13"/>
      <c r="AF446" s="14">
        <v>0</v>
      </c>
      <c r="AG446" s="14">
        <v>0</v>
      </c>
      <c r="AH446" s="14">
        <v>0</v>
      </c>
      <c r="AI446" s="14">
        <v>0</v>
      </c>
      <c r="AJ446" s="32">
        <v>0</v>
      </c>
      <c r="AK446" s="32">
        <v>0</v>
      </c>
      <c r="AL446" s="14">
        <f>SUM(AF446:AK446)</f>
        <v>0</v>
      </c>
      <c r="AM446" s="15">
        <f>AL446/AL447</f>
        <v>0</v>
      </c>
      <c r="AN446" s="13"/>
      <c r="AO446" s="14">
        <v>0</v>
      </c>
      <c r="AP446" s="14">
        <v>0</v>
      </c>
      <c r="AQ446" s="14">
        <v>0</v>
      </c>
      <c r="AR446" s="14">
        <v>0</v>
      </c>
      <c r="AS446" s="14">
        <v>0</v>
      </c>
      <c r="AT446" s="32">
        <v>0</v>
      </c>
      <c r="AU446" s="38">
        <f>SUM(AO446:AT446)</f>
        <v>0</v>
      </c>
      <c r="AV446" s="15">
        <f>AU446/AU447</f>
        <v>0</v>
      </c>
      <c r="AW446" s="13"/>
      <c r="AX446" s="14">
        <v>0</v>
      </c>
      <c r="AY446" s="14">
        <v>0</v>
      </c>
      <c r="AZ446" s="14"/>
      <c r="BA446" s="32">
        <v>0</v>
      </c>
      <c r="BB446" s="32">
        <v>0</v>
      </c>
      <c r="BC446" s="38">
        <f>SUM(AX446:BB446)</f>
        <v>0</v>
      </c>
      <c r="BD446" s="15">
        <f>BC446/BC447</f>
        <v>0</v>
      </c>
      <c r="BE446" s="13"/>
      <c r="BF446" s="38"/>
      <c r="BG446" s="42"/>
      <c r="BH446" s="42"/>
      <c r="BI446" s="42"/>
    </row>
    <row r="447" spans="1:61" ht="20.25" customHeight="1">
      <c r="A447" s="39" t="s">
        <v>66</v>
      </c>
      <c r="B447" s="32">
        <f t="shared" ref="B447:J447" si="312">SUM(B444:B446)</f>
        <v>16</v>
      </c>
      <c r="C447" s="32">
        <f t="shared" si="312"/>
        <v>3</v>
      </c>
      <c r="D447" s="32">
        <f t="shared" si="312"/>
        <v>15</v>
      </c>
      <c r="E447" s="32">
        <f t="shared" si="312"/>
        <v>6</v>
      </c>
      <c r="F447" s="32">
        <f t="shared" si="312"/>
        <v>11</v>
      </c>
      <c r="G447" s="32">
        <f t="shared" si="312"/>
        <v>10</v>
      </c>
      <c r="H447" s="32">
        <f t="shared" si="312"/>
        <v>10</v>
      </c>
      <c r="I447" s="32">
        <f t="shared" si="312"/>
        <v>10</v>
      </c>
      <c r="J447" s="32">
        <f t="shared" si="312"/>
        <v>11</v>
      </c>
      <c r="K447" s="23">
        <f>SUM(B447:J447)</f>
        <v>92</v>
      </c>
      <c r="L447" s="35">
        <f>K447/(K446+K445+K444)</f>
        <v>1</v>
      </c>
      <c r="M447" s="35">
        <f>K447/(K444+K445+K446)</f>
        <v>1</v>
      </c>
      <c r="N447" s="37">
        <f>T447+AC447+AL447+AU447</f>
        <v>70</v>
      </c>
      <c r="O447" s="35">
        <f>N447/K447</f>
        <v>0.76086956521739135</v>
      </c>
      <c r="P447" s="13"/>
      <c r="Q447" s="38">
        <f>SUM(Q444:Q446)</f>
        <v>3</v>
      </c>
      <c r="R447" s="38">
        <f>SUM(R444:R446)</f>
        <v>9</v>
      </c>
      <c r="S447" s="38">
        <f>SUM(S444:S446)</f>
        <v>1</v>
      </c>
      <c r="T447" s="38">
        <f>SUM(Q447:S447)</f>
        <v>13</v>
      </c>
      <c r="U447" s="40">
        <f>T447/(T444+T445+T446)</f>
        <v>1</v>
      </c>
      <c r="V447" s="13"/>
      <c r="W447" s="38">
        <f t="shared" ref="W447:AB447" si="313">SUM(W444:W446)</f>
        <v>5</v>
      </c>
      <c r="X447" s="38">
        <f t="shared" si="313"/>
        <v>3</v>
      </c>
      <c r="Y447" s="38">
        <f t="shared" si="313"/>
        <v>8</v>
      </c>
      <c r="Z447" s="38">
        <f t="shared" si="313"/>
        <v>1</v>
      </c>
      <c r="AA447" s="38">
        <f t="shared" si="313"/>
        <v>5</v>
      </c>
      <c r="AB447" s="38">
        <f t="shared" si="313"/>
        <v>1</v>
      </c>
      <c r="AC447" s="38">
        <f>SUM(W447:AB447)</f>
        <v>23</v>
      </c>
      <c r="AD447" s="40">
        <f>AC447/(AC444+AC445+AC446)</f>
        <v>1</v>
      </c>
      <c r="AE447" s="13"/>
      <c r="AF447" s="38">
        <f t="shared" ref="AF447:AK447" si="314">SUM(AF444:AF446)</f>
        <v>5</v>
      </c>
      <c r="AG447" s="38">
        <f t="shared" si="314"/>
        <v>5</v>
      </c>
      <c r="AH447" s="38">
        <f t="shared" si="314"/>
        <v>2</v>
      </c>
      <c r="AI447" s="38">
        <f t="shared" si="314"/>
        <v>1</v>
      </c>
      <c r="AJ447" s="38">
        <f t="shared" si="314"/>
        <v>0</v>
      </c>
      <c r="AK447" s="38">
        <f t="shared" si="314"/>
        <v>8</v>
      </c>
      <c r="AL447" s="38">
        <f>SUM(AF447:AK447)</f>
        <v>21</v>
      </c>
      <c r="AM447" s="41">
        <f>AL447/(AL444+AL445+AL446)</f>
        <v>1</v>
      </c>
      <c r="AN447" s="13"/>
      <c r="AO447" s="38">
        <f t="shared" ref="AO447:AT447" si="315">SUM(AO444:AO446)</f>
        <v>1</v>
      </c>
      <c r="AP447" s="38">
        <f t="shared" si="315"/>
        <v>2</v>
      </c>
      <c r="AQ447" s="38">
        <f t="shared" si="315"/>
        <v>2</v>
      </c>
      <c r="AR447" s="38">
        <f t="shared" si="315"/>
        <v>1</v>
      </c>
      <c r="AS447" s="38">
        <f t="shared" si="315"/>
        <v>5</v>
      </c>
      <c r="AT447" s="38">
        <f t="shared" si="315"/>
        <v>2</v>
      </c>
      <c r="AU447" s="38">
        <f>SUM(AO447:AT447)</f>
        <v>13</v>
      </c>
      <c r="AV447" s="40">
        <f>AU447/(AU444+AU445+AU446)</f>
        <v>1</v>
      </c>
      <c r="AW447" s="13"/>
      <c r="AX447" s="38">
        <f>SUM(AX444:AX446)</f>
        <v>1</v>
      </c>
      <c r="AY447" s="38">
        <f>SUM(AY444:AY446)</f>
        <v>1</v>
      </c>
      <c r="AZ447" s="38">
        <f>SUM(AZ444:AZ446)</f>
        <v>2</v>
      </c>
      <c r="BA447" s="38">
        <f>SUM(BA444:BA446)</f>
        <v>0</v>
      </c>
      <c r="BB447" s="38">
        <f>SUM(BB444:BB446)</f>
        <v>2</v>
      </c>
      <c r="BC447" s="38">
        <f>SUM(AX447:BB447)</f>
        <v>6</v>
      </c>
      <c r="BD447" s="40">
        <f>BC447/(BC444+BC445+BC446)</f>
        <v>1</v>
      </c>
      <c r="BE447" s="13"/>
      <c r="BF447" s="38"/>
      <c r="BG447" s="42"/>
      <c r="BH447" s="42"/>
      <c r="BI447" s="42"/>
    </row>
    <row r="448" spans="1:61" ht="68.25" customHeight="1">
      <c r="A448" s="43" t="s">
        <v>187</v>
      </c>
      <c r="B448" s="181" t="s">
        <v>166</v>
      </c>
      <c r="C448" s="182"/>
      <c r="D448" s="182"/>
      <c r="E448" s="182"/>
      <c r="F448" s="182"/>
      <c r="G448" s="22"/>
      <c r="H448" s="22"/>
      <c r="I448" s="22"/>
      <c r="J448" s="22"/>
      <c r="K448" s="21"/>
      <c r="L448" s="24"/>
      <c r="M448" s="24"/>
      <c r="N448" s="26"/>
      <c r="O448" s="24"/>
      <c r="P448" s="27"/>
      <c r="Q448" s="28"/>
      <c r="R448" s="28"/>
      <c r="S448" s="28"/>
      <c r="T448" s="26"/>
      <c r="U448" s="24"/>
      <c r="V448" s="27"/>
      <c r="W448" s="28"/>
      <c r="X448" s="28"/>
      <c r="Y448" s="28"/>
      <c r="Z448" s="28"/>
      <c r="AA448" s="28"/>
      <c r="AB448" s="28"/>
      <c r="AC448" s="26"/>
      <c r="AD448" s="24"/>
      <c r="AE448" s="27"/>
      <c r="AF448" s="28"/>
      <c r="AG448" s="28"/>
      <c r="AH448" s="28"/>
      <c r="AI448" s="28"/>
      <c r="AJ448" s="28"/>
      <c r="AK448" s="28"/>
      <c r="AL448" s="26"/>
      <c r="AM448" s="29"/>
      <c r="AN448" s="27"/>
      <c r="AO448" s="26"/>
      <c r="AP448" s="26"/>
      <c r="AQ448" s="26"/>
      <c r="AR448" s="26"/>
      <c r="AS448" s="26"/>
      <c r="AT448" s="26"/>
      <c r="AU448" s="26"/>
      <c r="AV448" s="24"/>
      <c r="AW448" s="27"/>
      <c r="AX448" s="26"/>
      <c r="AY448" s="26"/>
      <c r="AZ448" s="26"/>
      <c r="BA448" s="26"/>
      <c r="BB448" s="26"/>
      <c r="BC448" s="26"/>
      <c r="BD448" s="24"/>
      <c r="BE448" s="27"/>
      <c r="BF448" s="26"/>
      <c r="BG448" s="22"/>
      <c r="BH448" s="21"/>
      <c r="BI448" s="22"/>
    </row>
    <row r="449" spans="1:61" ht="32.25" customHeight="1">
      <c r="A449" s="10"/>
      <c r="B449" s="30" t="s">
        <v>0</v>
      </c>
      <c r="C449" s="30" t="s">
        <v>1</v>
      </c>
      <c r="D449" s="30" t="s">
        <v>2</v>
      </c>
      <c r="E449" s="30" t="s">
        <v>3</v>
      </c>
      <c r="F449" s="30" t="s">
        <v>4</v>
      </c>
      <c r="G449" s="30" t="s">
        <v>5</v>
      </c>
      <c r="H449" s="30" t="s">
        <v>68</v>
      </c>
      <c r="I449" s="30" t="s">
        <v>7</v>
      </c>
      <c r="J449" s="30" t="s">
        <v>8</v>
      </c>
      <c r="K449" s="10" t="s">
        <v>9</v>
      </c>
      <c r="L449" s="10" t="s">
        <v>56</v>
      </c>
      <c r="M449" s="20"/>
      <c r="N449" s="12"/>
      <c r="O449" s="20"/>
      <c r="P449" s="27"/>
      <c r="Q449" s="30" t="s">
        <v>15</v>
      </c>
      <c r="R449" s="30" t="s">
        <v>16</v>
      </c>
      <c r="S449" s="30" t="s">
        <v>28</v>
      </c>
      <c r="T449" s="20"/>
      <c r="U449" s="11"/>
      <c r="V449" s="27"/>
      <c r="W449" s="30" t="s">
        <v>15</v>
      </c>
      <c r="X449" s="30" t="s">
        <v>20</v>
      </c>
      <c r="Y449" s="30" t="s">
        <v>21</v>
      </c>
      <c r="Z449" s="30" t="s">
        <v>22</v>
      </c>
      <c r="AA449" s="30" t="s">
        <v>23</v>
      </c>
      <c r="AB449" s="30" t="s">
        <v>24</v>
      </c>
      <c r="AC449" s="20"/>
      <c r="AD449" s="11"/>
      <c r="AE449" s="27"/>
      <c r="AF449" s="30" t="s">
        <v>20</v>
      </c>
      <c r="AG449" s="30" t="s">
        <v>21</v>
      </c>
      <c r="AH449" s="30" t="s">
        <v>22</v>
      </c>
      <c r="AI449" s="30" t="s">
        <v>23</v>
      </c>
      <c r="AJ449" s="30" t="s">
        <v>24</v>
      </c>
      <c r="AK449" s="30" t="s">
        <v>28</v>
      </c>
      <c r="AL449" s="20"/>
      <c r="AM449" s="44"/>
      <c r="AN449" s="27"/>
      <c r="AO449" s="30" t="s">
        <v>15</v>
      </c>
      <c r="AP449" s="30" t="s">
        <v>20</v>
      </c>
      <c r="AQ449" s="30" t="s">
        <v>21</v>
      </c>
      <c r="AR449" s="30" t="s">
        <v>16</v>
      </c>
      <c r="AS449" s="30" t="s">
        <v>22</v>
      </c>
      <c r="AT449" s="30" t="s">
        <v>24</v>
      </c>
      <c r="AU449" s="20"/>
      <c r="AV449" s="11"/>
      <c r="AW449" s="27"/>
      <c r="AX449" s="30" t="s">
        <v>15</v>
      </c>
      <c r="AY449" s="30" t="s">
        <v>20</v>
      </c>
      <c r="AZ449" s="30" t="s">
        <v>22</v>
      </c>
      <c r="BA449" s="30" t="s">
        <v>23</v>
      </c>
      <c r="BB449" s="30" t="s">
        <v>28</v>
      </c>
      <c r="BC449" s="20"/>
      <c r="BD449" s="11"/>
      <c r="BE449" s="27"/>
      <c r="BF449" s="9" t="s">
        <v>38</v>
      </c>
      <c r="BG449" s="9" t="s">
        <v>39</v>
      </c>
      <c r="BH449" s="9" t="s">
        <v>40</v>
      </c>
      <c r="BI449" s="9" t="s">
        <v>41</v>
      </c>
    </row>
    <row r="450" spans="1:61" ht="32.25" customHeight="1">
      <c r="A450" s="10" t="s">
        <v>167</v>
      </c>
      <c r="B450" s="9" t="s">
        <v>59</v>
      </c>
      <c r="C450" s="9">
        <v>3</v>
      </c>
      <c r="D450" s="9">
        <v>8</v>
      </c>
      <c r="E450" s="9">
        <v>5</v>
      </c>
      <c r="F450" s="9">
        <v>9</v>
      </c>
      <c r="G450" s="9" t="s">
        <v>59</v>
      </c>
      <c r="H450" s="9">
        <v>7</v>
      </c>
      <c r="I450" s="9">
        <v>6</v>
      </c>
      <c r="J450" s="33">
        <v>9</v>
      </c>
      <c r="K450" s="10">
        <f t="shared" ref="K450:K457" si="316">SUM(B450:J450)</f>
        <v>47</v>
      </c>
      <c r="L450" s="11">
        <f>K450/K454</f>
        <v>0.72307692307692306</v>
      </c>
      <c r="M450" s="35">
        <f>K450/K457</f>
        <v>0.71212121212121215</v>
      </c>
      <c r="N450" s="12"/>
      <c r="O450" s="11"/>
      <c r="P450" s="13"/>
      <c r="Q450" s="33">
        <v>1</v>
      </c>
      <c r="R450" s="33">
        <v>6</v>
      </c>
      <c r="S450" s="33">
        <v>1</v>
      </c>
      <c r="T450" s="14">
        <f>SUM(Q450:S450)</f>
        <v>8</v>
      </c>
      <c r="U450" s="15">
        <f>T450/T454</f>
        <v>0.61538461538461542</v>
      </c>
      <c r="V450" s="13"/>
      <c r="W450" s="33">
        <v>4</v>
      </c>
      <c r="X450" s="33">
        <v>3</v>
      </c>
      <c r="Y450" s="33">
        <v>7</v>
      </c>
      <c r="Z450" s="33" t="s">
        <v>82</v>
      </c>
      <c r="AA450" s="33">
        <v>5</v>
      </c>
      <c r="AB450" s="33">
        <v>1</v>
      </c>
      <c r="AC450" s="14">
        <f>SUM(W450:AB450)</f>
        <v>20</v>
      </c>
      <c r="AD450" s="15">
        <f>AC450/AC454</f>
        <v>0.90909090909090906</v>
      </c>
      <c r="AE450" s="13"/>
      <c r="AF450" s="33">
        <v>5</v>
      </c>
      <c r="AG450" s="33">
        <v>0</v>
      </c>
      <c r="AH450" s="9" t="s">
        <v>82</v>
      </c>
      <c r="AI450" s="33">
        <v>1</v>
      </c>
      <c r="AJ450" s="32">
        <v>0</v>
      </c>
      <c r="AK450" s="32">
        <v>7</v>
      </c>
      <c r="AL450" s="14">
        <f>SUM(AF450:AK450)</f>
        <v>13</v>
      </c>
      <c r="AM450" s="15">
        <f>AL450/AL454</f>
        <v>0.68421052631578949</v>
      </c>
      <c r="AN450" s="13"/>
      <c r="AO450" s="33">
        <v>1</v>
      </c>
      <c r="AP450" s="33">
        <v>0</v>
      </c>
      <c r="AQ450" s="33">
        <v>1</v>
      </c>
      <c r="AR450" s="33">
        <v>1</v>
      </c>
      <c r="AS450" s="9" t="s">
        <v>82</v>
      </c>
      <c r="AT450" s="33">
        <v>2</v>
      </c>
      <c r="AU450" s="14">
        <f>SUM(AO450:AT450)</f>
        <v>5</v>
      </c>
      <c r="AV450" s="15">
        <f>AU450/AU454</f>
        <v>0.625</v>
      </c>
      <c r="AW450" s="13"/>
      <c r="AX450" s="33">
        <v>0</v>
      </c>
      <c r="AY450" s="33">
        <v>1</v>
      </c>
      <c r="AZ450" s="9" t="s">
        <v>82</v>
      </c>
      <c r="BA450" s="32">
        <v>0</v>
      </c>
      <c r="BB450" s="32">
        <v>1</v>
      </c>
      <c r="BC450" s="14">
        <f>SUM(AX450:BB450)</f>
        <v>2</v>
      </c>
      <c r="BD450" s="15">
        <f>BC450/BC454</f>
        <v>0.5</v>
      </c>
      <c r="BE450" s="13"/>
      <c r="BF450" s="14"/>
      <c r="BG450" s="15" t="e">
        <f>BF450/BF454</f>
        <v>#DIV/0!</v>
      </c>
      <c r="BH450" s="16"/>
      <c r="BI450" s="15"/>
    </row>
    <row r="451" spans="1:61" ht="20.25" customHeight="1">
      <c r="A451" s="10" t="s">
        <v>168</v>
      </c>
      <c r="B451" s="9" t="s">
        <v>59</v>
      </c>
      <c r="C451" s="9">
        <v>0</v>
      </c>
      <c r="D451" s="9">
        <v>0</v>
      </c>
      <c r="E451" s="9">
        <v>0</v>
      </c>
      <c r="F451" s="9">
        <v>1</v>
      </c>
      <c r="G451" s="9" t="s">
        <v>59</v>
      </c>
      <c r="H451" s="9">
        <v>1</v>
      </c>
      <c r="I451" s="9">
        <v>0</v>
      </c>
      <c r="J451" s="33">
        <v>0</v>
      </c>
      <c r="K451" s="10">
        <f t="shared" si="316"/>
        <v>2</v>
      </c>
      <c r="L451" s="11">
        <f>K451/K454</f>
        <v>3.0769230769230771E-2</v>
      </c>
      <c r="M451" s="35">
        <f>K451/K457</f>
        <v>3.0303030303030304E-2</v>
      </c>
      <c r="N451" s="12"/>
      <c r="O451" s="11"/>
      <c r="P451" s="13"/>
      <c r="Q451" s="33">
        <v>0</v>
      </c>
      <c r="R451" s="33">
        <v>1</v>
      </c>
      <c r="S451" s="33">
        <v>0</v>
      </c>
      <c r="T451" s="14">
        <f>SUM(Q451:S451)</f>
        <v>1</v>
      </c>
      <c r="U451" s="15">
        <f>T451/T454</f>
        <v>7.6923076923076927E-2</v>
      </c>
      <c r="V451" s="13"/>
      <c r="W451" s="33">
        <v>0</v>
      </c>
      <c r="X451" s="33">
        <v>0</v>
      </c>
      <c r="Y451" s="33">
        <v>0</v>
      </c>
      <c r="Z451" s="33" t="s">
        <v>82</v>
      </c>
      <c r="AA451" s="33">
        <v>0</v>
      </c>
      <c r="AB451" s="33">
        <v>0</v>
      </c>
      <c r="AC451" s="14">
        <f>SUM(W451:AB451)</f>
        <v>0</v>
      </c>
      <c r="AD451" s="15">
        <f>AC451/AC454</f>
        <v>0</v>
      </c>
      <c r="AE451" s="13"/>
      <c r="AF451" s="33">
        <v>0</v>
      </c>
      <c r="AG451" s="33">
        <v>0</v>
      </c>
      <c r="AH451" s="9" t="s">
        <v>82</v>
      </c>
      <c r="AI451" s="33">
        <v>0</v>
      </c>
      <c r="AJ451" s="32">
        <v>0</v>
      </c>
      <c r="AK451" s="32">
        <v>0</v>
      </c>
      <c r="AL451" s="14">
        <f>SUM(AF451:AK451)</f>
        <v>0</v>
      </c>
      <c r="AM451" s="15">
        <f>AL451/AL454</f>
        <v>0</v>
      </c>
      <c r="AN451" s="13"/>
      <c r="AO451" s="33">
        <v>0</v>
      </c>
      <c r="AP451" s="33">
        <v>1</v>
      </c>
      <c r="AQ451" s="33">
        <v>0</v>
      </c>
      <c r="AR451" s="33">
        <v>0</v>
      </c>
      <c r="AS451" s="9" t="s">
        <v>82</v>
      </c>
      <c r="AT451" s="33">
        <v>0</v>
      </c>
      <c r="AU451" s="14">
        <f>SUM(AO451:AT451)</f>
        <v>1</v>
      </c>
      <c r="AV451" s="15">
        <f>AU451/AU454</f>
        <v>0.125</v>
      </c>
      <c r="AW451" s="13"/>
      <c r="AX451" s="33">
        <v>0</v>
      </c>
      <c r="AY451" s="33">
        <v>0</v>
      </c>
      <c r="AZ451" s="9" t="s">
        <v>82</v>
      </c>
      <c r="BA451" s="32">
        <v>0</v>
      </c>
      <c r="BB451" s="32">
        <v>0</v>
      </c>
      <c r="BC451" s="14">
        <f>SUM(AX451:BB451)</f>
        <v>0</v>
      </c>
      <c r="BD451" s="15">
        <f>BC451/BC454</f>
        <v>0</v>
      </c>
      <c r="BE451" s="13"/>
      <c r="BF451" s="14"/>
      <c r="BG451" s="15" t="e">
        <f>BF451/BF454</f>
        <v>#DIV/0!</v>
      </c>
      <c r="BH451" s="16"/>
      <c r="BI451" s="15"/>
    </row>
    <row r="452" spans="1:61" ht="20.25" customHeight="1">
      <c r="A452" s="10" t="s">
        <v>84</v>
      </c>
      <c r="B452" s="9" t="s">
        <v>59</v>
      </c>
      <c r="C452" s="9">
        <v>0</v>
      </c>
      <c r="D452" s="9">
        <v>7</v>
      </c>
      <c r="E452" s="9">
        <v>0</v>
      </c>
      <c r="F452" s="9">
        <v>1</v>
      </c>
      <c r="G452" s="9" t="s">
        <v>59</v>
      </c>
      <c r="H452" s="9">
        <v>2</v>
      </c>
      <c r="I452" s="9">
        <v>4</v>
      </c>
      <c r="J452" s="33">
        <v>2</v>
      </c>
      <c r="K452" s="10">
        <f t="shared" si="316"/>
        <v>16</v>
      </c>
      <c r="L452" s="11">
        <f>K452/K454</f>
        <v>0.24615384615384617</v>
      </c>
      <c r="M452" s="35">
        <f>K452/K457</f>
        <v>0.24242424242424243</v>
      </c>
      <c r="N452" s="12"/>
      <c r="O452" s="11"/>
      <c r="P452" s="13"/>
      <c r="Q452" s="33">
        <v>2</v>
      </c>
      <c r="R452" s="33">
        <v>2</v>
      </c>
      <c r="S452" s="33">
        <v>0</v>
      </c>
      <c r="T452" s="14">
        <f>SUM(Q452:S452)</f>
        <v>4</v>
      </c>
      <c r="U452" s="15">
        <f>T452/T454</f>
        <v>0.30769230769230771</v>
      </c>
      <c r="V452" s="13"/>
      <c r="W452" s="33">
        <v>1</v>
      </c>
      <c r="X452" s="33">
        <v>0</v>
      </c>
      <c r="Y452" s="33">
        <v>1</v>
      </c>
      <c r="Z452" s="33" t="s">
        <v>82</v>
      </c>
      <c r="AA452" s="33">
        <v>0</v>
      </c>
      <c r="AB452" s="33">
        <v>0</v>
      </c>
      <c r="AC452" s="14">
        <f>SUM(W452:AB452)</f>
        <v>2</v>
      </c>
      <c r="AD452" s="15">
        <f>AC452/AC454</f>
        <v>9.0909090909090912E-2</v>
      </c>
      <c r="AE452" s="13"/>
      <c r="AF452" s="33">
        <v>0</v>
      </c>
      <c r="AG452" s="33">
        <v>5</v>
      </c>
      <c r="AH452" s="9" t="s">
        <v>82</v>
      </c>
      <c r="AI452" s="33">
        <v>0</v>
      </c>
      <c r="AJ452" s="32">
        <v>0</v>
      </c>
      <c r="AK452" s="32">
        <v>1</v>
      </c>
      <c r="AL452" s="14">
        <f>SUM(AF452:AK452)</f>
        <v>6</v>
      </c>
      <c r="AM452" s="15">
        <f>AL452/AL454</f>
        <v>0.31578947368421051</v>
      </c>
      <c r="AN452" s="13"/>
      <c r="AO452" s="33">
        <v>0</v>
      </c>
      <c r="AP452" s="33">
        <v>1</v>
      </c>
      <c r="AQ452" s="33">
        <v>1</v>
      </c>
      <c r="AR452" s="33">
        <v>0</v>
      </c>
      <c r="AS452" s="9" t="s">
        <v>82</v>
      </c>
      <c r="AT452" s="33">
        <v>0</v>
      </c>
      <c r="AU452" s="14">
        <f>SUM(AO452:AT452)</f>
        <v>2</v>
      </c>
      <c r="AV452" s="15">
        <f>AU452/AU454</f>
        <v>0.25</v>
      </c>
      <c r="AW452" s="13"/>
      <c r="AX452" s="33">
        <v>1</v>
      </c>
      <c r="AY452" s="33">
        <v>0</v>
      </c>
      <c r="AZ452" s="9" t="s">
        <v>82</v>
      </c>
      <c r="BA452" s="33">
        <v>0</v>
      </c>
      <c r="BB452" s="33">
        <v>1</v>
      </c>
      <c r="BC452" s="14">
        <f>SUM(AX452:BB452)</f>
        <v>2</v>
      </c>
      <c r="BD452" s="15">
        <f>BC452/BC454</f>
        <v>0.5</v>
      </c>
      <c r="BE452" s="13"/>
      <c r="BF452" s="14"/>
      <c r="BG452" s="15" t="e">
        <f>BF452/BF454</f>
        <v>#DIV/0!</v>
      </c>
      <c r="BH452" s="16"/>
      <c r="BI452" s="15"/>
    </row>
    <row r="453" spans="1:61" ht="20.25" customHeight="1">
      <c r="A453" s="10" t="s">
        <v>85</v>
      </c>
      <c r="B453" s="9" t="s">
        <v>59</v>
      </c>
      <c r="C453" s="9">
        <v>0</v>
      </c>
      <c r="D453" s="9">
        <v>0</v>
      </c>
      <c r="E453" s="9">
        <v>0</v>
      </c>
      <c r="F453" s="9">
        <v>0</v>
      </c>
      <c r="G453" s="9" t="s">
        <v>59</v>
      </c>
      <c r="H453" s="9">
        <v>0</v>
      </c>
      <c r="I453" s="9">
        <v>0</v>
      </c>
      <c r="J453" s="33">
        <v>0</v>
      </c>
      <c r="K453" s="10">
        <f t="shared" si="316"/>
        <v>0</v>
      </c>
      <c r="L453" s="11">
        <f>K453/K454</f>
        <v>0</v>
      </c>
      <c r="M453" s="35">
        <f>K453/K457</f>
        <v>0</v>
      </c>
      <c r="N453" s="12"/>
      <c r="O453" s="11"/>
      <c r="P453" s="13"/>
      <c r="Q453" s="33">
        <v>0</v>
      </c>
      <c r="R453" s="33">
        <v>0</v>
      </c>
      <c r="S453" s="33">
        <v>0</v>
      </c>
      <c r="T453" s="14">
        <f>SUM(Q453:S453)</f>
        <v>0</v>
      </c>
      <c r="U453" s="15">
        <f>T453/T454</f>
        <v>0</v>
      </c>
      <c r="V453" s="13"/>
      <c r="W453" s="33">
        <v>0</v>
      </c>
      <c r="X453" s="33">
        <v>0</v>
      </c>
      <c r="Y453" s="33">
        <v>0</v>
      </c>
      <c r="Z453" s="33" t="s">
        <v>82</v>
      </c>
      <c r="AA453" s="33">
        <v>0</v>
      </c>
      <c r="AB453" s="33">
        <v>0</v>
      </c>
      <c r="AC453" s="14">
        <f>SUM(W453:AB453)</f>
        <v>0</v>
      </c>
      <c r="AD453" s="15">
        <f>AC453/AC454</f>
        <v>0</v>
      </c>
      <c r="AE453" s="13"/>
      <c r="AF453" s="33">
        <v>0</v>
      </c>
      <c r="AG453" s="33">
        <v>0</v>
      </c>
      <c r="AH453" s="9" t="s">
        <v>82</v>
      </c>
      <c r="AI453" s="33">
        <v>0</v>
      </c>
      <c r="AJ453" s="32">
        <v>0</v>
      </c>
      <c r="AK453" s="32">
        <v>0</v>
      </c>
      <c r="AL453" s="14">
        <f>SUM(AF453:AK453)</f>
        <v>0</v>
      </c>
      <c r="AM453" s="15">
        <f>AL453/AL454</f>
        <v>0</v>
      </c>
      <c r="AN453" s="13"/>
      <c r="AO453" s="33">
        <v>0</v>
      </c>
      <c r="AP453" s="33">
        <v>0</v>
      </c>
      <c r="AQ453" s="33">
        <v>0</v>
      </c>
      <c r="AR453" s="33">
        <v>0</v>
      </c>
      <c r="AS453" s="9" t="s">
        <v>82</v>
      </c>
      <c r="AT453" s="33">
        <v>0</v>
      </c>
      <c r="AU453" s="14">
        <f>SUM(AO453:AT453)</f>
        <v>0</v>
      </c>
      <c r="AV453" s="15">
        <f>AU453/AU454</f>
        <v>0</v>
      </c>
      <c r="AW453" s="13"/>
      <c r="AX453" s="33">
        <v>0</v>
      </c>
      <c r="AY453" s="33">
        <v>0</v>
      </c>
      <c r="AZ453" s="9" t="s">
        <v>82</v>
      </c>
      <c r="BA453" s="33">
        <v>0</v>
      </c>
      <c r="BB453" s="33">
        <v>0</v>
      </c>
      <c r="BC453" s="14">
        <f>SUM(AX453:BB453)</f>
        <v>0</v>
      </c>
      <c r="BD453" s="15">
        <f>BC453/BC454</f>
        <v>0</v>
      </c>
      <c r="BE453" s="13"/>
      <c r="BF453" s="14"/>
      <c r="BG453" s="15" t="e">
        <f>BF453/BF454</f>
        <v>#DIV/0!</v>
      </c>
      <c r="BH453" s="16"/>
      <c r="BI453" s="15"/>
    </row>
    <row r="454" spans="1:61" ht="21.75" customHeight="1">
      <c r="A454" s="10" t="s">
        <v>9</v>
      </c>
      <c r="B454" s="9" t="s">
        <v>59</v>
      </c>
      <c r="C454" s="9">
        <f>SUM(C450:C453)</f>
        <v>3</v>
      </c>
      <c r="D454" s="9">
        <f>SUM(D450:D453)</f>
        <v>15</v>
      </c>
      <c r="E454" s="9">
        <f>SUM(E450:E453)</f>
        <v>5</v>
      </c>
      <c r="F454" s="9">
        <f>SUM(F450:F453)</f>
        <v>11</v>
      </c>
      <c r="G454" s="9" t="s">
        <v>59</v>
      </c>
      <c r="H454" s="9">
        <f>SUM(H450:H453)</f>
        <v>10</v>
      </c>
      <c r="I454" s="9">
        <f>SUM(I450:I453)</f>
        <v>10</v>
      </c>
      <c r="J454" s="9">
        <f>SUM(J450:J453)</f>
        <v>11</v>
      </c>
      <c r="K454" s="10">
        <f t="shared" si="316"/>
        <v>65</v>
      </c>
      <c r="L454" s="11">
        <f>SUM(L450:L453)</f>
        <v>1</v>
      </c>
      <c r="M454" s="35">
        <f>K454/K457</f>
        <v>0.98484848484848486</v>
      </c>
      <c r="N454" s="37">
        <f>T454+AC454+AL454+AU454</f>
        <v>62</v>
      </c>
      <c r="O454" s="35">
        <f>N454/K454</f>
        <v>0.9538461538461539</v>
      </c>
      <c r="P454" s="13"/>
      <c r="Q454" s="47">
        <f>SUM(Q448:Q453)</f>
        <v>3</v>
      </c>
      <c r="R454" s="14">
        <f>SUM(R448:R453)</f>
        <v>9</v>
      </c>
      <c r="S454" s="14">
        <f>SUM(S448:S453)</f>
        <v>1</v>
      </c>
      <c r="T454" s="14">
        <f>SUM(T448:T453)</f>
        <v>13</v>
      </c>
      <c r="U454" s="15">
        <f>SUM(U450:U453)</f>
        <v>1</v>
      </c>
      <c r="V454" s="13"/>
      <c r="W454" s="47">
        <f>SUM(W448:W453)</f>
        <v>5</v>
      </c>
      <c r="X454" s="47">
        <f>SUM(X448:X453)</f>
        <v>3</v>
      </c>
      <c r="Y454" s="47">
        <f>SUM(Y448:Y453)</f>
        <v>8</v>
      </c>
      <c r="Z454" s="47">
        <f>SUM(Z448:Z453)</f>
        <v>0</v>
      </c>
      <c r="AA454" s="47">
        <v>4</v>
      </c>
      <c r="AB454" s="47">
        <f>SUM(AB448:AB453)</f>
        <v>1</v>
      </c>
      <c r="AC454" s="45">
        <f>SUM(AC448:AC453)</f>
        <v>22</v>
      </c>
      <c r="AD454" s="15">
        <f>SUM(AD450:AD453)</f>
        <v>1</v>
      </c>
      <c r="AE454" s="13"/>
      <c r="AF454" s="47">
        <f t="shared" ref="AF454:AL454" si="317">SUM(AF448:AF453)</f>
        <v>5</v>
      </c>
      <c r="AG454" s="47">
        <f t="shared" si="317"/>
        <v>5</v>
      </c>
      <c r="AH454" s="47">
        <f t="shared" si="317"/>
        <v>0</v>
      </c>
      <c r="AI454" s="47">
        <f t="shared" si="317"/>
        <v>1</v>
      </c>
      <c r="AJ454" s="47">
        <f t="shared" si="317"/>
        <v>0</v>
      </c>
      <c r="AK454" s="47">
        <f t="shared" si="317"/>
        <v>8</v>
      </c>
      <c r="AL454" s="45">
        <f t="shared" si="317"/>
        <v>19</v>
      </c>
      <c r="AM454" s="48">
        <f>SUM(AM450:AM453)</f>
        <v>1</v>
      </c>
      <c r="AN454" s="13"/>
      <c r="AO454" s="47">
        <f t="shared" ref="AO454:AU454" si="318">SUM(AO448:AO453)</f>
        <v>1</v>
      </c>
      <c r="AP454" s="47">
        <f t="shared" si="318"/>
        <v>2</v>
      </c>
      <c r="AQ454" s="47">
        <f t="shared" si="318"/>
        <v>2</v>
      </c>
      <c r="AR454" s="47">
        <f t="shared" si="318"/>
        <v>1</v>
      </c>
      <c r="AS454" s="47">
        <f t="shared" si="318"/>
        <v>0</v>
      </c>
      <c r="AT454" s="47">
        <f t="shared" si="318"/>
        <v>2</v>
      </c>
      <c r="AU454" s="45">
        <f t="shared" si="318"/>
        <v>8</v>
      </c>
      <c r="AV454" s="15">
        <f>SUM(AV450:AV453)</f>
        <v>1</v>
      </c>
      <c r="AW454" s="13"/>
      <c r="AX454" s="47">
        <f t="shared" ref="AX454:BC454" si="319">SUM(AX448:AX453)</f>
        <v>1</v>
      </c>
      <c r="AY454" s="47">
        <f t="shared" si="319"/>
        <v>1</v>
      </c>
      <c r="AZ454" s="47">
        <f t="shared" si="319"/>
        <v>0</v>
      </c>
      <c r="BA454" s="47">
        <f t="shared" si="319"/>
        <v>0</v>
      </c>
      <c r="BB454" s="47">
        <f t="shared" si="319"/>
        <v>2</v>
      </c>
      <c r="BC454" s="45">
        <f t="shared" si="319"/>
        <v>4</v>
      </c>
      <c r="BD454" s="15">
        <f>SUM(BD450:BD453)</f>
        <v>1</v>
      </c>
      <c r="BE454" s="13"/>
      <c r="BF454" s="14">
        <f>SUM(BF450:BF453)</f>
        <v>0</v>
      </c>
      <c r="BG454" s="15" t="e">
        <f>SUM(BG450:BG453)</f>
        <v>#DIV/0!</v>
      </c>
      <c r="BH454" s="16"/>
      <c r="BI454" s="15"/>
    </row>
    <row r="455" spans="1:61" ht="21.75" customHeight="1">
      <c r="A455" s="8" t="s">
        <v>64</v>
      </c>
      <c r="B455" s="9" t="s">
        <v>59</v>
      </c>
      <c r="C455" s="32">
        <v>0</v>
      </c>
      <c r="D455" s="32">
        <v>0</v>
      </c>
      <c r="E455" s="32">
        <v>1</v>
      </c>
      <c r="F455" s="32">
        <v>0</v>
      </c>
      <c r="G455" s="9" t="s">
        <v>59</v>
      </c>
      <c r="H455" s="32">
        <v>0</v>
      </c>
      <c r="I455" s="32">
        <v>0</v>
      </c>
      <c r="J455" s="32">
        <v>0</v>
      </c>
      <c r="K455" s="23">
        <f t="shared" si="316"/>
        <v>1</v>
      </c>
      <c r="L455" s="35">
        <f>K455/(K454+K455+K456)</f>
        <v>1.5151515151515152E-2</v>
      </c>
      <c r="M455" s="35">
        <f>K455/(K457)</f>
        <v>1.5151515151515152E-2</v>
      </c>
      <c r="N455" s="37"/>
      <c r="O455" s="35"/>
      <c r="P455" s="13"/>
      <c r="Q455" s="52">
        <v>0</v>
      </c>
      <c r="R455" s="14">
        <v>0</v>
      </c>
      <c r="S455" s="14">
        <v>0</v>
      </c>
      <c r="T455" s="38">
        <f>SUM(Q455:S455)</f>
        <v>0</v>
      </c>
      <c r="U455" s="15">
        <f>T455/T457</f>
        <v>0</v>
      </c>
      <c r="V455" s="13"/>
      <c r="W455" s="52">
        <v>0</v>
      </c>
      <c r="X455" s="52">
        <v>0</v>
      </c>
      <c r="Y455" s="52">
        <v>0</v>
      </c>
      <c r="Z455" s="103" t="s">
        <v>82</v>
      </c>
      <c r="AA455" s="52">
        <v>1</v>
      </c>
      <c r="AB455" s="118">
        <v>0</v>
      </c>
      <c r="AC455" s="51">
        <f>SUM(W455:AB455)</f>
        <v>1</v>
      </c>
      <c r="AD455" s="15">
        <f>AC455/AC457</f>
        <v>4.5454545454545456E-2</v>
      </c>
      <c r="AE455" s="13"/>
      <c r="AF455" s="52">
        <v>0</v>
      </c>
      <c r="AG455" s="52">
        <v>0</v>
      </c>
      <c r="AH455" s="103" t="s">
        <v>82</v>
      </c>
      <c r="AI455" s="52">
        <v>0</v>
      </c>
      <c r="AJ455" s="118">
        <v>0</v>
      </c>
      <c r="AK455" s="118">
        <v>0</v>
      </c>
      <c r="AL455" s="49">
        <f>SUM(AF455:AK455)</f>
        <v>0</v>
      </c>
      <c r="AM455" s="15">
        <f>AL455/AL457</f>
        <v>0</v>
      </c>
      <c r="AN455" s="13"/>
      <c r="AO455" s="52">
        <v>0</v>
      </c>
      <c r="AP455" s="52">
        <v>0</v>
      </c>
      <c r="AQ455" s="52">
        <v>0</v>
      </c>
      <c r="AR455" s="52">
        <v>0</v>
      </c>
      <c r="AS455" s="103" t="s">
        <v>82</v>
      </c>
      <c r="AT455" s="118">
        <v>0</v>
      </c>
      <c r="AU455" s="51">
        <f>SUM(AO455:AT455)</f>
        <v>0</v>
      </c>
      <c r="AV455" s="15">
        <f>AU455/AU457</f>
        <v>0</v>
      </c>
      <c r="AW455" s="13"/>
      <c r="AX455" s="52">
        <v>0</v>
      </c>
      <c r="AY455" s="52">
        <v>0</v>
      </c>
      <c r="AZ455" s="103" t="s">
        <v>82</v>
      </c>
      <c r="BA455" s="118">
        <v>0</v>
      </c>
      <c r="BB455" s="118">
        <v>0</v>
      </c>
      <c r="BC455" s="51">
        <f>SUM(AX455:BB455)</f>
        <v>0</v>
      </c>
      <c r="BD455" s="15">
        <f>BC455/BC457</f>
        <v>0</v>
      </c>
      <c r="BE455" s="13"/>
      <c r="BF455" s="38"/>
      <c r="BG455" s="42"/>
      <c r="BH455" s="42"/>
      <c r="BI455" s="42"/>
    </row>
    <row r="456" spans="1:61" ht="20.25" customHeight="1">
      <c r="A456" s="8" t="s">
        <v>65</v>
      </c>
      <c r="B456" s="9" t="s">
        <v>59</v>
      </c>
      <c r="C456" s="32">
        <v>0</v>
      </c>
      <c r="D456" s="32">
        <v>0</v>
      </c>
      <c r="E456" s="32">
        <v>0</v>
      </c>
      <c r="F456" s="32">
        <v>0</v>
      </c>
      <c r="G456" s="9" t="s">
        <v>59</v>
      </c>
      <c r="H456" s="32">
        <v>0</v>
      </c>
      <c r="I456" s="32">
        <v>0</v>
      </c>
      <c r="J456" s="32">
        <v>0</v>
      </c>
      <c r="K456" s="23">
        <f t="shared" si="316"/>
        <v>0</v>
      </c>
      <c r="L456" s="35">
        <f>K456/(K455+K456+K454)</f>
        <v>0</v>
      </c>
      <c r="M456" s="35">
        <f>K456/(K457)</f>
        <v>0</v>
      </c>
      <c r="N456" s="23"/>
      <c r="O456" s="35"/>
      <c r="P456" s="13"/>
      <c r="Q456" s="14">
        <v>0</v>
      </c>
      <c r="R456" s="14">
        <v>0</v>
      </c>
      <c r="S456" s="14">
        <v>0</v>
      </c>
      <c r="T456" s="38">
        <f>SUM(Q456:S456)</f>
        <v>0</v>
      </c>
      <c r="U456" s="15">
        <f>T456/T457</f>
        <v>0</v>
      </c>
      <c r="V456" s="13"/>
      <c r="W456" s="14">
        <v>0</v>
      </c>
      <c r="X456" s="14">
        <v>0</v>
      </c>
      <c r="Y456" s="14">
        <v>0</v>
      </c>
      <c r="Z456" s="9" t="s">
        <v>82</v>
      </c>
      <c r="AA456" s="14">
        <v>0</v>
      </c>
      <c r="AB456" s="32">
        <v>0</v>
      </c>
      <c r="AC456" s="38">
        <f>SUM(W456:AB456)</f>
        <v>0</v>
      </c>
      <c r="AD456" s="15">
        <f>AC456/AC457</f>
        <v>0</v>
      </c>
      <c r="AE456" s="13"/>
      <c r="AF456" s="14">
        <v>0</v>
      </c>
      <c r="AG456" s="14">
        <v>0</v>
      </c>
      <c r="AH456" s="9" t="s">
        <v>82</v>
      </c>
      <c r="AI456" s="14">
        <v>0</v>
      </c>
      <c r="AJ456" s="32">
        <v>0</v>
      </c>
      <c r="AK456" s="32">
        <v>0</v>
      </c>
      <c r="AL456" s="14">
        <f>SUM(AF456:AK456)</f>
        <v>0</v>
      </c>
      <c r="AM456" s="15">
        <f>AL456/AL457</f>
        <v>0</v>
      </c>
      <c r="AN456" s="13"/>
      <c r="AO456" s="14">
        <v>0</v>
      </c>
      <c r="AP456" s="14">
        <v>0</v>
      </c>
      <c r="AQ456" s="14">
        <v>0</v>
      </c>
      <c r="AR456" s="14">
        <v>0</v>
      </c>
      <c r="AS456" s="9" t="s">
        <v>82</v>
      </c>
      <c r="AT456" s="32">
        <v>0</v>
      </c>
      <c r="AU456" s="38">
        <f>SUM(AO456:AT456)</f>
        <v>0</v>
      </c>
      <c r="AV456" s="15">
        <f>AU456/AU457</f>
        <v>0</v>
      </c>
      <c r="AW456" s="13"/>
      <c r="AX456" s="14">
        <v>0</v>
      </c>
      <c r="AY456" s="14">
        <v>0</v>
      </c>
      <c r="AZ456" s="9" t="s">
        <v>82</v>
      </c>
      <c r="BA456" s="32">
        <v>0</v>
      </c>
      <c r="BB456" s="32">
        <v>0</v>
      </c>
      <c r="BC456" s="38">
        <f>SUM(AX456:BB456)</f>
        <v>0</v>
      </c>
      <c r="BD456" s="15">
        <f>BC456/BC457</f>
        <v>0</v>
      </c>
      <c r="BE456" s="13"/>
      <c r="BF456" s="38"/>
      <c r="BG456" s="42"/>
      <c r="BH456" s="42"/>
      <c r="BI456" s="42"/>
    </row>
    <row r="457" spans="1:61" ht="20.25" customHeight="1">
      <c r="A457" s="39" t="s">
        <v>66</v>
      </c>
      <c r="B457" s="9" t="s">
        <v>59</v>
      </c>
      <c r="C457" s="32">
        <f>SUM(C454:C456)</f>
        <v>3</v>
      </c>
      <c r="D457" s="32">
        <f>SUM(D454:D456)</f>
        <v>15</v>
      </c>
      <c r="E457" s="32">
        <f>SUM(E454:E456)</f>
        <v>6</v>
      </c>
      <c r="F457" s="32">
        <f>SUM(F454:F456)</f>
        <v>11</v>
      </c>
      <c r="G457" s="9" t="s">
        <v>59</v>
      </c>
      <c r="H457" s="32">
        <f>SUM(H454:H456)</f>
        <v>10</v>
      </c>
      <c r="I457" s="32">
        <f>SUM(I454:I456)</f>
        <v>10</v>
      </c>
      <c r="J457" s="32">
        <f>SUM(J454:J456)</f>
        <v>11</v>
      </c>
      <c r="K457" s="23">
        <f t="shared" si="316"/>
        <v>66</v>
      </c>
      <c r="L457" s="35">
        <f>K457/(K456+K455+K454)</f>
        <v>1</v>
      </c>
      <c r="M457" s="35">
        <f>K457/(K454+K455+K456)</f>
        <v>1</v>
      </c>
      <c r="N457" s="37">
        <f>T457+AC457+AL457+AU457</f>
        <v>62</v>
      </c>
      <c r="O457" s="35">
        <f>N457/K457</f>
        <v>0.93939393939393945</v>
      </c>
      <c r="P457" s="13"/>
      <c r="Q457" s="38">
        <f>SUM(Q454:Q456)</f>
        <v>3</v>
      </c>
      <c r="R457" s="38">
        <f>SUM(R454:R456)</f>
        <v>9</v>
      </c>
      <c r="S457" s="38">
        <f>SUM(S454:S456)</f>
        <v>1</v>
      </c>
      <c r="T457" s="38">
        <f>SUM(Q457:S457)</f>
        <v>13</v>
      </c>
      <c r="U457" s="40">
        <f>T457/(T454+T455+T456)</f>
        <v>1</v>
      </c>
      <c r="V457" s="13"/>
      <c r="W457" s="38">
        <f t="shared" ref="W457:AB457" si="320">SUM(W454:W456)</f>
        <v>5</v>
      </c>
      <c r="X457" s="38">
        <f t="shared" si="320"/>
        <v>3</v>
      </c>
      <c r="Y457" s="38">
        <f t="shared" si="320"/>
        <v>8</v>
      </c>
      <c r="Z457" s="38">
        <f t="shared" si="320"/>
        <v>0</v>
      </c>
      <c r="AA457" s="38">
        <f t="shared" si="320"/>
        <v>5</v>
      </c>
      <c r="AB457" s="38">
        <f t="shared" si="320"/>
        <v>1</v>
      </c>
      <c r="AC457" s="38">
        <f>SUM(W457:AB457)</f>
        <v>22</v>
      </c>
      <c r="AD457" s="40">
        <f>AC457/(AC454+AC455+AC456)</f>
        <v>0.95652173913043481</v>
      </c>
      <c r="AE457" s="13"/>
      <c r="AF457" s="38">
        <f t="shared" ref="AF457:AK457" si="321">SUM(AF454:AF456)</f>
        <v>5</v>
      </c>
      <c r="AG457" s="38">
        <f t="shared" si="321"/>
        <v>5</v>
      </c>
      <c r="AH457" s="38">
        <f t="shared" si="321"/>
        <v>0</v>
      </c>
      <c r="AI457" s="38">
        <f t="shared" si="321"/>
        <v>1</v>
      </c>
      <c r="AJ457" s="38">
        <f t="shared" si="321"/>
        <v>0</v>
      </c>
      <c r="AK457" s="38">
        <f t="shared" si="321"/>
        <v>8</v>
      </c>
      <c r="AL457" s="38">
        <f>SUM(AF457:AK457)</f>
        <v>19</v>
      </c>
      <c r="AM457" s="41">
        <f>AL457/(AL454+AL455+AL456)</f>
        <v>1</v>
      </c>
      <c r="AN457" s="13"/>
      <c r="AO457" s="38">
        <f t="shared" ref="AO457:AT457" si="322">SUM(AO454:AO456)</f>
        <v>1</v>
      </c>
      <c r="AP457" s="38">
        <f t="shared" si="322"/>
        <v>2</v>
      </c>
      <c r="AQ457" s="38">
        <f t="shared" si="322"/>
        <v>2</v>
      </c>
      <c r="AR457" s="38">
        <f t="shared" si="322"/>
        <v>1</v>
      </c>
      <c r="AS457" s="38">
        <f t="shared" si="322"/>
        <v>0</v>
      </c>
      <c r="AT457" s="38">
        <f t="shared" si="322"/>
        <v>2</v>
      </c>
      <c r="AU457" s="38">
        <f>SUM(AO457:AT457)</f>
        <v>8</v>
      </c>
      <c r="AV457" s="40">
        <f>AU457/(AU454+AU455+AU456)</f>
        <v>1</v>
      </c>
      <c r="AW457" s="13"/>
      <c r="AX457" s="38">
        <f>SUM(AX454:AX456)</f>
        <v>1</v>
      </c>
      <c r="AY457" s="38">
        <f>SUM(AY454:AY456)</f>
        <v>1</v>
      </c>
      <c r="AZ457" s="38">
        <f>SUM(AZ454:AZ456)</f>
        <v>0</v>
      </c>
      <c r="BA457" s="38">
        <f>SUM(BA454:BA456)</f>
        <v>0</v>
      </c>
      <c r="BB457" s="38">
        <f>SUM(BB454:BB456)</f>
        <v>2</v>
      </c>
      <c r="BC457" s="38">
        <f>SUM(AX457:BB457)</f>
        <v>4</v>
      </c>
      <c r="BD457" s="40">
        <f>BC457/(BC454+BC455+BC456)</f>
        <v>1</v>
      </c>
      <c r="BE457" s="13"/>
      <c r="BF457" s="38"/>
      <c r="BG457" s="42"/>
      <c r="BH457" s="42"/>
      <c r="BI457" s="42"/>
    </row>
    <row r="458" spans="1:61" ht="56.25" customHeight="1">
      <c r="A458" s="53" t="s">
        <v>188</v>
      </c>
      <c r="B458" s="181" t="s">
        <v>166</v>
      </c>
      <c r="C458" s="182"/>
      <c r="D458" s="182"/>
      <c r="E458" s="182"/>
      <c r="F458" s="182"/>
      <c r="G458" s="22"/>
      <c r="H458" s="22"/>
      <c r="I458" s="22"/>
      <c r="J458" s="22"/>
      <c r="K458" s="21"/>
      <c r="L458" s="24"/>
      <c r="M458" s="24"/>
      <c r="N458" s="26"/>
      <c r="O458" s="24"/>
      <c r="P458" s="27"/>
      <c r="Q458" s="28"/>
      <c r="R458" s="28"/>
      <c r="S458" s="28"/>
      <c r="T458" s="26"/>
      <c r="U458" s="24"/>
      <c r="V458" s="27"/>
      <c r="W458" s="28"/>
      <c r="X458" s="28"/>
      <c r="Y458" s="28"/>
      <c r="Z458" s="28"/>
      <c r="AA458" s="28"/>
      <c r="AB458" s="28"/>
      <c r="AC458" s="26"/>
      <c r="AD458" s="24"/>
      <c r="AE458" s="27"/>
      <c r="AF458" s="28"/>
      <c r="AG458" s="28"/>
      <c r="AH458" s="28"/>
      <c r="AI458" s="28"/>
      <c r="AJ458" s="28"/>
      <c r="AK458" s="28"/>
      <c r="AL458" s="26"/>
      <c r="AM458" s="29"/>
      <c r="AN458" s="27"/>
      <c r="AO458" s="26"/>
      <c r="AP458" s="26"/>
      <c r="AQ458" s="26"/>
      <c r="AR458" s="26"/>
      <c r="AS458" s="26"/>
      <c r="AT458" s="26"/>
      <c r="AU458" s="26"/>
      <c r="AV458" s="24"/>
      <c r="AW458" s="27"/>
      <c r="AX458" s="26"/>
      <c r="AY458" s="26"/>
      <c r="AZ458" s="26"/>
      <c r="BA458" s="26"/>
      <c r="BB458" s="26"/>
      <c r="BC458" s="26"/>
      <c r="BD458" s="24"/>
      <c r="BE458" s="27"/>
      <c r="BF458" s="26"/>
      <c r="BG458" s="22"/>
      <c r="BH458" s="21"/>
      <c r="BI458" s="22"/>
    </row>
    <row r="459" spans="1:61" ht="32.25" customHeight="1">
      <c r="A459" s="10"/>
      <c r="B459" s="30" t="s">
        <v>0</v>
      </c>
      <c r="C459" s="30" t="s">
        <v>1</v>
      </c>
      <c r="D459" s="30" t="s">
        <v>2</v>
      </c>
      <c r="E459" s="30" t="s">
        <v>3</v>
      </c>
      <c r="F459" s="30" t="s">
        <v>4</v>
      </c>
      <c r="G459" s="30" t="s">
        <v>5</v>
      </c>
      <c r="H459" s="30" t="s">
        <v>68</v>
      </c>
      <c r="I459" s="30" t="s">
        <v>7</v>
      </c>
      <c r="J459" s="30" t="s">
        <v>8</v>
      </c>
      <c r="K459" s="10" t="s">
        <v>9</v>
      </c>
      <c r="L459" s="10" t="s">
        <v>56</v>
      </c>
      <c r="M459" s="20"/>
      <c r="N459" s="37"/>
      <c r="O459" s="35"/>
      <c r="P459" s="13"/>
      <c r="Q459" s="38"/>
      <c r="R459" s="38"/>
      <c r="S459" s="38"/>
      <c r="T459" s="38">
        <f t="shared" ref="T459:T468" si="323">SUM(Q459:S459)</f>
        <v>0</v>
      </c>
      <c r="U459" s="40"/>
      <c r="V459" s="13"/>
      <c r="W459" s="38"/>
      <c r="X459" s="38"/>
      <c r="Y459" s="38"/>
      <c r="Z459" s="119"/>
      <c r="AA459" s="38"/>
      <c r="AB459" s="38"/>
      <c r="AC459" s="38">
        <f t="shared" ref="AC459:AC468" si="324">SUM(W459:AB459)</f>
        <v>0</v>
      </c>
      <c r="AD459" s="40"/>
      <c r="AE459" s="13"/>
      <c r="AF459" s="38"/>
      <c r="AG459" s="38"/>
      <c r="AH459" s="16"/>
      <c r="AI459" s="38"/>
      <c r="AJ459" s="38"/>
      <c r="AK459" s="38"/>
      <c r="AL459" s="38">
        <f t="shared" ref="AL459:AL468" si="325">SUM(AF459:AK459)</f>
        <v>0</v>
      </c>
      <c r="AM459" s="41"/>
      <c r="AN459" s="13"/>
      <c r="AO459" s="38"/>
      <c r="AP459" s="38"/>
      <c r="AQ459" s="38"/>
      <c r="AR459" s="38"/>
      <c r="AS459" s="16"/>
      <c r="AT459" s="38"/>
      <c r="AU459" s="38">
        <f t="shared" ref="AU459:AU468" si="326">SUM(AO459:AT459)</f>
        <v>0</v>
      </c>
      <c r="AV459" s="40"/>
      <c r="AW459" s="13"/>
      <c r="AX459" s="38"/>
      <c r="AY459" s="38"/>
      <c r="AZ459" s="16"/>
      <c r="BA459" s="38"/>
      <c r="BB459" s="38"/>
      <c r="BC459" s="38">
        <f t="shared" ref="BC459:BC468" si="327">SUM(AX459:BB459)</f>
        <v>0</v>
      </c>
      <c r="BD459" s="40"/>
      <c r="BE459" s="13"/>
      <c r="BF459" s="38"/>
      <c r="BG459" s="42"/>
      <c r="BH459" s="42"/>
      <c r="BI459" s="42"/>
    </row>
    <row r="460" spans="1:61" ht="32.25" customHeight="1">
      <c r="A460" s="10" t="s">
        <v>167</v>
      </c>
      <c r="B460" s="9">
        <v>3</v>
      </c>
      <c r="C460" s="32" t="s">
        <v>59</v>
      </c>
      <c r="D460" s="32" t="s">
        <v>59</v>
      </c>
      <c r="E460" s="32" t="s">
        <v>59</v>
      </c>
      <c r="F460" s="32" t="s">
        <v>59</v>
      </c>
      <c r="G460" s="32" t="s">
        <v>59</v>
      </c>
      <c r="H460" s="32" t="s">
        <v>59</v>
      </c>
      <c r="I460" s="32" t="s">
        <v>59</v>
      </c>
      <c r="J460" s="32" t="s">
        <v>59</v>
      </c>
      <c r="K460" s="23">
        <f t="shared" ref="K460:K468" si="328">SUM(B460:J460)</f>
        <v>3</v>
      </c>
      <c r="L460" s="11">
        <f>K460/K465</f>
        <v>0.1875</v>
      </c>
      <c r="M460" s="35">
        <f>K460/K468</f>
        <v>0.1875</v>
      </c>
      <c r="N460" s="37"/>
      <c r="O460" s="35"/>
      <c r="P460" s="13"/>
      <c r="Q460" s="38"/>
      <c r="R460" s="38"/>
      <c r="S460" s="38"/>
      <c r="T460" s="38">
        <f t="shared" si="323"/>
        <v>0</v>
      </c>
      <c r="U460" s="40"/>
      <c r="V460" s="13"/>
      <c r="W460" s="38"/>
      <c r="X460" s="38"/>
      <c r="Y460" s="38"/>
      <c r="Z460" s="119"/>
      <c r="AA460" s="38"/>
      <c r="AB460" s="38"/>
      <c r="AC460" s="38">
        <f t="shared" si="324"/>
        <v>0</v>
      </c>
      <c r="AD460" s="40"/>
      <c r="AE460" s="13"/>
      <c r="AF460" s="38"/>
      <c r="AG460" s="38"/>
      <c r="AH460" s="16"/>
      <c r="AI460" s="38"/>
      <c r="AJ460" s="38"/>
      <c r="AK460" s="38"/>
      <c r="AL460" s="38">
        <f t="shared" si="325"/>
        <v>0</v>
      </c>
      <c r="AM460" s="41"/>
      <c r="AN460" s="13"/>
      <c r="AO460" s="38"/>
      <c r="AP460" s="38"/>
      <c r="AQ460" s="38"/>
      <c r="AR460" s="38"/>
      <c r="AS460" s="16"/>
      <c r="AT460" s="38"/>
      <c r="AU460" s="38">
        <f t="shared" si="326"/>
        <v>0</v>
      </c>
      <c r="AV460" s="40"/>
      <c r="AW460" s="13"/>
      <c r="AX460" s="38"/>
      <c r="AY460" s="38"/>
      <c r="AZ460" s="16"/>
      <c r="BA460" s="38"/>
      <c r="BB460" s="38"/>
      <c r="BC460" s="38">
        <f t="shared" si="327"/>
        <v>0</v>
      </c>
      <c r="BD460" s="40"/>
      <c r="BE460" s="13"/>
      <c r="BF460" s="38"/>
      <c r="BG460" s="42"/>
      <c r="BH460" s="42"/>
      <c r="BI460" s="42"/>
    </row>
    <row r="461" spans="1:61" ht="20.25" customHeight="1">
      <c r="A461" s="10" t="s">
        <v>168</v>
      </c>
      <c r="B461" s="9">
        <v>0</v>
      </c>
      <c r="C461" s="32" t="s">
        <v>59</v>
      </c>
      <c r="D461" s="32" t="s">
        <v>59</v>
      </c>
      <c r="E461" s="32" t="s">
        <v>59</v>
      </c>
      <c r="F461" s="32" t="s">
        <v>59</v>
      </c>
      <c r="G461" s="32" t="s">
        <v>59</v>
      </c>
      <c r="H461" s="32" t="s">
        <v>59</v>
      </c>
      <c r="I461" s="32" t="s">
        <v>59</v>
      </c>
      <c r="J461" s="32" t="s">
        <v>59</v>
      </c>
      <c r="K461" s="23">
        <f t="shared" si="328"/>
        <v>0</v>
      </c>
      <c r="L461" s="11">
        <f>K461/K465</f>
        <v>0</v>
      </c>
      <c r="M461" s="35">
        <f>K461/K468</f>
        <v>0</v>
      </c>
      <c r="N461" s="37"/>
      <c r="O461" s="35"/>
      <c r="P461" s="13"/>
      <c r="Q461" s="38"/>
      <c r="R461" s="38"/>
      <c r="S461" s="38"/>
      <c r="T461" s="38">
        <f t="shared" si="323"/>
        <v>0</v>
      </c>
      <c r="U461" s="40"/>
      <c r="V461" s="13"/>
      <c r="W461" s="38"/>
      <c r="X461" s="38"/>
      <c r="Y461" s="38"/>
      <c r="Z461" s="119"/>
      <c r="AA461" s="38"/>
      <c r="AB461" s="38"/>
      <c r="AC461" s="38">
        <f t="shared" si="324"/>
        <v>0</v>
      </c>
      <c r="AD461" s="40"/>
      <c r="AE461" s="13"/>
      <c r="AF461" s="38"/>
      <c r="AG461" s="38"/>
      <c r="AH461" s="16"/>
      <c r="AI461" s="38"/>
      <c r="AJ461" s="38"/>
      <c r="AK461" s="38"/>
      <c r="AL461" s="38">
        <f t="shared" si="325"/>
        <v>0</v>
      </c>
      <c r="AM461" s="41"/>
      <c r="AN461" s="13"/>
      <c r="AO461" s="38"/>
      <c r="AP461" s="38"/>
      <c r="AQ461" s="38"/>
      <c r="AR461" s="38"/>
      <c r="AS461" s="16"/>
      <c r="AT461" s="38"/>
      <c r="AU461" s="38">
        <f t="shared" si="326"/>
        <v>0</v>
      </c>
      <c r="AV461" s="40"/>
      <c r="AW461" s="13"/>
      <c r="AX461" s="38"/>
      <c r="AY461" s="38"/>
      <c r="AZ461" s="16"/>
      <c r="BA461" s="38"/>
      <c r="BB461" s="38"/>
      <c r="BC461" s="38">
        <f t="shared" si="327"/>
        <v>0</v>
      </c>
      <c r="BD461" s="40"/>
      <c r="BE461" s="13"/>
      <c r="BF461" s="38"/>
      <c r="BG461" s="42"/>
      <c r="BH461" s="42"/>
      <c r="BI461" s="42"/>
    </row>
    <row r="462" spans="1:61" ht="20.25" customHeight="1">
      <c r="A462" s="10" t="s">
        <v>84</v>
      </c>
      <c r="B462" s="9">
        <v>3</v>
      </c>
      <c r="C462" s="32" t="s">
        <v>59</v>
      </c>
      <c r="D462" s="32" t="s">
        <v>59</v>
      </c>
      <c r="E462" s="32" t="s">
        <v>59</v>
      </c>
      <c r="F462" s="32" t="s">
        <v>59</v>
      </c>
      <c r="G462" s="32" t="s">
        <v>59</v>
      </c>
      <c r="H462" s="32" t="s">
        <v>59</v>
      </c>
      <c r="I462" s="32" t="s">
        <v>59</v>
      </c>
      <c r="J462" s="32" t="s">
        <v>59</v>
      </c>
      <c r="K462" s="23">
        <f t="shared" si="328"/>
        <v>3</v>
      </c>
      <c r="L462" s="11">
        <f>K462/K465</f>
        <v>0.1875</v>
      </c>
      <c r="M462" s="35">
        <f>K462/K468</f>
        <v>0.1875</v>
      </c>
      <c r="N462" s="37"/>
      <c r="O462" s="35"/>
      <c r="P462" s="13"/>
      <c r="Q462" s="38"/>
      <c r="R462" s="38"/>
      <c r="S462" s="38"/>
      <c r="T462" s="38">
        <f t="shared" si="323"/>
        <v>0</v>
      </c>
      <c r="U462" s="40"/>
      <c r="V462" s="13"/>
      <c r="W462" s="38"/>
      <c r="X462" s="38"/>
      <c r="Y462" s="38"/>
      <c r="Z462" s="119"/>
      <c r="AA462" s="38"/>
      <c r="AB462" s="38"/>
      <c r="AC462" s="38">
        <f t="shared" si="324"/>
        <v>0</v>
      </c>
      <c r="AD462" s="40"/>
      <c r="AE462" s="13"/>
      <c r="AF462" s="38"/>
      <c r="AG462" s="38"/>
      <c r="AH462" s="16"/>
      <c r="AI462" s="38"/>
      <c r="AJ462" s="38"/>
      <c r="AK462" s="38"/>
      <c r="AL462" s="38">
        <f t="shared" si="325"/>
        <v>0</v>
      </c>
      <c r="AM462" s="41"/>
      <c r="AN462" s="13"/>
      <c r="AO462" s="38"/>
      <c r="AP462" s="38"/>
      <c r="AQ462" s="38"/>
      <c r="AR462" s="38"/>
      <c r="AS462" s="16"/>
      <c r="AT462" s="38"/>
      <c r="AU462" s="38">
        <f t="shared" si="326"/>
        <v>0</v>
      </c>
      <c r="AV462" s="40"/>
      <c r="AW462" s="13"/>
      <c r="AX462" s="38"/>
      <c r="AY462" s="38"/>
      <c r="AZ462" s="16"/>
      <c r="BA462" s="38"/>
      <c r="BB462" s="38"/>
      <c r="BC462" s="38">
        <f t="shared" si="327"/>
        <v>0</v>
      </c>
      <c r="BD462" s="40"/>
      <c r="BE462" s="13"/>
      <c r="BF462" s="38"/>
      <c r="BG462" s="42"/>
      <c r="BH462" s="42"/>
      <c r="BI462" s="42"/>
    </row>
    <row r="463" spans="1:61" ht="20.25" customHeight="1">
      <c r="A463" s="10" t="s">
        <v>85</v>
      </c>
      <c r="B463" s="9">
        <v>0</v>
      </c>
      <c r="C463" s="32" t="s">
        <v>59</v>
      </c>
      <c r="D463" s="32" t="s">
        <v>59</v>
      </c>
      <c r="E463" s="32" t="s">
        <v>59</v>
      </c>
      <c r="F463" s="32" t="s">
        <v>59</v>
      </c>
      <c r="G463" s="32" t="s">
        <v>59</v>
      </c>
      <c r="H463" s="32" t="s">
        <v>59</v>
      </c>
      <c r="I463" s="32" t="s">
        <v>59</v>
      </c>
      <c r="J463" s="32" t="s">
        <v>59</v>
      </c>
      <c r="K463" s="23">
        <f t="shared" si="328"/>
        <v>0</v>
      </c>
      <c r="L463" s="11">
        <f>K463/K465</f>
        <v>0</v>
      </c>
      <c r="M463" s="35">
        <f>K463/K468</f>
        <v>0</v>
      </c>
      <c r="N463" s="37"/>
      <c r="O463" s="35"/>
      <c r="P463" s="13"/>
      <c r="Q463" s="38"/>
      <c r="R463" s="38"/>
      <c r="S463" s="38"/>
      <c r="T463" s="38">
        <f t="shared" si="323"/>
        <v>0</v>
      </c>
      <c r="U463" s="40"/>
      <c r="V463" s="13"/>
      <c r="W463" s="38"/>
      <c r="X463" s="38"/>
      <c r="Y463" s="38"/>
      <c r="Z463" s="119"/>
      <c r="AA463" s="38"/>
      <c r="AB463" s="38"/>
      <c r="AC463" s="38">
        <f t="shared" si="324"/>
        <v>0</v>
      </c>
      <c r="AD463" s="40"/>
      <c r="AE463" s="13"/>
      <c r="AF463" s="38"/>
      <c r="AG463" s="38"/>
      <c r="AH463" s="16"/>
      <c r="AI463" s="38"/>
      <c r="AJ463" s="38"/>
      <c r="AK463" s="38"/>
      <c r="AL463" s="38">
        <f t="shared" si="325"/>
        <v>0</v>
      </c>
      <c r="AM463" s="41"/>
      <c r="AN463" s="13"/>
      <c r="AO463" s="38"/>
      <c r="AP463" s="38"/>
      <c r="AQ463" s="38"/>
      <c r="AR463" s="38"/>
      <c r="AS463" s="16"/>
      <c r="AT463" s="38"/>
      <c r="AU463" s="38">
        <f t="shared" si="326"/>
        <v>0</v>
      </c>
      <c r="AV463" s="40"/>
      <c r="AW463" s="13"/>
      <c r="AX463" s="38"/>
      <c r="AY463" s="38"/>
      <c r="AZ463" s="16"/>
      <c r="BA463" s="38"/>
      <c r="BB463" s="38"/>
      <c r="BC463" s="38">
        <f t="shared" si="327"/>
        <v>0</v>
      </c>
      <c r="BD463" s="40"/>
      <c r="BE463" s="13"/>
      <c r="BF463" s="38"/>
      <c r="BG463" s="42"/>
      <c r="BH463" s="42"/>
      <c r="BI463" s="42"/>
    </row>
    <row r="464" spans="1:61" ht="20.25" customHeight="1">
      <c r="A464" s="10" t="s">
        <v>170</v>
      </c>
      <c r="B464" s="130">
        <v>10</v>
      </c>
      <c r="C464" s="32" t="s">
        <v>59</v>
      </c>
      <c r="D464" s="32" t="s">
        <v>59</v>
      </c>
      <c r="E464" s="32" t="s">
        <v>59</v>
      </c>
      <c r="F464" s="32" t="s">
        <v>59</v>
      </c>
      <c r="G464" s="32" t="s">
        <v>59</v>
      </c>
      <c r="H464" s="32" t="s">
        <v>59</v>
      </c>
      <c r="I464" s="32" t="s">
        <v>59</v>
      </c>
      <c r="J464" s="32" t="s">
        <v>59</v>
      </c>
      <c r="K464" s="23">
        <f t="shared" si="328"/>
        <v>10</v>
      </c>
      <c r="L464" s="11">
        <f>K464/K465</f>
        <v>0.625</v>
      </c>
      <c r="M464" s="35">
        <f>K464/K468</f>
        <v>0.625</v>
      </c>
      <c r="N464" s="37"/>
      <c r="O464" s="35"/>
      <c r="P464" s="13"/>
      <c r="Q464" s="38"/>
      <c r="R464" s="38"/>
      <c r="S464" s="38"/>
      <c r="T464" s="38">
        <f t="shared" si="323"/>
        <v>0</v>
      </c>
      <c r="U464" s="40"/>
      <c r="V464" s="13"/>
      <c r="W464" s="38"/>
      <c r="X464" s="38"/>
      <c r="Y464" s="38"/>
      <c r="Z464" s="119"/>
      <c r="AA464" s="38"/>
      <c r="AB464" s="38"/>
      <c r="AC464" s="38">
        <f t="shared" si="324"/>
        <v>0</v>
      </c>
      <c r="AD464" s="40"/>
      <c r="AE464" s="13"/>
      <c r="AF464" s="38"/>
      <c r="AG464" s="38"/>
      <c r="AH464" s="16"/>
      <c r="AI464" s="38"/>
      <c r="AJ464" s="38"/>
      <c r="AK464" s="38"/>
      <c r="AL464" s="38">
        <f t="shared" si="325"/>
        <v>0</v>
      </c>
      <c r="AM464" s="41"/>
      <c r="AN464" s="13"/>
      <c r="AO464" s="38"/>
      <c r="AP464" s="38"/>
      <c r="AQ464" s="38"/>
      <c r="AR464" s="38"/>
      <c r="AS464" s="16"/>
      <c r="AT464" s="38"/>
      <c r="AU464" s="38">
        <f t="shared" si="326"/>
        <v>0</v>
      </c>
      <c r="AV464" s="40"/>
      <c r="AW464" s="13"/>
      <c r="AX464" s="38"/>
      <c r="AY464" s="38"/>
      <c r="AZ464" s="16"/>
      <c r="BA464" s="38"/>
      <c r="BB464" s="38"/>
      <c r="BC464" s="38">
        <f t="shared" si="327"/>
        <v>0</v>
      </c>
      <c r="BD464" s="40"/>
      <c r="BE464" s="13"/>
      <c r="BF464" s="38"/>
      <c r="BG464" s="42"/>
      <c r="BH464" s="42"/>
      <c r="BI464" s="42"/>
    </row>
    <row r="465" spans="1:61" ht="20.25" customHeight="1">
      <c r="A465" s="10" t="s">
        <v>9</v>
      </c>
      <c r="B465" s="9">
        <f>SUM(B460:B464)</f>
        <v>16</v>
      </c>
      <c r="C465" s="32" t="s">
        <v>59</v>
      </c>
      <c r="D465" s="32" t="s">
        <v>59</v>
      </c>
      <c r="E465" s="32" t="s">
        <v>59</v>
      </c>
      <c r="F465" s="32" t="s">
        <v>59</v>
      </c>
      <c r="G465" s="32" t="s">
        <v>59</v>
      </c>
      <c r="H465" s="32" t="s">
        <v>59</v>
      </c>
      <c r="I465" s="32" t="s">
        <v>59</v>
      </c>
      <c r="J465" s="32" t="s">
        <v>59</v>
      </c>
      <c r="K465" s="23">
        <f t="shared" si="328"/>
        <v>16</v>
      </c>
      <c r="L465" s="11">
        <f>SUM(L460:L464)</f>
        <v>1</v>
      </c>
      <c r="M465" s="35">
        <f>K465/K468</f>
        <v>1</v>
      </c>
      <c r="N465" s="37">
        <f>T465+AC465+AL465+AU465</f>
        <v>0</v>
      </c>
      <c r="O465" s="35">
        <f>N465/K465</f>
        <v>0</v>
      </c>
      <c r="P465" s="13"/>
      <c r="Q465" s="38"/>
      <c r="R465" s="38"/>
      <c r="S465" s="38"/>
      <c r="T465" s="38">
        <f t="shared" si="323"/>
        <v>0</v>
      </c>
      <c r="U465" s="40"/>
      <c r="V465" s="13"/>
      <c r="W465" s="38"/>
      <c r="X465" s="38"/>
      <c r="Y465" s="38"/>
      <c r="Z465" s="119"/>
      <c r="AA465" s="38"/>
      <c r="AB465" s="38"/>
      <c r="AC465" s="38">
        <f t="shared" si="324"/>
        <v>0</v>
      </c>
      <c r="AD465" s="40"/>
      <c r="AE465" s="13"/>
      <c r="AF465" s="38"/>
      <c r="AG465" s="38"/>
      <c r="AH465" s="16"/>
      <c r="AI465" s="38"/>
      <c r="AJ465" s="38"/>
      <c r="AK465" s="38"/>
      <c r="AL465" s="38">
        <f t="shared" si="325"/>
        <v>0</v>
      </c>
      <c r="AM465" s="41"/>
      <c r="AN465" s="13"/>
      <c r="AO465" s="38"/>
      <c r="AP465" s="38"/>
      <c r="AQ465" s="38"/>
      <c r="AR465" s="38"/>
      <c r="AS465" s="16"/>
      <c r="AT465" s="38"/>
      <c r="AU465" s="38">
        <f t="shared" si="326"/>
        <v>0</v>
      </c>
      <c r="AV465" s="40"/>
      <c r="AW465" s="13"/>
      <c r="AX465" s="38"/>
      <c r="AY465" s="38"/>
      <c r="AZ465" s="16"/>
      <c r="BA465" s="38"/>
      <c r="BB465" s="38"/>
      <c r="BC465" s="38">
        <f t="shared" si="327"/>
        <v>0</v>
      </c>
      <c r="BD465" s="40"/>
      <c r="BE465" s="13"/>
      <c r="BF465" s="38"/>
      <c r="BG465" s="42"/>
      <c r="BH465" s="42"/>
      <c r="BI465" s="42"/>
    </row>
    <row r="466" spans="1:61" ht="20.25" customHeight="1">
      <c r="A466" s="8" t="s">
        <v>64</v>
      </c>
      <c r="B466" s="9">
        <v>0</v>
      </c>
      <c r="C466" s="32" t="s">
        <v>59</v>
      </c>
      <c r="D466" s="32" t="s">
        <v>59</v>
      </c>
      <c r="E466" s="32" t="s">
        <v>59</v>
      </c>
      <c r="F466" s="32" t="s">
        <v>59</v>
      </c>
      <c r="G466" s="32" t="s">
        <v>59</v>
      </c>
      <c r="H466" s="32" t="s">
        <v>59</v>
      </c>
      <c r="I466" s="32" t="s">
        <v>59</v>
      </c>
      <c r="J466" s="32" t="s">
        <v>59</v>
      </c>
      <c r="K466" s="23">
        <f t="shared" si="328"/>
        <v>0</v>
      </c>
      <c r="L466" s="35">
        <f>K466/(K465+K466+K467)</f>
        <v>0</v>
      </c>
      <c r="M466" s="35">
        <f>K466/(K468)</f>
        <v>0</v>
      </c>
      <c r="N466" s="37"/>
      <c r="O466" s="35"/>
      <c r="P466" s="13"/>
      <c r="Q466" s="38"/>
      <c r="R466" s="38"/>
      <c r="S466" s="38"/>
      <c r="T466" s="38">
        <f t="shared" si="323"/>
        <v>0</v>
      </c>
      <c r="U466" s="40"/>
      <c r="V466" s="13"/>
      <c r="W466" s="38"/>
      <c r="X466" s="38"/>
      <c r="Y466" s="38"/>
      <c r="Z466" s="119"/>
      <c r="AA466" s="38"/>
      <c r="AB466" s="38"/>
      <c r="AC466" s="38">
        <f t="shared" si="324"/>
        <v>0</v>
      </c>
      <c r="AD466" s="40"/>
      <c r="AE466" s="13"/>
      <c r="AF466" s="38"/>
      <c r="AG466" s="38"/>
      <c r="AH466" s="16"/>
      <c r="AI466" s="38"/>
      <c r="AJ466" s="38"/>
      <c r="AK466" s="38"/>
      <c r="AL466" s="38">
        <f t="shared" si="325"/>
        <v>0</v>
      </c>
      <c r="AM466" s="41"/>
      <c r="AN466" s="13"/>
      <c r="AO466" s="38"/>
      <c r="AP466" s="38"/>
      <c r="AQ466" s="38"/>
      <c r="AR466" s="38"/>
      <c r="AS466" s="16"/>
      <c r="AT466" s="38"/>
      <c r="AU466" s="38">
        <f t="shared" si="326"/>
        <v>0</v>
      </c>
      <c r="AV466" s="40"/>
      <c r="AW466" s="13"/>
      <c r="AX466" s="38"/>
      <c r="AY466" s="38"/>
      <c r="AZ466" s="16"/>
      <c r="BA466" s="38"/>
      <c r="BB466" s="38"/>
      <c r="BC466" s="38">
        <f t="shared" si="327"/>
        <v>0</v>
      </c>
      <c r="BD466" s="40"/>
      <c r="BE466" s="13"/>
      <c r="BF466" s="38"/>
      <c r="BG466" s="42"/>
      <c r="BH466" s="42"/>
      <c r="BI466" s="42"/>
    </row>
    <row r="467" spans="1:61" ht="20.25" customHeight="1">
      <c r="A467" s="8" t="s">
        <v>65</v>
      </c>
      <c r="B467" s="9">
        <v>0</v>
      </c>
      <c r="C467" s="32" t="s">
        <v>59</v>
      </c>
      <c r="D467" s="32" t="s">
        <v>59</v>
      </c>
      <c r="E467" s="32" t="s">
        <v>59</v>
      </c>
      <c r="F467" s="32" t="s">
        <v>59</v>
      </c>
      <c r="G467" s="32" t="s">
        <v>59</v>
      </c>
      <c r="H467" s="32" t="s">
        <v>59</v>
      </c>
      <c r="I467" s="32" t="s">
        <v>59</v>
      </c>
      <c r="J467" s="32" t="s">
        <v>59</v>
      </c>
      <c r="K467" s="23">
        <f t="shared" si="328"/>
        <v>0</v>
      </c>
      <c r="L467" s="35">
        <f>K467/(K466+K467+K465)</f>
        <v>0</v>
      </c>
      <c r="M467" s="35">
        <f>K467/(K468)</f>
        <v>0</v>
      </c>
      <c r="N467" s="37"/>
      <c r="O467" s="35"/>
      <c r="P467" s="13"/>
      <c r="Q467" s="38"/>
      <c r="R467" s="38"/>
      <c r="S467" s="38"/>
      <c r="T467" s="38">
        <f t="shared" si="323"/>
        <v>0</v>
      </c>
      <c r="U467" s="40"/>
      <c r="V467" s="13"/>
      <c r="W467" s="38"/>
      <c r="X467" s="38"/>
      <c r="Y467" s="38"/>
      <c r="Z467" s="119"/>
      <c r="AA467" s="38"/>
      <c r="AB467" s="38"/>
      <c r="AC467" s="38">
        <f t="shared" si="324"/>
        <v>0</v>
      </c>
      <c r="AD467" s="40"/>
      <c r="AE467" s="13"/>
      <c r="AF467" s="38"/>
      <c r="AG467" s="38"/>
      <c r="AH467" s="16"/>
      <c r="AI467" s="38"/>
      <c r="AJ467" s="38"/>
      <c r="AK467" s="38"/>
      <c r="AL467" s="38">
        <f t="shared" si="325"/>
        <v>0</v>
      </c>
      <c r="AM467" s="41"/>
      <c r="AN467" s="13"/>
      <c r="AO467" s="38"/>
      <c r="AP467" s="38"/>
      <c r="AQ467" s="38"/>
      <c r="AR467" s="38"/>
      <c r="AS467" s="16"/>
      <c r="AT467" s="38"/>
      <c r="AU467" s="38">
        <f t="shared" si="326"/>
        <v>0</v>
      </c>
      <c r="AV467" s="40"/>
      <c r="AW467" s="13"/>
      <c r="AX467" s="38"/>
      <c r="AY467" s="38"/>
      <c r="AZ467" s="16"/>
      <c r="BA467" s="38"/>
      <c r="BB467" s="38"/>
      <c r="BC467" s="38">
        <f t="shared" si="327"/>
        <v>0</v>
      </c>
      <c r="BD467" s="40"/>
      <c r="BE467" s="13"/>
      <c r="BF467" s="38"/>
      <c r="BG467" s="42"/>
      <c r="BH467" s="42"/>
      <c r="BI467" s="42"/>
    </row>
    <row r="468" spans="1:61" ht="20.25" customHeight="1">
      <c r="A468" s="39" t="s">
        <v>66</v>
      </c>
      <c r="B468" s="32">
        <f>SUM(B465:B467)</f>
        <v>16</v>
      </c>
      <c r="C468" s="32" t="s">
        <v>59</v>
      </c>
      <c r="D468" s="32" t="s">
        <v>59</v>
      </c>
      <c r="E468" s="32" t="s">
        <v>59</v>
      </c>
      <c r="F468" s="32" t="s">
        <v>59</v>
      </c>
      <c r="G468" s="32" t="s">
        <v>59</v>
      </c>
      <c r="H468" s="32" t="s">
        <v>59</v>
      </c>
      <c r="I468" s="32" t="s">
        <v>59</v>
      </c>
      <c r="J468" s="32" t="s">
        <v>59</v>
      </c>
      <c r="K468" s="23">
        <f t="shared" si="328"/>
        <v>16</v>
      </c>
      <c r="L468" s="35">
        <f>K468/(K467+K466+K465)</f>
        <v>1</v>
      </c>
      <c r="M468" s="35">
        <f>K468/(K465+K466+K467)</f>
        <v>1</v>
      </c>
      <c r="N468" s="37">
        <f>T468+AC468+AL468+AU468</f>
        <v>0</v>
      </c>
      <c r="O468" s="35">
        <f>N468/K468</f>
        <v>0</v>
      </c>
      <c r="P468" s="13"/>
      <c r="Q468" s="38"/>
      <c r="R468" s="38"/>
      <c r="S468" s="38"/>
      <c r="T468" s="38">
        <f t="shared" si="323"/>
        <v>0</v>
      </c>
      <c r="U468" s="40"/>
      <c r="V468" s="13"/>
      <c r="W468" s="38"/>
      <c r="X468" s="38"/>
      <c r="Y468" s="38"/>
      <c r="Z468" s="119"/>
      <c r="AA468" s="38"/>
      <c r="AB468" s="38"/>
      <c r="AC468" s="38">
        <f t="shared" si="324"/>
        <v>0</v>
      </c>
      <c r="AD468" s="40"/>
      <c r="AE468" s="13"/>
      <c r="AF468" s="38"/>
      <c r="AG468" s="38"/>
      <c r="AH468" s="16"/>
      <c r="AI468" s="38"/>
      <c r="AJ468" s="38"/>
      <c r="AK468" s="38"/>
      <c r="AL468" s="38">
        <f t="shared" si="325"/>
        <v>0</v>
      </c>
      <c r="AM468" s="41"/>
      <c r="AN468" s="13"/>
      <c r="AO468" s="38"/>
      <c r="AP468" s="38"/>
      <c r="AQ468" s="38"/>
      <c r="AR468" s="38"/>
      <c r="AS468" s="16"/>
      <c r="AT468" s="38"/>
      <c r="AU468" s="38">
        <f t="shared" si="326"/>
        <v>0</v>
      </c>
      <c r="AV468" s="40"/>
      <c r="AW468" s="13"/>
      <c r="AX468" s="38"/>
      <c r="AY468" s="38"/>
      <c r="AZ468" s="16"/>
      <c r="BA468" s="38"/>
      <c r="BB468" s="38"/>
      <c r="BC468" s="38">
        <f t="shared" si="327"/>
        <v>0</v>
      </c>
      <c r="BD468" s="40"/>
      <c r="BE468" s="13"/>
      <c r="BF468" s="38"/>
      <c r="BG468" s="42"/>
      <c r="BH468" s="42"/>
      <c r="BI468" s="42"/>
    </row>
    <row r="469" spans="1:61" ht="68.25" customHeight="1">
      <c r="A469" s="102" t="s">
        <v>189</v>
      </c>
      <c r="B469" s="181" t="s">
        <v>166</v>
      </c>
      <c r="C469" s="182"/>
      <c r="D469" s="182"/>
      <c r="E469" s="182"/>
      <c r="F469" s="182"/>
      <c r="G469" s="22"/>
      <c r="H469" s="22"/>
      <c r="I469" s="22"/>
      <c r="J469" s="22"/>
      <c r="K469" s="21"/>
      <c r="L469" s="24"/>
      <c r="M469" s="24"/>
      <c r="N469" s="26"/>
      <c r="O469" s="24"/>
      <c r="P469" s="27"/>
      <c r="Q469" s="28"/>
      <c r="R469" s="28"/>
      <c r="S469" s="28"/>
      <c r="T469" s="26"/>
      <c r="U469" s="24"/>
      <c r="V469" s="27"/>
      <c r="W469" s="28"/>
      <c r="X469" s="28"/>
      <c r="Y469" s="28"/>
      <c r="Z469" s="28"/>
      <c r="AA469" s="28"/>
      <c r="AB469" s="28"/>
      <c r="AC469" s="26"/>
      <c r="AD469" s="24"/>
      <c r="AE469" s="27"/>
      <c r="AF469" s="28"/>
      <c r="AG469" s="28"/>
      <c r="AH469" s="28"/>
      <c r="AI469" s="28"/>
      <c r="AJ469" s="28"/>
      <c r="AK469" s="28"/>
      <c r="AL469" s="26"/>
      <c r="AM469" s="29"/>
      <c r="AN469" s="27"/>
      <c r="AO469" s="26"/>
      <c r="AP469" s="26"/>
      <c r="AQ469" s="26"/>
      <c r="AR469" s="26"/>
      <c r="AS469" s="26"/>
      <c r="AT469" s="26"/>
      <c r="AU469" s="26"/>
      <c r="AV469" s="24"/>
      <c r="AW469" s="27"/>
      <c r="AX469" s="26"/>
      <c r="AY469" s="26"/>
      <c r="AZ469" s="26"/>
      <c r="BA469" s="26"/>
      <c r="BB469" s="26"/>
      <c r="BC469" s="26"/>
      <c r="BD469" s="24"/>
      <c r="BE469" s="27"/>
      <c r="BF469" s="26"/>
      <c r="BG469" s="22"/>
      <c r="BH469" s="21"/>
      <c r="BI469" s="22"/>
    </row>
    <row r="470" spans="1:61" ht="32.25" customHeight="1">
      <c r="A470" s="10"/>
      <c r="B470" s="30" t="s">
        <v>0</v>
      </c>
      <c r="C470" s="30" t="s">
        <v>1</v>
      </c>
      <c r="D470" s="30" t="s">
        <v>2</v>
      </c>
      <c r="E470" s="30" t="s">
        <v>3</v>
      </c>
      <c r="F470" s="30" t="s">
        <v>4</v>
      </c>
      <c r="G470" s="30" t="s">
        <v>5</v>
      </c>
      <c r="H470" s="30" t="s">
        <v>68</v>
      </c>
      <c r="I470" s="30" t="s">
        <v>7</v>
      </c>
      <c r="J470" s="30" t="s">
        <v>8</v>
      </c>
      <c r="K470" s="10" t="s">
        <v>9</v>
      </c>
      <c r="L470" s="10" t="s">
        <v>56</v>
      </c>
      <c r="M470" s="20"/>
      <c r="N470" s="12"/>
      <c r="O470" s="20"/>
      <c r="P470" s="27"/>
      <c r="Q470" s="30" t="s">
        <v>15</v>
      </c>
      <c r="R470" s="30" t="s">
        <v>16</v>
      </c>
      <c r="S470" s="30" t="s">
        <v>28</v>
      </c>
      <c r="T470" s="20"/>
      <c r="U470" s="11"/>
      <c r="V470" s="27"/>
      <c r="W470" s="30" t="s">
        <v>15</v>
      </c>
      <c r="X470" s="30" t="s">
        <v>20</v>
      </c>
      <c r="Y470" s="30" t="s">
        <v>21</v>
      </c>
      <c r="Z470" s="30" t="s">
        <v>22</v>
      </c>
      <c r="AA470" s="30" t="s">
        <v>23</v>
      </c>
      <c r="AB470" s="30" t="s">
        <v>24</v>
      </c>
      <c r="AC470" s="20"/>
      <c r="AD470" s="11"/>
      <c r="AE470" s="27"/>
      <c r="AF470" s="30" t="s">
        <v>20</v>
      </c>
      <c r="AG470" s="30" t="s">
        <v>21</v>
      </c>
      <c r="AH470" s="30" t="s">
        <v>22</v>
      </c>
      <c r="AI470" s="30" t="s">
        <v>23</v>
      </c>
      <c r="AJ470" s="30" t="s">
        <v>24</v>
      </c>
      <c r="AK470" s="30" t="s">
        <v>28</v>
      </c>
      <c r="AL470" s="20"/>
      <c r="AM470" s="44"/>
      <c r="AN470" s="27"/>
      <c r="AO470" s="30" t="s">
        <v>15</v>
      </c>
      <c r="AP470" s="30" t="s">
        <v>20</v>
      </c>
      <c r="AQ470" s="30" t="s">
        <v>21</v>
      </c>
      <c r="AR470" s="30" t="s">
        <v>16</v>
      </c>
      <c r="AS470" s="30" t="s">
        <v>22</v>
      </c>
      <c r="AT470" s="30" t="s">
        <v>24</v>
      </c>
      <c r="AU470" s="20"/>
      <c r="AV470" s="11"/>
      <c r="AW470" s="27"/>
      <c r="AX470" s="30" t="s">
        <v>15</v>
      </c>
      <c r="AY470" s="30" t="s">
        <v>20</v>
      </c>
      <c r="AZ470" s="30" t="s">
        <v>22</v>
      </c>
      <c r="BA470" s="30" t="s">
        <v>23</v>
      </c>
      <c r="BB470" s="30" t="s">
        <v>28</v>
      </c>
      <c r="BC470" s="20"/>
      <c r="BD470" s="11"/>
      <c r="BE470" s="27"/>
      <c r="BF470" s="9" t="s">
        <v>38</v>
      </c>
      <c r="BG470" s="9" t="s">
        <v>39</v>
      </c>
      <c r="BH470" s="9" t="s">
        <v>40</v>
      </c>
      <c r="BI470" s="9" t="s">
        <v>41</v>
      </c>
    </row>
    <row r="471" spans="1:61" ht="32.25" customHeight="1">
      <c r="A471" s="10" t="s">
        <v>167</v>
      </c>
      <c r="B471" s="9">
        <v>3</v>
      </c>
      <c r="C471" s="9">
        <v>3</v>
      </c>
      <c r="D471" s="9">
        <v>8</v>
      </c>
      <c r="E471" s="9">
        <v>5</v>
      </c>
      <c r="F471" s="9">
        <v>9</v>
      </c>
      <c r="G471" s="9" t="s">
        <v>59</v>
      </c>
      <c r="H471" s="9">
        <v>7</v>
      </c>
      <c r="I471" s="9">
        <v>6</v>
      </c>
      <c r="J471" s="33">
        <v>9</v>
      </c>
      <c r="K471" s="10">
        <f>SUM(B471:J471)</f>
        <v>50</v>
      </c>
      <c r="L471" s="11">
        <f>K471/K476</f>
        <v>0.61728395061728392</v>
      </c>
      <c r="M471" s="35">
        <f>K471/K479</f>
        <v>0.6097560975609756</v>
      </c>
      <c r="N471" s="12"/>
      <c r="O471" s="11"/>
      <c r="P471" s="13"/>
      <c r="Q471" s="33">
        <v>1</v>
      </c>
      <c r="R471" s="33">
        <v>6</v>
      </c>
      <c r="S471" s="33">
        <v>1</v>
      </c>
      <c r="T471" s="14">
        <f>SUM(Q471:S471)</f>
        <v>8</v>
      </c>
      <c r="U471" s="15">
        <f>T471/T476</f>
        <v>0.61538461538461542</v>
      </c>
      <c r="V471" s="13"/>
      <c r="W471" s="33">
        <v>4</v>
      </c>
      <c r="X471" s="33">
        <v>3</v>
      </c>
      <c r="Y471" s="33">
        <v>7</v>
      </c>
      <c r="Z471" s="33" t="s">
        <v>82</v>
      </c>
      <c r="AA471" s="33">
        <v>5</v>
      </c>
      <c r="AB471" s="33">
        <v>1</v>
      </c>
      <c r="AC471" s="14">
        <f>SUM(W471:AB471)</f>
        <v>20</v>
      </c>
      <c r="AD471" s="15">
        <f>AC471/AC476</f>
        <v>0.90909090909090906</v>
      </c>
      <c r="AE471" s="13"/>
      <c r="AF471" s="33">
        <v>5</v>
      </c>
      <c r="AG471" s="33">
        <v>0</v>
      </c>
      <c r="AH471" s="9" t="s">
        <v>82</v>
      </c>
      <c r="AI471" s="33">
        <v>1</v>
      </c>
      <c r="AJ471" s="32">
        <v>0</v>
      </c>
      <c r="AK471" s="32">
        <v>7</v>
      </c>
      <c r="AL471" s="14">
        <f>SUM(AF471:AK471)</f>
        <v>13</v>
      </c>
      <c r="AM471" s="15">
        <f>AL471/AL476</f>
        <v>0.68421052631578949</v>
      </c>
      <c r="AN471" s="13"/>
      <c r="AO471" s="33">
        <v>1</v>
      </c>
      <c r="AP471" s="33">
        <v>0</v>
      </c>
      <c r="AQ471" s="33">
        <v>1</v>
      </c>
      <c r="AR471" s="33">
        <v>1</v>
      </c>
      <c r="AS471" s="9" t="s">
        <v>82</v>
      </c>
      <c r="AT471" s="33">
        <v>2</v>
      </c>
      <c r="AU471" s="14">
        <f>SUM(AO471:AT471)</f>
        <v>5</v>
      </c>
      <c r="AV471" s="15">
        <f>AU471/AU476</f>
        <v>0.625</v>
      </c>
      <c r="AW471" s="13"/>
      <c r="AX471" s="33">
        <v>0</v>
      </c>
      <c r="AY471" s="33">
        <v>1</v>
      </c>
      <c r="AZ471" s="9" t="s">
        <v>82</v>
      </c>
      <c r="BA471" s="32">
        <v>0</v>
      </c>
      <c r="BB471" s="32">
        <v>1</v>
      </c>
      <c r="BC471" s="14">
        <f>SUM(AX471:BB471)</f>
        <v>2</v>
      </c>
      <c r="BD471" s="15">
        <f>BC471/BC476</f>
        <v>0.5</v>
      </c>
      <c r="BE471" s="13"/>
      <c r="BF471" s="14"/>
      <c r="BG471" s="15" t="e">
        <f>BF471/BF476</f>
        <v>#DIV/0!</v>
      </c>
      <c r="BH471" s="16"/>
      <c r="BI471" s="15"/>
    </row>
    <row r="472" spans="1:61" ht="20.25" customHeight="1">
      <c r="A472" s="10" t="s">
        <v>168</v>
      </c>
      <c r="B472" s="9">
        <v>0</v>
      </c>
      <c r="C472" s="9">
        <v>0</v>
      </c>
      <c r="D472" s="9">
        <v>0</v>
      </c>
      <c r="E472" s="9">
        <v>0</v>
      </c>
      <c r="F472" s="9">
        <v>1</v>
      </c>
      <c r="G472" s="9" t="s">
        <v>59</v>
      </c>
      <c r="H472" s="9">
        <v>1</v>
      </c>
      <c r="I472" s="9">
        <v>0</v>
      </c>
      <c r="J472" s="33">
        <v>0</v>
      </c>
      <c r="K472" s="10">
        <f>SUM(B472:J472)</f>
        <v>2</v>
      </c>
      <c r="L472" s="11">
        <f>K472/K476</f>
        <v>2.4691358024691357E-2</v>
      </c>
      <c r="M472" s="35">
        <f>K472/K479</f>
        <v>2.4390243902439025E-2</v>
      </c>
      <c r="N472" s="12"/>
      <c r="O472" s="11"/>
      <c r="P472" s="13"/>
      <c r="Q472" s="33">
        <v>0</v>
      </c>
      <c r="R472" s="33">
        <v>1</v>
      </c>
      <c r="S472" s="33">
        <v>0</v>
      </c>
      <c r="T472" s="14">
        <f>SUM(Q472:S472)</f>
        <v>1</v>
      </c>
      <c r="U472" s="15">
        <f>T472/T476</f>
        <v>7.6923076923076927E-2</v>
      </c>
      <c r="V472" s="13"/>
      <c r="W472" s="33">
        <v>0</v>
      </c>
      <c r="X472" s="33">
        <v>0</v>
      </c>
      <c r="Y472" s="33">
        <v>0</v>
      </c>
      <c r="Z472" s="33" t="s">
        <v>82</v>
      </c>
      <c r="AA472" s="33">
        <v>0</v>
      </c>
      <c r="AB472" s="33">
        <v>0</v>
      </c>
      <c r="AC472" s="14">
        <f>SUM(W472:AB472)</f>
        <v>0</v>
      </c>
      <c r="AD472" s="15">
        <f>AC472/AC476</f>
        <v>0</v>
      </c>
      <c r="AE472" s="13"/>
      <c r="AF472" s="33">
        <v>0</v>
      </c>
      <c r="AG472" s="33">
        <v>0</v>
      </c>
      <c r="AH472" s="9" t="s">
        <v>82</v>
      </c>
      <c r="AI472" s="33">
        <v>0</v>
      </c>
      <c r="AJ472" s="32">
        <v>0</v>
      </c>
      <c r="AK472" s="32">
        <v>0</v>
      </c>
      <c r="AL472" s="14">
        <f>SUM(AF472:AK472)</f>
        <v>0</v>
      </c>
      <c r="AM472" s="15">
        <f>AL472/AL476</f>
        <v>0</v>
      </c>
      <c r="AN472" s="13"/>
      <c r="AO472" s="33">
        <v>0</v>
      </c>
      <c r="AP472" s="33">
        <v>1</v>
      </c>
      <c r="AQ472" s="33">
        <v>0</v>
      </c>
      <c r="AR472" s="33">
        <v>0</v>
      </c>
      <c r="AS472" s="9" t="s">
        <v>82</v>
      </c>
      <c r="AT472" s="33">
        <v>0</v>
      </c>
      <c r="AU472" s="14">
        <f>SUM(AO472:AT472)</f>
        <v>1</v>
      </c>
      <c r="AV472" s="15">
        <f>AU472/AU476</f>
        <v>0.125</v>
      </c>
      <c r="AW472" s="13"/>
      <c r="AX472" s="33">
        <v>0</v>
      </c>
      <c r="AY472" s="33">
        <v>0</v>
      </c>
      <c r="AZ472" s="9" t="s">
        <v>82</v>
      </c>
      <c r="BA472" s="32">
        <v>0</v>
      </c>
      <c r="BB472" s="32">
        <v>0</v>
      </c>
      <c r="BC472" s="14">
        <f>SUM(AX472:BB472)</f>
        <v>0</v>
      </c>
      <c r="BD472" s="15">
        <f>BC472/BC476</f>
        <v>0</v>
      </c>
      <c r="BE472" s="13"/>
      <c r="BF472" s="14"/>
      <c r="BG472" s="15" t="e">
        <f>BF472/BF476</f>
        <v>#DIV/0!</v>
      </c>
      <c r="BH472" s="16"/>
      <c r="BI472" s="15"/>
    </row>
    <row r="473" spans="1:61" ht="20.25" customHeight="1">
      <c r="A473" s="10" t="s">
        <v>84</v>
      </c>
      <c r="B473" s="9">
        <v>3</v>
      </c>
      <c r="C473" s="9">
        <v>0</v>
      </c>
      <c r="D473" s="9">
        <v>7</v>
      </c>
      <c r="E473" s="9">
        <v>0</v>
      </c>
      <c r="F473" s="9">
        <v>1</v>
      </c>
      <c r="G473" s="9" t="s">
        <v>59</v>
      </c>
      <c r="H473" s="9">
        <v>2</v>
      </c>
      <c r="I473" s="9">
        <v>4</v>
      </c>
      <c r="J473" s="33">
        <v>2</v>
      </c>
      <c r="K473" s="10">
        <f>SUM(B473:J473)</f>
        <v>19</v>
      </c>
      <c r="L473" s="11">
        <f>K473/K476</f>
        <v>0.23456790123456789</v>
      </c>
      <c r="M473" s="35">
        <f>K473/K479</f>
        <v>0.23170731707317074</v>
      </c>
      <c r="N473" s="12"/>
      <c r="O473" s="11"/>
      <c r="P473" s="13"/>
      <c r="Q473" s="33">
        <v>2</v>
      </c>
      <c r="R473" s="33">
        <v>2</v>
      </c>
      <c r="S473" s="33">
        <v>0</v>
      </c>
      <c r="T473" s="14">
        <f>SUM(Q473:S473)</f>
        <v>4</v>
      </c>
      <c r="U473" s="15">
        <f>T473/T476</f>
        <v>0.30769230769230771</v>
      </c>
      <c r="V473" s="13"/>
      <c r="W473" s="33">
        <v>1</v>
      </c>
      <c r="X473" s="33">
        <v>0</v>
      </c>
      <c r="Y473" s="33">
        <v>1</v>
      </c>
      <c r="Z473" s="33" t="s">
        <v>82</v>
      </c>
      <c r="AA473" s="33">
        <v>0</v>
      </c>
      <c r="AB473" s="33">
        <v>0</v>
      </c>
      <c r="AC473" s="14">
        <f>SUM(W473:AB473)</f>
        <v>2</v>
      </c>
      <c r="AD473" s="15">
        <f>AC473/AC476</f>
        <v>9.0909090909090912E-2</v>
      </c>
      <c r="AE473" s="13"/>
      <c r="AF473" s="33">
        <v>0</v>
      </c>
      <c r="AG473" s="33">
        <v>5</v>
      </c>
      <c r="AH473" s="9" t="s">
        <v>82</v>
      </c>
      <c r="AI473" s="33">
        <v>0</v>
      </c>
      <c r="AJ473" s="32">
        <v>0</v>
      </c>
      <c r="AK473" s="32">
        <v>1</v>
      </c>
      <c r="AL473" s="14">
        <f>SUM(AF473:AK473)</f>
        <v>6</v>
      </c>
      <c r="AM473" s="15">
        <f>AL473/AL476</f>
        <v>0.31578947368421051</v>
      </c>
      <c r="AN473" s="13"/>
      <c r="AO473" s="33">
        <v>0</v>
      </c>
      <c r="AP473" s="33">
        <v>1</v>
      </c>
      <c r="AQ473" s="33">
        <v>1</v>
      </c>
      <c r="AR473" s="33">
        <v>0</v>
      </c>
      <c r="AS473" s="9" t="s">
        <v>82</v>
      </c>
      <c r="AT473" s="33">
        <v>0</v>
      </c>
      <c r="AU473" s="14">
        <f>SUM(AO473:AT473)</f>
        <v>2</v>
      </c>
      <c r="AV473" s="15">
        <f>AU473/AU476</f>
        <v>0.25</v>
      </c>
      <c r="AW473" s="13"/>
      <c r="AX473" s="33">
        <v>1</v>
      </c>
      <c r="AY473" s="33">
        <v>0</v>
      </c>
      <c r="AZ473" s="9" t="s">
        <v>82</v>
      </c>
      <c r="BA473" s="32">
        <v>0</v>
      </c>
      <c r="BB473" s="33">
        <v>1</v>
      </c>
      <c r="BC473" s="14">
        <f>SUM(AX473:BB473)</f>
        <v>2</v>
      </c>
      <c r="BD473" s="15">
        <f>BC473/BC476</f>
        <v>0.5</v>
      </c>
      <c r="BE473" s="13"/>
      <c r="BF473" s="14"/>
      <c r="BG473" s="15" t="e">
        <f>BF473/BF476</f>
        <v>#DIV/0!</v>
      </c>
      <c r="BH473" s="16"/>
      <c r="BI473" s="15"/>
    </row>
    <row r="474" spans="1:61" ht="20.25" customHeight="1">
      <c r="A474" s="10" t="s">
        <v>85</v>
      </c>
      <c r="B474" s="9">
        <v>0</v>
      </c>
      <c r="C474" s="9">
        <v>0</v>
      </c>
      <c r="D474" s="9">
        <v>0</v>
      </c>
      <c r="E474" s="9">
        <v>0</v>
      </c>
      <c r="F474" s="9">
        <v>0</v>
      </c>
      <c r="G474" s="9" t="s">
        <v>59</v>
      </c>
      <c r="H474" s="9">
        <v>0</v>
      </c>
      <c r="I474" s="9">
        <v>0</v>
      </c>
      <c r="J474" s="33">
        <v>0</v>
      </c>
      <c r="K474" s="10">
        <f>SUM(B474:J474)</f>
        <v>0</v>
      </c>
      <c r="L474" s="11">
        <f>K474/K476</f>
        <v>0</v>
      </c>
      <c r="M474" s="35">
        <f>K474/K479</f>
        <v>0</v>
      </c>
      <c r="N474" s="12"/>
      <c r="O474" s="11"/>
      <c r="P474" s="13"/>
      <c r="Q474" s="33">
        <v>0</v>
      </c>
      <c r="R474" s="33">
        <v>0</v>
      </c>
      <c r="S474" s="33">
        <v>0</v>
      </c>
      <c r="T474" s="14">
        <f>SUM(Q474:S474)</f>
        <v>0</v>
      </c>
      <c r="U474" s="15">
        <f>T474/T476</f>
        <v>0</v>
      </c>
      <c r="V474" s="13"/>
      <c r="W474" s="33">
        <v>0</v>
      </c>
      <c r="X474" s="33">
        <v>0</v>
      </c>
      <c r="Y474" s="33">
        <v>0</v>
      </c>
      <c r="Z474" s="33" t="s">
        <v>82</v>
      </c>
      <c r="AA474" s="33">
        <v>0</v>
      </c>
      <c r="AB474" s="33">
        <v>0</v>
      </c>
      <c r="AC474" s="14">
        <f>SUM(W474:AB474)</f>
        <v>0</v>
      </c>
      <c r="AD474" s="15">
        <f>AC474/AC476</f>
        <v>0</v>
      </c>
      <c r="AE474" s="13"/>
      <c r="AF474" s="33">
        <v>0</v>
      </c>
      <c r="AG474" s="33">
        <v>0</v>
      </c>
      <c r="AH474" s="9" t="s">
        <v>82</v>
      </c>
      <c r="AI474" s="33">
        <v>0</v>
      </c>
      <c r="AJ474" s="32">
        <v>0</v>
      </c>
      <c r="AK474" s="32">
        <v>0</v>
      </c>
      <c r="AL474" s="14">
        <f>SUM(AF474:AK474)</f>
        <v>0</v>
      </c>
      <c r="AM474" s="15">
        <f>AL474/AL476</f>
        <v>0</v>
      </c>
      <c r="AN474" s="13"/>
      <c r="AO474" s="33">
        <v>0</v>
      </c>
      <c r="AP474" s="33">
        <v>0</v>
      </c>
      <c r="AQ474" s="33">
        <v>0</v>
      </c>
      <c r="AR474" s="33">
        <v>0</v>
      </c>
      <c r="AS474" s="9" t="s">
        <v>82</v>
      </c>
      <c r="AT474" s="33">
        <v>0</v>
      </c>
      <c r="AU474" s="14">
        <f>SUM(AO474:AT474)</f>
        <v>0</v>
      </c>
      <c r="AV474" s="15">
        <f>AU474/AU476</f>
        <v>0</v>
      </c>
      <c r="AW474" s="13"/>
      <c r="AX474" s="33">
        <v>0</v>
      </c>
      <c r="AY474" s="33">
        <v>0</v>
      </c>
      <c r="AZ474" s="9" t="s">
        <v>82</v>
      </c>
      <c r="BA474" s="32">
        <v>0</v>
      </c>
      <c r="BB474" s="33">
        <v>0</v>
      </c>
      <c r="BC474" s="14">
        <f>SUM(AX474:BB474)</f>
        <v>0</v>
      </c>
      <c r="BD474" s="15">
        <f>BC474/BC476</f>
        <v>0</v>
      </c>
      <c r="BE474" s="13"/>
      <c r="BF474" s="14"/>
      <c r="BG474" s="15" t="e">
        <f>BF474/BF476</f>
        <v>#DIV/0!</v>
      </c>
      <c r="BH474" s="16"/>
      <c r="BI474" s="15"/>
    </row>
    <row r="475" spans="1:61" ht="20.25" customHeight="1">
      <c r="A475" s="10" t="s">
        <v>170</v>
      </c>
      <c r="B475" s="130">
        <v>10</v>
      </c>
      <c r="C475" s="32" t="s">
        <v>59</v>
      </c>
      <c r="D475" s="32" t="s">
        <v>59</v>
      </c>
      <c r="E475" s="32" t="s">
        <v>59</v>
      </c>
      <c r="F475" s="32" t="s">
        <v>59</v>
      </c>
      <c r="G475" s="32" t="s">
        <v>59</v>
      </c>
      <c r="H475" s="32" t="s">
        <v>59</v>
      </c>
      <c r="I475" s="32" t="s">
        <v>59</v>
      </c>
      <c r="J475" s="32" t="s">
        <v>59</v>
      </c>
      <c r="K475" s="121">
        <f>SUM(B475:J475)</f>
        <v>10</v>
      </c>
      <c r="L475" s="11">
        <f>K475/K476</f>
        <v>0.12345679012345678</v>
      </c>
      <c r="M475" s="35">
        <f>K475/K479</f>
        <v>0.12195121951219512</v>
      </c>
      <c r="N475" s="37"/>
      <c r="O475" s="35"/>
      <c r="P475" s="13"/>
      <c r="Q475" s="38"/>
      <c r="R475" s="38"/>
      <c r="S475" s="38"/>
      <c r="T475" s="38">
        <f>SUM(Q475:S475)</f>
        <v>0</v>
      </c>
      <c r="U475" s="40"/>
      <c r="V475" s="13"/>
      <c r="W475" s="38"/>
      <c r="X475" s="38"/>
      <c r="Y475" s="38"/>
      <c r="Z475" s="119"/>
      <c r="AA475" s="38"/>
      <c r="AB475" s="38"/>
      <c r="AC475" s="38">
        <f>SUM(W475:AB475)</f>
        <v>0</v>
      </c>
      <c r="AD475" s="40"/>
      <c r="AE475" s="13"/>
      <c r="AF475" s="38"/>
      <c r="AG475" s="38"/>
      <c r="AH475" s="16"/>
      <c r="AI475" s="38"/>
      <c r="AJ475" s="38"/>
      <c r="AK475" s="113" t="s">
        <v>82</v>
      </c>
      <c r="AL475" s="38">
        <f>SUM(AF475:AK475)</f>
        <v>0</v>
      </c>
      <c r="AM475" s="41"/>
      <c r="AN475" s="13"/>
      <c r="AO475" s="38"/>
      <c r="AP475" s="38"/>
      <c r="AQ475" s="38"/>
      <c r="AR475" s="38"/>
      <c r="AS475" s="16"/>
      <c r="AT475" s="38"/>
      <c r="AU475" s="38">
        <f>SUM(AO475:AT475)</f>
        <v>0</v>
      </c>
      <c r="AV475" s="40"/>
      <c r="AW475" s="13"/>
      <c r="AX475" s="38"/>
      <c r="AY475" s="38"/>
      <c r="AZ475" s="16"/>
      <c r="BA475" s="38"/>
      <c r="BB475" s="42"/>
      <c r="BC475" s="38">
        <f>SUM(AX475:BB475)</f>
        <v>0</v>
      </c>
      <c r="BD475" s="40"/>
      <c r="BE475" s="13"/>
      <c r="BF475" s="38"/>
      <c r="BG475" s="42"/>
      <c r="BH475" s="42"/>
      <c r="BI475" s="42"/>
    </row>
    <row r="476" spans="1:61" ht="33.75" customHeight="1">
      <c r="A476" s="10" t="s">
        <v>190</v>
      </c>
      <c r="B476" s="9">
        <f>SUM(B471:B475)</f>
        <v>16</v>
      </c>
      <c r="C476" s="9">
        <f>SUM(C471:C475)</f>
        <v>3</v>
      </c>
      <c r="D476" s="9">
        <f>SUM(D471:D475)</f>
        <v>15</v>
      </c>
      <c r="E476" s="9">
        <f>SUM(E471:E475)</f>
        <v>5</v>
      </c>
      <c r="F476" s="9">
        <f>SUM(F471:F475)</f>
        <v>11</v>
      </c>
      <c r="G476" s="9" t="s">
        <v>59</v>
      </c>
      <c r="H476" s="9">
        <f>SUM(H471:H475)</f>
        <v>10</v>
      </c>
      <c r="I476" s="9">
        <f>SUM(I471:I475)</f>
        <v>10</v>
      </c>
      <c r="J476" s="9">
        <f>SUM(J471:J475)</f>
        <v>11</v>
      </c>
      <c r="K476" s="10">
        <f>SUM(K471:K475)</f>
        <v>81</v>
      </c>
      <c r="L476" s="11">
        <f>SUM(L471:L474)</f>
        <v>0.87654320987654311</v>
      </c>
      <c r="M476" s="35">
        <f>K476/K479</f>
        <v>0.98780487804878048</v>
      </c>
      <c r="N476" s="37">
        <f>T476+AC476+AL476+AU476</f>
        <v>62</v>
      </c>
      <c r="O476" s="35">
        <f>N476/K476</f>
        <v>0.76543209876543206</v>
      </c>
      <c r="P476" s="13"/>
      <c r="Q476" s="45">
        <f>SUM(Q469:Q475)</f>
        <v>3</v>
      </c>
      <c r="R476" s="46">
        <f>SUM(R469:R475)</f>
        <v>9</v>
      </c>
      <c r="S476" s="46">
        <f>SUM(S469:S475)</f>
        <v>1</v>
      </c>
      <c r="T476" s="14">
        <f>SUM(T469:T475)</f>
        <v>13</v>
      </c>
      <c r="U476" s="15">
        <f>SUM(U471:U475)</f>
        <v>1</v>
      </c>
      <c r="V476" s="13"/>
      <c r="W476" s="45">
        <f>SUM(W469:W475)</f>
        <v>5</v>
      </c>
      <c r="X476" s="45">
        <f>SUM(X469:X475)</f>
        <v>3</v>
      </c>
      <c r="Y476" s="45">
        <f>SUM(Y469:Y475)</f>
        <v>8</v>
      </c>
      <c r="Z476" s="45">
        <f>SUM(Z469:Z475)</f>
        <v>0</v>
      </c>
      <c r="AA476" s="45">
        <v>4</v>
      </c>
      <c r="AB476" s="45">
        <f>SUM(AB469:AB475)</f>
        <v>1</v>
      </c>
      <c r="AC476" s="45">
        <f>SUM(AC469:AC475)</f>
        <v>22</v>
      </c>
      <c r="AD476" s="15">
        <f>SUM(AD471:AD475)</f>
        <v>1</v>
      </c>
      <c r="AE476" s="13"/>
      <c r="AF476" s="45">
        <f t="shared" ref="AF476:AL476" si="329">SUM(AF469:AF475)</f>
        <v>5</v>
      </c>
      <c r="AG476" s="45">
        <f t="shared" si="329"/>
        <v>5</v>
      </c>
      <c r="AH476" s="45">
        <f t="shared" si="329"/>
        <v>0</v>
      </c>
      <c r="AI476" s="45">
        <f t="shared" si="329"/>
        <v>1</v>
      </c>
      <c r="AJ476" s="45">
        <f t="shared" si="329"/>
        <v>0</v>
      </c>
      <c r="AK476" s="52">
        <f t="shared" si="329"/>
        <v>8</v>
      </c>
      <c r="AL476" s="45">
        <f t="shared" si="329"/>
        <v>19</v>
      </c>
      <c r="AM476" s="48">
        <f>SUM(AM471:AM475)</f>
        <v>1</v>
      </c>
      <c r="AN476" s="13"/>
      <c r="AO476" s="45">
        <f t="shared" ref="AO476:AU476" si="330">SUM(AO469:AO475)</f>
        <v>1</v>
      </c>
      <c r="AP476" s="45">
        <f t="shared" si="330"/>
        <v>2</v>
      </c>
      <c r="AQ476" s="45">
        <f t="shared" si="330"/>
        <v>2</v>
      </c>
      <c r="AR476" s="45">
        <f t="shared" si="330"/>
        <v>1</v>
      </c>
      <c r="AS476" s="45">
        <f t="shared" si="330"/>
        <v>0</v>
      </c>
      <c r="AT476" s="45">
        <f t="shared" si="330"/>
        <v>2</v>
      </c>
      <c r="AU476" s="45">
        <f t="shared" si="330"/>
        <v>8</v>
      </c>
      <c r="AV476" s="15">
        <f>SUM(AV471:AV475)</f>
        <v>1</v>
      </c>
      <c r="AW476" s="13"/>
      <c r="AX476" s="45">
        <f>SUM(AX469:AX475)</f>
        <v>1</v>
      </c>
      <c r="AY476" s="45">
        <f>SUM(AY469:AY475)</f>
        <v>1</v>
      </c>
      <c r="AZ476" s="45">
        <f>SUM(AZ469:AZ475)</f>
        <v>0</v>
      </c>
      <c r="BA476" s="45">
        <f>SUM(BA469:BA475)</f>
        <v>0</v>
      </c>
      <c r="BB476" s="47">
        <f>SUM(BB469:BB474)</f>
        <v>2</v>
      </c>
      <c r="BC476" s="45">
        <f>SUM(BC469:BC475)</f>
        <v>4</v>
      </c>
      <c r="BD476" s="15">
        <f>SUM(BD471:BD475)</f>
        <v>1</v>
      </c>
      <c r="BE476" s="13"/>
      <c r="BF476" s="14">
        <f>SUM(BF471:BF475)</f>
        <v>0</v>
      </c>
      <c r="BG476" s="15" t="e">
        <f>SUM(BG471:BG475)</f>
        <v>#DIV/0!</v>
      </c>
      <c r="BH476" s="16"/>
      <c r="BI476" s="15"/>
    </row>
    <row r="477" spans="1:61" ht="21.75" customHeight="1">
      <c r="A477" s="8" t="s">
        <v>64</v>
      </c>
      <c r="B477" s="9">
        <v>0</v>
      </c>
      <c r="C477" s="32">
        <v>0</v>
      </c>
      <c r="D477" s="32">
        <v>0</v>
      </c>
      <c r="E477" s="32">
        <v>1</v>
      </c>
      <c r="F477" s="32">
        <v>0</v>
      </c>
      <c r="G477" s="9" t="s">
        <v>59</v>
      </c>
      <c r="H477" s="32">
        <v>0</v>
      </c>
      <c r="I477" s="32">
        <v>0</v>
      </c>
      <c r="J477" s="32">
        <v>0</v>
      </c>
      <c r="K477" s="23">
        <f>SUM(B477:J477)</f>
        <v>1</v>
      </c>
      <c r="L477" s="35">
        <f>K477/(K476+K477+K478)</f>
        <v>1.2195121951219513E-2</v>
      </c>
      <c r="M477" s="35">
        <f>K477/(K479)</f>
        <v>1.2195121951219513E-2</v>
      </c>
      <c r="N477" s="37"/>
      <c r="O477" s="35"/>
      <c r="P477" s="13"/>
      <c r="Q477" s="49">
        <v>0</v>
      </c>
      <c r="R477" s="50">
        <v>0</v>
      </c>
      <c r="S477" s="50">
        <v>0</v>
      </c>
      <c r="T477" s="38">
        <f>SUM(Q477:S477)</f>
        <v>0</v>
      </c>
      <c r="U477" s="15">
        <f>T477/T479</f>
        <v>0</v>
      </c>
      <c r="V477" s="13"/>
      <c r="W477" s="49">
        <v>0</v>
      </c>
      <c r="X477" s="49">
        <v>0</v>
      </c>
      <c r="Y477" s="49">
        <v>0</v>
      </c>
      <c r="Z477" s="58" t="s">
        <v>82</v>
      </c>
      <c r="AA477" s="49">
        <v>1</v>
      </c>
      <c r="AB477" s="101">
        <v>0</v>
      </c>
      <c r="AC477" s="51">
        <f>SUM(W477:AB477)</f>
        <v>1</v>
      </c>
      <c r="AD477" s="15">
        <f>AC477/AC479</f>
        <v>4.5454545454545456E-2</v>
      </c>
      <c r="AE477" s="13"/>
      <c r="AF477" s="49">
        <v>0</v>
      </c>
      <c r="AG477" s="49">
        <v>0</v>
      </c>
      <c r="AH477" s="58" t="s">
        <v>82</v>
      </c>
      <c r="AI477" s="49">
        <v>0</v>
      </c>
      <c r="AJ477" s="101">
        <v>0</v>
      </c>
      <c r="AK477" s="32">
        <v>0</v>
      </c>
      <c r="AL477" s="49">
        <f>SUM(AF477:AK477)</f>
        <v>0</v>
      </c>
      <c r="AM477" s="15">
        <f>AL477/AL479</f>
        <v>0</v>
      </c>
      <c r="AN477" s="13"/>
      <c r="AO477" s="49">
        <v>0</v>
      </c>
      <c r="AP477" s="49">
        <v>0</v>
      </c>
      <c r="AQ477" s="49">
        <v>0</v>
      </c>
      <c r="AR477" s="49">
        <v>0</v>
      </c>
      <c r="AS477" s="58" t="s">
        <v>82</v>
      </c>
      <c r="AT477" s="101">
        <v>0</v>
      </c>
      <c r="AU477" s="51">
        <f>SUM(AO477:AT477)</f>
        <v>0</v>
      </c>
      <c r="AV477" s="15">
        <f>AU477/AU479</f>
        <v>0</v>
      </c>
      <c r="AW477" s="13"/>
      <c r="AX477" s="49">
        <v>0</v>
      </c>
      <c r="AY477" s="49">
        <v>0</v>
      </c>
      <c r="AZ477" s="58" t="s">
        <v>82</v>
      </c>
      <c r="BA477" s="101">
        <v>0</v>
      </c>
      <c r="BB477" s="118">
        <v>0</v>
      </c>
      <c r="BC477" s="51">
        <f>SUM(AX477:BB477)</f>
        <v>0</v>
      </c>
      <c r="BD477" s="15">
        <f>BC477/BC479</f>
        <v>0</v>
      </c>
      <c r="BE477" s="13"/>
      <c r="BF477" s="38"/>
      <c r="BG477" s="42"/>
      <c r="BH477" s="42"/>
      <c r="BI477" s="42"/>
    </row>
    <row r="478" spans="1:61" ht="20.25" customHeight="1">
      <c r="A478" s="8" t="s">
        <v>65</v>
      </c>
      <c r="B478" s="9">
        <v>0</v>
      </c>
      <c r="C478" s="32">
        <v>0</v>
      </c>
      <c r="D478" s="32">
        <v>0</v>
      </c>
      <c r="E478" s="32">
        <v>0</v>
      </c>
      <c r="F478" s="32">
        <v>0</v>
      </c>
      <c r="G478" s="9" t="s">
        <v>59</v>
      </c>
      <c r="H478" s="32">
        <v>0</v>
      </c>
      <c r="I478" s="32">
        <v>0</v>
      </c>
      <c r="J478" s="32">
        <v>0</v>
      </c>
      <c r="K478" s="23">
        <f>SUM(B478:J478)</f>
        <v>0</v>
      </c>
      <c r="L478" s="35">
        <f>K478/(K477+K478+K476)</f>
        <v>0</v>
      </c>
      <c r="M478" s="35">
        <f>K478/(K479)</f>
        <v>0</v>
      </c>
      <c r="N478" s="23"/>
      <c r="O478" s="35"/>
      <c r="P478" s="13"/>
      <c r="Q478" s="14">
        <v>0</v>
      </c>
      <c r="R478" s="14">
        <v>0</v>
      </c>
      <c r="S478" s="14">
        <v>0</v>
      </c>
      <c r="T478" s="38">
        <f>SUM(Q478:S478)</f>
        <v>0</v>
      </c>
      <c r="U478" s="15">
        <f>T478/T479</f>
        <v>0</v>
      </c>
      <c r="V478" s="13"/>
      <c r="W478" s="14">
        <v>0</v>
      </c>
      <c r="X478" s="14">
        <v>0</v>
      </c>
      <c r="Y478" s="14">
        <v>0</v>
      </c>
      <c r="Z478" s="9" t="s">
        <v>82</v>
      </c>
      <c r="AA478" s="14">
        <v>0</v>
      </c>
      <c r="AB478" s="32">
        <v>0</v>
      </c>
      <c r="AC478" s="38">
        <f>SUM(W478:AB478)</f>
        <v>0</v>
      </c>
      <c r="AD478" s="15">
        <f>AC478/AC479</f>
        <v>0</v>
      </c>
      <c r="AE478" s="13"/>
      <c r="AF478" s="14">
        <v>0</v>
      </c>
      <c r="AG478" s="14">
        <v>0</v>
      </c>
      <c r="AH478" s="9" t="s">
        <v>82</v>
      </c>
      <c r="AI478" s="14">
        <v>0</v>
      </c>
      <c r="AJ478" s="32">
        <v>0</v>
      </c>
      <c r="AK478" s="38">
        <v>0</v>
      </c>
      <c r="AL478" s="14">
        <f>SUM(AF478:AK478)</f>
        <v>0</v>
      </c>
      <c r="AM478" s="15">
        <f>AL478/AL479</f>
        <v>0</v>
      </c>
      <c r="AN478" s="13"/>
      <c r="AO478" s="14">
        <v>0</v>
      </c>
      <c r="AP478" s="14">
        <v>0</v>
      </c>
      <c r="AQ478" s="14">
        <v>0</v>
      </c>
      <c r="AR478" s="14">
        <v>0</v>
      </c>
      <c r="AS478" s="9" t="s">
        <v>82</v>
      </c>
      <c r="AT478" s="32">
        <v>0</v>
      </c>
      <c r="AU478" s="38">
        <f>SUM(AO478:AT478)</f>
        <v>0</v>
      </c>
      <c r="AV478" s="15">
        <f>AU478/AU479</f>
        <v>0</v>
      </c>
      <c r="AW478" s="13"/>
      <c r="AX478" s="14">
        <v>0</v>
      </c>
      <c r="AY478" s="14">
        <v>0</v>
      </c>
      <c r="AZ478" s="9" t="s">
        <v>82</v>
      </c>
      <c r="BA478" s="32">
        <v>0</v>
      </c>
      <c r="BB478" s="42"/>
      <c r="BC478" s="38">
        <f>SUM(AX478:BB478)</f>
        <v>0</v>
      </c>
      <c r="BD478" s="15">
        <f>BC478/BC479</f>
        <v>0</v>
      </c>
      <c r="BE478" s="13"/>
      <c r="BF478" s="38"/>
      <c r="BG478" s="42"/>
      <c r="BH478" s="42"/>
      <c r="BI478" s="42"/>
    </row>
    <row r="479" spans="1:61" ht="20.25" customHeight="1">
      <c r="A479" s="39" t="s">
        <v>66</v>
      </c>
      <c r="B479" s="32">
        <f>SUM(B476:B478)</f>
        <v>16</v>
      </c>
      <c r="C479" s="32">
        <f>SUM(C476:C478)</f>
        <v>3</v>
      </c>
      <c r="D479" s="32">
        <f>SUM(D476:D478)</f>
        <v>15</v>
      </c>
      <c r="E479" s="32">
        <f>SUM(E476:E478)</f>
        <v>6</v>
      </c>
      <c r="F479" s="32">
        <f>SUM(F476:F478)</f>
        <v>11</v>
      </c>
      <c r="G479" s="9" t="s">
        <v>59</v>
      </c>
      <c r="H479" s="32">
        <f>SUM(H476:H478)</f>
        <v>10</v>
      </c>
      <c r="I479" s="32">
        <f>SUM(I476:I478)</f>
        <v>10</v>
      </c>
      <c r="J479" s="32">
        <f>SUM(J476:J478)</f>
        <v>11</v>
      </c>
      <c r="K479" s="23">
        <f>SUM(B479:J479)</f>
        <v>82</v>
      </c>
      <c r="L479" s="35">
        <f>K479/(K478+K477+K476)</f>
        <v>1</v>
      </c>
      <c r="M479" s="35">
        <f>K479/(K476+K477+K478)</f>
        <v>1</v>
      </c>
      <c r="N479" s="37">
        <f>T479+AC479+AL479+AU479</f>
        <v>62</v>
      </c>
      <c r="O479" s="35">
        <f>N479/K479</f>
        <v>0.75609756097560976</v>
      </c>
      <c r="P479" s="13"/>
      <c r="Q479" s="38">
        <f>SUM(Q476:Q478)</f>
        <v>3</v>
      </c>
      <c r="R479" s="38">
        <f>SUM(R476:R478)</f>
        <v>9</v>
      </c>
      <c r="S479" s="38">
        <f>SUM(S476:S478)</f>
        <v>1</v>
      </c>
      <c r="T479" s="38">
        <f>SUM(Q479:S479)</f>
        <v>13</v>
      </c>
      <c r="U479" s="40">
        <f>T479/(T476+T477+T478)</f>
        <v>1</v>
      </c>
      <c r="V479" s="13"/>
      <c r="W479" s="38">
        <f t="shared" ref="W479:AB479" si="331">SUM(W476:W478)</f>
        <v>5</v>
      </c>
      <c r="X479" s="38">
        <f t="shared" si="331"/>
        <v>3</v>
      </c>
      <c r="Y479" s="38">
        <f t="shared" si="331"/>
        <v>8</v>
      </c>
      <c r="Z479" s="38">
        <f t="shared" si="331"/>
        <v>0</v>
      </c>
      <c r="AA479" s="38">
        <f t="shared" si="331"/>
        <v>5</v>
      </c>
      <c r="AB479" s="38">
        <f t="shared" si="331"/>
        <v>1</v>
      </c>
      <c r="AC479" s="38">
        <f>SUM(W479:AB479)</f>
        <v>22</v>
      </c>
      <c r="AD479" s="40">
        <f>AC479/(AC476+AC477+AC478)</f>
        <v>0.95652173913043481</v>
      </c>
      <c r="AE479" s="13"/>
      <c r="AF479" s="38">
        <f t="shared" ref="AF479:AK479" si="332">SUM(AF476:AF478)</f>
        <v>5</v>
      </c>
      <c r="AG479" s="38">
        <f t="shared" si="332"/>
        <v>5</v>
      </c>
      <c r="AH479" s="38">
        <f t="shared" si="332"/>
        <v>0</v>
      </c>
      <c r="AI479" s="38">
        <f t="shared" si="332"/>
        <v>1</v>
      </c>
      <c r="AJ479" s="38">
        <f t="shared" si="332"/>
        <v>0</v>
      </c>
      <c r="AK479" s="38">
        <f t="shared" si="332"/>
        <v>8</v>
      </c>
      <c r="AL479" s="38">
        <f>SUM(AF479:AK479)</f>
        <v>19</v>
      </c>
      <c r="AM479" s="41">
        <f>AL479/(AL476+AL477+AL478)</f>
        <v>1</v>
      </c>
      <c r="AN479" s="13"/>
      <c r="AO479" s="38">
        <f t="shared" ref="AO479:AT479" si="333">SUM(AO476:AO478)</f>
        <v>1</v>
      </c>
      <c r="AP479" s="38">
        <f t="shared" si="333"/>
        <v>2</v>
      </c>
      <c r="AQ479" s="38">
        <f t="shared" si="333"/>
        <v>2</v>
      </c>
      <c r="AR479" s="38">
        <f t="shared" si="333"/>
        <v>1</v>
      </c>
      <c r="AS479" s="38">
        <f t="shared" si="333"/>
        <v>0</v>
      </c>
      <c r="AT479" s="38">
        <f t="shared" si="333"/>
        <v>2</v>
      </c>
      <c r="AU479" s="38">
        <f>SUM(AO479:AT479)</f>
        <v>8</v>
      </c>
      <c r="AV479" s="40">
        <f>AU479/(AU476+AU477+AU478)</f>
        <v>1</v>
      </c>
      <c r="AW479" s="13"/>
      <c r="AX479" s="38">
        <f>SUM(AX476:AX478)</f>
        <v>1</v>
      </c>
      <c r="AY479" s="38">
        <f>SUM(AY476:AY478)</f>
        <v>1</v>
      </c>
      <c r="AZ479" s="38">
        <f>SUM(AZ476:AZ478)</f>
        <v>0</v>
      </c>
      <c r="BA479" s="38">
        <f>SUM(BA476:BA478)</f>
        <v>0</v>
      </c>
      <c r="BB479" s="38">
        <f>SUM(BB476:BB478)</f>
        <v>2</v>
      </c>
      <c r="BC479" s="38">
        <f>SUM(AX479:BB479)</f>
        <v>4</v>
      </c>
      <c r="BD479" s="40">
        <f>BC479/(BC476+BC477+BC478)</f>
        <v>1</v>
      </c>
      <c r="BE479" s="13"/>
      <c r="BF479" s="38"/>
      <c r="BG479" s="42"/>
      <c r="BH479" s="42"/>
      <c r="BI479" s="42"/>
    </row>
    <row r="480" spans="1:61" ht="68.25" customHeight="1">
      <c r="A480" s="43" t="s">
        <v>191</v>
      </c>
      <c r="B480" s="181" t="s">
        <v>192</v>
      </c>
      <c r="C480" s="182"/>
      <c r="D480" s="182"/>
      <c r="E480" s="182"/>
      <c r="F480" s="182"/>
      <c r="G480" s="22"/>
      <c r="H480" s="22"/>
      <c r="I480" s="22"/>
      <c r="J480" s="22"/>
      <c r="K480" s="21"/>
      <c r="L480" s="24"/>
      <c r="M480" s="24"/>
      <c r="N480" s="26"/>
      <c r="O480" s="24"/>
      <c r="P480" s="27"/>
      <c r="Q480" s="28"/>
      <c r="R480" s="28"/>
      <c r="S480" s="28"/>
      <c r="T480" s="26"/>
      <c r="U480" s="24"/>
      <c r="V480" s="27"/>
      <c r="W480" s="28"/>
      <c r="X480" s="28"/>
      <c r="Y480" s="28"/>
      <c r="Z480" s="28"/>
      <c r="AA480" s="28"/>
      <c r="AB480" s="28"/>
      <c r="AC480" s="26"/>
      <c r="AD480" s="24"/>
      <c r="AE480" s="27"/>
      <c r="AF480" s="28"/>
      <c r="AG480" s="28"/>
      <c r="AH480" s="28"/>
      <c r="AI480" s="28"/>
      <c r="AJ480" s="28"/>
      <c r="AK480" s="28"/>
      <c r="AL480" s="26"/>
      <c r="AM480" s="29"/>
      <c r="AN480" s="27"/>
      <c r="AO480" s="26"/>
      <c r="AP480" s="26"/>
      <c r="AQ480" s="26"/>
      <c r="AR480" s="26"/>
      <c r="AS480" s="26"/>
      <c r="AT480" s="26"/>
      <c r="AU480" s="26"/>
      <c r="AV480" s="24"/>
      <c r="AW480" s="27"/>
      <c r="AX480" s="26"/>
      <c r="AY480" s="26"/>
      <c r="AZ480" s="26"/>
      <c r="BA480" s="26"/>
      <c r="BB480" s="26"/>
      <c r="BC480" s="26"/>
      <c r="BD480" s="24"/>
      <c r="BE480" s="27"/>
      <c r="BF480" s="26"/>
      <c r="BG480" s="22"/>
      <c r="BH480" s="21"/>
      <c r="BI480" s="22"/>
    </row>
    <row r="481" spans="1:61" ht="32.25" customHeight="1">
      <c r="A481" s="10"/>
      <c r="B481" s="30" t="s">
        <v>0</v>
      </c>
      <c r="C481" s="30" t="s">
        <v>1</v>
      </c>
      <c r="D481" s="30" t="s">
        <v>2</v>
      </c>
      <c r="E481" s="30" t="s">
        <v>3</v>
      </c>
      <c r="F481" s="30" t="s">
        <v>4</v>
      </c>
      <c r="G481" s="30" t="s">
        <v>5</v>
      </c>
      <c r="H481" s="30" t="s">
        <v>68</v>
      </c>
      <c r="I481" s="30" t="s">
        <v>7</v>
      </c>
      <c r="J481" s="30" t="s">
        <v>8</v>
      </c>
      <c r="K481" s="10" t="s">
        <v>9</v>
      </c>
      <c r="L481" s="10" t="s">
        <v>56</v>
      </c>
      <c r="M481" s="20"/>
      <c r="N481" s="12"/>
      <c r="O481" s="20"/>
      <c r="P481" s="27"/>
      <c r="Q481" s="30" t="s">
        <v>15</v>
      </c>
      <c r="R481" s="30" t="s">
        <v>16</v>
      </c>
      <c r="S481" s="30" t="s">
        <v>28</v>
      </c>
      <c r="T481" s="20"/>
      <c r="U481" s="11"/>
      <c r="V481" s="27"/>
      <c r="W481" s="30" t="s">
        <v>15</v>
      </c>
      <c r="X481" s="30" t="s">
        <v>20</v>
      </c>
      <c r="Y481" s="30" t="s">
        <v>21</v>
      </c>
      <c r="Z481" s="30" t="s">
        <v>22</v>
      </c>
      <c r="AA481" s="30" t="s">
        <v>23</v>
      </c>
      <c r="AB481" s="30" t="s">
        <v>24</v>
      </c>
      <c r="AC481" s="20"/>
      <c r="AD481" s="11"/>
      <c r="AE481" s="27"/>
      <c r="AF481" s="30" t="s">
        <v>20</v>
      </c>
      <c r="AG481" s="30" t="s">
        <v>21</v>
      </c>
      <c r="AH481" s="30" t="s">
        <v>22</v>
      </c>
      <c r="AI481" s="30" t="s">
        <v>23</v>
      </c>
      <c r="AJ481" s="30" t="s">
        <v>24</v>
      </c>
      <c r="AK481" s="30" t="s">
        <v>28</v>
      </c>
      <c r="AL481" s="20"/>
      <c r="AM481" s="44"/>
      <c r="AN481" s="27"/>
      <c r="AO481" s="30" t="s">
        <v>15</v>
      </c>
      <c r="AP481" s="30" t="s">
        <v>20</v>
      </c>
      <c r="AQ481" s="30" t="s">
        <v>21</v>
      </c>
      <c r="AR481" s="30" t="s">
        <v>16</v>
      </c>
      <c r="AS481" s="30" t="s">
        <v>22</v>
      </c>
      <c r="AT481" s="30" t="s">
        <v>24</v>
      </c>
      <c r="AU481" s="20"/>
      <c r="AV481" s="11"/>
      <c r="AW481" s="27"/>
      <c r="AX481" s="30" t="s">
        <v>15</v>
      </c>
      <c r="AY481" s="30" t="s">
        <v>20</v>
      </c>
      <c r="AZ481" s="30" t="s">
        <v>22</v>
      </c>
      <c r="BA481" s="30" t="s">
        <v>23</v>
      </c>
      <c r="BB481" s="30" t="s">
        <v>28</v>
      </c>
      <c r="BC481" s="20"/>
      <c r="BD481" s="11"/>
      <c r="BE481" s="27"/>
      <c r="BF481" s="9" t="s">
        <v>38</v>
      </c>
      <c r="BG481" s="16"/>
      <c r="BH481" s="16"/>
      <c r="BI481" s="16"/>
    </row>
    <row r="482" spans="1:61" ht="32.25" customHeight="1">
      <c r="A482" s="10" t="s">
        <v>193</v>
      </c>
      <c r="B482" s="32" t="s">
        <v>59</v>
      </c>
      <c r="C482" s="32">
        <v>0</v>
      </c>
      <c r="D482" s="32">
        <v>0</v>
      </c>
      <c r="E482" s="32">
        <v>0</v>
      </c>
      <c r="F482" s="32">
        <v>0</v>
      </c>
      <c r="G482" s="32" t="s">
        <v>59</v>
      </c>
      <c r="H482" s="32" t="s">
        <v>59</v>
      </c>
      <c r="I482" s="32">
        <v>0</v>
      </c>
      <c r="J482" s="33">
        <v>1</v>
      </c>
      <c r="K482" s="23">
        <f>SUM(B482:J482)</f>
        <v>1</v>
      </c>
      <c r="L482" s="35">
        <f>K482/K487</f>
        <v>9.8039215686274508E-3</v>
      </c>
      <c r="M482" s="35">
        <f>K482/K492</f>
        <v>8.6206896551724137E-3</v>
      </c>
      <c r="N482" s="37"/>
      <c r="O482" s="35"/>
      <c r="P482" s="13"/>
      <c r="Q482" s="33">
        <v>0</v>
      </c>
      <c r="R482" s="9" t="s">
        <v>82</v>
      </c>
      <c r="S482" s="14">
        <v>1</v>
      </c>
      <c r="T482" s="14">
        <f>SUM(Q482:S482)</f>
        <v>1</v>
      </c>
      <c r="U482" s="40">
        <f>T482/T487</f>
        <v>9.0909090909090912E-2</v>
      </c>
      <c r="V482" s="13"/>
      <c r="W482" s="33">
        <v>0</v>
      </c>
      <c r="X482" s="33">
        <v>0</v>
      </c>
      <c r="Y482" s="33">
        <v>0</v>
      </c>
      <c r="Z482" s="33" t="s">
        <v>82</v>
      </c>
      <c r="AA482" s="33">
        <v>0</v>
      </c>
      <c r="AB482" s="33">
        <v>0</v>
      </c>
      <c r="AC482" s="14">
        <f>SUM(W482:AB482)</f>
        <v>0</v>
      </c>
      <c r="AD482" s="40">
        <f>AC482/AC487</f>
        <v>0</v>
      </c>
      <c r="AE482" s="13"/>
      <c r="AF482" s="33">
        <v>0</v>
      </c>
      <c r="AG482" s="33">
        <v>0</v>
      </c>
      <c r="AH482" s="9" t="s">
        <v>82</v>
      </c>
      <c r="AI482" s="33">
        <v>0</v>
      </c>
      <c r="AJ482" s="33">
        <v>0</v>
      </c>
      <c r="AK482" s="33">
        <v>0</v>
      </c>
      <c r="AL482" s="14">
        <f>SUM(AF482:AK482)</f>
        <v>0</v>
      </c>
      <c r="AM482" s="40">
        <f>AL482/AL487</f>
        <v>0</v>
      </c>
      <c r="AN482" s="13"/>
      <c r="AO482" s="33">
        <v>0</v>
      </c>
      <c r="AP482" s="33">
        <v>0</v>
      </c>
      <c r="AQ482" s="33">
        <v>0</v>
      </c>
      <c r="AR482" s="33" t="s">
        <v>82</v>
      </c>
      <c r="AS482" s="9" t="s">
        <v>82</v>
      </c>
      <c r="AT482" s="33">
        <v>0</v>
      </c>
      <c r="AU482" s="14">
        <f>SUM(AO482:AT482)</f>
        <v>0</v>
      </c>
      <c r="AV482" s="40">
        <f>AU482/AU487</f>
        <v>0</v>
      </c>
      <c r="AW482" s="13"/>
      <c r="AX482" s="33">
        <v>0</v>
      </c>
      <c r="AY482" s="33">
        <v>0</v>
      </c>
      <c r="AZ482" s="9" t="s">
        <v>82</v>
      </c>
      <c r="BA482" s="32">
        <v>0</v>
      </c>
      <c r="BB482" s="32">
        <v>0</v>
      </c>
      <c r="BC482" s="14">
        <f>SUM(AX482:BB482)</f>
        <v>0</v>
      </c>
      <c r="BD482" s="40">
        <f>BC482/BC487</f>
        <v>0</v>
      </c>
      <c r="BE482" s="13"/>
      <c r="BF482" s="9" t="s">
        <v>59</v>
      </c>
      <c r="BG482" s="15"/>
      <c r="BH482" s="16"/>
      <c r="BI482" s="15"/>
    </row>
    <row r="483" spans="1:61" ht="32.25" customHeight="1">
      <c r="A483" s="10" t="s">
        <v>194</v>
      </c>
      <c r="B483" s="32" t="s">
        <v>59</v>
      </c>
      <c r="C483" s="32">
        <v>2</v>
      </c>
      <c r="D483" s="32">
        <v>1</v>
      </c>
      <c r="E483" s="32">
        <v>2</v>
      </c>
      <c r="F483" s="32">
        <v>1</v>
      </c>
      <c r="G483" s="32" t="s">
        <v>59</v>
      </c>
      <c r="H483" s="32" t="s">
        <v>59</v>
      </c>
      <c r="I483" s="32">
        <v>1</v>
      </c>
      <c r="J483" s="33">
        <v>3</v>
      </c>
      <c r="K483" s="23">
        <f>SUM(B483:J483)</f>
        <v>10</v>
      </c>
      <c r="L483" s="35">
        <f>K483/K487</f>
        <v>9.8039215686274508E-2</v>
      </c>
      <c r="M483" s="35">
        <f>K483/K492</f>
        <v>8.6206896551724144E-2</v>
      </c>
      <c r="N483" s="37"/>
      <c r="O483" s="35"/>
      <c r="P483" s="13"/>
      <c r="Q483" s="33">
        <v>0</v>
      </c>
      <c r="R483" s="9" t="s">
        <v>82</v>
      </c>
      <c r="S483" s="14">
        <v>0</v>
      </c>
      <c r="T483" s="14">
        <f>SUM(Q483:S483)</f>
        <v>0</v>
      </c>
      <c r="U483" s="40">
        <f>T483/T487</f>
        <v>0</v>
      </c>
      <c r="V483" s="13"/>
      <c r="W483" s="33">
        <v>0</v>
      </c>
      <c r="X483" s="33">
        <v>1</v>
      </c>
      <c r="Y483" s="33">
        <v>0</v>
      </c>
      <c r="Z483" s="33" t="s">
        <v>82</v>
      </c>
      <c r="AA483" s="33">
        <v>1</v>
      </c>
      <c r="AB483" s="33">
        <v>0</v>
      </c>
      <c r="AC483" s="14">
        <f>SUM(W483:AB483)</f>
        <v>2</v>
      </c>
      <c r="AD483" s="40">
        <f>AC483/AC487</f>
        <v>6.0606060606060608E-2</v>
      </c>
      <c r="AE483" s="13"/>
      <c r="AF483" s="33">
        <v>0</v>
      </c>
      <c r="AG483" s="33">
        <v>0</v>
      </c>
      <c r="AH483" s="9" t="s">
        <v>82</v>
      </c>
      <c r="AI483" s="33">
        <v>1</v>
      </c>
      <c r="AJ483" s="33">
        <v>1</v>
      </c>
      <c r="AK483" s="33">
        <v>3</v>
      </c>
      <c r="AL483" s="14">
        <f>SUM(AF483:AK483)</f>
        <v>5</v>
      </c>
      <c r="AM483" s="40">
        <f>AL483/AL487</f>
        <v>0.13157894736842105</v>
      </c>
      <c r="AN483" s="13"/>
      <c r="AO483" s="33">
        <v>0</v>
      </c>
      <c r="AP483" s="33">
        <v>0</v>
      </c>
      <c r="AQ483" s="33">
        <v>0</v>
      </c>
      <c r="AR483" s="33" t="s">
        <v>82</v>
      </c>
      <c r="AS483" s="9" t="s">
        <v>82</v>
      </c>
      <c r="AT483" s="33">
        <v>1</v>
      </c>
      <c r="AU483" s="14">
        <f>SUM(AO483:AT483)</f>
        <v>1</v>
      </c>
      <c r="AV483" s="40">
        <f>AU483/AU487</f>
        <v>9.0909090909090912E-2</v>
      </c>
      <c r="AW483" s="13"/>
      <c r="AX483" s="33">
        <v>1</v>
      </c>
      <c r="AY483" s="33">
        <v>0</v>
      </c>
      <c r="AZ483" s="9" t="s">
        <v>82</v>
      </c>
      <c r="BA483" s="32">
        <v>0</v>
      </c>
      <c r="BB483" s="32">
        <v>0</v>
      </c>
      <c r="BC483" s="14">
        <f>SUM(AX483:BB483)</f>
        <v>1</v>
      </c>
      <c r="BD483" s="40">
        <f>BC483/BC487</f>
        <v>0.14285714285714285</v>
      </c>
      <c r="BE483" s="13"/>
      <c r="BF483" s="9" t="s">
        <v>59</v>
      </c>
      <c r="BG483" s="15"/>
      <c r="BH483" s="16"/>
      <c r="BI483" s="15"/>
    </row>
    <row r="484" spans="1:61" ht="32.25" customHeight="1">
      <c r="A484" s="10" t="s">
        <v>195</v>
      </c>
      <c r="B484" s="32" t="s">
        <v>59</v>
      </c>
      <c r="C484" s="32">
        <v>0</v>
      </c>
      <c r="D484" s="32">
        <v>1</v>
      </c>
      <c r="E484" s="32">
        <v>2</v>
      </c>
      <c r="F484" s="32">
        <v>1</v>
      </c>
      <c r="G484" s="32" t="s">
        <v>59</v>
      </c>
      <c r="H484" s="32" t="s">
        <v>59</v>
      </c>
      <c r="I484" s="32">
        <v>1</v>
      </c>
      <c r="J484" s="33">
        <v>2</v>
      </c>
      <c r="K484" s="23">
        <f>SUM(B484:J484)</f>
        <v>7</v>
      </c>
      <c r="L484" s="35">
        <f>K484/K487</f>
        <v>6.8627450980392163E-2</v>
      </c>
      <c r="M484" s="35">
        <f>K484/K492</f>
        <v>6.0344827586206899E-2</v>
      </c>
      <c r="N484" s="37"/>
      <c r="O484" s="35"/>
      <c r="P484" s="13"/>
      <c r="Q484" s="33">
        <v>1</v>
      </c>
      <c r="R484" s="9" t="s">
        <v>82</v>
      </c>
      <c r="S484" s="14">
        <v>0</v>
      </c>
      <c r="T484" s="14">
        <f>SUM(Q484:S484)</f>
        <v>1</v>
      </c>
      <c r="U484" s="40">
        <f>T484/T487</f>
        <v>9.0909090909090912E-2</v>
      </c>
      <c r="V484" s="13"/>
      <c r="W484" s="33">
        <v>0</v>
      </c>
      <c r="X484" s="33">
        <v>0</v>
      </c>
      <c r="Y484" s="33">
        <v>1</v>
      </c>
      <c r="Z484" s="33" t="s">
        <v>82</v>
      </c>
      <c r="AA484" s="33">
        <v>1</v>
      </c>
      <c r="AB484" s="33">
        <v>0</v>
      </c>
      <c r="AC484" s="14">
        <f>SUM(W484:AB484)</f>
        <v>2</v>
      </c>
      <c r="AD484" s="40">
        <f>AC484/AC487</f>
        <v>6.0606060606060608E-2</v>
      </c>
      <c r="AE484" s="13"/>
      <c r="AF484" s="33">
        <v>1</v>
      </c>
      <c r="AG484" s="33">
        <v>0</v>
      </c>
      <c r="AH484" s="9" t="s">
        <v>82</v>
      </c>
      <c r="AI484" s="33">
        <v>1</v>
      </c>
      <c r="AJ484" s="33">
        <v>0</v>
      </c>
      <c r="AK484" s="33">
        <v>2</v>
      </c>
      <c r="AL484" s="14">
        <f>SUM(AF484:AK484)</f>
        <v>4</v>
      </c>
      <c r="AM484" s="40">
        <f>AL484/AL487</f>
        <v>0.10526315789473684</v>
      </c>
      <c r="AN484" s="13"/>
      <c r="AO484" s="33">
        <v>0</v>
      </c>
      <c r="AP484" s="33">
        <v>0</v>
      </c>
      <c r="AQ484" s="33">
        <v>0</v>
      </c>
      <c r="AR484" s="33" t="s">
        <v>82</v>
      </c>
      <c r="AS484" s="9" t="s">
        <v>82</v>
      </c>
      <c r="AT484" s="33">
        <v>0</v>
      </c>
      <c r="AU484" s="14">
        <f>SUM(AO484:AT484)</f>
        <v>0</v>
      </c>
      <c r="AV484" s="40">
        <f>AU484/AU487</f>
        <v>0</v>
      </c>
      <c r="AW484" s="13"/>
      <c r="AX484" s="33">
        <v>0</v>
      </c>
      <c r="AY484" s="33">
        <v>0</v>
      </c>
      <c r="AZ484" s="9" t="s">
        <v>82</v>
      </c>
      <c r="BA484" s="32">
        <v>0</v>
      </c>
      <c r="BB484" s="32">
        <v>0</v>
      </c>
      <c r="BC484" s="14">
        <f>SUM(AX484:BB484)</f>
        <v>0</v>
      </c>
      <c r="BD484" s="40">
        <f>BC484/BC487</f>
        <v>0</v>
      </c>
      <c r="BE484" s="13"/>
      <c r="BF484" s="9" t="s">
        <v>59</v>
      </c>
      <c r="BG484" s="15"/>
      <c r="BH484" s="16"/>
      <c r="BI484" s="15"/>
    </row>
    <row r="485" spans="1:61" ht="20.25" customHeight="1">
      <c r="A485" s="10" t="s">
        <v>196</v>
      </c>
      <c r="B485" s="32" t="s">
        <v>59</v>
      </c>
      <c r="C485" s="32">
        <v>0</v>
      </c>
      <c r="D485" s="32">
        <v>12</v>
      </c>
      <c r="E485" s="32">
        <v>2</v>
      </c>
      <c r="F485" s="32">
        <v>8</v>
      </c>
      <c r="G485" s="32" t="s">
        <v>59</v>
      </c>
      <c r="H485" s="32" t="s">
        <v>59</v>
      </c>
      <c r="I485" s="32">
        <v>6</v>
      </c>
      <c r="J485" s="33">
        <v>8</v>
      </c>
      <c r="K485" s="23">
        <f>SUM(B485:J485)</f>
        <v>36</v>
      </c>
      <c r="L485" s="35">
        <f>K485/K487</f>
        <v>0.35294117647058826</v>
      </c>
      <c r="M485" s="35">
        <f>K485/K492</f>
        <v>0.31034482758620691</v>
      </c>
      <c r="N485" s="37"/>
      <c r="O485" s="35"/>
      <c r="P485" s="13"/>
      <c r="Q485" s="33">
        <v>3</v>
      </c>
      <c r="R485" s="9" t="s">
        <v>82</v>
      </c>
      <c r="S485" s="14">
        <v>0</v>
      </c>
      <c r="T485" s="14">
        <f>SUM(Q485:S485)</f>
        <v>3</v>
      </c>
      <c r="U485" s="40">
        <f>T485/T487</f>
        <v>0.27272727272727271</v>
      </c>
      <c r="V485" s="13"/>
      <c r="W485" s="33">
        <v>2</v>
      </c>
      <c r="X485" s="33">
        <v>2</v>
      </c>
      <c r="Y485" s="33">
        <v>3</v>
      </c>
      <c r="Z485" s="33" t="s">
        <v>82</v>
      </c>
      <c r="AA485" s="33">
        <v>1</v>
      </c>
      <c r="AB485" s="33">
        <v>0</v>
      </c>
      <c r="AC485" s="14">
        <f>SUM(W485:AB485)</f>
        <v>8</v>
      </c>
      <c r="AD485" s="40">
        <f>AC485/AC487</f>
        <v>0.24242424242424243</v>
      </c>
      <c r="AE485" s="13"/>
      <c r="AF485" s="33">
        <v>6</v>
      </c>
      <c r="AG485" s="33">
        <v>5</v>
      </c>
      <c r="AH485" s="9" t="s">
        <v>82</v>
      </c>
      <c r="AI485" s="33">
        <v>0</v>
      </c>
      <c r="AJ485" s="33">
        <v>0</v>
      </c>
      <c r="AK485" s="33">
        <v>5</v>
      </c>
      <c r="AL485" s="14">
        <f>SUM(AF485:AK485)</f>
        <v>16</v>
      </c>
      <c r="AM485" s="40">
        <f>AL485/AL487</f>
        <v>0.42105263157894735</v>
      </c>
      <c r="AN485" s="13"/>
      <c r="AO485" s="33">
        <v>1</v>
      </c>
      <c r="AP485" s="33">
        <v>0</v>
      </c>
      <c r="AQ485" s="33">
        <v>3</v>
      </c>
      <c r="AR485" s="33" t="s">
        <v>82</v>
      </c>
      <c r="AS485" s="9" t="s">
        <v>82</v>
      </c>
      <c r="AT485" s="33">
        <v>0</v>
      </c>
      <c r="AU485" s="14">
        <f>SUM(AO485:AT485)</f>
        <v>4</v>
      </c>
      <c r="AV485" s="40">
        <f>AU485/AU487</f>
        <v>0.36363636363636365</v>
      </c>
      <c r="AW485" s="13"/>
      <c r="AX485" s="33">
        <v>0</v>
      </c>
      <c r="AY485" s="33">
        <v>0</v>
      </c>
      <c r="AZ485" s="9" t="s">
        <v>82</v>
      </c>
      <c r="BA485" s="32">
        <v>1</v>
      </c>
      <c r="BB485" s="32">
        <v>3</v>
      </c>
      <c r="BC485" s="14">
        <f>SUM(AX485:BB485)</f>
        <v>4</v>
      </c>
      <c r="BD485" s="40">
        <f>BC485/BC487</f>
        <v>0.5714285714285714</v>
      </c>
      <c r="BE485" s="13"/>
      <c r="BF485" s="9" t="s">
        <v>59</v>
      </c>
      <c r="BG485" s="15"/>
      <c r="BH485" s="16"/>
      <c r="BI485" s="15"/>
    </row>
    <row r="486" spans="1:61" ht="32.25" customHeight="1">
      <c r="A486" s="10" t="s">
        <v>197</v>
      </c>
      <c r="B486" s="32" t="s">
        <v>59</v>
      </c>
      <c r="C486" s="32">
        <v>5</v>
      </c>
      <c r="D486" s="32">
        <v>9</v>
      </c>
      <c r="E486" s="32">
        <v>8</v>
      </c>
      <c r="F486" s="32">
        <v>7</v>
      </c>
      <c r="G486" s="32" t="s">
        <v>59</v>
      </c>
      <c r="H486" s="32" t="s">
        <v>59</v>
      </c>
      <c r="I486" s="32">
        <v>12</v>
      </c>
      <c r="J486" s="33">
        <v>7</v>
      </c>
      <c r="K486" s="23">
        <f>SUM(B486:J486)</f>
        <v>48</v>
      </c>
      <c r="L486" s="35">
        <f>K486/K487</f>
        <v>0.47058823529411764</v>
      </c>
      <c r="M486" s="35">
        <f>K486/K492</f>
        <v>0.41379310344827586</v>
      </c>
      <c r="N486" s="37"/>
      <c r="O486" s="35"/>
      <c r="P486" s="13"/>
      <c r="Q486" s="33">
        <v>5</v>
      </c>
      <c r="R486" s="9" t="s">
        <v>82</v>
      </c>
      <c r="S486" s="14">
        <v>1</v>
      </c>
      <c r="T486" s="14">
        <f>SUM(Q486:S486)</f>
        <v>6</v>
      </c>
      <c r="U486" s="40">
        <f>T486/T487</f>
        <v>0.54545454545454541</v>
      </c>
      <c r="V486" s="13"/>
      <c r="W486" s="33">
        <v>7</v>
      </c>
      <c r="X486" s="33">
        <v>2</v>
      </c>
      <c r="Y486" s="33">
        <v>5</v>
      </c>
      <c r="Z486" s="33" t="s">
        <v>82</v>
      </c>
      <c r="AA486" s="33">
        <v>5</v>
      </c>
      <c r="AB486" s="33">
        <v>2</v>
      </c>
      <c r="AC486" s="14">
        <f>SUM(W486:AB486)</f>
        <v>21</v>
      </c>
      <c r="AD486" s="40">
        <f>AC486/AC487</f>
        <v>0.63636363636363635</v>
      </c>
      <c r="AE486" s="13"/>
      <c r="AF486" s="33">
        <v>1</v>
      </c>
      <c r="AG486" s="33">
        <v>3</v>
      </c>
      <c r="AH486" s="9" t="s">
        <v>82</v>
      </c>
      <c r="AI486" s="33">
        <v>3</v>
      </c>
      <c r="AJ486" s="33">
        <v>0</v>
      </c>
      <c r="AK486" s="33">
        <v>6</v>
      </c>
      <c r="AL486" s="14">
        <f>SUM(AF486:AK486)</f>
        <v>13</v>
      </c>
      <c r="AM486" s="40">
        <f>AL486/AL487</f>
        <v>0.34210526315789475</v>
      </c>
      <c r="AN486" s="13"/>
      <c r="AO486" s="33">
        <v>0</v>
      </c>
      <c r="AP486" s="33">
        <v>2</v>
      </c>
      <c r="AQ486" s="33">
        <v>1</v>
      </c>
      <c r="AR486" s="33" t="s">
        <v>82</v>
      </c>
      <c r="AS486" s="9" t="s">
        <v>82</v>
      </c>
      <c r="AT486" s="33">
        <v>3</v>
      </c>
      <c r="AU486" s="14">
        <f>SUM(AO486:AT486)</f>
        <v>6</v>
      </c>
      <c r="AV486" s="40">
        <f>AU486/AU487</f>
        <v>0.54545454545454541</v>
      </c>
      <c r="AW486" s="13"/>
      <c r="AX486" s="33">
        <v>0</v>
      </c>
      <c r="AY486" s="33">
        <v>2</v>
      </c>
      <c r="AZ486" s="9" t="s">
        <v>82</v>
      </c>
      <c r="BA486" s="32">
        <v>0</v>
      </c>
      <c r="BB486" s="32">
        <v>0</v>
      </c>
      <c r="BC486" s="14">
        <f>SUM(AX486:BB486)</f>
        <v>2</v>
      </c>
      <c r="BD486" s="40">
        <f>BC486/BC487</f>
        <v>0.2857142857142857</v>
      </c>
      <c r="BE486" s="13"/>
      <c r="BF486" s="9" t="s">
        <v>59</v>
      </c>
      <c r="BG486" s="15"/>
      <c r="BH486" s="16"/>
      <c r="BI486" s="15"/>
    </row>
    <row r="487" spans="1:61" ht="21.75" customHeight="1">
      <c r="A487" s="10" t="s">
        <v>9</v>
      </c>
      <c r="B487" s="32" t="s">
        <v>59</v>
      </c>
      <c r="C487" s="32">
        <f>SUM(C481:C486)</f>
        <v>7</v>
      </c>
      <c r="D487" s="32">
        <f>SUM(D481:D486)</f>
        <v>23</v>
      </c>
      <c r="E487" s="32">
        <f>SUM(E481:E486)</f>
        <v>14</v>
      </c>
      <c r="F487" s="32">
        <f>SUM(F481:F486)</f>
        <v>17</v>
      </c>
      <c r="G487" s="32" t="s">
        <v>59</v>
      </c>
      <c r="H487" s="32" t="s">
        <v>59</v>
      </c>
      <c r="I487" s="32">
        <f>SUM(I481:I486)</f>
        <v>20</v>
      </c>
      <c r="J487" s="32">
        <f>SUM(J481:J486)</f>
        <v>21</v>
      </c>
      <c r="K487" s="23">
        <f>SUM(K481:K486)</f>
        <v>102</v>
      </c>
      <c r="L487" s="35">
        <f>SUM(L481:L486)</f>
        <v>1</v>
      </c>
      <c r="M487" s="35">
        <f>SUM(M481:M486)</f>
        <v>0.8793103448275863</v>
      </c>
      <c r="N487" s="37">
        <f>T487+AC487+AL487+AU487</f>
        <v>93</v>
      </c>
      <c r="O487" s="35">
        <f>N487/K487</f>
        <v>0.91176470588235292</v>
      </c>
      <c r="P487" s="13">
        <f>SUM(P481:P486)</f>
        <v>0</v>
      </c>
      <c r="Q487" s="47">
        <f>SUM(Q482:Q486)</f>
        <v>9</v>
      </c>
      <c r="R487" s="14">
        <f>SUM(R482:R486)</f>
        <v>0</v>
      </c>
      <c r="S487" s="14">
        <f>SUM(S482:S486)</f>
        <v>2</v>
      </c>
      <c r="T487" s="14">
        <f>SUM(T482:T486)</f>
        <v>11</v>
      </c>
      <c r="U487" s="40">
        <f t="shared" ref="U487:AR487" si="334">SUM(U481:U486)</f>
        <v>1</v>
      </c>
      <c r="V487" s="13">
        <f t="shared" si="334"/>
        <v>0</v>
      </c>
      <c r="W487" s="45">
        <f t="shared" si="334"/>
        <v>9</v>
      </c>
      <c r="X487" s="45">
        <f t="shared" si="334"/>
        <v>5</v>
      </c>
      <c r="Y487" s="45">
        <f t="shared" si="334"/>
        <v>9</v>
      </c>
      <c r="Z487" s="45">
        <f t="shared" si="334"/>
        <v>0</v>
      </c>
      <c r="AA487" s="45">
        <f t="shared" si="334"/>
        <v>8</v>
      </c>
      <c r="AB487" s="45">
        <f t="shared" si="334"/>
        <v>2</v>
      </c>
      <c r="AC487" s="45">
        <f t="shared" si="334"/>
        <v>33</v>
      </c>
      <c r="AD487" s="40">
        <f t="shared" si="334"/>
        <v>1</v>
      </c>
      <c r="AE487" s="13">
        <f t="shared" si="334"/>
        <v>0</v>
      </c>
      <c r="AF487" s="45">
        <f t="shared" si="334"/>
        <v>8</v>
      </c>
      <c r="AG487" s="45">
        <f t="shared" si="334"/>
        <v>8</v>
      </c>
      <c r="AH487" s="45">
        <f t="shared" si="334"/>
        <v>0</v>
      </c>
      <c r="AI487" s="45">
        <f t="shared" si="334"/>
        <v>5</v>
      </c>
      <c r="AJ487" s="45">
        <f t="shared" si="334"/>
        <v>1</v>
      </c>
      <c r="AK487" s="45">
        <f t="shared" si="334"/>
        <v>16</v>
      </c>
      <c r="AL487" s="45">
        <f t="shared" si="334"/>
        <v>38</v>
      </c>
      <c r="AM487" s="40">
        <f t="shared" si="334"/>
        <v>1</v>
      </c>
      <c r="AN487" s="13">
        <f t="shared" si="334"/>
        <v>0</v>
      </c>
      <c r="AO487" s="47">
        <f t="shared" si="334"/>
        <v>1</v>
      </c>
      <c r="AP487" s="47">
        <f t="shared" si="334"/>
        <v>2</v>
      </c>
      <c r="AQ487" s="47">
        <f t="shared" si="334"/>
        <v>4</v>
      </c>
      <c r="AR487" s="47">
        <f t="shared" si="334"/>
        <v>0</v>
      </c>
      <c r="AS487" s="113" t="s">
        <v>82</v>
      </c>
      <c r="AT487" s="47">
        <f t="shared" ref="AT487:AY487" si="335">SUM(AT481:AT486)</f>
        <v>4</v>
      </c>
      <c r="AU487" s="45">
        <f t="shared" si="335"/>
        <v>11</v>
      </c>
      <c r="AV487" s="40">
        <f t="shared" si="335"/>
        <v>1</v>
      </c>
      <c r="AW487" s="13">
        <f t="shared" si="335"/>
        <v>0</v>
      </c>
      <c r="AX487" s="47">
        <f t="shared" si="335"/>
        <v>1</v>
      </c>
      <c r="AY487" s="47">
        <f t="shared" si="335"/>
        <v>2</v>
      </c>
      <c r="AZ487" s="113" t="s">
        <v>82</v>
      </c>
      <c r="BA487" s="47">
        <f>SUM(BA481:BA486)</f>
        <v>1</v>
      </c>
      <c r="BB487" s="47">
        <f>SUM(BB481:BB486)</f>
        <v>3</v>
      </c>
      <c r="BC487" s="45">
        <f>SUM(BC481:BC486)</f>
        <v>7</v>
      </c>
      <c r="BD487" s="40">
        <f>SUM(BD481:BD486)</f>
        <v>0.99999999999999989</v>
      </c>
      <c r="BE487" s="13">
        <f>SUM(BE481:BE486)</f>
        <v>0</v>
      </c>
      <c r="BF487" s="38"/>
      <c r="BG487" s="40"/>
      <c r="BH487" s="32"/>
      <c r="BI487" s="40"/>
    </row>
    <row r="488" spans="1:61" ht="21.75" customHeight="1">
      <c r="A488" s="8" t="s">
        <v>198</v>
      </c>
      <c r="B488" s="32" t="s">
        <v>59</v>
      </c>
      <c r="C488" s="32">
        <v>0</v>
      </c>
      <c r="D488" s="32">
        <v>2</v>
      </c>
      <c r="E488" s="32">
        <v>2</v>
      </c>
      <c r="F488" s="32">
        <v>3</v>
      </c>
      <c r="G488" s="32" t="s">
        <v>59</v>
      </c>
      <c r="H488" s="32" t="s">
        <v>59</v>
      </c>
      <c r="I488" s="32">
        <v>0</v>
      </c>
      <c r="J488" s="32">
        <v>0</v>
      </c>
      <c r="K488" s="23">
        <f>SUM(B488:J488)</f>
        <v>7</v>
      </c>
      <c r="L488" s="35">
        <f>K488/(K487+K488+K489)</f>
        <v>6.363636363636363E-2</v>
      </c>
      <c r="M488" s="35">
        <f>K488/K492</f>
        <v>6.0344827586206899E-2</v>
      </c>
      <c r="N488" s="37"/>
      <c r="O488" s="35"/>
      <c r="P488" s="13"/>
      <c r="Q488" s="104">
        <v>0</v>
      </c>
      <c r="R488" s="32" t="s">
        <v>82</v>
      </c>
      <c r="S488" s="38">
        <v>0</v>
      </c>
      <c r="T488" s="38">
        <f>SUM(Q488:S488)</f>
        <v>0</v>
      </c>
      <c r="U488" s="15">
        <f>T488/T492</f>
        <v>0</v>
      </c>
      <c r="V488" s="13"/>
      <c r="W488" s="51">
        <v>0</v>
      </c>
      <c r="X488" s="51">
        <v>1</v>
      </c>
      <c r="Y488" s="51">
        <v>1</v>
      </c>
      <c r="Z488" s="101" t="s">
        <v>82</v>
      </c>
      <c r="AA488" s="51">
        <v>1</v>
      </c>
      <c r="AB488" s="101">
        <v>0</v>
      </c>
      <c r="AC488" s="51">
        <f>SUM(W488:AB488)</f>
        <v>3</v>
      </c>
      <c r="AD488" s="15">
        <f>AC488/AC492</f>
        <v>7.3170731707317069E-2</v>
      </c>
      <c r="AE488" s="13"/>
      <c r="AF488" s="51">
        <v>1</v>
      </c>
      <c r="AG488" s="51">
        <v>1</v>
      </c>
      <c r="AH488" s="101" t="s">
        <v>82</v>
      </c>
      <c r="AI488" s="51">
        <v>1</v>
      </c>
      <c r="AJ488" s="101">
        <v>0</v>
      </c>
      <c r="AK488" s="101">
        <v>0</v>
      </c>
      <c r="AL488" s="51">
        <f>SUM(AE488:AK488)</f>
        <v>3</v>
      </c>
      <c r="AM488" s="15">
        <f>AL488/AL492</f>
        <v>6.9767441860465115E-2</v>
      </c>
      <c r="AN488" s="13"/>
      <c r="AO488" s="104">
        <v>0</v>
      </c>
      <c r="AP488" s="104">
        <v>1</v>
      </c>
      <c r="AQ488" s="104">
        <v>0</v>
      </c>
      <c r="AR488" s="104"/>
      <c r="AS488" s="103" t="s">
        <v>82</v>
      </c>
      <c r="AT488" s="118">
        <v>0</v>
      </c>
      <c r="AU488" s="51">
        <f>SUM(AO488:AT488)</f>
        <v>1</v>
      </c>
      <c r="AV488" s="15">
        <f>AU488/AU492</f>
        <v>8.3333333333333329E-2</v>
      </c>
      <c r="AW488" s="13"/>
      <c r="AX488" s="104">
        <v>0</v>
      </c>
      <c r="AY488" s="104">
        <v>0</v>
      </c>
      <c r="AZ488" s="103" t="s">
        <v>82</v>
      </c>
      <c r="BA488" s="118">
        <v>0</v>
      </c>
      <c r="BB488" s="118">
        <v>0</v>
      </c>
      <c r="BC488" s="51">
        <f>SUM(AX488:BB488)</f>
        <v>0</v>
      </c>
      <c r="BD488" s="15">
        <f>BC488/BC492</f>
        <v>0</v>
      </c>
      <c r="BE488" s="13"/>
      <c r="BF488" s="38"/>
      <c r="BG488" s="42"/>
      <c r="BH488" s="42"/>
      <c r="BI488" s="42"/>
    </row>
    <row r="489" spans="1:61" ht="32.25" customHeight="1">
      <c r="A489" s="131" t="s">
        <v>199</v>
      </c>
      <c r="B489" s="32" t="s">
        <v>59</v>
      </c>
      <c r="C489" s="32">
        <v>0</v>
      </c>
      <c r="D489" s="32">
        <v>1</v>
      </c>
      <c r="E489" s="32">
        <v>0</v>
      </c>
      <c r="F489" s="32">
        <v>0</v>
      </c>
      <c r="G489" s="32" t="s">
        <v>59</v>
      </c>
      <c r="H489" s="32" t="s">
        <v>59</v>
      </c>
      <c r="I489" s="32">
        <v>0</v>
      </c>
      <c r="J489" s="32">
        <v>0</v>
      </c>
      <c r="K489" s="23">
        <f>SUM(B489:J489)</f>
        <v>1</v>
      </c>
      <c r="L489" s="35">
        <f>K489/(K488+K489+K487)</f>
        <v>9.0909090909090905E-3</v>
      </c>
      <c r="M489" s="35">
        <f>K489/K492</f>
        <v>8.6206896551724137E-3</v>
      </c>
      <c r="N489" s="23"/>
      <c r="O489" s="35"/>
      <c r="P489" s="13"/>
      <c r="Q489" s="38">
        <v>0</v>
      </c>
      <c r="R489" s="32" t="s">
        <v>82</v>
      </c>
      <c r="S489" s="38">
        <v>0</v>
      </c>
      <c r="T489" s="38">
        <f>SUM(Q489:S489)</f>
        <v>0</v>
      </c>
      <c r="U489" s="15">
        <f>T489/T492</f>
        <v>0</v>
      </c>
      <c r="V489" s="13"/>
      <c r="W489" s="38">
        <v>0</v>
      </c>
      <c r="X489" s="38">
        <v>0</v>
      </c>
      <c r="Y489" s="38">
        <v>0</v>
      </c>
      <c r="Z489" s="32" t="s">
        <v>82</v>
      </c>
      <c r="AA489" s="38">
        <v>0</v>
      </c>
      <c r="AB489" s="32">
        <v>0</v>
      </c>
      <c r="AC489" s="38">
        <f>SUM(W489:AB489)</f>
        <v>0</v>
      </c>
      <c r="AD489" s="15">
        <f>AC489/AC492</f>
        <v>0</v>
      </c>
      <c r="AE489" s="13"/>
      <c r="AF489" s="38">
        <v>0</v>
      </c>
      <c r="AG489" s="38">
        <v>1</v>
      </c>
      <c r="AH489" s="32" t="s">
        <v>82</v>
      </c>
      <c r="AI489" s="38">
        <v>0</v>
      </c>
      <c r="AJ489" s="32">
        <v>0</v>
      </c>
      <c r="AK489" s="32">
        <v>0</v>
      </c>
      <c r="AL489" s="38">
        <f>SUM(AE489:AK489)</f>
        <v>1</v>
      </c>
      <c r="AM489" s="15">
        <f>AL489/AL492</f>
        <v>2.3255813953488372E-2</v>
      </c>
      <c r="AN489" s="13"/>
      <c r="AO489" s="38">
        <v>0</v>
      </c>
      <c r="AP489" s="38">
        <v>0</v>
      </c>
      <c r="AQ489" s="38">
        <v>0</v>
      </c>
      <c r="AR489" s="38"/>
      <c r="AS489" s="9" t="s">
        <v>82</v>
      </c>
      <c r="AT489" s="32">
        <v>0</v>
      </c>
      <c r="AU489" s="38">
        <f>SUM(AO489:AT489)</f>
        <v>0</v>
      </c>
      <c r="AV489" s="15">
        <f>AU489/AU492</f>
        <v>0</v>
      </c>
      <c r="AW489" s="13"/>
      <c r="AX489" s="38">
        <v>0</v>
      </c>
      <c r="AY489" s="38">
        <v>0</v>
      </c>
      <c r="AZ489" s="9" t="s">
        <v>82</v>
      </c>
      <c r="BA489" s="32">
        <v>0</v>
      </c>
      <c r="BB489" s="32">
        <v>0</v>
      </c>
      <c r="BC489" s="38">
        <f>SUM(AX489:BB489)</f>
        <v>0</v>
      </c>
      <c r="BD489" s="15">
        <f>BC489/BC492</f>
        <v>0</v>
      </c>
      <c r="BE489" s="13"/>
      <c r="BF489" s="38"/>
      <c r="BG489" s="32"/>
      <c r="BH489" s="32"/>
      <c r="BI489" s="32"/>
    </row>
    <row r="490" spans="1:61" ht="20.25" customHeight="1">
      <c r="A490" s="132" t="s">
        <v>200</v>
      </c>
      <c r="B490" s="32" t="s">
        <v>59</v>
      </c>
      <c r="C490" s="32">
        <v>0</v>
      </c>
      <c r="D490" s="32">
        <v>3</v>
      </c>
      <c r="E490" s="32">
        <v>1</v>
      </c>
      <c r="F490" s="32">
        <v>1</v>
      </c>
      <c r="G490" s="32" t="s">
        <v>59</v>
      </c>
      <c r="H490" s="32" t="s">
        <v>59</v>
      </c>
      <c r="I490" s="32">
        <v>0</v>
      </c>
      <c r="J490" s="32">
        <v>1</v>
      </c>
      <c r="K490" s="23">
        <f>SUM(B490:J490)</f>
        <v>6</v>
      </c>
      <c r="L490" s="35">
        <f>K490/(K489+K490+K491+K488+K487)</f>
        <v>5.1724137931034482E-2</v>
      </c>
      <c r="M490" s="35">
        <f>K490/K492</f>
        <v>5.1724137931034482E-2</v>
      </c>
      <c r="N490" s="37"/>
      <c r="O490" s="35"/>
      <c r="P490" s="13"/>
      <c r="Q490" s="14">
        <v>0</v>
      </c>
      <c r="R490" s="9" t="s">
        <v>82</v>
      </c>
      <c r="S490" s="14">
        <v>0</v>
      </c>
      <c r="T490" s="38">
        <f>SUM(Q490:S490)</f>
        <v>0</v>
      </c>
      <c r="U490" s="15">
        <f>T490/T492</f>
        <v>0</v>
      </c>
      <c r="V490" s="13"/>
      <c r="W490" s="38">
        <v>0</v>
      </c>
      <c r="X490" s="38">
        <v>1</v>
      </c>
      <c r="Y490" s="38">
        <v>3</v>
      </c>
      <c r="Z490" s="32" t="s">
        <v>82</v>
      </c>
      <c r="AA490" s="14">
        <v>1</v>
      </c>
      <c r="AB490" s="32">
        <v>0</v>
      </c>
      <c r="AC490" s="38">
        <f>SUM(W490:AB490)</f>
        <v>5</v>
      </c>
      <c r="AD490" s="15">
        <f>AC490/AC492</f>
        <v>0.12195121951219512</v>
      </c>
      <c r="AE490" s="13"/>
      <c r="AF490" s="38">
        <v>0</v>
      </c>
      <c r="AG490" s="38">
        <v>0</v>
      </c>
      <c r="AH490" s="32" t="s">
        <v>82</v>
      </c>
      <c r="AI490" s="14">
        <v>0</v>
      </c>
      <c r="AJ490" s="32">
        <v>0</v>
      </c>
      <c r="AK490" s="32">
        <v>1</v>
      </c>
      <c r="AL490" s="38">
        <f>SUM(AE490:AK490)</f>
        <v>1</v>
      </c>
      <c r="AM490" s="15">
        <f>AL490/AL492</f>
        <v>2.3255813953488372E-2</v>
      </c>
      <c r="AN490" s="13"/>
      <c r="AO490" s="38">
        <v>0</v>
      </c>
      <c r="AP490" s="38">
        <v>0</v>
      </c>
      <c r="AQ490" s="38">
        <v>0</v>
      </c>
      <c r="AR490" s="38"/>
      <c r="AS490" s="9" t="s">
        <v>82</v>
      </c>
      <c r="AT490" s="32">
        <v>0</v>
      </c>
      <c r="AU490" s="38">
        <f>SUM(AO490:AT490)</f>
        <v>0</v>
      </c>
      <c r="AV490" s="15">
        <f>AU490/AU492</f>
        <v>0</v>
      </c>
      <c r="AW490" s="13"/>
      <c r="AX490" s="38">
        <v>0</v>
      </c>
      <c r="AY490" s="38">
        <v>0</v>
      </c>
      <c r="AZ490" s="9" t="s">
        <v>82</v>
      </c>
      <c r="BA490" s="32">
        <v>0</v>
      </c>
      <c r="BB490" s="32">
        <v>0</v>
      </c>
      <c r="BC490" s="38">
        <f>SUM(AX490:BB490)</f>
        <v>0</v>
      </c>
      <c r="BD490" s="15">
        <f>BC490/BC492</f>
        <v>0</v>
      </c>
      <c r="BE490" s="13"/>
      <c r="BF490" s="38"/>
      <c r="BG490" s="32"/>
      <c r="BH490" s="32"/>
      <c r="BI490" s="32"/>
    </row>
    <row r="491" spans="1:61" ht="32.25" customHeight="1">
      <c r="A491" s="8" t="s">
        <v>201</v>
      </c>
      <c r="B491" s="32" t="s">
        <v>59</v>
      </c>
      <c r="C491" s="32">
        <v>0</v>
      </c>
      <c r="D491" s="32">
        <v>0</v>
      </c>
      <c r="E491" s="32">
        <v>0</v>
      </c>
      <c r="F491" s="32">
        <v>0</v>
      </c>
      <c r="G491" s="32" t="s">
        <v>59</v>
      </c>
      <c r="H491" s="32" t="s">
        <v>59</v>
      </c>
      <c r="I491" s="32">
        <v>0</v>
      </c>
      <c r="J491" s="32">
        <v>0</v>
      </c>
      <c r="K491" s="23">
        <f>SUM(B491:J491)</f>
        <v>0</v>
      </c>
      <c r="L491" s="35">
        <f>K491/(K490+K491+K489+K488+K487)</f>
        <v>0</v>
      </c>
      <c r="M491" s="35">
        <f>K491/K492</f>
        <v>0</v>
      </c>
      <c r="N491" s="37"/>
      <c r="O491" s="35"/>
      <c r="P491" s="13"/>
      <c r="Q491" s="14">
        <v>0</v>
      </c>
      <c r="R491" s="9" t="s">
        <v>82</v>
      </c>
      <c r="S491" s="14">
        <v>0</v>
      </c>
      <c r="T491" s="38">
        <f>SUM(Q491:S491)</f>
        <v>0</v>
      </c>
      <c r="U491" s="15">
        <f>T491/T492</f>
        <v>0</v>
      </c>
      <c r="V491" s="13"/>
      <c r="W491" s="38">
        <v>0</v>
      </c>
      <c r="X491" s="38">
        <v>0</v>
      </c>
      <c r="Y491" s="38">
        <v>0</v>
      </c>
      <c r="Z491" s="32" t="s">
        <v>82</v>
      </c>
      <c r="AA491" s="14">
        <v>0</v>
      </c>
      <c r="AB491" s="32">
        <v>0</v>
      </c>
      <c r="AC491" s="38">
        <f>SUM(W491:AB491)</f>
        <v>0</v>
      </c>
      <c r="AD491" s="15">
        <f>AC491/AC492</f>
        <v>0</v>
      </c>
      <c r="AE491" s="13"/>
      <c r="AF491" s="38">
        <v>0</v>
      </c>
      <c r="AG491" s="38">
        <v>0</v>
      </c>
      <c r="AH491" s="32" t="s">
        <v>82</v>
      </c>
      <c r="AI491" s="14">
        <v>0</v>
      </c>
      <c r="AJ491" s="32">
        <v>0</v>
      </c>
      <c r="AK491" s="32">
        <v>0</v>
      </c>
      <c r="AL491" s="38">
        <f>SUM(AE491:AK491)</f>
        <v>0</v>
      </c>
      <c r="AM491" s="15">
        <f>AL491/AL492</f>
        <v>0</v>
      </c>
      <c r="AN491" s="13"/>
      <c r="AO491" s="38">
        <v>0</v>
      </c>
      <c r="AP491" s="38">
        <v>0</v>
      </c>
      <c r="AQ491" s="38">
        <v>0</v>
      </c>
      <c r="AR491" s="38"/>
      <c r="AS491" s="9" t="s">
        <v>82</v>
      </c>
      <c r="AT491" s="32">
        <v>0</v>
      </c>
      <c r="AU491" s="38">
        <f>SUM(AO491:AT491)</f>
        <v>0</v>
      </c>
      <c r="AV491" s="15">
        <f>AU491/AU492</f>
        <v>0</v>
      </c>
      <c r="AW491" s="13"/>
      <c r="AX491" s="38">
        <v>0</v>
      </c>
      <c r="AY491" s="38">
        <v>0</v>
      </c>
      <c r="AZ491" s="9" t="s">
        <v>82</v>
      </c>
      <c r="BA491" s="32">
        <v>0</v>
      </c>
      <c r="BB491" s="32">
        <v>0</v>
      </c>
      <c r="BC491" s="38">
        <f>SUM(AX491:BB491)</f>
        <v>0</v>
      </c>
      <c r="BD491" s="15">
        <f>BC491/BC492</f>
        <v>0</v>
      </c>
      <c r="BE491" s="13"/>
      <c r="BF491" s="38"/>
      <c r="BG491" s="32"/>
      <c r="BH491" s="32"/>
      <c r="BI491" s="32"/>
    </row>
    <row r="492" spans="1:61" ht="20.25" customHeight="1">
      <c r="A492" s="39" t="s">
        <v>66</v>
      </c>
      <c r="B492" s="32" t="s">
        <v>59</v>
      </c>
      <c r="C492" s="32">
        <f>SUM(C487:C491)</f>
        <v>7</v>
      </c>
      <c r="D492" s="32">
        <f>SUM(D487:D491)</f>
        <v>29</v>
      </c>
      <c r="E492" s="32">
        <f>SUM(E487:E491)</f>
        <v>17</v>
      </c>
      <c r="F492" s="32">
        <f>SUM(F487:F491)</f>
        <v>21</v>
      </c>
      <c r="G492" s="32" t="s">
        <v>59</v>
      </c>
      <c r="H492" s="32" t="s">
        <v>59</v>
      </c>
      <c r="I492" s="32">
        <f>SUM(I487:I491)</f>
        <v>20</v>
      </c>
      <c r="J492" s="32">
        <f>SUM(J487:J491)</f>
        <v>22</v>
      </c>
      <c r="K492" s="23">
        <f>SUM(B492:J492)</f>
        <v>116</v>
      </c>
      <c r="L492" s="35">
        <f>K492/(K491+K490+K489+K488+K487)</f>
        <v>1</v>
      </c>
      <c r="M492" s="35">
        <f>K492/(K491+K490+K489+K488+K487)</f>
        <v>1</v>
      </c>
      <c r="N492" s="37">
        <f>T492+AC492+AL492+AU492</f>
        <v>107</v>
      </c>
      <c r="O492" s="35">
        <f>N492/K492</f>
        <v>0.92241379310344829</v>
      </c>
      <c r="P492" s="13"/>
      <c r="Q492" s="38">
        <f>SUM(Q487:Q491)</f>
        <v>9</v>
      </c>
      <c r="R492" s="38">
        <f>SUM(R487:R491)</f>
        <v>0</v>
      </c>
      <c r="S492" s="38">
        <f>SUM(S487:S491)</f>
        <v>2</v>
      </c>
      <c r="T492" s="38">
        <f>SUM(T487:T491)</f>
        <v>11</v>
      </c>
      <c r="U492" s="40">
        <f>T492/(T489+T490+T491+T488+T487)</f>
        <v>1</v>
      </c>
      <c r="V492" s="13"/>
      <c r="W492" s="38">
        <f t="shared" ref="W492:AC492" si="336">SUM(W487:W491)</f>
        <v>9</v>
      </c>
      <c r="X492" s="38">
        <f t="shared" si="336"/>
        <v>7</v>
      </c>
      <c r="Y492" s="38">
        <f t="shared" si="336"/>
        <v>13</v>
      </c>
      <c r="Z492" s="38">
        <f t="shared" si="336"/>
        <v>0</v>
      </c>
      <c r="AA492" s="38">
        <f t="shared" si="336"/>
        <v>10</v>
      </c>
      <c r="AB492" s="38">
        <f t="shared" si="336"/>
        <v>2</v>
      </c>
      <c r="AC492" s="38">
        <f t="shared" si="336"/>
        <v>41</v>
      </c>
      <c r="AD492" s="40">
        <f>AC492/(AC489+AC490+AC491+AC488+AC487)</f>
        <v>1</v>
      </c>
      <c r="AE492" s="13"/>
      <c r="AF492" s="38">
        <f t="shared" ref="AF492:AL492" si="337">SUM(AF487:AF491)</f>
        <v>9</v>
      </c>
      <c r="AG492" s="38">
        <f t="shared" si="337"/>
        <v>10</v>
      </c>
      <c r="AH492" s="38">
        <f t="shared" si="337"/>
        <v>0</v>
      </c>
      <c r="AI492" s="38">
        <f t="shared" si="337"/>
        <v>6</v>
      </c>
      <c r="AJ492" s="38">
        <f t="shared" si="337"/>
        <v>1</v>
      </c>
      <c r="AK492" s="38">
        <f t="shared" si="337"/>
        <v>17</v>
      </c>
      <c r="AL492" s="38">
        <f t="shared" si="337"/>
        <v>43</v>
      </c>
      <c r="AM492" s="40">
        <f>AL492/(AL489+AL490+AL491+AL488+AL487)</f>
        <v>1</v>
      </c>
      <c r="AN492" s="13"/>
      <c r="AO492" s="38">
        <f>SUM(AO487:AO491)</f>
        <v>1</v>
      </c>
      <c r="AP492" s="38">
        <f>SUM(AP487:AP491)</f>
        <v>3</v>
      </c>
      <c r="AQ492" s="38">
        <f>SUM(AQ487:AQ491)</f>
        <v>4</v>
      </c>
      <c r="AR492" s="38">
        <f>SUM(AR487:AR491)</f>
        <v>0</v>
      </c>
      <c r="AS492" s="9" t="s">
        <v>82</v>
      </c>
      <c r="AT492" s="38">
        <f>SUM(AT487:AT491)</f>
        <v>4</v>
      </c>
      <c r="AU492" s="38">
        <f>SUM(AU487:AU491)</f>
        <v>12</v>
      </c>
      <c r="AV492" s="40">
        <f>AU492/(AU489+AU490+AU491+AU488+AU487)</f>
        <v>1</v>
      </c>
      <c r="AW492" s="13"/>
      <c r="AX492" s="38">
        <f>SUM(AX487:AX491)</f>
        <v>1</v>
      </c>
      <c r="AY492" s="38">
        <f>SUM(AY487:AY491)</f>
        <v>2</v>
      </c>
      <c r="AZ492" s="9" t="s">
        <v>82</v>
      </c>
      <c r="BA492" s="38">
        <f>SUM(BA487:BA491)</f>
        <v>1</v>
      </c>
      <c r="BB492" s="38">
        <f>SUM(BB487:BB491)</f>
        <v>3</v>
      </c>
      <c r="BC492" s="38">
        <f>SUM(BC487:BC491)</f>
        <v>7</v>
      </c>
      <c r="BD492" s="40">
        <f>BC492/(BC489+BC490+BC491+BC488+BC487)</f>
        <v>1</v>
      </c>
      <c r="BE492" s="13"/>
      <c r="BF492" s="38"/>
      <c r="BG492" s="42"/>
      <c r="BH492" s="42"/>
      <c r="BI492" s="42"/>
    </row>
    <row r="493" spans="1:61" ht="44.25" customHeight="1">
      <c r="A493" s="43" t="s">
        <v>202</v>
      </c>
      <c r="B493" s="181" t="s">
        <v>203</v>
      </c>
      <c r="C493" s="182"/>
      <c r="D493" s="182"/>
      <c r="E493" s="182"/>
      <c r="F493" s="182"/>
      <c r="G493" s="22"/>
      <c r="H493" s="22"/>
      <c r="I493" s="22"/>
      <c r="J493" s="22"/>
      <c r="K493" s="21"/>
      <c r="L493" s="24"/>
      <c r="M493" s="24"/>
      <c r="N493" s="26"/>
      <c r="O493" s="24"/>
      <c r="P493" s="27"/>
      <c r="Q493" s="28"/>
      <c r="R493" s="28"/>
      <c r="S493" s="28"/>
      <c r="T493" s="26"/>
      <c r="U493" s="24"/>
      <c r="V493" s="27"/>
      <c r="W493" s="28"/>
      <c r="X493" s="28"/>
      <c r="Y493" s="28"/>
      <c r="Z493" s="28"/>
      <c r="AA493" s="28"/>
      <c r="AB493" s="28"/>
      <c r="AC493" s="26"/>
      <c r="AD493" s="24"/>
      <c r="AE493" s="27"/>
      <c r="AF493" s="28"/>
      <c r="AG493" s="28"/>
      <c r="AH493" s="28"/>
      <c r="AI493" s="28"/>
      <c r="AJ493" s="28"/>
      <c r="AK493" s="28"/>
      <c r="AL493" s="26"/>
      <c r="AM493" s="29"/>
      <c r="AN493" s="27"/>
      <c r="AO493" s="26"/>
      <c r="AP493" s="26"/>
      <c r="AQ493" s="26"/>
      <c r="AR493" s="26"/>
      <c r="AS493" s="26"/>
      <c r="AT493" s="26"/>
      <c r="AU493" s="26"/>
      <c r="AV493" s="24"/>
      <c r="AW493" s="27"/>
      <c r="AX493" s="26"/>
      <c r="AY493" s="26"/>
      <c r="AZ493" s="26"/>
      <c r="BA493" s="26"/>
      <c r="BB493" s="26"/>
      <c r="BC493" s="26"/>
      <c r="BD493" s="24"/>
      <c r="BE493" s="27"/>
      <c r="BF493" s="26"/>
      <c r="BG493" s="22"/>
      <c r="BH493" s="21"/>
      <c r="BI493" s="22"/>
    </row>
    <row r="494" spans="1:61" ht="32.25" customHeight="1">
      <c r="A494" s="10"/>
      <c r="B494" s="30" t="s">
        <v>0</v>
      </c>
      <c r="C494" s="30" t="s">
        <v>1</v>
      </c>
      <c r="D494" s="30" t="s">
        <v>2</v>
      </c>
      <c r="E494" s="30" t="s">
        <v>3</v>
      </c>
      <c r="F494" s="30" t="s">
        <v>4</v>
      </c>
      <c r="G494" s="30" t="s">
        <v>5</v>
      </c>
      <c r="H494" s="30" t="s">
        <v>68</v>
      </c>
      <c r="I494" s="30" t="s">
        <v>7</v>
      </c>
      <c r="J494" s="30" t="s">
        <v>8</v>
      </c>
      <c r="K494" s="10" t="s">
        <v>9</v>
      </c>
      <c r="L494" s="10" t="s">
        <v>56</v>
      </c>
      <c r="M494" s="20"/>
      <c r="N494" s="12"/>
      <c r="O494" s="20"/>
      <c r="P494" s="27"/>
      <c r="Q494" s="30" t="s">
        <v>15</v>
      </c>
      <c r="R494" s="30" t="s">
        <v>16</v>
      </c>
      <c r="S494" s="30" t="s">
        <v>28</v>
      </c>
      <c r="T494" s="20"/>
      <c r="U494" s="11"/>
      <c r="V494" s="27"/>
      <c r="W494" s="30" t="s">
        <v>15</v>
      </c>
      <c r="X494" s="30" t="s">
        <v>20</v>
      </c>
      <c r="Y494" s="30" t="s">
        <v>21</v>
      </c>
      <c r="Z494" s="30" t="s">
        <v>22</v>
      </c>
      <c r="AA494" s="30" t="s">
        <v>23</v>
      </c>
      <c r="AB494" s="30" t="s">
        <v>24</v>
      </c>
      <c r="AC494" s="20"/>
      <c r="AD494" s="11"/>
      <c r="AE494" s="27"/>
      <c r="AF494" s="30" t="s">
        <v>20</v>
      </c>
      <c r="AG494" s="30" t="s">
        <v>21</v>
      </c>
      <c r="AH494" s="30" t="s">
        <v>22</v>
      </c>
      <c r="AI494" s="30" t="s">
        <v>23</v>
      </c>
      <c r="AJ494" s="30" t="s">
        <v>24</v>
      </c>
      <c r="AK494" s="30" t="s">
        <v>28</v>
      </c>
      <c r="AL494" s="20"/>
      <c r="AM494" s="44"/>
      <c r="AN494" s="27"/>
      <c r="AO494" s="30" t="s">
        <v>15</v>
      </c>
      <c r="AP494" s="30" t="s">
        <v>20</v>
      </c>
      <c r="AQ494" s="30" t="s">
        <v>21</v>
      </c>
      <c r="AR494" s="30" t="s">
        <v>16</v>
      </c>
      <c r="AS494" s="30" t="s">
        <v>22</v>
      </c>
      <c r="AT494" s="30" t="s">
        <v>24</v>
      </c>
      <c r="AU494" s="20"/>
      <c r="AV494" s="11"/>
      <c r="AW494" s="27"/>
      <c r="AX494" s="30" t="s">
        <v>15</v>
      </c>
      <c r="AY494" s="30" t="s">
        <v>20</v>
      </c>
      <c r="AZ494" s="30" t="s">
        <v>22</v>
      </c>
      <c r="BA494" s="30" t="s">
        <v>23</v>
      </c>
      <c r="BB494" s="30" t="s">
        <v>28</v>
      </c>
      <c r="BC494" s="20"/>
      <c r="BD494" s="11"/>
      <c r="BE494" s="27"/>
      <c r="BF494" s="9" t="s">
        <v>38</v>
      </c>
      <c r="BG494" s="9" t="s">
        <v>39</v>
      </c>
      <c r="BH494" s="9" t="s">
        <v>40</v>
      </c>
      <c r="BI494" s="9" t="s">
        <v>41</v>
      </c>
    </row>
    <row r="495" spans="1:61" ht="20.25" customHeight="1">
      <c r="A495" s="10" t="s">
        <v>204</v>
      </c>
      <c r="B495" s="32">
        <v>5</v>
      </c>
      <c r="C495" s="32">
        <v>1</v>
      </c>
      <c r="D495" s="32">
        <v>0</v>
      </c>
      <c r="E495" s="32">
        <v>3</v>
      </c>
      <c r="F495" s="32">
        <v>3</v>
      </c>
      <c r="G495" s="32">
        <v>3</v>
      </c>
      <c r="H495" s="32">
        <v>9</v>
      </c>
      <c r="I495" s="32">
        <v>0</v>
      </c>
      <c r="J495" s="33">
        <v>1</v>
      </c>
      <c r="K495" s="23">
        <f>SUM(B495:J495)</f>
        <v>25</v>
      </c>
      <c r="L495" s="35">
        <f>K495/K498</f>
        <v>0.16025641025641027</v>
      </c>
      <c r="M495" s="35">
        <f>K495/K503</f>
        <v>0.14367816091954022</v>
      </c>
      <c r="N495" s="37"/>
      <c r="O495" s="35"/>
      <c r="P495" s="13"/>
      <c r="Q495" s="33">
        <v>0</v>
      </c>
      <c r="R495" s="33">
        <v>9</v>
      </c>
      <c r="S495" s="33">
        <v>0</v>
      </c>
      <c r="T495" s="14">
        <f>SUM(Q495:S495)</f>
        <v>9</v>
      </c>
      <c r="U495" s="40">
        <f>T495/T498</f>
        <v>0.25</v>
      </c>
      <c r="V495" s="13"/>
      <c r="W495" s="33">
        <v>0</v>
      </c>
      <c r="X495" s="33">
        <v>1</v>
      </c>
      <c r="Y495" s="33">
        <v>0</v>
      </c>
      <c r="Z495" s="33">
        <v>1</v>
      </c>
      <c r="AA495" s="33">
        <v>2</v>
      </c>
      <c r="AB495" s="33">
        <v>1</v>
      </c>
      <c r="AC495" s="14">
        <f>SUM(W495:AB495)</f>
        <v>5</v>
      </c>
      <c r="AD495" s="40">
        <f>AC495/AC498</f>
        <v>0.12820512820512819</v>
      </c>
      <c r="AE495" s="13"/>
      <c r="AF495" s="33">
        <v>2</v>
      </c>
      <c r="AG495" s="33">
        <v>0</v>
      </c>
      <c r="AH495" s="14">
        <v>2</v>
      </c>
      <c r="AI495" s="33">
        <v>1</v>
      </c>
      <c r="AJ495" s="14">
        <v>0</v>
      </c>
      <c r="AK495" s="14">
        <v>1</v>
      </c>
      <c r="AL495" s="14">
        <f>SUM(AF495:AK495)</f>
        <v>6</v>
      </c>
      <c r="AM495" s="40">
        <f>AL495/AL498</f>
        <v>0.14634146341463414</v>
      </c>
      <c r="AN495" s="13"/>
      <c r="AO495" s="33">
        <v>0</v>
      </c>
      <c r="AP495" s="33">
        <v>0</v>
      </c>
      <c r="AQ495" s="33">
        <v>0</v>
      </c>
      <c r="AR495" s="33">
        <v>0</v>
      </c>
      <c r="AS495" s="33">
        <v>0</v>
      </c>
      <c r="AT495" s="33">
        <v>0</v>
      </c>
      <c r="AU495" s="14">
        <f>SUM(AO495:AT495)</f>
        <v>0</v>
      </c>
      <c r="AV495" s="40">
        <f>AU495/AU498</f>
        <v>0</v>
      </c>
      <c r="AW495" s="13"/>
      <c r="AX495" s="33">
        <v>0</v>
      </c>
      <c r="AY495" s="33">
        <v>0</v>
      </c>
      <c r="AZ495" s="33">
        <v>0</v>
      </c>
      <c r="BA495" s="33">
        <v>0</v>
      </c>
      <c r="BB495" s="33">
        <v>0</v>
      </c>
      <c r="BC495" s="14">
        <f>SUM(AX495:BB495)</f>
        <v>0</v>
      </c>
      <c r="BD495" s="40">
        <f>BC495/BC498</f>
        <v>0</v>
      </c>
      <c r="BE495" s="13"/>
      <c r="BF495" s="14"/>
      <c r="BG495" s="15" t="e">
        <f>BF495/BF498</f>
        <v>#DIV/0!</v>
      </c>
      <c r="BH495" s="16"/>
      <c r="BI495" s="15"/>
    </row>
    <row r="496" spans="1:61" ht="20.25" customHeight="1">
      <c r="A496" s="10" t="s">
        <v>205</v>
      </c>
      <c r="B496" s="32" t="s">
        <v>82</v>
      </c>
      <c r="C496" s="32">
        <v>1</v>
      </c>
      <c r="D496" s="32">
        <v>4</v>
      </c>
      <c r="E496" s="32">
        <v>1</v>
      </c>
      <c r="F496" s="32">
        <v>5</v>
      </c>
      <c r="G496" s="32">
        <v>3</v>
      </c>
      <c r="H496" s="32">
        <v>0</v>
      </c>
      <c r="I496" s="32">
        <v>0</v>
      </c>
      <c r="J496" s="33">
        <v>4</v>
      </c>
      <c r="K496" s="23">
        <f>SUM(B496:J496)</f>
        <v>18</v>
      </c>
      <c r="L496" s="35">
        <f>K496/K498</f>
        <v>0.11538461538461539</v>
      </c>
      <c r="M496" s="35">
        <f>K496/K503</f>
        <v>0.10344827586206896</v>
      </c>
      <c r="N496" s="37"/>
      <c r="O496" s="35"/>
      <c r="P496" s="13"/>
      <c r="Q496" s="33">
        <v>0</v>
      </c>
      <c r="R496" s="33">
        <v>0</v>
      </c>
      <c r="S496" s="33">
        <v>0</v>
      </c>
      <c r="T496" s="14">
        <f>SUM(Q496:S496)</f>
        <v>0</v>
      </c>
      <c r="U496" s="40">
        <f>T496/T498</f>
        <v>0</v>
      </c>
      <c r="V496" s="13"/>
      <c r="W496" s="33">
        <v>0</v>
      </c>
      <c r="X496" s="33">
        <v>2</v>
      </c>
      <c r="Y496" s="33">
        <v>1</v>
      </c>
      <c r="Z496" s="33">
        <v>1</v>
      </c>
      <c r="AA496" s="33">
        <v>1</v>
      </c>
      <c r="AB496" s="33">
        <v>0</v>
      </c>
      <c r="AC496" s="14">
        <f>SUM(W496:AB496)</f>
        <v>5</v>
      </c>
      <c r="AD496" s="40">
        <f>AC496/AC498</f>
        <v>0.12820512820512819</v>
      </c>
      <c r="AE496" s="13"/>
      <c r="AF496" s="33">
        <v>2</v>
      </c>
      <c r="AG496" s="33">
        <v>2</v>
      </c>
      <c r="AH496" s="14">
        <v>0</v>
      </c>
      <c r="AI496" s="33">
        <v>0</v>
      </c>
      <c r="AJ496" s="14">
        <v>0</v>
      </c>
      <c r="AK496" s="14">
        <v>4</v>
      </c>
      <c r="AL496" s="14">
        <f>SUM(AF496:AK496)</f>
        <v>8</v>
      </c>
      <c r="AM496" s="40">
        <f>AL496/AL498</f>
        <v>0.1951219512195122</v>
      </c>
      <c r="AN496" s="13"/>
      <c r="AO496" s="33">
        <v>0</v>
      </c>
      <c r="AP496" s="33">
        <v>1</v>
      </c>
      <c r="AQ496" s="33">
        <v>1</v>
      </c>
      <c r="AR496" s="33">
        <v>0</v>
      </c>
      <c r="AS496" s="33">
        <v>2</v>
      </c>
      <c r="AT496" s="33">
        <v>1</v>
      </c>
      <c r="AU496" s="14">
        <f>SUM(AO496:AT496)</f>
        <v>5</v>
      </c>
      <c r="AV496" s="40">
        <f>AU496/AU498</f>
        <v>0.25</v>
      </c>
      <c r="AW496" s="13"/>
      <c r="AX496" s="33">
        <v>0</v>
      </c>
      <c r="AY496" s="33">
        <v>0</v>
      </c>
      <c r="AZ496" s="33">
        <v>0</v>
      </c>
      <c r="BA496" s="32">
        <v>0</v>
      </c>
      <c r="BB496" s="32">
        <v>0</v>
      </c>
      <c r="BC496" s="14">
        <f>SUM(AX496:BB496)</f>
        <v>0</v>
      </c>
      <c r="BD496" s="40">
        <f>BC496/BC498</f>
        <v>0</v>
      </c>
      <c r="BE496" s="13"/>
      <c r="BF496" s="14"/>
      <c r="BG496" s="15" t="e">
        <f>BF496/BF498</f>
        <v>#DIV/0!</v>
      </c>
      <c r="BH496" s="16"/>
      <c r="BI496" s="15"/>
    </row>
    <row r="497" spans="1:61" ht="20.25" customHeight="1">
      <c r="A497" s="10" t="s">
        <v>206</v>
      </c>
      <c r="B497" s="32">
        <v>19</v>
      </c>
      <c r="C497" s="32">
        <v>4</v>
      </c>
      <c r="D497" s="32">
        <v>19</v>
      </c>
      <c r="E497" s="32">
        <v>12</v>
      </c>
      <c r="F497" s="32">
        <v>8</v>
      </c>
      <c r="G497" s="32">
        <v>10</v>
      </c>
      <c r="H497" s="32">
        <v>6</v>
      </c>
      <c r="I497" s="32">
        <v>20</v>
      </c>
      <c r="J497" s="33">
        <v>15</v>
      </c>
      <c r="K497" s="23">
        <f>SUM(B497:J497)</f>
        <v>113</v>
      </c>
      <c r="L497" s="35">
        <f>K497/K498</f>
        <v>0.72435897435897434</v>
      </c>
      <c r="M497" s="35">
        <f>K497/K503</f>
        <v>0.64942528735632188</v>
      </c>
      <c r="N497" s="37"/>
      <c r="O497" s="35"/>
      <c r="P497" s="13"/>
      <c r="Q497" s="33">
        <v>9</v>
      </c>
      <c r="R497" s="33">
        <v>5</v>
      </c>
      <c r="S497" s="33">
        <v>2</v>
      </c>
      <c r="T497" s="14">
        <f>SUM(Q497:S497)</f>
        <v>16</v>
      </c>
      <c r="U497" s="40">
        <f>T497/T498</f>
        <v>0.44444444444444442</v>
      </c>
      <c r="V497" s="13"/>
      <c r="W497" s="33">
        <v>9</v>
      </c>
      <c r="X497" s="33">
        <v>2</v>
      </c>
      <c r="Y497" s="33">
        <v>11</v>
      </c>
      <c r="Z497" s="33">
        <v>0</v>
      </c>
      <c r="AA497" s="33">
        <v>6</v>
      </c>
      <c r="AB497" s="33">
        <v>1</v>
      </c>
      <c r="AC497" s="14">
        <f>SUM(W497:AB497)</f>
        <v>29</v>
      </c>
      <c r="AD497" s="40">
        <f>AC497/AC498</f>
        <v>0.74358974358974361</v>
      </c>
      <c r="AE497" s="13"/>
      <c r="AF497" s="33">
        <v>4</v>
      </c>
      <c r="AG497" s="33">
        <v>5</v>
      </c>
      <c r="AH497" s="14">
        <v>2</v>
      </c>
      <c r="AI497" s="33">
        <v>5</v>
      </c>
      <c r="AJ497" s="14">
        <v>0</v>
      </c>
      <c r="AK497" s="14">
        <v>11</v>
      </c>
      <c r="AL497" s="14">
        <f>SUM(AF497:AK497)</f>
        <v>27</v>
      </c>
      <c r="AM497" s="40">
        <f>AL497/AL498</f>
        <v>0.65853658536585369</v>
      </c>
      <c r="AN497" s="13"/>
      <c r="AO497" s="33">
        <v>1</v>
      </c>
      <c r="AP497" s="33">
        <v>1</v>
      </c>
      <c r="AQ497" s="33">
        <v>3</v>
      </c>
      <c r="AR497" s="33">
        <v>1</v>
      </c>
      <c r="AS497" s="33">
        <v>6</v>
      </c>
      <c r="AT497" s="33">
        <v>3</v>
      </c>
      <c r="AU497" s="14">
        <f>SUM(AO497:AT497)</f>
        <v>15</v>
      </c>
      <c r="AV497" s="40">
        <f>AU497/AU498</f>
        <v>0.75</v>
      </c>
      <c r="AW497" s="13"/>
      <c r="AX497" s="33">
        <v>1</v>
      </c>
      <c r="AY497" s="33">
        <v>1</v>
      </c>
      <c r="AZ497" s="33">
        <v>2</v>
      </c>
      <c r="BA497" s="32">
        <v>1</v>
      </c>
      <c r="BB497" s="32">
        <v>2</v>
      </c>
      <c r="BC497" s="14">
        <f>SUM(AX497:BB497)</f>
        <v>7</v>
      </c>
      <c r="BD497" s="40">
        <f>BC497/BC498</f>
        <v>1</v>
      </c>
      <c r="BE497" s="13"/>
      <c r="BF497" s="14"/>
      <c r="BG497" s="15" t="e">
        <f>BF497/BF498</f>
        <v>#DIV/0!</v>
      </c>
      <c r="BH497" s="16"/>
      <c r="BI497" s="15"/>
    </row>
    <row r="498" spans="1:61" ht="21.75" customHeight="1">
      <c r="A498" s="10" t="s">
        <v>9</v>
      </c>
      <c r="B498" s="32">
        <f t="shared" ref="B498:M498" si="338">SUM(B495:B497)</f>
        <v>24</v>
      </c>
      <c r="C498" s="32">
        <f t="shared" si="338"/>
        <v>6</v>
      </c>
      <c r="D498" s="32">
        <f t="shared" si="338"/>
        <v>23</v>
      </c>
      <c r="E498" s="32">
        <f t="shared" si="338"/>
        <v>16</v>
      </c>
      <c r="F498" s="32">
        <f t="shared" si="338"/>
        <v>16</v>
      </c>
      <c r="G498" s="32">
        <f t="shared" si="338"/>
        <v>16</v>
      </c>
      <c r="H498" s="32">
        <f t="shared" si="338"/>
        <v>15</v>
      </c>
      <c r="I498" s="32">
        <f t="shared" si="338"/>
        <v>20</v>
      </c>
      <c r="J498" s="32">
        <f t="shared" si="338"/>
        <v>20</v>
      </c>
      <c r="K498" s="23">
        <f t="shared" si="338"/>
        <v>156</v>
      </c>
      <c r="L498" s="35">
        <f t="shared" si="338"/>
        <v>1</v>
      </c>
      <c r="M498" s="35">
        <f t="shared" si="338"/>
        <v>0.89655172413793105</v>
      </c>
      <c r="N498" s="37">
        <f>T498+AC498+AL498+AU498</f>
        <v>136</v>
      </c>
      <c r="O498" s="35">
        <f>N498/K498</f>
        <v>0.87179487179487181</v>
      </c>
      <c r="P498" s="13">
        <f>SUM(P488:P497)</f>
        <v>0</v>
      </c>
      <c r="Q498" s="45">
        <f>SUM(Q495:Q497)</f>
        <v>9</v>
      </c>
      <c r="R498" s="46">
        <f>SUM(R495:R497)</f>
        <v>14</v>
      </c>
      <c r="S498" s="46">
        <f>SUM(S495:S497)</f>
        <v>2</v>
      </c>
      <c r="T498" s="14">
        <f>SUM(T490:T497)</f>
        <v>36</v>
      </c>
      <c r="U498" s="40">
        <f>SUM(U488:U497)</f>
        <v>1.6944444444444444</v>
      </c>
      <c r="V498" s="13">
        <f>SUM(V488:V497)</f>
        <v>0</v>
      </c>
      <c r="W498" s="47">
        <f t="shared" ref="W498:AC498" si="339">SUM(W495:W497)</f>
        <v>9</v>
      </c>
      <c r="X498" s="47">
        <f t="shared" si="339"/>
        <v>5</v>
      </c>
      <c r="Y498" s="47">
        <f t="shared" si="339"/>
        <v>12</v>
      </c>
      <c r="Z498" s="47">
        <f t="shared" si="339"/>
        <v>2</v>
      </c>
      <c r="AA498" s="47">
        <f t="shared" si="339"/>
        <v>9</v>
      </c>
      <c r="AB498" s="47">
        <f t="shared" si="339"/>
        <v>2</v>
      </c>
      <c r="AC498" s="45">
        <f t="shared" si="339"/>
        <v>39</v>
      </c>
      <c r="AD498" s="40">
        <f>SUM(AD488:AD497)</f>
        <v>2.1951219512195124</v>
      </c>
      <c r="AE498" s="13">
        <f>SUM(AE488:AE497)</f>
        <v>0</v>
      </c>
      <c r="AF498" s="47">
        <f t="shared" ref="AF498:AM498" si="340">SUM(AF495:AF497)</f>
        <v>8</v>
      </c>
      <c r="AG498" s="47">
        <f t="shared" si="340"/>
        <v>7</v>
      </c>
      <c r="AH498" s="47">
        <f t="shared" si="340"/>
        <v>4</v>
      </c>
      <c r="AI498" s="47">
        <f t="shared" si="340"/>
        <v>6</v>
      </c>
      <c r="AJ498" s="47">
        <f t="shared" si="340"/>
        <v>0</v>
      </c>
      <c r="AK498" s="47">
        <f t="shared" si="340"/>
        <v>16</v>
      </c>
      <c r="AL498" s="45">
        <f t="shared" si="340"/>
        <v>41</v>
      </c>
      <c r="AM498" s="40">
        <f t="shared" si="340"/>
        <v>1</v>
      </c>
      <c r="AN498" s="13">
        <f>SUM(AN488:AN497)</f>
        <v>0</v>
      </c>
      <c r="AO498" s="47">
        <f t="shared" ref="AO498:AV498" si="341">SUM(AO495:AO497)</f>
        <v>1</v>
      </c>
      <c r="AP498" s="47">
        <f t="shared" si="341"/>
        <v>2</v>
      </c>
      <c r="AQ498" s="47">
        <f t="shared" si="341"/>
        <v>4</v>
      </c>
      <c r="AR498" s="47">
        <f t="shared" si="341"/>
        <v>1</v>
      </c>
      <c r="AS498" s="47">
        <f t="shared" si="341"/>
        <v>8</v>
      </c>
      <c r="AT498" s="47">
        <f t="shared" si="341"/>
        <v>4</v>
      </c>
      <c r="AU498" s="45">
        <f t="shared" si="341"/>
        <v>20</v>
      </c>
      <c r="AV498" s="40">
        <f t="shared" si="341"/>
        <v>1</v>
      </c>
      <c r="AW498" s="13">
        <f>SUM(AW488:AW497)</f>
        <v>0</v>
      </c>
      <c r="AX498" s="47">
        <f t="shared" ref="AX498:BD498" si="342">SUM(AX495:AX497)</f>
        <v>1</v>
      </c>
      <c r="AY498" s="47">
        <f t="shared" si="342"/>
        <v>1</v>
      </c>
      <c r="AZ498" s="47">
        <f t="shared" si="342"/>
        <v>2</v>
      </c>
      <c r="BA498" s="47">
        <f t="shared" si="342"/>
        <v>1</v>
      </c>
      <c r="BB498" s="47">
        <f t="shared" si="342"/>
        <v>2</v>
      </c>
      <c r="BC498" s="45">
        <f t="shared" si="342"/>
        <v>7</v>
      </c>
      <c r="BD498" s="40">
        <f t="shared" si="342"/>
        <v>1</v>
      </c>
      <c r="BE498" s="13">
        <f>SUM(BE488:BE497)</f>
        <v>0</v>
      </c>
      <c r="BF498" s="14">
        <f>SUM(BF495:BF497)</f>
        <v>0</v>
      </c>
      <c r="BG498" s="15" t="e">
        <f>SUM(BG495:BG497)</f>
        <v>#DIV/0!</v>
      </c>
      <c r="BH498" s="16"/>
      <c r="BI498" s="15"/>
    </row>
    <row r="499" spans="1:61" ht="21.75" customHeight="1">
      <c r="A499" s="8" t="s">
        <v>198</v>
      </c>
      <c r="B499" s="32">
        <v>0</v>
      </c>
      <c r="C499" s="32">
        <v>1</v>
      </c>
      <c r="D499" s="32">
        <v>0</v>
      </c>
      <c r="E499" s="32">
        <v>0</v>
      </c>
      <c r="F499" s="32">
        <v>2</v>
      </c>
      <c r="G499" s="32">
        <v>0</v>
      </c>
      <c r="H499" s="32">
        <v>0</v>
      </c>
      <c r="I499" s="32">
        <v>0</v>
      </c>
      <c r="J499" s="32">
        <v>0</v>
      </c>
      <c r="K499" s="23">
        <f>SUM(B499:J499)</f>
        <v>3</v>
      </c>
      <c r="L499" s="35">
        <f>K499/(K503)</f>
        <v>1.7241379310344827E-2</v>
      </c>
      <c r="M499" s="35">
        <f>K499/K503</f>
        <v>1.7241379310344827E-2</v>
      </c>
      <c r="N499" s="37"/>
      <c r="O499" s="35"/>
      <c r="P499" s="13"/>
      <c r="Q499" s="51">
        <v>0</v>
      </c>
      <c r="R499" s="133">
        <v>0</v>
      </c>
      <c r="S499" s="133">
        <v>0</v>
      </c>
      <c r="T499" s="38">
        <f>SUM(Q499:S499)</f>
        <v>0</v>
      </c>
      <c r="U499" s="15">
        <f>T499/T503</f>
        <v>0</v>
      </c>
      <c r="V499" s="13"/>
      <c r="W499" s="104">
        <v>0</v>
      </c>
      <c r="X499" s="104">
        <v>1</v>
      </c>
      <c r="Y499" s="118">
        <v>0</v>
      </c>
      <c r="Z499" s="104">
        <v>0</v>
      </c>
      <c r="AA499" s="104">
        <v>0</v>
      </c>
      <c r="AB499" s="118">
        <v>0</v>
      </c>
      <c r="AC499" s="51">
        <f>SUM(W499:AB499)</f>
        <v>1</v>
      </c>
      <c r="AD499" s="15">
        <f>AC499/AC503</f>
        <v>2.2727272727272728E-2</v>
      </c>
      <c r="AE499" s="13"/>
      <c r="AF499" s="104">
        <v>0</v>
      </c>
      <c r="AG499" s="104">
        <v>0</v>
      </c>
      <c r="AH499" s="104">
        <v>0</v>
      </c>
      <c r="AI499" s="104">
        <v>0</v>
      </c>
      <c r="AJ499" s="104">
        <v>1</v>
      </c>
      <c r="AK499" s="104">
        <v>0</v>
      </c>
      <c r="AL499" s="51">
        <f>SUM(AE499:AK499)</f>
        <v>1</v>
      </c>
      <c r="AM499" s="15">
        <f>AL499/AL503</f>
        <v>2.0833333333333332E-2</v>
      </c>
      <c r="AN499" s="13"/>
      <c r="AO499" s="104">
        <v>0</v>
      </c>
      <c r="AP499" s="104">
        <v>0</v>
      </c>
      <c r="AQ499" s="104">
        <v>0</v>
      </c>
      <c r="AR499" s="104">
        <v>0</v>
      </c>
      <c r="AS499" s="104">
        <v>0</v>
      </c>
      <c r="AT499" s="118">
        <v>0</v>
      </c>
      <c r="AU499" s="51">
        <f>SUM(AO499:AT499)</f>
        <v>0</v>
      </c>
      <c r="AV499" s="15">
        <f>AU499/AU503</f>
        <v>0</v>
      </c>
      <c r="AW499" s="13"/>
      <c r="AX499" s="104">
        <v>0</v>
      </c>
      <c r="AY499" s="104">
        <v>1</v>
      </c>
      <c r="AZ499" s="104">
        <v>0</v>
      </c>
      <c r="BA499" s="118">
        <v>0</v>
      </c>
      <c r="BB499" s="118">
        <v>0</v>
      </c>
      <c r="BC499" s="51">
        <f>SUM(AX499:BB499)</f>
        <v>1</v>
      </c>
      <c r="BD499" s="15">
        <f>BC499/BC503</f>
        <v>0.1111111111111111</v>
      </c>
      <c r="BE499" s="13"/>
      <c r="BF499" s="38"/>
      <c r="BG499" s="42"/>
      <c r="BH499" s="42"/>
      <c r="BI499" s="42"/>
    </row>
    <row r="500" spans="1:61" ht="32.25" customHeight="1">
      <c r="A500" s="131" t="s">
        <v>199</v>
      </c>
      <c r="B500" s="32">
        <v>0</v>
      </c>
      <c r="C500" s="32">
        <v>0</v>
      </c>
      <c r="D500" s="32">
        <v>1</v>
      </c>
      <c r="E500" s="32">
        <v>0</v>
      </c>
      <c r="F500" s="32">
        <v>0</v>
      </c>
      <c r="G500" s="32">
        <v>2</v>
      </c>
      <c r="H500" s="32">
        <v>0</v>
      </c>
      <c r="I500" s="32">
        <v>0</v>
      </c>
      <c r="J500" s="32">
        <v>0</v>
      </c>
      <c r="K500" s="23">
        <f>SUM(B500:J500)</f>
        <v>3</v>
      </c>
      <c r="L500" s="35">
        <f>K500/(K503)</f>
        <v>1.7241379310344827E-2</v>
      </c>
      <c r="M500" s="35">
        <f>K500/K503</f>
        <v>1.7241379310344827E-2</v>
      </c>
      <c r="N500" s="23"/>
      <c r="O500" s="35"/>
      <c r="P500" s="13"/>
      <c r="Q500" s="38">
        <v>0</v>
      </c>
      <c r="R500" s="38">
        <v>0</v>
      </c>
      <c r="S500" s="38">
        <v>0</v>
      </c>
      <c r="T500" s="38">
        <f>SUM(Q500:S500)</f>
        <v>0</v>
      </c>
      <c r="U500" s="15">
        <f>T500/T503</f>
        <v>0</v>
      </c>
      <c r="V500" s="13"/>
      <c r="W500" s="38">
        <v>0</v>
      </c>
      <c r="X500" s="38">
        <v>0</v>
      </c>
      <c r="Y500" s="32">
        <v>0</v>
      </c>
      <c r="Z500" s="38">
        <v>1</v>
      </c>
      <c r="AA500" s="38">
        <v>0</v>
      </c>
      <c r="AB500" s="32">
        <v>0</v>
      </c>
      <c r="AC500" s="38">
        <f>SUM(W500:AB500)</f>
        <v>1</v>
      </c>
      <c r="AD500" s="15">
        <f>AC500/AC503</f>
        <v>2.2727272727272728E-2</v>
      </c>
      <c r="AE500" s="13"/>
      <c r="AF500" s="38">
        <v>0</v>
      </c>
      <c r="AG500" s="38">
        <v>1</v>
      </c>
      <c r="AH500" s="38">
        <v>1</v>
      </c>
      <c r="AI500" s="38">
        <v>0</v>
      </c>
      <c r="AJ500" s="32">
        <v>0</v>
      </c>
      <c r="AK500" s="32">
        <v>0</v>
      </c>
      <c r="AL500" s="38">
        <f>SUM(AE500:AK500)</f>
        <v>2</v>
      </c>
      <c r="AM500" s="15">
        <f>AL500/AL503</f>
        <v>4.1666666666666664E-2</v>
      </c>
      <c r="AN500" s="13"/>
      <c r="AO500" s="38">
        <v>0</v>
      </c>
      <c r="AP500" s="38">
        <v>0</v>
      </c>
      <c r="AQ500" s="38">
        <v>0</v>
      </c>
      <c r="AR500" s="38">
        <v>0</v>
      </c>
      <c r="AS500" s="38">
        <v>0</v>
      </c>
      <c r="AT500" s="32">
        <v>0</v>
      </c>
      <c r="AU500" s="38">
        <f>SUM(AO500:AT500)</f>
        <v>0</v>
      </c>
      <c r="AV500" s="15">
        <f>AU500/AU503</f>
        <v>0</v>
      </c>
      <c r="AW500" s="13"/>
      <c r="AX500" s="38">
        <v>0</v>
      </c>
      <c r="AY500" s="38">
        <v>0</v>
      </c>
      <c r="AZ500" s="38">
        <v>0</v>
      </c>
      <c r="BA500" s="32">
        <v>0</v>
      </c>
      <c r="BB500" s="32">
        <v>0</v>
      </c>
      <c r="BC500" s="38">
        <f>SUM(AX500:BB500)</f>
        <v>0</v>
      </c>
      <c r="BD500" s="15">
        <f>BC500/BC503</f>
        <v>0</v>
      </c>
      <c r="BE500" s="13"/>
      <c r="BF500" s="38"/>
      <c r="BG500" s="32"/>
      <c r="BH500" s="32"/>
      <c r="BI500" s="32"/>
    </row>
    <row r="501" spans="1:61" ht="20.25" customHeight="1">
      <c r="A501" s="132" t="s">
        <v>200</v>
      </c>
      <c r="B501" s="32">
        <v>2</v>
      </c>
      <c r="C501" s="32">
        <v>0</v>
      </c>
      <c r="D501" s="32">
        <v>1</v>
      </c>
      <c r="E501" s="32">
        <v>1</v>
      </c>
      <c r="F501" s="32">
        <v>3</v>
      </c>
      <c r="G501" s="32">
        <v>0</v>
      </c>
      <c r="H501" s="32">
        <v>0</v>
      </c>
      <c r="I501" s="32">
        <v>0</v>
      </c>
      <c r="J501" s="32">
        <v>2</v>
      </c>
      <c r="K501" s="23">
        <f>SUM(B501:J501)</f>
        <v>9</v>
      </c>
      <c r="L501" s="35">
        <f>K501/(K503)</f>
        <v>5.1724137931034482E-2</v>
      </c>
      <c r="M501" s="35">
        <f>K501/K503</f>
        <v>5.1724137931034482E-2</v>
      </c>
      <c r="N501" s="37"/>
      <c r="O501" s="35"/>
      <c r="P501" s="13"/>
      <c r="Q501" s="14">
        <v>0</v>
      </c>
      <c r="R501" s="14">
        <v>0</v>
      </c>
      <c r="S501" s="14">
        <v>0</v>
      </c>
      <c r="T501" s="38">
        <f>SUM(Q501:S501)</f>
        <v>0</v>
      </c>
      <c r="U501" s="15">
        <f>T501/T503</f>
        <v>0</v>
      </c>
      <c r="V501" s="13"/>
      <c r="W501" s="38">
        <v>0</v>
      </c>
      <c r="X501" s="38">
        <v>1</v>
      </c>
      <c r="Y501" s="32">
        <v>0</v>
      </c>
      <c r="Z501" s="38">
        <v>0</v>
      </c>
      <c r="AA501" s="14">
        <v>1</v>
      </c>
      <c r="AB501" s="32">
        <v>0</v>
      </c>
      <c r="AC501" s="38">
        <f>SUM(W501:AB501)</f>
        <v>2</v>
      </c>
      <c r="AD501" s="15">
        <f>AC501/AC503</f>
        <v>4.5454545454545456E-2</v>
      </c>
      <c r="AE501" s="13"/>
      <c r="AF501" s="38">
        <v>1</v>
      </c>
      <c r="AG501" s="38">
        <v>1</v>
      </c>
      <c r="AH501" s="38">
        <v>0</v>
      </c>
      <c r="AI501" s="14">
        <v>0</v>
      </c>
      <c r="AJ501" s="32">
        <v>0</v>
      </c>
      <c r="AK501" s="32">
        <v>1</v>
      </c>
      <c r="AL501" s="38">
        <f>SUM(AE501:AK501)</f>
        <v>3</v>
      </c>
      <c r="AM501" s="15">
        <f>AL501/AL503</f>
        <v>6.25E-2</v>
      </c>
      <c r="AN501" s="13"/>
      <c r="AO501" s="38">
        <v>0</v>
      </c>
      <c r="AP501" s="38">
        <v>1</v>
      </c>
      <c r="AQ501" s="38">
        <v>0</v>
      </c>
      <c r="AR501" s="38">
        <v>0</v>
      </c>
      <c r="AS501" s="14">
        <v>0</v>
      </c>
      <c r="AT501" s="32">
        <v>0</v>
      </c>
      <c r="AU501" s="38">
        <f>SUM(AO501:AT501)</f>
        <v>1</v>
      </c>
      <c r="AV501" s="15">
        <f>AU501/AU503</f>
        <v>4.7619047619047616E-2</v>
      </c>
      <c r="AW501" s="13"/>
      <c r="AX501" s="38">
        <v>0</v>
      </c>
      <c r="AY501" s="38">
        <v>0</v>
      </c>
      <c r="AZ501" s="14">
        <v>0</v>
      </c>
      <c r="BA501" s="32">
        <v>0</v>
      </c>
      <c r="BB501" s="32">
        <v>1</v>
      </c>
      <c r="BC501" s="38">
        <f>SUM(AX501:BB501)</f>
        <v>1</v>
      </c>
      <c r="BD501" s="15">
        <f>BC501/BC503</f>
        <v>0.1111111111111111</v>
      </c>
      <c r="BE501" s="13"/>
      <c r="BF501" s="38"/>
      <c r="BG501" s="32"/>
      <c r="BH501" s="32"/>
      <c r="BI501" s="32"/>
    </row>
    <row r="502" spans="1:61" ht="32.25" customHeight="1">
      <c r="A502" s="8" t="s">
        <v>201</v>
      </c>
      <c r="B502" s="32">
        <v>1</v>
      </c>
      <c r="C502" s="32">
        <v>0</v>
      </c>
      <c r="D502" s="32">
        <v>2</v>
      </c>
      <c r="E502" s="32">
        <v>0</v>
      </c>
      <c r="F502" s="32">
        <v>0</v>
      </c>
      <c r="G502" s="32">
        <v>0</v>
      </c>
      <c r="H502" s="32">
        <v>0</v>
      </c>
      <c r="I502" s="32">
        <v>0</v>
      </c>
      <c r="J502" s="32">
        <v>0</v>
      </c>
      <c r="K502" s="23">
        <f>SUM(B502:J502)</f>
        <v>3</v>
      </c>
      <c r="L502" s="35">
        <f>K502/(K503)</f>
        <v>1.7241379310344827E-2</v>
      </c>
      <c r="M502" s="35">
        <f>K502/K503</f>
        <v>1.7241379310344827E-2</v>
      </c>
      <c r="N502" s="37"/>
      <c r="O502" s="35"/>
      <c r="P502" s="13"/>
      <c r="Q502" s="14">
        <v>0</v>
      </c>
      <c r="R502" s="14">
        <v>0</v>
      </c>
      <c r="S502" s="14">
        <v>0</v>
      </c>
      <c r="T502" s="38">
        <f>SUM(Q502:S502)</f>
        <v>0</v>
      </c>
      <c r="U502" s="15">
        <f>T502/T503</f>
        <v>0</v>
      </c>
      <c r="V502" s="13"/>
      <c r="W502" s="38">
        <v>0</v>
      </c>
      <c r="X502" s="38">
        <v>0</v>
      </c>
      <c r="Y502" s="32">
        <v>1</v>
      </c>
      <c r="Z502" s="38">
        <v>0</v>
      </c>
      <c r="AA502" s="14">
        <v>0</v>
      </c>
      <c r="AB502" s="32">
        <v>0</v>
      </c>
      <c r="AC502" s="38">
        <f>SUM(W502:AB502)</f>
        <v>1</v>
      </c>
      <c r="AD502" s="15">
        <f>AC502/AC503</f>
        <v>2.2727272727272728E-2</v>
      </c>
      <c r="AE502" s="13"/>
      <c r="AF502" s="38">
        <v>0</v>
      </c>
      <c r="AG502" s="38">
        <v>1</v>
      </c>
      <c r="AH502" s="38">
        <v>0</v>
      </c>
      <c r="AI502" s="14">
        <v>0</v>
      </c>
      <c r="AJ502" s="32">
        <v>0</v>
      </c>
      <c r="AK502" s="32">
        <v>0</v>
      </c>
      <c r="AL502" s="38">
        <f>SUM(AE502:AK502)</f>
        <v>1</v>
      </c>
      <c r="AM502" s="15">
        <f>AL502/AL503</f>
        <v>2.0833333333333332E-2</v>
      </c>
      <c r="AN502" s="13"/>
      <c r="AO502" s="38">
        <v>0</v>
      </c>
      <c r="AP502" s="38">
        <v>0</v>
      </c>
      <c r="AQ502" s="38">
        <v>0</v>
      </c>
      <c r="AR502" s="38">
        <v>0</v>
      </c>
      <c r="AS502" s="14">
        <v>0</v>
      </c>
      <c r="AT502" s="32">
        <v>0</v>
      </c>
      <c r="AU502" s="38">
        <f>SUM(AO502:AT502)</f>
        <v>0</v>
      </c>
      <c r="AV502" s="15">
        <f>AU502/AU503</f>
        <v>0</v>
      </c>
      <c r="AW502" s="13"/>
      <c r="AX502" s="38">
        <v>0</v>
      </c>
      <c r="AY502" s="38">
        <v>0</v>
      </c>
      <c r="AZ502" s="14">
        <v>0</v>
      </c>
      <c r="BA502" s="32">
        <v>0</v>
      </c>
      <c r="BB502" s="32">
        <v>0</v>
      </c>
      <c r="BC502" s="38">
        <f>SUM(AX502:BB502)</f>
        <v>0</v>
      </c>
      <c r="BD502" s="15">
        <f>BC502/BC503</f>
        <v>0</v>
      </c>
      <c r="BE502" s="13"/>
      <c r="BF502" s="38"/>
      <c r="BG502" s="32"/>
      <c r="BH502" s="32"/>
      <c r="BI502" s="32"/>
    </row>
    <row r="503" spans="1:61" ht="20.25" customHeight="1">
      <c r="A503" s="39" t="s">
        <v>66</v>
      </c>
      <c r="B503" s="32">
        <f t="shared" ref="B503:J503" si="343">SUM(B498:B502)</f>
        <v>27</v>
      </c>
      <c r="C503" s="32">
        <f t="shared" si="343"/>
        <v>7</v>
      </c>
      <c r="D503" s="32">
        <f t="shared" si="343"/>
        <v>27</v>
      </c>
      <c r="E503" s="32">
        <f t="shared" si="343"/>
        <v>17</v>
      </c>
      <c r="F503" s="32">
        <f t="shared" si="343"/>
        <v>21</v>
      </c>
      <c r="G503" s="32">
        <f t="shared" si="343"/>
        <v>18</v>
      </c>
      <c r="H503" s="32">
        <f t="shared" si="343"/>
        <v>15</v>
      </c>
      <c r="I503" s="32">
        <f t="shared" si="343"/>
        <v>20</v>
      </c>
      <c r="J503" s="32">
        <f t="shared" si="343"/>
        <v>22</v>
      </c>
      <c r="K503" s="23">
        <f>SUM(B503:J503)</f>
        <v>174</v>
      </c>
      <c r="L503" s="35">
        <f>K503/(K502+K501+K500+K499+K498)</f>
        <v>1</v>
      </c>
      <c r="M503" s="35">
        <f>K503/(K502+K501+K500+K499+K498)</f>
        <v>1</v>
      </c>
      <c r="N503" s="37">
        <f>T503+AC503+AL503+AU503</f>
        <v>149</v>
      </c>
      <c r="O503" s="35">
        <f>N503/K503</f>
        <v>0.85632183908045978</v>
      </c>
      <c r="P503" s="13"/>
      <c r="Q503" s="38">
        <f>SUM(Q498:Q502)</f>
        <v>9</v>
      </c>
      <c r="R503" s="38">
        <f>SUM(R498:R502)</f>
        <v>14</v>
      </c>
      <c r="S503" s="38">
        <f>SUM(S498:S502)</f>
        <v>2</v>
      </c>
      <c r="T503" s="38">
        <f>SUM(T498:T502)</f>
        <v>36</v>
      </c>
      <c r="U503" s="40">
        <f>T503/(T500+T501+T502+T499+T498)</f>
        <v>1</v>
      </c>
      <c r="V503" s="13"/>
      <c r="W503" s="38">
        <f t="shared" ref="W503:AC503" si="344">SUM(W498:W502)</f>
        <v>9</v>
      </c>
      <c r="X503" s="38">
        <f t="shared" si="344"/>
        <v>7</v>
      </c>
      <c r="Y503" s="38">
        <f t="shared" si="344"/>
        <v>13</v>
      </c>
      <c r="Z503" s="38">
        <f t="shared" si="344"/>
        <v>3</v>
      </c>
      <c r="AA503" s="38">
        <f t="shared" si="344"/>
        <v>10</v>
      </c>
      <c r="AB503" s="38">
        <f t="shared" si="344"/>
        <v>2</v>
      </c>
      <c r="AC503" s="38">
        <f t="shared" si="344"/>
        <v>44</v>
      </c>
      <c r="AD503" s="40">
        <f>AC503/(AC500+AC501+AC502+AC499+AC498)</f>
        <v>1</v>
      </c>
      <c r="AE503" s="13"/>
      <c r="AF503" s="38">
        <f t="shared" ref="AF503:AL503" si="345">SUM(AF498:AF502)</f>
        <v>9</v>
      </c>
      <c r="AG503" s="38">
        <f t="shared" si="345"/>
        <v>10</v>
      </c>
      <c r="AH503" s="38">
        <f t="shared" si="345"/>
        <v>5</v>
      </c>
      <c r="AI503" s="38">
        <f t="shared" si="345"/>
        <v>6</v>
      </c>
      <c r="AJ503" s="38">
        <f t="shared" si="345"/>
        <v>1</v>
      </c>
      <c r="AK503" s="38">
        <f t="shared" si="345"/>
        <v>17</v>
      </c>
      <c r="AL503" s="38">
        <f t="shared" si="345"/>
        <v>48</v>
      </c>
      <c r="AM503" s="40">
        <f>AL503/(AL500+AL501+AL502+AL499+AL498)</f>
        <v>1</v>
      </c>
      <c r="AN503" s="13"/>
      <c r="AO503" s="38">
        <f t="shared" ref="AO503:AU503" si="346">SUM(AO498:AO502)</f>
        <v>1</v>
      </c>
      <c r="AP503" s="38">
        <f t="shared" si="346"/>
        <v>3</v>
      </c>
      <c r="AQ503" s="38">
        <f t="shared" si="346"/>
        <v>4</v>
      </c>
      <c r="AR503" s="38">
        <f t="shared" si="346"/>
        <v>1</v>
      </c>
      <c r="AS503" s="38">
        <f t="shared" si="346"/>
        <v>8</v>
      </c>
      <c r="AT503" s="38">
        <f t="shared" si="346"/>
        <v>4</v>
      </c>
      <c r="AU503" s="38">
        <f t="shared" si="346"/>
        <v>21</v>
      </c>
      <c r="AV503" s="40">
        <f>AU503/(AU500+AU501+AU502+AU499+AU498)</f>
        <v>1</v>
      </c>
      <c r="AW503" s="13"/>
      <c r="AX503" s="38">
        <f t="shared" ref="AX503:BC503" si="347">SUM(AX498:AX502)</f>
        <v>1</v>
      </c>
      <c r="AY503" s="38">
        <f t="shared" si="347"/>
        <v>2</v>
      </c>
      <c r="AZ503" s="38">
        <f t="shared" si="347"/>
        <v>2</v>
      </c>
      <c r="BA503" s="38">
        <f t="shared" si="347"/>
        <v>1</v>
      </c>
      <c r="BB503" s="38">
        <f t="shared" si="347"/>
        <v>3</v>
      </c>
      <c r="BC503" s="38">
        <f t="shared" si="347"/>
        <v>9</v>
      </c>
      <c r="BD503" s="40">
        <f>BC503/(BC500+BC501+BC502+BC499+BC498)</f>
        <v>1</v>
      </c>
      <c r="BE503" s="13"/>
      <c r="BF503" s="38"/>
      <c r="BG503" s="42"/>
      <c r="BH503" s="42"/>
      <c r="BI503" s="42"/>
    </row>
    <row r="504" spans="1:61" ht="56.25" customHeight="1">
      <c r="A504" s="102" t="s">
        <v>207</v>
      </c>
      <c r="B504" s="181" t="s">
        <v>208</v>
      </c>
      <c r="C504" s="182"/>
      <c r="D504" s="182"/>
      <c r="E504" s="182"/>
      <c r="F504" s="182"/>
      <c r="G504" s="22"/>
      <c r="H504" s="22"/>
      <c r="I504" s="22"/>
      <c r="J504" s="22"/>
      <c r="K504" s="21"/>
      <c r="L504" s="24"/>
      <c r="M504" s="24"/>
      <c r="N504" s="26"/>
      <c r="O504" s="24"/>
      <c r="P504" s="27"/>
      <c r="Q504" s="28"/>
      <c r="R504" s="28"/>
      <c r="S504" s="28"/>
      <c r="T504" s="26"/>
      <c r="U504" s="24"/>
      <c r="V504" s="27"/>
      <c r="W504" s="28"/>
      <c r="X504" s="28"/>
      <c r="Y504" s="28"/>
      <c r="Z504" s="28"/>
      <c r="AA504" s="28"/>
      <c r="AB504" s="28"/>
      <c r="AC504" s="26"/>
      <c r="AD504" s="24"/>
      <c r="AE504" s="27"/>
      <c r="AF504" s="28"/>
      <c r="AG504" s="28"/>
      <c r="AH504" s="28"/>
      <c r="AI504" s="28"/>
      <c r="AJ504" s="28"/>
      <c r="AK504" s="28"/>
      <c r="AL504" s="26"/>
      <c r="AM504" s="29"/>
      <c r="AN504" s="27"/>
      <c r="AO504" s="26"/>
      <c r="AP504" s="26"/>
      <c r="AQ504" s="26"/>
      <c r="AR504" s="26"/>
      <c r="AS504" s="26"/>
      <c r="AT504" s="26"/>
      <c r="AU504" s="26"/>
      <c r="AV504" s="24"/>
      <c r="AW504" s="27"/>
      <c r="AX504" s="26"/>
      <c r="AY504" s="26"/>
      <c r="AZ504" s="26"/>
      <c r="BA504" s="26"/>
      <c r="BB504" s="26"/>
      <c r="BC504" s="26"/>
      <c r="BD504" s="24"/>
      <c r="BE504" s="27"/>
      <c r="BF504" s="26"/>
      <c r="BG504" s="22"/>
      <c r="BH504" s="21"/>
      <c r="BI504" s="22"/>
    </row>
    <row r="505" spans="1:61" ht="32.25" customHeight="1">
      <c r="A505" s="20"/>
      <c r="B505" s="30" t="s">
        <v>0</v>
      </c>
      <c r="C505" s="30" t="s">
        <v>1</v>
      </c>
      <c r="D505" s="30" t="s">
        <v>2</v>
      </c>
      <c r="E505" s="30" t="s">
        <v>3</v>
      </c>
      <c r="F505" s="30" t="s">
        <v>4</v>
      </c>
      <c r="G505" s="30" t="s">
        <v>5</v>
      </c>
      <c r="H505" s="30" t="s">
        <v>68</v>
      </c>
      <c r="I505" s="30" t="s">
        <v>7</v>
      </c>
      <c r="J505" s="30" t="s">
        <v>8</v>
      </c>
      <c r="K505" s="10" t="s">
        <v>9</v>
      </c>
      <c r="L505" s="10" t="s">
        <v>56</v>
      </c>
      <c r="M505" s="20"/>
      <c r="N505" s="10" t="s">
        <v>209</v>
      </c>
      <c r="O505" s="20"/>
      <c r="P505" s="13"/>
      <c r="Q505" s="30" t="s">
        <v>15</v>
      </c>
      <c r="R505" s="30" t="s">
        <v>16</v>
      </c>
      <c r="S505" s="30" t="s">
        <v>28</v>
      </c>
      <c r="T505" s="110"/>
      <c r="U505" s="40"/>
      <c r="V505" s="13"/>
      <c r="W505" s="30" t="s">
        <v>15</v>
      </c>
      <c r="X505" s="30" t="s">
        <v>20</v>
      </c>
      <c r="Y505" s="30" t="s">
        <v>21</v>
      </c>
      <c r="Z505" s="30" t="s">
        <v>22</v>
      </c>
      <c r="AA505" s="30" t="s">
        <v>23</v>
      </c>
      <c r="AB505" s="30" t="s">
        <v>24</v>
      </c>
      <c r="AC505" s="110"/>
      <c r="AD505" s="40"/>
      <c r="AE505" s="13"/>
      <c r="AF505" s="30" t="s">
        <v>20</v>
      </c>
      <c r="AG505" s="30" t="s">
        <v>21</v>
      </c>
      <c r="AH505" s="30" t="s">
        <v>22</v>
      </c>
      <c r="AI505" s="30" t="s">
        <v>23</v>
      </c>
      <c r="AJ505" s="30" t="s">
        <v>24</v>
      </c>
      <c r="AK505" s="30" t="s">
        <v>28</v>
      </c>
      <c r="AL505" s="110"/>
      <c r="AM505" s="41"/>
      <c r="AN505" s="13"/>
      <c r="AO505" s="30" t="s">
        <v>15</v>
      </c>
      <c r="AP505" s="30" t="s">
        <v>20</v>
      </c>
      <c r="AQ505" s="30" t="s">
        <v>21</v>
      </c>
      <c r="AR505" s="30" t="s">
        <v>16</v>
      </c>
      <c r="AS505" s="30" t="s">
        <v>22</v>
      </c>
      <c r="AT505" s="30" t="s">
        <v>24</v>
      </c>
      <c r="AU505" s="110"/>
      <c r="AV505" s="40"/>
      <c r="AW505" s="13"/>
      <c r="AX505" s="30" t="s">
        <v>15</v>
      </c>
      <c r="AY505" s="30" t="s">
        <v>20</v>
      </c>
      <c r="AZ505" s="30" t="s">
        <v>22</v>
      </c>
      <c r="BA505" s="30" t="s">
        <v>23</v>
      </c>
      <c r="BB505" s="30" t="s">
        <v>28</v>
      </c>
      <c r="BC505" s="110"/>
      <c r="BD505" s="40"/>
      <c r="BE505" s="13"/>
      <c r="BF505" s="32" t="s">
        <v>68</v>
      </c>
      <c r="BG505" s="42"/>
      <c r="BH505" s="42"/>
      <c r="BI505" s="42"/>
    </row>
    <row r="506" spans="1:61" ht="20.25" customHeight="1">
      <c r="A506" s="10" t="s">
        <v>210</v>
      </c>
      <c r="B506" s="32">
        <v>2</v>
      </c>
      <c r="C506" s="32">
        <v>0</v>
      </c>
      <c r="D506" s="32">
        <v>0</v>
      </c>
      <c r="E506" s="32">
        <v>2</v>
      </c>
      <c r="F506" s="32">
        <v>3</v>
      </c>
      <c r="G506" s="32">
        <v>2</v>
      </c>
      <c r="H506" s="32">
        <v>4</v>
      </c>
      <c r="I506" s="32">
        <v>0</v>
      </c>
      <c r="J506" s="32">
        <v>0</v>
      </c>
      <c r="K506" s="23">
        <f>SUM(B506:J506)</f>
        <v>13</v>
      </c>
      <c r="L506" s="35">
        <f>K506/K509</f>
        <v>0.17105263157894737</v>
      </c>
      <c r="M506" s="35">
        <f>K506/K519</f>
        <v>0.1111111111111111</v>
      </c>
      <c r="N506" s="37"/>
      <c r="O506" s="35"/>
      <c r="P506" s="13"/>
      <c r="Q506" s="14">
        <v>0</v>
      </c>
      <c r="R506" s="14">
        <v>4</v>
      </c>
      <c r="S506" s="14">
        <v>0</v>
      </c>
      <c r="T506" s="14">
        <f t="shared" ref="T506:T512" si="348">SUM(Q506:S506)</f>
        <v>4</v>
      </c>
      <c r="U506" s="40">
        <f>T506/T514</f>
        <v>0.23529411764705882</v>
      </c>
      <c r="V506" s="13"/>
      <c r="W506" s="14">
        <v>0</v>
      </c>
      <c r="X506" s="14">
        <v>1</v>
      </c>
      <c r="Y506" s="14">
        <v>0</v>
      </c>
      <c r="Z506" s="14">
        <v>0</v>
      </c>
      <c r="AA506" s="14">
        <v>1</v>
      </c>
      <c r="AB506" s="14">
        <v>0</v>
      </c>
      <c r="AC506" s="14">
        <f t="shared" ref="AC506:AC512" si="349">SUM(W506:AB506)</f>
        <v>2</v>
      </c>
      <c r="AD506" s="40">
        <f>AC506/AC514</f>
        <v>8.6956521739130432E-2</v>
      </c>
      <c r="AE506" s="13"/>
      <c r="AF506" s="14">
        <v>2</v>
      </c>
      <c r="AG506" s="14">
        <v>0</v>
      </c>
      <c r="AH506" s="14">
        <v>2</v>
      </c>
      <c r="AI506" s="14">
        <v>1</v>
      </c>
      <c r="AJ506" s="32">
        <v>0</v>
      </c>
      <c r="AK506" s="32">
        <v>0</v>
      </c>
      <c r="AL506" s="14">
        <f t="shared" ref="AL506:AL512" si="350">SUM(AF506:AK506)</f>
        <v>5</v>
      </c>
      <c r="AM506" s="40">
        <f>AL506/AL514</f>
        <v>0.14705882352941177</v>
      </c>
      <c r="AN506" s="13"/>
      <c r="AO506" s="14">
        <v>0</v>
      </c>
      <c r="AP506" s="14">
        <v>0</v>
      </c>
      <c r="AQ506" s="14">
        <v>0</v>
      </c>
      <c r="AR506" s="14">
        <v>0</v>
      </c>
      <c r="AS506" s="14">
        <v>0</v>
      </c>
      <c r="AT506" s="14">
        <v>0</v>
      </c>
      <c r="AU506" s="14">
        <f t="shared" ref="AU506:AU512" si="351">SUM(AO506:AT506)</f>
        <v>0</v>
      </c>
      <c r="AV506" s="40">
        <f>AU506/AU514</f>
        <v>0</v>
      </c>
      <c r="AW506" s="13"/>
      <c r="AX506" s="14">
        <v>0</v>
      </c>
      <c r="AY506" s="14">
        <v>0</v>
      </c>
      <c r="AZ506" s="14">
        <v>0</v>
      </c>
      <c r="BA506" s="32">
        <v>0</v>
      </c>
      <c r="BB506" s="32">
        <v>0</v>
      </c>
      <c r="BC506" s="14">
        <f t="shared" ref="BC506:BC512" si="352">SUM(AX506:BB506)</f>
        <v>0</v>
      </c>
      <c r="BD506" s="40">
        <f>BC506/BC514</f>
        <v>0</v>
      </c>
      <c r="BE506" s="13"/>
      <c r="BF506" s="38"/>
      <c r="BG506" s="40" t="e">
        <f>BF506/BF514</f>
        <v>#DIV/0!</v>
      </c>
      <c r="BH506" s="42"/>
      <c r="BI506" s="42"/>
    </row>
    <row r="507" spans="1:61" ht="20.25" customHeight="1">
      <c r="A507" s="10" t="s">
        <v>211</v>
      </c>
      <c r="B507" s="32" t="s">
        <v>82</v>
      </c>
      <c r="C507" s="32">
        <v>1</v>
      </c>
      <c r="D507" s="32">
        <v>0</v>
      </c>
      <c r="E507" s="32">
        <v>1</v>
      </c>
      <c r="F507" s="32">
        <v>2</v>
      </c>
      <c r="G507" s="32">
        <v>2</v>
      </c>
      <c r="H507" s="32">
        <v>0</v>
      </c>
      <c r="I507" s="32">
        <v>0</v>
      </c>
      <c r="J507" s="32">
        <v>1</v>
      </c>
      <c r="K507" s="23">
        <f>SUM(B507:J507)</f>
        <v>7</v>
      </c>
      <c r="L507" s="35">
        <f>K507/K509</f>
        <v>9.2105263157894732E-2</v>
      </c>
      <c r="M507" s="35">
        <f>K507/K519</f>
        <v>5.9829059829059832E-2</v>
      </c>
      <c r="N507" s="37"/>
      <c r="O507" s="35"/>
      <c r="P507" s="13"/>
      <c r="Q507" s="14">
        <v>0</v>
      </c>
      <c r="R507" s="14">
        <v>0</v>
      </c>
      <c r="S507" s="14">
        <v>0</v>
      </c>
      <c r="T507" s="14">
        <f t="shared" si="348"/>
        <v>0</v>
      </c>
      <c r="U507" s="40">
        <f>T507/T514</f>
        <v>0</v>
      </c>
      <c r="V507" s="13"/>
      <c r="W507" s="14">
        <v>0</v>
      </c>
      <c r="X507" s="14">
        <v>2</v>
      </c>
      <c r="Y507" s="14">
        <v>1</v>
      </c>
      <c r="Z507" s="14">
        <v>1</v>
      </c>
      <c r="AA507" s="14">
        <v>1</v>
      </c>
      <c r="AB507" s="14">
        <v>0</v>
      </c>
      <c r="AC507" s="14">
        <f t="shared" si="349"/>
        <v>5</v>
      </c>
      <c r="AD507" s="40">
        <f>AC507/AC514</f>
        <v>0.21739130434782608</v>
      </c>
      <c r="AE507" s="13"/>
      <c r="AF507" s="14">
        <v>2</v>
      </c>
      <c r="AG507" s="14">
        <v>2</v>
      </c>
      <c r="AH507" s="14">
        <v>0</v>
      </c>
      <c r="AI507" s="14">
        <v>0</v>
      </c>
      <c r="AJ507" s="32">
        <v>0</v>
      </c>
      <c r="AK507" s="32">
        <v>4</v>
      </c>
      <c r="AL507" s="14">
        <f t="shared" si="350"/>
        <v>8</v>
      </c>
      <c r="AM507" s="40">
        <f>AL507/AL514</f>
        <v>0.23529411764705882</v>
      </c>
      <c r="AN507" s="13"/>
      <c r="AO507" s="14">
        <v>0</v>
      </c>
      <c r="AP507" s="14">
        <v>1</v>
      </c>
      <c r="AQ507" s="14">
        <v>1</v>
      </c>
      <c r="AR507" s="14">
        <v>0</v>
      </c>
      <c r="AS507" s="14">
        <v>2</v>
      </c>
      <c r="AT507" s="14">
        <v>1</v>
      </c>
      <c r="AU507" s="14">
        <f t="shared" si="351"/>
        <v>5</v>
      </c>
      <c r="AV507" s="40">
        <f>AU507/AU514</f>
        <v>0.5</v>
      </c>
      <c r="AW507" s="13"/>
      <c r="AX507" s="14">
        <v>0</v>
      </c>
      <c r="AY507" s="14">
        <v>0</v>
      </c>
      <c r="AZ507" s="14">
        <v>0</v>
      </c>
      <c r="BA507" s="32">
        <v>0</v>
      </c>
      <c r="BB507" s="32">
        <v>0</v>
      </c>
      <c r="BC507" s="14">
        <f t="shared" si="352"/>
        <v>0</v>
      </c>
      <c r="BD507" s="40">
        <f>BC507/BC514</f>
        <v>0</v>
      </c>
      <c r="BE507" s="13"/>
      <c r="BF507" s="38"/>
      <c r="BG507" s="40" t="e">
        <f>BF507/BF514</f>
        <v>#DIV/0!</v>
      </c>
      <c r="BH507" s="42"/>
      <c r="BI507" s="42"/>
    </row>
    <row r="508" spans="1:61" ht="20.25" customHeight="1">
      <c r="A508" s="10" t="s">
        <v>212</v>
      </c>
      <c r="B508" s="32">
        <v>9</v>
      </c>
      <c r="C508" s="32">
        <v>2</v>
      </c>
      <c r="D508" s="32">
        <v>11</v>
      </c>
      <c r="E508" s="32">
        <v>8</v>
      </c>
      <c r="F508" s="32">
        <v>3</v>
      </c>
      <c r="G508" s="32">
        <v>2</v>
      </c>
      <c r="H508" s="32">
        <v>1</v>
      </c>
      <c r="I508" s="32">
        <v>10</v>
      </c>
      <c r="J508" s="32">
        <v>10</v>
      </c>
      <c r="K508" s="23">
        <f>SUM(B508:J508)</f>
        <v>56</v>
      </c>
      <c r="L508" s="35">
        <f>K508/K509</f>
        <v>0.73684210526315785</v>
      </c>
      <c r="M508" s="35">
        <f>K508/K519</f>
        <v>0.47863247863247865</v>
      </c>
      <c r="N508" s="35">
        <f>L508/(L506+L508)</f>
        <v>0.81159420289855078</v>
      </c>
      <c r="O508" s="35"/>
      <c r="P508" s="13"/>
      <c r="Q508" s="14">
        <v>6</v>
      </c>
      <c r="R508" s="14">
        <v>1</v>
      </c>
      <c r="S508" s="14">
        <v>1</v>
      </c>
      <c r="T508" s="14">
        <f t="shared" si="348"/>
        <v>8</v>
      </c>
      <c r="U508" s="40">
        <f>T508/T514</f>
        <v>0.47058823529411764</v>
      </c>
      <c r="V508" s="13"/>
      <c r="W508" s="14">
        <v>4</v>
      </c>
      <c r="X508" s="14">
        <v>1</v>
      </c>
      <c r="Y508" s="14">
        <v>5</v>
      </c>
      <c r="Z508" s="14">
        <v>0</v>
      </c>
      <c r="AA508" s="14">
        <v>3</v>
      </c>
      <c r="AB508" s="14">
        <v>1</v>
      </c>
      <c r="AC508" s="14">
        <f t="shared" si="349"/>
        <v>14</v>
      </c>
      <c r="AD508" s="40">
        <f>AC508/AC514</f>
        <v>0.60869565217391308</v>
      </c>
      <c r="AE508" s="13"/>
      <c r="AF508" s="14">
        <v>2</v>
      </c>
      <c r="AG508" s="14">
        <v>4</v>
      </c>
      <c r="AH508" s="14">
        <v>0</v>
      </c>
      <c r="AI508" s="14">
        <v>4</v>
      </c>
      <c r="AJ508" s="32">
        <v>0</v>
      </c>
      <c r="AK508" s="32">
        <v>8</v>
      </c>
      <c r="AL508" s="14">
        <f t="shared" si="350"/>
        <v>18</v>
      </c>
      <c r="AM508" s="40">
        <f>AL508/AL514</f>
        <v>0.52941176470588236</v>
      </c>
      <c r="AN508" s="13"/>
      <c r="AO508" s="14">
        <v>0</v>
      </c>
      <c r="AP508" s="14">
        <v>0</v>
      </c>
      <c r="AQ508" s="14">
        <v>2</v>
      </c>
      <c r="AR508" s="14">
        <v>0</v>
      </c>
      <c r="AS508" s="14">
        <v>2</v>
      </c>
      <c r="AT508" s="14">
        <v>1</v>
      </c>
      <c r="AU508" s="14">
        <f t="shared" si="351"/>
        <v>5</v>
      </c>
      <c r="AV508" s="40">
        <f>AU508/AU514</f>
        <v>0.5</v>
      </c>
      <c r="AW508" s="13"/>
      <c r="AX508" s="14">
        <v>0</v>
      </c>
      <c r="AY508" s="14">
        <v>0</v>
      </c>
      <c r="AZ508" s="14">
        <v>0</v>
      </c>
      <c r="BA508" s="32">
        <v>1</v>
      </c>
      <c r="BB508" s="32">
        <v>1</v>
      </c>
      <c r="BC508" s="14">
        <f t="shared" si="352"/>
        <v>2</v>
      </c>
      <c r="BD508" s="40">
        <f>BC508/BC514</f>
        <v>1</v>
      </c>
      <c r="BE508" s="13"/>
      <c r="BF508" s="38"/>
      <c r="BG508" s="40" t="e">
        <f>BF508/BF514</f>
        <v>#DIV/0!</v>
      </c>
      <c r="BH508" s="42"/>
      <c r="BI508" s="42"/>
    </row>
    <row r="509" spans="1:61" ht="20.25" customHeight="1">
      <c r="A509" s="20"/>
      <c r="B509" s="42"/>
      <c r="C509" s="42"/>
      <c r="D509" s="42"/>
      <c r="E509" s="42"/>
      <c r="F509" s="42"/>
      <c r="G509" s="42"/>
      <c r="H509" s="42"/>
      <c r="I509" s="42"/>
      <c r="J509" s="42"/>
      <c r="K509" s="23">
        <f>SUM(K506:K508)</f>
        <v>76</v>
      </c>
      <c r="L509" s="35"/>
      <c r="M509" s="35"/>
      <c r="N509" s="35"/>
      <c r="O509" s="35"/>
      <c r="P509" s="13"/>
      <c r="Q509" s="14"/>
      <c r="R509" s="14"/>
      <c r="S509" s="14"/>
      <c r="T509" s="14">
        <f t="shared" si="348"/>
        <v>0</v>
      </c>
      <c r="U509" s="40"/>
      <c r="V509" s="13"/>
      <c r="W509" s="14"/>
      <c r="X509" s="14"/>
      <c r="Y509" s="14"/>
      <c r="Z509" s="14"/>
      <c r="AA509" s="14"/>
      <c r="AB509" s="14"/>
      <c r="AC509" s="14">
        <f t="shared" si="349"/>
        <v>0</v>
      </c>
      <c r="AD509" s="40"/>
      <c r="AE509" s="13"/>
      <c r="AF509" s="14"/>
      <c r="AG509" s="14"/>
      <c r="AH509" s="14"/>
      <c r="AI509" s="14"/>
      <c r="AJ509" s="42"/>
      <c r="AK509" s="42"/>
      <c r="AL509" s="14">
        <f t="shared" si="350"/>
        <v>0</v>
      </c>
      <c r="AM509" s="40"/>
      <c r="AN509" s="13"/>
      <c r="AO509" s="14"/>
      <c r="AP509" s="14"/>
      <c r="AQ509" s="14"/>
      <c r="AR509" s="14"/>
      <c r="AS509" s="14"/>
      <c r="AT509" s="14"/>
      <c r="AU509" s="14">
        <f t="shared" si="351"/>
        <v>0</v>
      </c>
      <c r="AV509" s="40"/>
      <c r="AW509" s="13"/>
      <c r="AX509" s="14"/>
      <c r="AY509" s="14"/>
      <c r="AZ509" s="14"/>
      <c r="BA509" s="42"/>
      <c r="BB509" s="42"/>
      <c r="BC509" s="14">
        <f t="shared" si="352"/>
        <v>0</v>
      </c>
      <c r="BD509" s="40"/>
      <c r="BE509" s="13"/>
      <c r="BF509" s="38"/>
      <c r="BG509" s="40"/>
      <c r="BH509" s="42"/>
      <c r="BI509" s="42"/>
    </row>
    <row r="510" spans="1:61" ht="20.25" customHeight="1">
      <c r="A510" s="10" t="s">
        <v>213</v>
      </c>
      <c r="B510" s="32">
        <v>3</v>
      </c>
      <c r="C510" s="32">
        <v>1</v>
      </c>
      <c r="D510" s="32">
        <v>0</v>
      </c>
      <c r="E510" s="32">
        <v>1</v>
      </c>
      <c r="F510" s="32">
        <v>0</v>
      </c>
      <c r="G510" s="32">
        <v>1</v>
      </c>
      <c r="H510" s="32">
        <v>5</v>
      </c>
      <c r="I510" s="32">
        <v>0</v>
      </c>
      <c r="J510" s="32">
        <v>1</v>
      </c>
      <c r="K510" s="23">
        <f>SUM(B510:J510)</f>
        <v>12</v>
      </c>
      <c r="L510" s="35">
        <f>K510/K513</f>
        <v>0.15</v>
      </c>
      <c r="M510" s="35">
        <f>K510/K519</f>
        <v>0.10256410256410256</v>
      </c>
      <c r="N510" s="35">
        <f>L510/(L512+L510)</f>
        <v>0.17391304347826086</v>
      </c>
      <c r="O510" s="35"/>
      <c r="P510" s="13"/>
      <c r="Q510" s="14">
        <v>0</v>
      </c>
      <c r="R510" s="14">
        <v>5</v>
      </c>
      <c r="S510" s="14">
        <v>0</v>
      </c>
      <c r="T510" s="14">
        <f t="shared" si="348"/>
        <v>5</v>
      </c>
      <c r="U510" s="40">
        <f>T510/T514</f>
        <v>0.29411764705882354</v>
      </c>
      <c r="V510" s="13"/>
      <c r="W510" s="14">
        <v>0</v>
      </c>
      <c r="X510" s="14">
        <v>0</v>
      </c>
      <c r="Y510" s="14">
        <v>0</v>
      </c>
      <c r="Z510" s="14">
        <v>0</v>
      </c>
      <c r="AA510" s="14">
        <v>1</v>
      </c>
      <c r="AB510" s="14">
        <v>1</v>
      </c>
      <c r="AC510" s="14">
        <f t="shared" si="349"/>
        <v>2</v>
      </c>
      <c r="AD510" s="40">
        <f>AC510/AC514</f>
        <v>8.6956521739130432E-2</v>
      </c>
      <c r="AE510" s="13"/>
      <c r="AF510" s="14">
        <v>0</v>
      </c>
      <c r="AG510" s="14">
        <v>0</v>
      </c>
      <c r="AH510" s="14">
        <v>2</v>
      </c>
      <c r="AI510" s="14">
        <v>0</v>
      </c>
      <c r="AJ510" s="32">
        <v>0</v>
      </c>
      <c r="AK510" s="32">
        <v>1</v>
      </c>
      <c r="AL510" s="14">
        <f t="shared" si="350"/>
        <v>3</v>
      </c>
      <c r="AM510" s="40">
        <f>AL510/AL514</f>
        <v>8.8235294117647065E-2</v>
      </c>
      <c r="AN510" s="13"/>
      <c r="AO510" s="14">
        <v>0</v>
      </c>
      <c r="AP510" s="14">
        <v>0</v>
      </c>
      <c r="AQ510" s="14">
        <v>0</v>
      </c>
      <c r="AR510" s="14">
        <v>0</v>
      </c>
      <c r="AS510" s="14">
        <v>0</v>
      </c>
      <c r="AT510" s="14">
        <v>0</v>
      </c>
      <c r="AU510" s="14">
        <f t="shared" si="351"/>
        <v>0</v>
      </c>
      <c r="AV510" s="40">
        <f>AU510/AU514</f>
        <v>0</v>
      </c>
      <c r="AW510" s="13"/>
      <c r="AX510" s="14">
        <v>0</v>
      </c>
      <c r="AY510" s="14">
        <v>0</v>
      </c>
      <c r="AZ510" s="14">
        <v>0</v>
      </c>
      <c r="BA510" s="32">
        <v>0</v>
      </c>
      <c r="BB510" s="32">
        <v>0</v>
      </c>
      <c r="BC510" s="14">
        <f t="shared" si="352"/>
        <v>0</v>
      </c>
      <c r="BD510" s="40">
        <f>BC510/BC514</f>
        <v>0</v>
      </c>
      <c r="BE510" s="13"/>
      <c r="BF510" s="38"/>
      <c r="BG510" s="40" t="e">
        <f>BF510/BF514</f>
        <v>#DIV/0!</v>
      </c>
      <c r="BH510" s="42"/>
      <c r="BI510" s="42"/>
    </row>
    <row r="511" spans="1:61" ht="20.25" customHeight="1">
      <c r="A511" s="10" t="s">
        <v>214</v>
      </c>
      <c r="B511" s="32" t="s">
        <v>82</v>
      </c>
      <c r="C511" s="32">
        <v>0</v>
      </c>
      <c r="D511" s="32">
        <v>4</v>
      </c>
      <c r="E511" s="32">
        <v>0</v>
      </c>
      <c r="F511" s="32">
        <v>3</v>
      </c>
      <c r="G511" s="32">
        <v>1</v>
      </c>
      <c r="H511" s="32">
        <v>0</v>
      </c>
      <c r="I511" s="32">
        <v>0</v>
      </c>
      <c r="J511" s="32">
        <v>3</v>
      </c>
      <c r="K511" s="23">
        <f>SUM(B511:J511)</f>
        <v>11</v>
      </c>
      <c r="L511" s="35">
        <f>K511/K513</f>
        <v>0.13750000000000001</v>
      </c>
      <c r="M511" s="35">
        <f>K511/K519</f>
        <v>9.4017094017094016E-2</v>
      </c>
      <c r="N511" s="37"/>
      <c r="O511" s="35"/>
      <c r="P511" s="13"/>
      <c r="Q511" s="14"/>
      <c r="R511" s="14"/>
      <c r="S511" s="14"/>
      <c r="T511" s="14">
        <f t="shared" si="348"/>
        <v>0</v>
      </c>
      <c r="U511" s="40"/>
      <c r="V511" s="13"/>
      <c r="W511" s="14"/>
      <c r="X511" s="14"/>
      <c r="Y511" s="14"/>
      <c r="Z511" s="14"/>
      <c r="AA511" s="14"/>
      <c r="AB511" s="14"/>
      <c r="AC511" s="14">
        <f t="shared" si="349"/>
        <v>0</v>
      </c>
      <c r="AD511" s="40"/>
      <c r="AE511" s="13"/>
      <c r="AF511" s="14"/>
      <c r="AG511" s="14"/>
      <c r="AH511" s="14"/>
      <c r="AI511" s="14"/>
      <c r="AJ511" s="42"/>
      <c r="AK511" s="42"/>
      <c r="AL511" s="14">
        <f t="shared" si="350"/>
        <v>0</v>
      </c>
      <c r="AM511" s="40"/>
      <c r="AN511" s="13"/>
      <c r="AO511" s="14"/>
      <c r="AP511" s="14"/>
      <c r="AQ511" s="14"/>
      <c r="AR511" s="14"/>
      <c r="AS511" s="14"/>
      <c r="AT511" s="14"/>
      <c r="AU511" s="14">
        <f t="shared" si="351"/>
        <v>0</v>
      </c>
      <c r="AV511" s="40"/>
      <c r="AW511" s="13"/>
      <c r="AX511" s="14"/>
      <c r="AY511" s="14"/>
      <c r="AZ511" s="14"/>
      <c r="BA511" s="42"/>
      <c r="BB511" s="42"/>
      <c r="BC511" s="14">
        <f t="shared" si="352"/>
        <v>0</v>
      </c>
      <c r="BD511" s="40"/>
      <c r="BE511" s="13"/>
      <c r="BF511" s="38"/>
      <c r="BG511" s="40"/>
      <c r="BH511" s="42"/>
      <c r="BI511" s="42"/>
    </row>
    <row r="512" spans="1:61" ht="20.25" customHeight="1">
      <c r="A512" s="10" t="s">
        <v>215</v>
      </c>
      <c r="B512" s="32">
        <v>10</v>
      </c>
      <c r="C512" s="32">
        <v>2</v>
      </c>
      <c r="D512" s="32">
        <v>8</v>
      </c>
      <c r="E512" s="32">
        <v>4</v>
      </c>
      <c r="F512" s="32">
        <v>5</v>
      </c>
      <c r="G512" s="32">
        <v>8</v>
      </c>
      <c r="H512" s="32">
        <v>5</v>
      </c>
      <c r="I512" s="32">
        <v>10</v>
      </c>
      <c r="J512" s="32">
        <v>5</v>
      </c>
      <c r="K512" s="23">
        <f>SUM(B512:J512)</f>
        <v>57</v>
      </c>
      <c r="L512" s="35">
        <f>K512/K513</f>
        <v>0.71250000000000002</v>
      </c>
      <c r="M512" s="35">
        <f>K512/K519</f>
        <v>0.48717948717948717</v>
      </c>
      <c r="N512" s="35">
        <f>L512/(L510+L512)</f>
        <v>0.82608695652173914</v>
      </c>
      <c r="O512" s="35"/>
      <c r="P512" s="13"/>
      <c r="Q512" s="14">
        <v>3</v>
      </c>
      <c r="R512" s="14">
        <v>4</v>
      </c>
      <c r="S512" s="14">
        <v>1</v>
      </c>
      <c r="T512" s="14">
        <f t="shared" si="348"/>
        <v>8</v>
      </c>
      <c r="U512" s="40">
        <f>T512/T514</f>
        <v>0.47058823529411764</v>
      </c>
      <c r="V512" s="13"/>
      <c r="W512" s="14">
        <v>5</v>
      </c>
      <c r="X512" s="14">
        <v>1</v>
      </c>
      <c r="Y512" s="14">
        <v>6</v>
      </c>
      <c r="Z512" s="14">
        <v>1</v>
      </c>
      <c r="AA512" s="14">
        <v>3</v>
      </c>
      <c r="AB512" s="14">
        <v>0</v>
      </c>
      <c r="AC512" s="14">
        <f t="shared" si="349"/>
        <v>16</v>
      </c>
      <c r="AD512" s="40">
        <f>AC512/AC514</f>
        <v>0.69565217391304346</v>
      </c>
      <c r="AE512" s="13"/>
      <c r="AF512" s="14">
        <v>2</v>
      </c>
      <c r="AG512" s="14">
        <v>1</v>
      </c>
      <c r="AH512" s="14">
        <v>0</v>
      </c>
      <c r="AI512" s="14">
        <v>1</v>
      </c>
      <c r="AJ512" s="32">
        <v>0</v>
      </c>
      <c r="AK512" s="32">
        <v>3</v>
      </c>
      <c r="AL512" s="14">
        <f t="shared" si="350"/>
        <v>7</v>
      </c>
      <c r="AM512" s="40">
        <f>AL512/AL514</f>
        <v>0.20588235294117646</v>
      </c>
      <c r="AN512" s="13"/>
      <c r="AO512" s="14">
        <v>1</v>
      </c>
      <c r="AP512" s="14">
        <v>1</v>
      </c>
      <c r="AQ512" s="14">
        <v>1</v>
      </c>
      <c r="AR512" s="14">
        <v>1</v>
      </c>
      <c r="AS512" s="14">
        <v>4</v>
      </c>
      <c r="AT512" s="14">
        <v>2</v>
      </c>
      <c r="AU512" s="14">
        <f t="shared" si="351"/>
        <v>10</v>
      </c>
      <c r="AV512" s="40">
        <f>AU512/AU514</f>
        <v>1</v>
      </c>
      <c r="AW512" s="13"/>
      <c r="AX512" s="14">
        <v>1</v>
      </c>
      <c r="AY512" s="14">
        <v>1</v>
      </c>
      <c r="AZ512" s="14">
        <v>2</v>
      </c>
      <c r="BA512" s="32">
        <v>0</v>
      </c>
      <c r="BB512" s="32">
        <v>1</v>
      </c>
      <c r="BC512" s="14">
        <f t="shared" si="352"/>
        <v>5</v>
      </c>
      <c r="BD512" s="40">
        <f>BC512/BC514</f>
        <v>2.5</v>
      </c>
      <c r="BE512" s="13"/>
      <c r="BF512" s="38"/>
      <c r="BG512" s="40" t="e">
        <f>BF512/BF514</f>
        <v>#DIV/0!</v>
      </c>
      <c r="BH512" s="42"/>
      <c r="BI512" s="42"/>
    </row>
    <row r="513" spans="1:61" ht="21.75" customHeight="1">
      <c r="A513" s="20"/>
      <c r="B513" s="42"/>
      <c r="C513" s="42"/>
      <c r="D513" s="42"/>
      <c r="E513" s="42"/>
      <c r="F513" s="42"/>
      <c r="G513" s="42"/>
      <c r="H513" s="42"/>
      <c r="I513" s="42"/>
      <c r="J513" s="42"/>
      <c r="K513" s="23">
        <f>SUM(K510:K512)</f>
        <v>80</v>
      </c>
      <c r="L513" s="35"/>
      <c r="M513" s="35"/>
      <c r="N513" s="37"/>
      <c r="O513" s="35"/>
      <c r="P513" s="13"/>
      <c r="Q513" s="45"/>
      <c r="R513" s="14"/>
      <c r="S513" s="14"/>
      <c r="T513" s="14"/>
      <c r="U513" s="40"/>
      <c r="V513" s="13"/>
      <c r="W513" s="45"/>
      <c r="X513" s="45"/>
      <c r="Y513" s="45"/>
      <c r="Z513" s="45"/>
      <c r="AA513" s="45"/>
      <c r="AB513" s="45"/>
      <c r="AC513" s="45"/>
      <c r="AD513" s="40"/>
      <c r="AE513" s="13"/>
      <c r="AF513" s="45"/>
      <c r="AG513" s="45"/>
      <c r="AH513" s="45"/>
      <c r="AI513" s="45"/>
      <c r="AJ513" s="45"/>
      <c r="AK513" s="45"/>
      <c r="AL513" s="45"/>
      <c r="AM513" s="41"/>
      <c r="AN513" s="13"/>
      <c r="AO513" s="45"/>
      <c r="AP513" s="45"/>
      <c r="AQ513" s="45"/>
      <c r="AR513" s="45"/>
      <c r="AS513" s="45"/>
      <c r="AT513" s="45"/>
      <c r="AU513" s="45"/>
      <c r="AV513" s="40"/>
      <c r="AW513" s="13"/>
      <c r="AX513" s="45"/>
      <c r="AY513" s="45"/>
      <c r="AZ513" s="45"/>
      <c r="BA513" s="45"/>
      <c r="BB513" s="45"/>
      <c r="BC513" s="45"/>
      <c r="BD513" s="40"/>
      <c r="BE513" s="13"/>
      <c r="BF513" s="38"/>
      <c r="BG513" s="40"/>
      <c r="BH513" s="42"/>
      <c r="BI513" s="42"/>
    </row>
    <row r="514" spans="1:61" ht="23" customHeight="1">
      <c r="A514" s="10" t="s">
        <v>9</v>
      </c>
      <c r="B514" s="32">
        <f t="shared" ref="B514:J514" si="353">SUM(B506:B511)</f>
        <v>14</v>
      </c>
      <c r="C514" s="32">
        <f t="shared" si="353"/>
        <v>4</v>
      </c>
      <c r="D514" s="32">
        <f t="shared" si="353"/>
        <v>15</v>
      </c>
      <c r="E514" s="32">
        <f t="shared" si="353"/>
        <v>12</v>
      </c>
      <c r="F514" s="32">
        <f t="shared" si="353"/>
        <v>11</v>
      </c>
      <c r="G514" s="32">
        <f t="shared" si="353"/>
        <v>8</v>
      </c>
      <c r="H514" s="32">
        <f t="shared" si="353"/>
        <v>10</v>
      </c>
      <c r="I514" s="32">
        <f t="shared" si="353"/>
        <v>10</v>
      </c>
      <c r="J514" s="32">
        <f t="shared" si="353"/>
        <v>15</v>
      </c>
      <c r="K514" s="23">
        <f t="shared" ref="K514:K519" si="354">SUM(B514:J514)</f>
        <v>99</v>
      </c>
      <c r="L514" s="35">
        <f>SUM(L506:L511)</f>
        <v>1.2874999999999999</v>
      </c>
      <c r="M514" s="35">
        <f>SUM(M505:M511)</f>
        <v>0.84615384615384615</v>
      </c>
      <c r="N514" s="37">
        <f>T514+AC514+AL514+AU514</f>
        <v>84</v>
      </c>
      <c r="O514" s="35">
        <f>N514/K514</f>
        <v>0.84848484848484851</v>
      </c>
      <c r="P514" s="13"/>
      <c r="Q514" s="57">
        <f>SUM(Q506:Q511)</f>
        <v>6</v>
      </c>
      <c r="R514" s="46">
        <f>SUM(R506:R511)</f>
        <v>10</v>
      </c>
      <c r="S514" s="46">
        <f>SUM(S506:S511)</f>
        <v>1</v>
      </c>
      <c r="T514" s="14">
        <f>SUM(T506:T511)</f>
        <v>17</v>
      </c>
      <c r="U514" s="40">
        <f>SUM(U506:U511)</f>
        <v>1</v>
      </c>
      <c r="V514" s="13"/>
      <c r="W514" s="57">
        <f t="shared" ref="W514:AC514" si="355">SUM(W505:W511)</f>
        <v>4</v>
      </c>
      <c r="X514" s="57">
        <f t="shared" si="355"/>
        <v>4</v>
      </c>
      <c r="Y514" s="57">
        <f t="shared" si="355"/>
        <v>6</v>
      </c>
      <c r="Z514" s="57">
        <f t="shared" si="355"/>
        <v>1</v>
      </c>
      <c r="AA514" s="57">
        <f t="shared" si="355"/>
        <v>6</v>
      </c>
      <c r="AB514" s="57">
        <f t="shared" si="355"/>
        <v>2</v>
      </c>
      <c r="AC514" s="57">
        <f t="shared" si="355"/>
        <v>23</v>
      </c>
      <c r="AD514" s="40">
        <f>SUM(AD506:AD511)</f>
        <v>1</v>
      </c>
      <c r="AE514" s="13"/>
      <c r="AF514" s="57">
        <f t="shared" ref="AF514:AL514" si="356">SUM(AF505:AF511)</f>
        <v>6</v>
      </c>
      <c r="AG514" s="57">
        <f t="shared" si="356"/>
        <v>6</v>
      </c>
      <c r="AH514" s="57">
        <f t="shared" si="356"/>
        <v>4</v>
      </c>
      <c r="AI514" s="57">
        <f t="shared" si="356"/>
        <v>5</v>
      </c>
      <c r="AJ514" s="57">
        <f t="shared" si="356"/>
        <v>0</v>
      </c>
      <c r="AK514" s="57">
        <f t="shared" si="356"/>
        <v>13</v>
      </c>
      <c r="AL514" s="57">
        <f t="shared" si="356"/>
        <v>34</v>
      </c>
      <c r="AM514" s="41">
        <f>SUM(AM506:AM511)</f>
        <v>1</v>
      </c>
      <c r="AN514" s="13"/>
      <c r="AO514" s="57">
        <f t="shared" ref="AO514:AU514" si="357">SUM(AO505:AO511)</f>
        <v>0</v>
      </c>
      <c r="AP514" s="57">
        <f t="shared" si="357"/>
        <v>1</v>
      </c>
      <c r="AQ514" s="57">
        <f t="shared" si="357"/>
        <v>3</v>
      </c>
      <c r="AR514" s="57">
        <f t="shared" si="357"/>
        <v>0</v>
      </c>
      <c r="AS514" s="57">
        <f t="shared" si="357"/>
        <v>4</v>
      </c>
      <c r="AT514" s="57">
        <f t="shared" si="357"/>
        <v>2</v>
      </c>
      <c r="AU514" s="57">
        <f t="shared" si="357"/>
        <v>10</v>
      </c>
      <c r="AV514" s="40">
        <f>SUM(AV506:AV511)</f>
        <v>1</v>
      </c>
      <c r="AW514" s="13"/>
      <c r="AX514" s="57">
        <f t="shared" ref="AX514:BC514" si="358">SUM(AX505:AX511)</f>
        <v>0</v>
      </c>
      <c r="AY514" s="57">
        <f t="shared" si="358"/>
        <v>0</v>
      </c>
      <c r="AZ514" s="57">
        <f t="shared" si="358"/>
        <v>0</v>
      </c>
      <c r="BA514" s="57">
        <f t="shared" si="358"/>
        <v>1</v>
      </c>
      <c r="BB514" s="57">
        <f t="shared" si="358"/>
        <v>1</v>
      </c>
      <c r="BC514" s="57">
        <f t="shared" si="358"/>
        <v>2</v>
      </c>
      <c r="BD514" s="40">
        <f>SUM(BD506:BD511)</f>
        <v>1</v>
      </c>
      <c r="BE514" s="13"/>
      <c r="BF514" s="38">
        <f>SUM(BF506:BF511)</f>
        <v>0</v>
      </c>
      <c r="BG514" s="40" t="e">
        <f>SUM(BG506:BG511)</f>
        <v>#DIV/0!</v>
      </c>
      <c r="BH514" s="42"/>
      <c r="BI514" s="42"/>
    </row>
    <row r="515" spans="1:61" ht="21.75" customHeight="1">
      <c r="A515" s="8" t="s">
        <v>198</v>
      </c>
      <c r="B515" s="32">
        <v>0</v>
      </c>
      <c r="C515" s="32">
        <v>1</v>
      </c>
      <c r="D515" s="32">
        <v>0</v>
      </c>
      <c r="E515" s="32">
        <v>0</v>
      </c>
      <c r="F515" s="32">
        <v>2</v>
      </c>
      <c r="G515" s="32">
        <v>0</v>
      </c>
      <c r="H515" s="32">
        <v>0</v>
      </c>
      <c r="I515" s="32">
        <v>0</v>
      </c>
      <c r="J515" s="32">
        <v>0</v>
      </c>
      <c r="K515" s="23">
        <f t="shared" si="354"/>
        <v>3</v>
      </c>
      <c r="L515" s="35">
        <f>K515/(K514+K515+K516)</f>
        <v>2.8571428571428571E-2</v>
      </c>
      <c r="M515" s="35">
        <f>K515/K519</f>
        <v>2.564102564102564E-2</v>
      </c>
      <c r="N515" s="37"/>
      <c r="O515" s="35"/>
      <c r="P515" s="13"/>
      <c r="Q515" s="51">
        <v>0</v>
      </c>
      <c r="R515" s="133">
        <v>0</v>
      </c>
      <c r="S515" s="133">
        <v>0</v>
      </c>
      <c r="T515" s="38">
        <f>SUM(Q515:S515)</f>
        <v>0</v>
      </c>
      <c r="U515" s="15">
        <f>T515/T519</f>
        <v>0</v>
      </c>
      <c r="V515" s="13"/>
      <c r="W515" s="51">
        <v>0</v>
      </c>
      <c r="X515" s="51">
        <v>1</v>
      </c>
      <c r="Y515" s="51">
        <v>0</v>
      </c>
      <c r="Z515" s="51">
        <v>0</v>
      </c>
      <c r="AA515" s="51">
        <v>0</v>
      </c>
      <c r="AB515" s="101">
        <v>0</v>
      </c>
      <c r="AC515" s="51">
        <f>SUM(W515:AB515)</f>
        <v>1</v>
      </c>
      <c r="AD515" s="15">
        <f>AC515/AC519</f>
        <v>3.5714285714285712E-2</v>
      </c>
      <c r="AE515" s="13"/>
      <c r="AF515" s="51">
        <v>0</v>
      </c>
      <c r="AG515" s="51">
        <v>0</v>
      </c>
      <c r="AH515" s="51">
        <v>0</v>
      </c>
      <c r="AI515" s="51">
        <v>0</v>
      </c>
      <c r="AJ515" s="51">
        <v>1</v>
      </c>
      <c r="AK515" s="51">
        <v>0</v>
      </c>
      <c r="AL515" s="51">
        <f>SUM(AE515:AK515)</f>
        <v>1</v>
      </c>
      <c r="AM515" s="15">
        <f>AL515/AL519</f>
        <v>2.4390243902439025E-2</v>
      </c>
      <c r="AN515" s="13"/>
      <c r="AO515" s="51">
        <v>0</v>
      </c>
      <c r="AP515" s="51">
        <v>0</v>
      </c>
      <c r="AQ515" s="51">
        <v>0</v>
      </c>
      <c r="AR515" s="51">
        <v>0</v>
      </c>
      <c r="AS515" s="51">
        <v>0</v>
      </c>
      <c r="AT515" s="101">
        <v>0</v>
      </c>
      <c r="AU515" s="51">
        <f>SUM(AO515:AT515)</f>
        <v>0</v>
      </c>
      <c r="AV515" s="15">
        <f>AU515/AU519</f>
        <v>0</v>
      </c>
      <c r="AW515" s="13"/>
      <c r="AX515" s="51">
        <v>0</v>
      </c>
      <c r="AY515" s="51">
        <v>1</v>
      </c>
      <c r="AZ515" s="51">
        <v>0</v>
      </c>
      <c r="BA515" s="101">
        <v>0</v>
      </c>
      <c r="BB515" s="101">
        <v>0</v>
      </c>
      <c r="BC515" s="51">
        <f>SUM(AX515:BB515)</f>
        <v>1</v>
      </c>
      <c r="BD515" s="15">
        <f>BC515/BC519</f>
        <v>0.25</v>
      </c>
      <c r="BE515" s="13"/>
      <c r="BF515" s="38"/>
      <c r="BG515" s="42"/>
      <c r="BH515" s="42"/>
      <c r="BI515" s="42"/>
    </row>
    <row r="516" spans="1:61" ht="32.25" customHeight="1">
      <c r="A516" s="131" t="s">
        <v>199</v>
      </c>
      <c r="B516" s="32">
        <v>0</v>
      </c>
      <c r="C516" s="32">
        <v>0</v>
      </c>
      <c r="D516" s="32">
        <v>1</v>
      </c>
      <c r="E516" s="32">
        <v>0</v>
      </c>
      <c r="F516" s="32">
        <v>0</v>
      </c>
      <c r="G516" s="32">
        <v>2</v>
      </c>
      <c r="H516" s="32">
        <v>0</v>
      </c>
      <c r="I516" s="32">
        <v>0</v>
      </c>
      <c r="J516" s="32">
        <v>0</v>
      </c>
      <c r="K516" s="23">
        <f t="shared" si="354"/>
        <v>3</v>
      </c>
      <c r="L516" s="35">
        <f>K516/(K515+K516+K514)</f>
        <v>2.8571428571428571E-2</v>
      </c>
      <c r="M516" s="35">
        <f>K516/K519</f>
        <v>2.564102564102564E-2</v>
      </c>
      <c r="N516" s="23"/>
      <c r="O516" s="35"/>
      <c r="P516" s="13"/>
      <c r="Q516" s="38">
        <v>0</v>
      </c>
      <c r="R516" s="38">
        <v>0</v>
      </c>
      <c r="S516" s="38">
        <v>0</v>
      </c>
      <c r="T516" s="38">
        <f>SUM(Q516:S516)</f>
        <v>0</v>
      </c>
      <c r="U516" s="15">
        <f>T516/T519</f>
        <v>0</v>
      </c>
      <c r="V516" s="13"/>
      <c r="W516" s="38">
        <v>0</v>
      </c>
      <c r="X516" s="38">
        <v>0</v>
      </c>
      <c r="Y516" s="38">
        <v>0</v>
      </c>
      <c r="Z516" s="38">
        <v>1</v>
      </c>
      <c r="AA516" s="38">
        <v>0</v>
      </c>
      <c r="AB516" s="32">
        <v>0</v>
      </c>
      <c r="AC516" s="38">
        <f>SUM(W516:AB516)</f>
        <v>1</v>
      </c>
      <c r="AD516" s="15">
        <f>AC516/AC519</f>
        <v>3.5714285714285712E-2</v>
      </c>
      <c r="AE516" s="13"/>
      <c r="AF516" s="38">
        <v>0</v>
      </c>
      <c r="AG516" s="38">
        <v>1</v>
      </c>
      <c r="AH516" s="38">
        <v>1</v>
      </c>
      <c r="AI516" s="38">
        <v>0</v>
      </c>
      <c r="AJ516" s="32">
        <v>0</v>
      </c>
      <c r="AK516" s="32">
        <v>0</v>
      </c>
      <c r="AL516" s="38">
        <f>SUM(AE516:AK516)</f>
        <v>2</v>
      </c>
      <c r="AM516" s="15">
        <f>AL516/AL519</f>
        <v>4.878048780487805E-2</v>
      </c>
      <c r="AN516" s="13"/>
      <c r="AO516" s="38">
        <v>0</v>
      </c>
      <c r="AP516" s="38">
        <v>0</v>
      </c>
      <c r="AQ516" s="38">
        <v>0</v>
      </c>
      <c r="AR516" s="38">
        <v>0</v>
      </c>
      <c r="AS516" s="38">
        <v>0</v>
      </c>
      <c r="AT516" s="32">
        <v>0</v>
      </c>
      <c r="AU516" s="38">
        <f>SUM(AO516:AT516)</f>
        <v>0</v>
      </c>
      <c r="AV516" s="15">
        <f>AU516/AU519</f>
        <v>0</v>
      </c>
      <c r="AW516" s="13"/>
      <c r="AX516" s="38">
        <v>0</v>
      </c>
      <c r="AY516" s="38">
        <v>0</v>
      </c>
      <c r="AZ516" s="38">
        <v>0</v>
      </c>
      <c r="BA516" s="32">
        <v>0</v>
      </c>
      <c r="BB516" s="32">
        <v>0</v>
      </c>
      <c r="BC516" s="38">
        <f>SUM(AX516:BB516)</f>
        <v>0</v>
      </c>
      <c r="BD516" s="15">
        <f>BC516/BC519</f>
        <v>0</v>
      </c>
      <c r="BE516" s="13"/>
      <c r="BF516" s="38"/>
      <c r="BG516" s="32"/>
      <c r="BH516" s="32"/>
      <c r="BI516" s="32"/>
    </row>
    <row r="517" spans="1:61" ht="20.25" customHeight="1">
      <c r="A517" s="132" t="s">
        <v>200</v>
      </c>
      <c r="B517" s="32">
        <v>2</v>
      </c>
      <c r="C517" s="32">
        <v>0</v>
      </c>
      <c r="D517" s="32">
        <v>1</v>
      </c>
      <c r="E517" s="32">
        <v>1</v>
      </c>
      <c r="F517" s="32">
        <v>3</v>
      </c>
      <c r="G517" s="32">
        <v>0</v>
      </c>
      <c r="H517" s="32">
        <v>0</v>
      </c>
      <c r="I517" s="32">
        <v>0</v>
      </c>
      <c r="J517" s="32">
        <v>2</v>
      </c>
      <c r="K517" s="23">
        <f t="shared" si="354"/>
        <v>9</v>
      </c>
      <c r="L517" s="35">
        <f>K517/(K516+K517+K518+K515+K514)</f>
        <v>7.6923076923076927E-2</v>
      </c>
      <c r="M517" s="35">
        <f>K517/K519</f>
        <v>7.6923076923076927E-2</v>
      </c>
      <c r="N517" s="37"/>
      <c r="O517" s="35"/>
      <c r="P517" s="13"/>
      <c r="Q517" s="14">
        <v>0</v>
      </c>
      <c r="R517" s="14">
        <v>0</v>
      </c>
      <c r="S517" s="14">
        <v>0</v>
      </c>
      <c r="T517" s="38">
        <f>SUM(Q517:S517)</f>
        <v>0</v>
      </c>
      <c r="U517" s="15">
        <f>T517/T519</f>
        <v>0</v>
      </c>
      <c r="V517" s="13"/>
      <c r="W517" s="38">
        <v>0</v>
      </c>
      <c r="X517" s="38">
        <v>1</v>
      </c>
      <c r="Y517" s="38">
        <v>0</v>
      </c>
      <c r="Z517" s="38">
        <v>0</v>
      </c>
      <c r="AA517" s="14">
        <v>1</v>
      </c>
      <c r="AB517" s="32">
        <v>0</v>
      </c>
      <c r="AC517" s="38">
        <f>SUM(W517:AB517)</f>
        <v>2</v>
      </c>
      <c r="AD517" s="15">
        <f>AC517/AC519</f>
        <v>7.1428571428571425E-2</v>
      </c>
      <c r="AE517" s="13"/>
      <c r="AF517" s="38">
        <v>1</v>
      </c>
      <c r="AG517" s="38">
        <v>1</v>
      </c>
      <c r="AH517" s="38">
        <v>0</v>
      </c>
      <c r="AI517" s="14">
        <v>0</v>
      </c>
      <c r="AJ517" s="32">
        <v>0</v>
      </c>
      <c r="AK517" s="32">
        <v>1</v>
      </c>
      <c r="AL517" s="38">
        <f>SUM(AE517:AK517)</f>
        <v>3</v>
      </c>
      <c r="AM517" s="15">
        <f>AL517/AL519</f>
        <v>7.3170731707317069E-2</v>
      </c>
      <c r="AN517" s="13"/>
      <c r="AO517" s="38">
        <v>0</v>
      </c>
      <c r="AP517" s="38">
        <v>1</v>
      </c>
      <c r="AQ517" s="38">
        <v>0</v>
      </c>
      <c r="AR517" s="38">
        <v>0</v>
      </c>
      <c r="AS517" s="14">
        <v>0</v>
      </c>
      <c r="AT517" s="32">
        <v>0</v>
      </c>
      <c r="AU517" s="38">
        <f>SUM(AO517:AT517)</f>
        <v>1</v>
      </c>
      <c r="AV517" s="15">
        <f>AU517/AU519</f>
        <v>9.0909090909090912E-2</v>
      </c>
      <c r="AW517" s="13"/>
      <c r="AX517" s="38">
        <v>0</v>
      </c>
      <c r="AY517" s="38">
        <v>0</v>
      </c>
      <c r="AZ517" s="14">
        <v>0</v>
      </c>
      <c r="BA517" s="32">
        <v>0</v>
      </c>
      <c r="BB517" s="32">
        <v>1</v>
      </c>
      <c r="BC517" s="38">
        <f>SUM(AX517:BB517)</f>
        <v>1</v>
      </c>
      <c r="BD517" s="15">
        <f>BC517/BC519</f>
        <v>0.25</v>
      </c>
      <c r="BE517" s="13"/>
      <c r="BF517" s="38"/>
      <c r="BG517" s="32"/>
      <c r="BH517" s="32"/>
      <c r="BI517" s="32"/>
    </row>
    <row r="518" spans="1:61" ht="32.25" customHeight="1">
      <c r="A518" s="8" t="s">
        <v>201</v>
      </c>
      <c r="B518" s="32">
        <v>1</v>
      </c>
      <c r="C518" s="32">
        <v>0</v>
      </c>
      <c r="D518" s="32">
        <v>2</v>
      </c>
      <c r="E518" s="32">
        <v>0</v>
      </c>
      <c r="F518" s="32">
        <v>0</v>
      </c>
      <c r="G518" s="32">
        <v>0</v>
      </c>
      <c r="H518" s="32">
        <v>0</v>
      </c>
      <c r="I518" s="32">
        <v>0</v>
      </c>
      <c r="J518" s="32">
        <v>0</v>
      </c>
      <c r="K518" s="23">
        <f t="shared" si="354"/>
        <v>3</v>
      </c>
      <c r="L518" s="35">
        <f>K518/(K517+K518+K516+K515+K514)</f>
        <v>2.564102564102564E-2</v>
      </c>
      <c r="M518" s="35">
        <f>K518/K519</f>
        <v>2.564102564102564E-2</v>
      </c>
      <c r="N518" s="37"/>
      <c r="O518" s="35"/>
      <c r="P518" s="13"/>
      <c r="Q518" s="14">
        <v>0</v>
      </c>
      <c r="R518" s="14">
        <v>0</v>
      </c>
      <c r="S518" s="14">
        <v>0</v>
      </c>
      <c r="T518" s="38">
        <f>SUM(Q518:S518)</f>
        <v>0</v>
      </c>
      <c r="U518" s="15">
        <f>T518/T519</f>
        <v>0</v>
      </c>
      <c r="V518" s="13"/>
      <c r="W518" s="38">
        <v>0</v>
      </c>
      <c r="X518" s="38">
        <v>0</v>
      </c>
      <c r="Y518" s="38">
        <v>1</v>
      </c>
      <c r="Z518" s="38">
        <v>0</v>
      </c>
      <c r="AA518" s="14">
        <v>0</v>
      </c>
      <c r="AB518" s="32">
        <v>0</v>
      </c>
      <c r="AC518" s="38">
        <f>SUM(W518:AB518)</f>
        <v>1</v>
      </c>
      <c r="AD518" s="15">
        <f>AC518/AC519</f>
        <v>3.5714285714285712E-2</v>
      </c>
      <c r="AE518" s="13"/>
      <c r="AF518" s="38">
        <v>0</v>
      </c>
      <c r="AG518" s="38">
        <v>1</v>
      </c>
      <c r="AH518" s="38">
        <v>0</v>
      </c>
      <c r="AI518" s="14">
        <v>0</v>
      </c>
      <c r="AJ518" s="32">
        <v>0</v>
      </c>
      <c r="AK518" s="32">
        <v>0</v>
      </c>
      <c r="AL518" s="38">
        <f>SUM(AE518:AK518)</f>
        <v>1</v>
      </c>
      <c r="AM518" s="15">
        <f>AL518/AL519</f>
        <v>2.4390243902439025E-2</v>
      </c>
      <c r="AN518" s="13"/>
      <c r="AO518" s="38">
        <v>0</v>
      </c>
      <c r="AP518" s="38">
        <v>0</v>
      </c>
      <c r="AQ518" s="38">
        <v>0</v>
      </c>
      <c r="AR518" s="38">
        <v>0</v>
      </c>
      <c r="AS518" s="14">
        <v>0</v>
      </c>
      <c r="AT518" s="32">
        <v>0</v>
      </c>
      <c r="AU518" s="38">
        <f>SUM(AO518:AT518)</f>
        <v>0</v>
      </c>
      <c r="AV518" s="15">
        <f>AU518/AU519</f>
        <v>0</v>
      </c>
      <c r="AW518" s="13"/>
      <c r="AX518" s="38">
        <v>0</v>
      </c>
      <c r="AY518" s="38">
        <v>0</v>
      </c>
      <c r="AZ518" s="14">
        <v>0</v>
      </c>
      <c r="BA518" s="32">
        <v>0</v>
      </c>
      <c r="BB518" s="32">
        <v>0</v>
      </c>
      <c r="BC518" s="38">
        <f>SUM(AX518:BB518)</f>
        <v>0</v>
      </c>
      <c r="BD518" s="15">
        <f>BC518/BC519</f>
        <v>0</v>
      </c>
      <c r="BE518" s="13"/>
      <c r="BF518" s="38"/>
      <c r="BG518" s="32"/>
      <c r="BH518" s="32"/>
      <c r="BI518" s="32"/>
    </row>
    <row r="519" spans="1:61" ht="20.25" customHeight="1">
      <c r="A519" s="39" t="s">
        <v>66</v>
      </c>
      <c r="B519" s="32">
        <f t="shared" ref="B519:J519" si="359">SUM(B513:B518)</f>
        <v>17</v>
      </c>
      <c r="C519" s="32">
        <f t="shared" si="359"/>
        <v>5</v>
      </c>
      <c r="D519" s="32">
        <f t="shared" si="359"/>
        <v>19</v>
      </c>
      <c r="E519" s="32">
        <f t="shared" si="359"/>
        <v>13</v>
      </c>
      <c r="F519" s="32">
        <f t="shared" si="359"/>
        <v>16</v>
      </c>
      <c r="G519" s="32">
        <f t="shared" si="359"/>
        <v>10</v>
      </c>
      <c r="H519" s="32">
        <f t="shared" si="359"/>
        <v>10</v>
      </c>
      <c r="I519" s="32">
        <f t="shared" si="359"/>
        <v>10</v>
      </c>
      <c r="J519" s="32">
        <f t="shared" si="359"/>
        <v>17</v>
      </c>
      <c r="K519" s="23">
        <f t="shared" si="354"/>
        <v>117</v>
      </c>
      <c r="L519" s="35">
        <f>K519/(K518+K517+K516+K515+K514)</f>
        <v>1</v>
      </c>
      <c r="M519" s="35">
        <f>K519/(K518+K517+K516+K515+K514)</f>
        <v>1</v>
      </c>
      <c r="N519" s="37">
        <f>T519+AC519+AL519+AU519</f>
        <v>97</v>
      </c>
      <c r="O519" s="35">
        <f>N519/K519</f>
        <v>0.82905982905982911</v>
      </c>
      <c r="P519" s="13"/>
      <c r="Q519" s="38">
        <f>SUM(Q513:Q518)</f>
        <v>6</v>
      </c>
      <c r="R519" s="38">
        <f>SUM(R513:R518)</f>
        <v>10</v>
      </c>
      <c r="S519" s="38">
        <f>SUM(S513:S518)</f>
        <v>1</v>
      </c>
      <c r="T519" s="38">
        <f>SUM(T513:T518)</f>
        <v>17</v>
      </c>
      <c r="U519" s="40">
        <f>T519/(T516+T517+T518+T515+T514)</f>
        <v>1</v>
      </c>
      <c r="V519" s="13"/>
      <c r="W519" s="38">
        <f t="shared" ref="W519:AC519" si="360">SUM(W513:W518)</f>
        <v>4</v>
      </c>
      <c r="X519" s="38">
        <f t="shared" si="360"/>
        <v>6</v>
      </c>
      <c r="Y519" s="38">
        <f t="shared" si="360"/>
        <v>7</v>
      </c>
      <c r="Z519" s="38">
        <f t="shared" si="360"/>
        <v>2</v>
      </c>
      <c r="AA519" s="38">
        <f t="shared" si="360"/>
        <v>7</v>
      </c>
      <c r="AB519" s="38">
        <f t="shared" si="360"/>
        <v>2</v>
      </c>
      <c r="AC519" s="38">
        <f t="shared" si="360"/>
        <v>28</v>
      </c>
      <c r="AD519" s="40">
        <f>AC519/(AC516+AC517+AC518+AC515+AC514)</f>
        <v>1</v>
      </c>
      <c r="AE519" s="13"/>
      <c r="AF519" s="38">
        <f t="shared" ref="AF519:AL519" si="361">SUM(AF513:AF518)</f>
        <v>7</v>
      </c>
      <c r="AG519" s="38">
        <f t="shared" si="361"/>
        <v>9</v>
      </c>
      <c r="AH519" s="38">
        <f t="shared" si="361"/>
        <v>5</v>
      </c>
      <c r="AI519" s="38">
        <f t="shared" si="361"/>
        <v>5</v>
      </c>
      <c r="AJ519" s="38">
        <f t="shared" si="361"/>
        <v>1</v>
      </c>
      <c r="AK519" s="38">
        <f t="shared" si="361"/>
        <v>14</v>
      </c>
      <c r="AL519" s="38">
        <f t="shared" si="361"/>
        <v>41</v>
      </c>
      <c r="AM519" s="40">
        <f>AL519/(AL516+AL517+AL518+AL515+AL514)</f>
        <v>1</v>
      </c>
      <c r="AN519" s="13"/>
      <c r="AO519" s="38">
        <f t="shared" ref="AO519:AU519" si="362">SUM(AO513:AO518)</f>
        <v>0</v>
      </c>
      <c r="AP519" s="38">
        <f t="shared" si="362"/>
        <v>2</v>
      </c>
      <c r="AQ519" s="38">
        <f t="shared" si="362"/>
        <v>3</v>
      </c>
      <c r="AR519" s="38">
        <f t="shared" si="362"/>
        <v>0</v>
      </c>
      <c r="AS519" s="38">
        <f t="shared" si="362"/>
        <v>4</v>
      </c>
      <c r="AT519" s="38">
        <f t="shared" si="362"/>
        <v>2</v>
      </c>
      <c r="AU519" s="38">
        <f t="shared" si="362"/>
        <v>11</v>
      </c>
      <c r="AV519" s="40">
        <f>AU519/(AU516+AU517+AU518+AU515+AU514)</f>
        <v>1</v>
      </c>
      <c r="AW519" s="13"/>
      <c r="AX519" s="38">
        <f t="shared" ref="AX519:BC519" si="363">SUM(AX513:AX518)</f>
        <v>0</v>
      </c>
      <c r="AY519" s="38">
        <f t="shared" si="363"/>
        <v>1</v>
      </c>
      <c r="AZ519" s="38">
        <f t="shared" si="363"/>
        <v>0</v>
      </c>
      <c r="BA519" s="38">
        <f t="shared" si="363"/>
        <v>1</v>
      </c>
      <c r="BB519" s="38">
        <f t="shared" si="363"/>
        <v>2</v>
      </c>
      <c r="BC519" s="38">
        <f t="shared" si="363"/>
        <v>4</v>
      </c>
      <c r="BD519" s="40">
        <f>BC519/(BC516+BC517+BC518+BC515+BC514)</f>
        <v>1</v>
      </c>
      <c r="BE519" s="13"/>
      <c r="BF519" s="38"/>
      <c r="BG519" s="42"/>
      <c r="BH519" s="42"/>
      <c r="BI519" s="42"/>
    </row>
    <row r="520" spans="1:61" ht="80.25" customHeight="1">
      <c r="A520" s="43" t="s">
        <v>216</v>
      </c>
      <c r="B520" s="181" t="s">
        <v>217</v>
      </c>
      <c r="C520" s="182"/>
      <c r="D520" s="182"/>
      <c r="E520" s="182"/>
      <c r="F520" s="182"/>
      <c r="G520" s="22"/>
      <c r="H520" s="22"/>
      <c r="I520" s="22"/>
      <c r="J520" s="22"/>
      <c r="K520" s="21"/>
      <c r="L520" s="24"/>
      <c r="M520" s="24"/>
      <c r="N520" s="26"/>
      <c r="O520" s="24"/>
      <c r="P520" s="27"/>
      <c r="Q520" s="28"/>
      <c r="R520" s="28"/>
      <c r="S520" s="28"/>
      <c r="T520" s="26"/>
      <c r="U520" s="24"/>
      <c r="V520" s="27"/>
      <c r="W520" s="28"/>
      <c r="X520" s="28"/>
      <c r="Y520" s="28"/>
      <c r="Z520" s="28"/>
      <c r="AA520" s="28"/>
      <c r="AB520" s="28"/>
      <c r="AC520" s="26"/>
      <c r="AD520" s="24"/>
      <c r="AE520" s="27"/>
      <c r="AF520" s="28"/>
      <c r="AG520" s="28"/>
      <c r="AH520" s="28"/>
      <c r="AI520" s="28"/>
      <c r="AJ520" s="28"/>
      <c r="AK520" s="28"/>
      <c r="AL520" s="26"/>
      <c r="AM520" s="29"/>
      <c r="AN520" s="27"/>
      <c r="AO520" s="26"/>
      <c r="AP520" s="26"/>
      <c r="AQ520" s="26"/>
      <c r="AR520" s="26"/>
      <c r="AS520" s="26"/>
      <c r="AT520" s="26"/>
      <c r="AU520" s="26"/>
      <c r="AV520" s="24"/>
      <c r="AW520" s="27"/>
      <c r="AX520" s="26"/>
      <c r="AY520" s="26"/>
      <c r="AZ520" s="26"/>
      <c r="BA520" s="26"/>
      <c r="BB520" s="26"/>
      <c r="BC520" s="26"/>
      <c r="BD520" s="24"/>
      <c r="BE520" s="27"/>
      <c r="BF520" s="26"/>
      <c r="BG520" s="22"/>
      <c r="BH520" s="21"/>
      <c r="BI520" s="22"/>
    </row>
    <row r="521" spans="1:61" ht="32.5" customHeight="1">
      <c r="A521" s="10"/>
      <c r="B521" s="30" t="s">
        <v>0</v>
      </c>
      <c r="C521" s="30" t="s">
        <v>1</v>
      </c>
      <c r="D521" s="30" t="s">
        <v>2</v>
      </c>
      <c r="E521" s="30" t="s">
        <v>3</v>
      </c>
      <c r="F521" s="30" t="s">
        <v>4</v>
      </c>
      <c r="G521" s="30" t="s">
        <v>5</v>
      </c>
      <c r="H521" s="30" t="s">
        <v>68</v>
      </c>
      <c r="I521" s="30" t="s">
        <v>7</v>
      </c>
      <c r="J521" s="30" t="s">
        <v>8</v>
      </c>
      <c r="K521" s="10" t="s">
        <v>9</v>
      </c>
      <c r="L521" s="10" t="s">
        <v>56</v>
      </c>
      <c r="M521" s="20"/>
      <c r="N521" s="12"/>
      <c r="O521" s="20"/>
      <c r="P521" s="27"/>
      <c r="Q521" s="30" t="s">
        <v>15</v>
      </c>
      <c r="R521" s="30" t="s">
        <v>16</v>
      </c>
      <c r="S521" s="30" t="s">
        <v>28</v>
      </c>
      <c r="T521" s="20"/>
      <c r="U521" s="11"/>
      <c r="V521" s="27"/>
      <c r="W521" s="30" t="s">
        <v>15</v>
      </c>
      <c r="X521" s="30" t="s">
        <v>20</v>
      </c>
      <c r="Y521" s="30" t="s">
        <v>21</v>
      </c>
      <c r="Z521" s="30" t="s">
        <v>22</v>
      </c>
      <c r="AA521" s="30" t="s">
        <v>23</v>
      </c>
      <c r="AB521" s="30" t="s">
        <v>24</v>
      </c>
      <c r="AC521" s="20"/>
      <c r="AD521" s="11"/>
      <c r="AE521" s="27"/>
      <c r="AF521" s="30" t="s">
        <v>20</v>
      </c>
      <c r="AG521" s="30" t="s">
        <v>21</v>
      </c>
      <c r="AH521" s="30" t="s">
        <v>22</v>
      </c>
      <c r="AI521" s="30" t="s">
        <v>23</v>
      </c>
      <c r="AJ521" s="30" t="s">
        <v>24</v>
      </c>
      <c r="AK521" s="30" t="s">
        <v>28</v>
      </c>
      <c r="AL521" s="20"/>
      <c r="AM521" s="44"/>
      <c r="AN521" s="27"/>
      <c r="AO521" s="30" t="s">
        <v>15</v>
      </c>
      <c r="AP521" s="30" t="s">
        <v>20</v>
      </c>
      <c r="AQ521" s="30" t="s">
        <v>21</v>
      </c>
      <c r="AR521" s="30" t="s">
        <v>16</v>
      </c>
      <c r="AS521" s="30" t="s">
        <v>22</v>
      </c>
      <c r="AT521" s="30" t="s">
        <v>24</v>
      </c>
      <c r="AU521" s="20"/>
      <c r="AV521" s="11"/>
      <c r="AW521" s="27"/>
      <c r="AX521" s="30" t="s">
        <v>15</v>
      </c>
      <c r="AY521" s="30" t="s">
        <v>20</v>
      </c>
      <c r="AZ521" s="30" t="s">
        <v>22</v>
      </c>
      <c r="BA521" s="30" t="s">
        <v>23</v>
      </c>
      <c r="BB521" s="30" t="s">
        <v>28</v>
      </c>
      <c r="BC521" s="20"/>
      <c r="BD521" s="11"/>
      <c r="BE521" s="27"/>
      <c r="BF521" s="9" t="s">
        <v>38</v>
      </c>
      <c r="BG521" s="16"/>
      <c r="BH521" s="16"/>
      <c r="BI521" s="16"/>
    </row>
    <row r="522" spans="1:61" ht="20.75" customHeight="1">
      <c r="A522" s="10" t="s">
        <v>97</v>
      </c>
      <c r="B522" s="33" t="s">
        <v>59</v>
      </c>
      <c r="C522" s="32">
        <v>0</v>
      </c>
      <c r="D522" s="32">
        <v>1</v>
      </c>
      <c r="E522" s="32">
        <v>0</v>
      </c>
      <c r="F522" s="32">
        <v>0</v>
      </c>
      <c r="G522" s="33" t="s">
        <v>59</v>
      </c>
      <c r="H522" s="33" t="s">
        <v>59</v>
      </c>
      <c r="I522" s="33" t="s">
        <v>59</v>
      </c>
      <c r="J522" s="33">
        <v>0</v>
      </c>
      <c r="K522" s="23">
        <f t="shared" ref="K522:K527" si="364">SUM(B522:J522)</f>
        <v>1</v>
      </c>
      <c r="L522" s="35">
        <f>K522/K528</f>
        <v>1.1235955056179775E-2</v>
      </c>
      <c r="M522" s="35">
        <f>K522/K533</f>
        <v>1.0638297872340425E-2</v>
      </c>
      <c r="N522" s="37"/>
      <c r="O522" s="35"/>
      <c r="P522" s="13"/>
      <c r="Q522" s="33" t="s">
        <v>82</v>
      </c>
      <c r="R522" s="33" t="s">
        <v>82</v>
      </c>
      <c r="S522" s="33">
        <v>0</v>
      </c>
      <c r="T522" s="14">
        <f t="shared" ref="T522:T527" si="365">SUM(Q522:S522)</f>
        <v>0</v>
      </c>
      <c r="U522" s="40" t="e">
        <f>T522/T528</f>
        <v>#DIV/0!</v>
      </c>
      <c r="V522" s="13"/>
      <c r="W522" s="9" t="s">
        <v>82</v>
      </c>
      <c r="X522" s="33">
        <v>0</v>
      </c>
      <c r="Y522" s="33">
        <v>1</v>
      </c>
      <c r="Z522" s="33" t="s">
        <v>82</v>
      </c>
      <c r="AA522" s="33">
        <v>0</v>
      </c>
      <c r="AB522" s="33">
        <v>0</v>
      </c>
      <c r="AC522" s="14">
        <f t="shared" ref="AC522:AC527" si="366">SUM(W522:AB522)</f>
        <v>1</v>
      </c>
      <c r="AD522" s="40">
        <f>AC522/AC528</f>
        <v>3.2258064516129031E-2</v>
      </c>
      <c r="AE522" s="13"/>
      <c r="AF522" s="33">
        <v>0</v>
      </c>
      <c r="AG522" s="33">
        <v>0</v>
      </c>
      <c r="AH522" s="9" t="s">
        <v>82</v>
      </c>
      <c r="AI522" s="33">
        <v>0</v>
      </c>
      <c r="AJ522" s="33">
        <v>0</v>
      </c>
      <c r="AK522" s="33">
        <v>0</v>
      </c>
      <c r="AL522" s="14">
        <f t="shared" ref="AL522:AL527" si="367">SUM(AF522:AK522)</f>
        <v>0</v>
      </c>
      <c r="AM522" s="40">
        <f>AL522/AL528</f>
        <v>0</v>
      </c>
      <c r="AN522" s="13"/>
      <c r="AO522" s="33" t="s">
        <v>82</v>
      </c>
      <c r="AP522" s="33">
        <v>0</v>
      </c>
      <c r="AQ522" s="33">
        <v>0</v>
      </c>
      <c r="AR522" s="33" t="s">
        <v>82</v>
      </c>
      <c r="AS522" s="9" t="s">
        <v>82</v>
      </c>
      <c r="AT522" s="33">
        <v>0</v>
      </c>
      <c r="AU522" s="14">
        <f t="shared" ref="AU522:AU527" si="368">SUM(AO522:AT522)</f>
        <v>0</v>
      </c>
      <c r="AV522" s="40">
        <f>AU522/AU528</f>
        <v>0</v>
      </c>
      <c r="AW522" s="13"/>
      <c r="AX522" s="33" t="s">
        <v>82</v>
      </c>
      <c r="AY522" s="33">
        <v>0</v>
      </c>
      <c r="AZ522" s="9" t="s">
        <v>82</v>
      </c>
      <c r="BA522" s="33">
        <v>0</v>
      </c>
      <c r="BB522" s="33">
        <v>0</v>
      </c>
      <c r="BC522" s="14">
        <f t="shared" ref="BC522:BC527" si="369">SUM(AX522:BB522)</f>
        <v>0</v>
      </c>
      <c r="BD522" s="40">
        <f>BC522/BC528</f>
        <v>0</v>
      </c>
      <c r="BE522" s="13"/>
      <c r="BF522" s="9" t="s">
        <v>59</v>
      </c>
      <c r="BG522" s="15"/>
      <c r="BH522" s="16"/>
      <c r="BI522" s="15"/>
    </row>
    <row r="523" spans="1:61" ht="20.75" customHeight="1">
      <c r="A523" s="10" t="s">
        <v>98</v>
      </c>
      <c r="B523" s="33" t="s">
        <v>59</v>
      </c>
      <c r="C523" s="32">
        <v>0</v>
      </c>
      <c r="D523" s="32">
        <v>0</v>
      </c>
      <c r="E523" s="32">
        <v>0</v>
      </c>
      <c r="F523" s="32">
        <v>0</v>
      </c>
      <c r="G523" s="33" t="s">
        <v>59</v>
      </c>
      <c r="H523" s="33" t="s">
        <v>59</v>
      </c>
      <c r="I523" s="33" t="s">
        <v>59</v>
      </c>
      <c r="J523" s="33">
        <v>0</v>
      </c>
      <c r="K523" s="23">
        <f t="shared" si="364"/>
        <v>0</v>
      </c>
      <c r="L523" s="35">
        <f>K523/K528</f>
        <v>0</v>
      </c>
      <c r="M523" s="35">
        <f>K523/K533</f>
        <v>0</v>
      </c>
      <c r="N523" s="37"/>
      <c r="O523" s="35"/>
      <c r="P523" s="13"/>
      <c r="Q523" s="33" t="s">
        <v>82</v>
      </c>
      <c r="R523" s="33" t="s">
        <v>82</v>
      </c>
      <c r="S523" s="33">
        <v>0</v>
      </c>
      <c r="T523" s="14">
        <f t="shared" si="365"/>
        <v>0</v>
      </c>
      <c r="U523" s="40" t="e">
        <f>T523/T528</f>
        <v>#DIV/0!</v>
      </c>
      <c r="V523" s="13"/>
      <c r="W523" s="9" t="s">
        <v>82</v>
      </c>
      <c r="X523" s="33">
        <v>0</v>
      </c>
      <c r="Y523" s="33">
        <v>0</v>
      </c>
      <c r="Z523" s="33" t="s">
        <v>82</v>
      </c>
      <c r="AA523" s="33">
        <v>0</v>
      </c>
      <c r="AB523" s="33">
        <v>0</v>
      </c>
      <c r="AC523" s="14">
        <f t="shared" si="366"/>
        <v>0</v>
      </c>
      <c r="AD523" s="40">
        <f>AC523/AC528</f>
        <v>0</v>
      </c>
      <c r="AE523" s="13"/>
      <c r="AF523" s="33">
        <v>0</v>
      </c>
      <c r="AG523" s="33">
        <v>0</v>
      </c>
      <c r="AH523" s="9" t="s">
        <v>82</v>
      </c>
      <c r="AI523" s="33">
        <v>0</v>
      </c>
      <c r="AJ523" s="33">
        <v>0</v>
      </c>
      <c r="AK523" s="33">
        <v>0</v>
      </c>
      <c r="AL523" s="14">
        <f t="shared" si="367"/>
        <v>0</v>
      </c>
      <c r="AM523" s="40">
        <f>AL523/AL528</f>
        <v>0</v>
      </c>
      <c r="AN523" s="13"/>
      <c r="AO523" s="33" t="s">
        <v>82</v>
      </c>
      <c r="AP523" s="33">
        <v>0</v>
      </c>
      <c r="AQ523" s="33">
        <v>0</v>
      </c>
      <c r="AR523" s="33" t="s">
        <v>82</v>
      </c>
      <c r="AS523" s="9" t="s">
        <v>82</v>
      </c>
      <c r="AT523" s="33">
        <v>0</v>
      </c>
      <c r="AU523" s="14">
        <f t="shared" si="368"/>
        <v>0</v>
      </c>
      <c r="AV523" s="40">
        <f>AU523/AU528</f>
        <v>0</v>
      </c>
      <c r="AW523" s="13"/>
      <c r="AX523" s="33" t="s">
        <v>82</v>
      </c>
      <c r="AY523" s="33">
        <v>0</v>
      </c>
      <c r="AZ523" s="9" t="s">
        <v>82</v>
      </c>
      <c r="BA523" s="33">
        <v>0</v>
      </c>
      <c r="BB523" s="33">
        <v>0</v>
      </c>
      <c r="BC523" s="14">
        <f t="shared" si="369"/>
        <v>0</v>
      </c>
      <c r="BD523" s="40">
        <f>BC523/BC528</f>
        <v>0</v>
      </c>
      <c r="BE523" s="13"/>
      <c r="BF523" s="9" t="s">
        <v>59</v>
      </c>
      <c r="BG523" s="15"/>
      <c r="BH523" s="16"/>
      <c r="BI523" s="15"/>
    </row>
    <row r="524" spans="1:61" ht="20.75" customHeight="1">
      <c r="A524" s="10" t="s">
        <v>99</v>
      </c>
      <c r="B524" s="33" t="s">
        <v>59</v>
      </c>
      <c r="C524" s="32">
        <v>0</v>
      </c>
      <c r="D524" s="32">
        <v>0</v>
      </c>
      <c r="E524" s="32">
        <v>0</v>
      </c>
      <c r="F524" s="32">
        <v>0</v>
      </c>
      <c r="G524" s="33" t="s">
        <v>59</v>
      </c>
      <c r="H524" s="33" t="s">
        <v>59</v>
      </c>
      <c r="I524" s="33" t="s">
        <v>59</v>
      </c>
      <c r="J524" s="33">
        <v>0</v>
      </c>
      <c r="K524" s="23">
        <f t="shared" si="364"/>
        <v>0</v>
      </c>
      <c r="L524" s="35">
        <f>K524/K528</f>
        <v>0</v>
      </c>
      <c r="M524" s="35">
        <f>K524/K533</f>
        <v>0</v>
      </c>
      <c r="N524" s="37"/>
      <c r="O524" s="35"/>
      <c r="P524" s="13"/>
      <c r="Q524" s="33" t="s">
        <v>82</v>
      </c>
      <c r="R524" s="33" t="s">
        <v>82</v>
      </c>
      <c r="S524" s="33">
        <v>0</v>
      </c>
      <c r="T524" s="14">
        <f t="shared" si="365"/>
        <v>0</v>
      </c>
      <c r="U524" s="40" t="e">
        <f>T524/T528</f>
        <v>#DIV/0!</v>
      </c>
      <c r="V524" s="13"/>
      <c r="W524" s="9" t="s">
        <v>82</v>
      </c>
      <c r="X524" s="33">
        <v>0</v>
      </c>
      <c r="Y524" s="33">
        <v>0</v>
      </c>
      <c r="Z524" s="33" t="s">
        <v>82</v>
      </c>
      <c r="AA524" s="33">
        <v>0</v>
      </c>
      <c r="AB524" s="33">
        <v>0</v>
      </c>
      <c r="AC524" s="14">
        <f t="shared" si="366"/>
        <v>0</v>
      </c>
      <c r="AD524" s="40">
        <f>AC524/AC528</f>
        <v>0</v>
      </c>
      <c r="AE524" s="13"/>
      <c r="AF524" s="33">
        <v>0</v>
      </c>
      <c r="AG524" s="33">
        <v>0</v>
      </c>
      <c r="AH524" s="9" t="s">
        <v>82</v>
      </c>
      <c r="AI524" s="33">
        <v>0</v>
      </c>
      <c r="AJ524" s="33">
        <v>0</v>
      </c>
      <c r="AK524" s="33">
        <v>0</v>
      </c>
      <c r="AL524" s="14">
        <f t="shared" si="367"/>
        <v>0</v>
      </c>
      <c r="AM524" s="40">
        <f>AL524/AL528</f>
        <v>0</v>
      </c>
      <c r="AN524" s="13"/>
      <c r="AO524" s="33" t="s">
        <v>82</v>
      </c>
      <c r="AP524" s="33">
        <v>0</v>
      </c>
      <c r="AQ524" s="33">
        <v>0</v>
      </c>
      <c r="AR524" s="33" t="s">
        <v>82</v>
      </c>
      <c r="AS524" s="9" t="s">
        <v>82</v>
      </c>
      <c r="AT524" s="33">
        <v>0</v>
      </c>
      <c r="AU524" s="14">
        <f t="shared" si="368"/>
        <v>0</v>
      </c>
      <c r="AV524" s="40">
        <f>AU524/AU528</f>
        <v>0</v>
      </c>
      <c r="AW524" s="13"/>
      <c r="AX524" s="33" t="s">
        <v>82</v>
      </c>
      <c r="AY524" s="33">
        <v>0</v>
      </c>
      <c r="AZ524" s="9" t="s">
        <v>82</v>
      </c>
      <c r="BA524" s="33">
        <v>0</v>
      </c>
      <c r="BB524" s="33">
        <v>0</v>
      </c>
      <c r="BC524" s="14">
        <f t="shared" si="369"/>
        <v>0</v>
      </c>
      <c r="BD524" s="40">
        <f>BC524/BC528</f>
        <v>0</v>
      </c>
      <c r="BE524" s="13"/>
      <c r="BF524" s="9" t="s">
        <v>59</v>
      </c>
      <c r="BG524" s="15"/>
      <c r="BH524" s="16"/>
      <c r="BI524" s="15"/>
    </row>
    <row r="525" spans="1:61" ht="20.75" customHeight="1">
      <c r="A525" s="10" t="s">
        <v>100</v>
      </c>
      <c r="B525" s="33" t="s">
        <v>59</v>
      </c>
      <c r="C525" s="32">
        <v>1</v>
      </c>
      <c r="D525" s="32">
        <v>6</v>
      </c>
      <c r="E525" s="32">
        <v>2</v>
      </c>
      <c r="F525" s="32">
        <v>4</v>
      </c>
      <c r="G525" s="33" t="s">
        <v>59</v>
      </c>
      <c r="H525" s="33" t="s">
        <v>59</v>
      </c>
      <c r="I525" s="33" t="s">
        <v>59</v>
      </c>
      <c r="J525" s="33">
        <v>4</v>
      </c>
      <c r="K525" s="23">
        <f t="shared" si="364"/>
        <v>17</v>
      </c>
      <c r="L525" s="35">
        <f>K525/K528</f>
        <v>0.19101123595505617</v>
      </c>
      <c r="M525" s="35">
        <f>K525/K533</f>
        <v>0.18085106382978725</v>
      </c>
      <c r="N525" s="37"/>
      <c r="O525" s="35"/>
      <c r="P525" s="13"/>
      <c r="Q525" s="33" t="s">
        <v>82</v>
      </c>
      <c r="R525" s="33" t="s">
        <v>82</v>
      </c>
      <c r="S525" s="33">
        <v>0</v>
      </c>
      <c r="T525" s="14">
        <f t="shared" si="365"/>
        <v>0</v>
      </c>
      <c r="U525" s="40" t="e">
        <f>T525/T528</f>
        <v>#DIV/0!</v>
      </c>
      <c r="V525" s="13"/>
      <c r="W525" s="9" t="s">
        <v>82</v>
      </c>
      <c r="X525" s="33">
        <v>2</v>
      </c>
      <c r="Y525" s="33">
        <v>0</v>
      </c>
      <c r="Z525" s="33" t="s">
        <v>82</v>
      </c>
      <c r="AA525" s="33">
        <v>1</v>
      </c>
      <c r="AB525" s="33">
        <v>1</v>
      </c>
      <c r="AC525" s="14">
        <f t="shared" si="366"/>
        <v>4</v>
      </c>
      <c r="AD525" s="40">
        <f>AC525/AC528</f>
        <v>0.12903225806451613</v>
      </c>
      <c r="AE525" s="13"/>
      <c r="AF525" s="33">
        <v>2</v>
      </c>
      <c r="AG525" s="33">
        <v>3</v>
      </c>
      <c r="AH525" s="9" t="s">
        <v>82</v>
      </c>
      <c r="AI525" s="33">
        <v>1</v>
      </c>
      <c r="AJ525" s="33">
        <v>0</v>
      </c>
      <c r="AK525" s="33">
        <v>3</v>
      </c>
      <c r="AL525" s="14">
        <f t="shared" si="367"/>
        <v>9</v>
      </c>
      <c r="AM525" s="40">
        <f>AL525/AL528</f>
        <v>0.21951219512195122</v>
      </c>
      <c r="AN525" s="13"/>
      <c r="AO525" s="33" t="s">
        <v>82</v>
      </c>
      <c r="AP525" s="33">
        <v>0</v>
      </c>
      <c r="AQ525" s="33">
        <v>3</v>
      </c>
      <c r="AR525" s="33" t="s">
        <v>82</v>
      </c>
      <c r="AS525" s="9" t="s">
        <v>82</v>
      </c>
      <c r="AT525" s="33">
        <v>0</v>
      </c>
      <c r="AU525" s="14">
        <f t="shared" si="368"/>
        <v>3</v>
      </c>
      <c r="AV525" s="40">
        <f>AU525/AU528</f>
        <v>0.27272727272727271</v>
      </c>
      <c r="AW525" s="13"/>
      <c r="AX525" s="33" t="s">
        <v>82</v>
      </c>
      <c r="AY525" s="33">
        <v>0</v>
      </c>
      <c r="AZ525" s="9" t="s">
        <v>82</v>
      </c>
      <c r="BA525" s="32">
        <v>0</v>
      </c>
      <c r="BB525" s="32">
        <v>1</v>
      </c>
      <c r="BC525" s="14">
        <f t="shared" si="369"/>
        <v>1</v>
      </c>
      <c r="BD525" s="40">
        <f>BC525/BC528</f>
        <v>0.2</v>
      </c>
      <c r="BE525" s="13"/>
      <c r="BF525" s="9" t="s">
        <v>59</v>
      </c>
      <c r="BG525" s="15"/>
      <c r="BH525" s="16"/>
      <c r="BI525" s="15"/>
    </row>
    <row r="526" spans="1:61" ht="32.75" customHeight="1">
      <c r="A526" s="10" t="s">
        <v>101</v>
      </c>
      <c r="B526" s="33" t="s">
        <v>59</v>
      </c>
      <c r="C526" s="32">
        <v>5</v>
      </c>
      <c r="D526" s="32">
        <v>14</v>
      </c>
      <c r="E526" s="32">
        <v>9</v>
      </c>
      <c r="F526" s="32">
        <v>13</v>
      </c>
      <c r="G526" s="33" t="s">
        <v>59</v>
      </c>
      <c r="H526" s="33" t="s">
        <v>59</v>
      </c>
      <c r="I526" s="33" t="s">
        <v>59</v>
      </c>
      <c r="J526" s="33">
        <v>9</v>
      </c>
      <c r="K526" s="23">
        <f t="shared" si="364"/>
        <v>50</v>
      </c>
      <c r="L526" s="35">
        <f>K526/K528</f>
        <v>0.5617977528089888</v>
      </c>
      <c r="M526" s="35">
        <f>K526/K533</f>
        <v>0.53191489361702127</v>
      </c>
      <c r="N526" s="37"/>
      <c r="O526" s="35"/>
      <c r="P526" s="13"/>
      <c r="Q526" s="33" t="s">
        <v>82</v>
      </c>
      <c r="R526" s="33" t="s">
        <v>82</v>
      </c>
      <c r="S526" s="33">
        <v>1</v>
      </c>
      <c r="T526" s="14">
        <f t="shared" si="365"/>
        <v>1</v>
      </c>
      <c r="U526" s="40" t="e">
        <f>T526/T528</f>
        <v>#DIV/0!</v>
      </c>
      <c r="V526" s="13"/>
      <c r="W526" s="9" t="s">
        <v>82</v>
      </c>
      <c r="X526" s="33">
        <v>5</v>
      </c>
      <c r="Y526" s="33">
        <v>9</v>
      </c>
      <c r="Z526" s="33" t="s">
        <v>82</v>
      </c>
      <c r="AA526" s="33">
        <v>5</v>
      </c>
      <c r="AB526" s="33">
        <v>0</v>
      </c>
      <c r="AC526" s="14">
        <f t="shared" si="366"/>
        <v>19</v>
      </c>
      <c r="AD526" s="40">
        <f>AC526/AC528</f>
        <v>0.61290322580645162</v>
      </c>
      <c r="AE526" s="13"/>
      <c r="AF526" s="33">
        <v>5</v>
      </c>
      <c r="AG526" s="33">
        <v>4</v>
      </c>
      <c r="AH526" s="9" t="s">
        <v>82</v>
      </c>
      <c r="AI526" s="33">
        <v>4</v>
      </c>
      <c r="AJ526" s="33">
        <v>1</v>
      </c>
      <c r="AK526" s="33">
        <v>8</v>
      </c>
      <c r="AL526" s="14">
        <f t="shared" si="367"/>
        <v>22</v>
      </c>
      <c r="AM526" s="40">
        <f>AL526/AL528</f>
        <v>0.53658536585365857</v>
      </c>
      <c r="AN526" s="13"/>
      <c r="AO526" s="33" t="s">
        <v>82</v>
      </c>
      <c r="AP526" s="33">
        <v>2</v>
      </c>
      <c r="AQ526" s="33">
        <v>1</v>
      </c>
      <c r="AR526" s="33" t="s">
        <v>82</v>
      </c>
      <c r="AS526" s="9" t="s">
        <v>82</v>
      </c>
      <c r="AT526" s="33">
        <v>4</v>
      </c>
      <c r="AU526" s="14">
        <f t="shared" si="368"/>
        <v>7</v>
      </c>
      <c r="AV526" s="40">
        <f>AU526/AU528</f>
        <v>0.63636363636363635</v>
      </c>
      <c r="AW526" s="13"/>
      <c r="AX526" s="33" t="s">
        <v>82</v>
      </c>
      <c r="AY526" s="33">
        <v>2</v>
      </c>
      <c r="AZ526" s="9" t="s">
        <v>82</v>
      </c>
      <c r="BA526" s="32">
        <v>0</v>
      </c>
      <c r="BB526" s="32">
        <v>0</v>
      </c>
      <c r="BC526" s="14">
        <f t="shared" si="369"/>
        <v>2</v>
      </c>
      <c r="BD526" s="40">
        <f>BC526/BC528</f>
        <v>0.4</v>
      </c>
      <c r="BE526" s="13"/>
      <c r="BF526" s="9" t="s">
        <v>59</v>
      </c>
      <c r="BG526" s="15"/>
      <c r="BH526" s="16"/>
      <c r="BI526" s="15"/>
    </row>
    <row r="527" spans="1:61" ht="20.75" customHeight="1">
      <c r="A527" s="10" t="s">
        <v>102</v>
      </c>
      <c r="B527" s="33" t="s">
        <v>59</v>
      </c>
      <c r="C527" s="32">
        <v>1</v>
      </c>
      <c r="D527" s="32">
        <v>3</v>
      </c>
      <c r="E527" s="32">
        <v>5</v>
      </c>
      <c r="F527" s="32">
        <v>3</v>
      </c>
      <c r="G527" s="33" t="s">
        <v>59</v>
      </c>
      <c r="H527" s="33" t="s">
        <v>59</v>
      </c>
      <c r="I527" s="33" t="s">
        <v>59</v>
      </c>
      <c r="J527" s="33">
        <v>9</v>
      </c>
      <c r="K527" s="23">
        <f t="shared" si="364"/>
        <v>21</v>
      </c>
      <c r="L527" s="35">
        <f>K527/K528</f>
        <v>0.23595505617977527</v>
      </c>
      <c r="M527" s="35">
        <f>K527/K533</f>
        <v>0.22340425531914893</v>
      </c>
      <c r="N527" s="37"/>
      <c r="O527" s="35"/>
      <c r="P527" s="13"/>
      <c r="Q527" s="33" t="s">
        <v>82</v>
      </c>
      <c r="R527" s="33" t="s">
        <v>82</v>
      </c>
      <c r="S527" s="33">
        <v>1</v>
      </c>
      <c r="T527" s="14">
        <f t="shared" si="365"/>
        <v>1</v>
      </c>
      <c r="U527" s="40" t="e">
        <f>T527/T528</f>
        <v>#DIV/0!</v>
      </c>
      <c r="V527" s="13"/>
      <c r="W527" s="9" t="s">
        <v>82</v>
      </c>
      <c r="X527" s="33">
        <v>0</v>
      </c>
      <c r="Y527" s="33">
        <v>2</v>
      </c>
      <c r="Z527" s="33" t="s">
        <v>82</v>
      </c>
      <c r="AA527" s="33">
        <v>4</v>
      </c>
      <c r="AB527" s="33">
        <v>1</v>
      </c>
      <c r="AC527" s="14">
        <f t="shared" si="366"/>
        <v>7</v>
      </c>
      <c r="AD527" s="40">
        <f>AC527/AC528</f>
        <v>0.22580645161290322</v>
      </c>
      <c r="AE527" s="13"/>
      <c r="AF527" s="33">
        <v>2</v>
      </c>
      <c r="AG527" s="33">
        <v>1</v>
      </c>
      <c r="AH527" s="9" t="s">
        <v>82</v>
      </c>
      <c r="AI527" s="33">
        <v>1</v>
      </c>
      <c r="AJ527" s="33">
        <v>0</v>
      </c>
      <c r="AK527" s="33">
        <v>6</v>
      </c>
      <c r="AL527" s="14">
        <f t="shared" si="367"/>
        <v>10</v>
      </c>
      <c r="AM527" s="40">
        <f>AL527/AL528</f>
        <v>0.24390243902439024</v>
      </c>
      <c r="AN527" s="13"/>
      <c r="AO527" s="33" t="s">
        <v>82</v>
      </c>
      <c r="AP527" s="33">
        <v>1</v>
      </c>
      <c r="AQ527" s="33">
        <v>0</v>
      </c>
      <c r="AR527" s="33" t="s">
        <v>82</v>
      </c>
      <c r="AS527" s="9" t="s">
        <v>82</v>
      </c>
      <c r="AT527" s="33">
        <v>0</v>
      </c>
      <c r="AU527" s="14">
        <f t="shared" si="368"/>
        <v>1</v>
      </c>
      <c r="AV527" s="40">
        <f>AU527/AU528</f>
        <v>9.0909090909090912E-2</v>
      </c>
      <c r="AW527" s="13"/>
      <c r="AX527" s="33" t="s">
        <v>82</v>
      </c>
      <c r="AY527" s="33">
        <v>0</v>
      </c>
      <c r="AZ527" s="9" t="s">
        <v>82</v>
      </c>
      <c r="BA527" s="33">
        <v>0</v>
      </c>
      <c r="BB527" s="33">
        <v>2</v>
      </c>
      <c r="BC527" s="14">
        <f t="shared" si="369"/>
        <v>2</v>
      </c>
      <c r="BD527" s="40">
        <f>BC527/BC528</f>
        <v>0.4</v>
      </c>
      <c r="BE527" s="13"/>
      <c r="BF527" s="9" t="s">
        <v>59</v>
      </c>
      <c r="BG527" s="40"/>
      <c r="BH527" s="32"/>
      <c r="BI527" s="40"/>
    </row>
    <row r="528" spans="1:61" ht="21.75" customHeight="1">
      <c r="A528" s="10" t="s">
        <v>9</v>
      </c>
      <c r="B528" s="33" t="s">
        <v>59</v>
      </c>
      <c r="C528" s="32">
        <f>SUM(C522:C527)</f>
        <v>7</v>
      </c>
      <c r="D528" s="32">
        <f>SUM(D522:D527)</f>
        <v>24</v>
      </c>
      <c r="E528" s="32">
        <f>SUM(E522:E527)</f>
        <v>16</v>
      </c>
      <c r="F528" s="32">
        <f>SUM(F522:F527)</f>
        <v>20</v>
      </c>
      <c r="G528" s="33" t="s">
        <v>59</v>
      </c>
      <c r="H528" s="33" t="s">
        <v>59</v>
      </c>
      <c r="I528" s="33" t="s">
        <v>59</v>
      </c>
      <c r="J528" s="32">
        <f>SUM(J522:J527)</f>
        <v>22</v>
      </c>
      <c r="K528" s="23">
        <f>SUM(K522:K527)</f>
        <v>89</v>
      </c>
      <c r="L528" s="35">
        <f>SUM(L522:L527)</f>
        <v>1</v>
      </c>
      <c r="M528" s="35">
        <f>SUM(M522:M527)</f>
        <v>0.94680851063829774</v>
      </c>
      <c r="N528" s="37">
        <f>T528+AC528+AL528+AU528</f>
        <v>83</v>
      </c>
      <c r="O528" s="35">
        <f>N528/K528</f>
        <v>0.93258426966292129</v>
      </c>
      <c r="P528" s="13">
        <f>SUM(P522:P527)</f>
        <v>0</v>
      </c>
      <c r="Q528" s="45">
        <f>SUM(Q523:Q527)</f>
        <v>0</v>
      </c>
      <c r="R528" s="46">
        <f>SUM(R523:R527)</f>
        <v>0</v>
      </c>
      <c r="S528" s="46">
        <f>SUM(S523:S527)</f>
        <v>2</v>
      </c>
      <c r="T528" s="14">
        <v>0</v>
      </c>
      <c r="U528" s="40" t="e">
        <f t="shared" ref="U528:BE528" si="370">SUM(U522:U527)</f>
        <v>#DIV/0!</v>
      </c>
      <c r="V528" s="13">
        <f t="shared" si="370"/>
        <v>0</v>
      </c>
      <c r="W528" s="45">
        <f t="shared" si="370"/>
        <v>0</v>
      </c>
      <c r="X528" s="45">
        <f t="shared" si="370"/>
        <v>7</v>
      </c>
      <c r="Y528" s="45">
        <f t="shared" si="370"/>
        <v>12</v>
      </c>
      <c r="Z528" s="45">
        <f t="shared" si="370"/>
        <v>0</v>
      </c>
      <c r="AA528" s="45">
        <f t="shared" si="370"/>
        <v>10</v>
      </c>
      <c r="AB528" s="45">
        <f t="shared" si="370"/>
        <v>2</v>
      </c>
      <c r="AC528" s="45">
        <f t="shared" si="370"/>
        <v>31</v>
      </c>
      <c r="AD528" s="40">
        <f t="shared" si="370"/>
        <v>1</v>
      </c>
      <c r="AE528" s="13">
        <f t="shared" si="370"/>
        <v>0</v>
      </c>
      <c r="AF528" s="45">
        <f t="shared" si="370"/>
        <v>9</v>
      </c>
      <c r="AG528" s="45">
        <f t="shared" si="370"/>
        <v>8</v>
      </c>
      <c r="AH528" s="45">
        <f t="shared" si="370"/>
        <v>0</v>
      </c>
      <c r="AI528" s="45">
        <f t="shared" si="370"/>
        <v>6</v>
      </c>
      <c r="AJ528" s="45">
        <f t="shared" si="370"/>
        <v>1</v>
      </c>
      <c r="AK528" s="45">
        <f t="shared" si="370"/>
        <v>17</v>
      </c>
      <c r="AL528" s="45">
        <f t="shared" si="370"/>
        <v>41</v>
      </c>
      <c r="AM528" s="40">
        <f t="shared" si="370"/>
        <v>1</v>
      </c>
      <c r="AN528" s="13">
        <f t="shared" si="370"/>
        <v>0</v>
      </c>
      <c r="AO528" s="45">
        <f t="shared" si="370"/>
        <v>0</v>
      </c>
      <c r="AP528" s="45">
        <f t="shared" si="370"/>
        <v>3</v>
      </c>
      <c r="AQ528" s="45">
        <f t="shared" si="370"/>
        <v>4</v>
      </c>
      <c r="AR528" s="45">
        <f t="shared" si="370"/>
        <v>0</v>
      </c>
      <c r="AS528" s="45">
        <f t="shared" si="370"/>
        <v>0</v>
      </c>
      <c r="AT528" s="45">
        <f t="shared" si="370"/>
        <v>4</v>
      </c>
      <c r="AU528" s="45">
        <f t="shared" si="370"/>
        <v>11</v>
      </c>
      <c r="AV528" s="40">
        <f t="shared" si="370"/>
        <v>1</v>
      </c>
      <c r="AW528" s="13">
        <f t="shared" si="370"/>
        <v>0</v>
      </c>
      <c r="AX528" s="45">
        <f t="shared" si="370"/>
        <v>0</v>
      </c>
      <c r="AY528" s="45">
        <f t="shared" si="370"/>
        <v>2</v>
      </c>
      <c r="AZ528" s="45">
        <f t="shared" si="370"/>
        <v>0</v>
      </c>
      <c r="BA528" s="45">
        <f t="shared" si="370"/>
        <v>0</v>
      </c>
      <c r="BB528" s="45">
        <f t="shared" si="370"/>
        <v>3</v>
      </c>
      <c r="BC528" s="45">
        <f t="shared" si="370"/>
        <v>5</v>
      </c>
      <c r="BD528" s="40">
        <f t="shared" si="370"/>
        <v>1</v>
      </c>
      <c r="BE528" s="13">
        <f t="shared" si="370"/>
        <v>0</v>
      </c>
      <c r="BF528" s="38"/>
      <c r="BG528" s="40"/>
      <c r="BH528" s="32"/>
      <c r="BI528" s="40"/>
    </row>
    <row r="529" spans="1:61" ht="21.75" customHeight="1">
      <c r="A529" s="8" t="s">
        <v>198</v>
      </c>
      <c r="B529" s="33" t="s">
        <v>59</v>
      </c>
      <c r="C529" s="32">
        <v>0</v>
      </c>
      <c r="D529" s="32">
        <v>0</v>
      </c>
      <c r="E529" s="32">
        <v>1</v>
      </c>
      <c r="F529" s="32">
        <v>0</v>
      </c>
      <c r="G529" s="33" t="s">
        <v>59</v>
      </c>
      <c r="H529" s="33" t="s">
        <v>59</v>
      </c>
      <c r="I529" s="33" t="s">
        <v>59</v>
      </c>
      <c r="J529" s="32">
        <v>0</v>
      </c>
      <c r="K529" s="23">
        <f>SUM(B529:J529)</f>
        <v>1</v>
      </c>
      <c r="L529" s="35">
        <f>K529/(K528+K529+K530)</f>
        <v>1.098901098901099E-2</v>
      </c>
      <c r="M529" s="35">
        <f>K529/K533</f>
        <v>1.0638297872340425E-2</v>
      </c>
      <c r="N529" s="37"/>
      <c r="O529" s="35"/>
      <c r="P529" s="13"/>
      <c r="Q529" s="101" t="s">
        <v>82</v>
      </c>
      <c r="R529" s="134" t="s">
        <v>82</v>
      </c>
      <c r="S529" s="133">
        <v>0</v>
      </c>
      <c r="T529" s="38">
        <f>SUM(Q529:S529)</f>
        <v>0</v>
      </c>
      <c r="U529" s="15" t="e">
        <f>T529/T533</f>
        <v>#DIV/0!</v>
      </c>
      <c r="V529" s="13"/>
      <c r="W529" s="101" t="s">
        <v>82</v>
      </c>
      <c r="X529" s="51">
        <v>0</v>
      </c>
      <c r="Y529" s="51">
        <v>0</v>
      </c>
      <c r="Z529" s="51"/>
      <c r="AA529" s="51">
        <v>0</v>
      </c>
      <c r="AB529" s="101">
        <v>0</v>
      </c>
      <c r="AC529" s="51">
        <f>SUM(W529:AB529)</f>
        <v>0</v>
      </c>
      <c r="AD529" s="15">
        <f>AC529/AC533</f>
        <v>0</v>
      </c>
      <c r="AE529" s="13"/>
      <c r="AF529" s="51">
        <v>0</v>
      </c>
      <c r="AG529" s="51">
        <v>0</v>
      </c>
      <c r="AH529" s="51"/>
      <c r="AI529" s="51">
        <v>0</v>
      </c>
      <c r="AJ529" s="101">
        <v>0</v>
      </c>
      <c r="AK529" s="101">
        <v>0</v>
      </c>
      <c r="AL529" s="51">
        <f>SUM(AE529:AK529)</f>
        <v>0</v>
      </c>
      <c r="AM529" s="15">
        <f>AL529/AL533</f>
        <v>0</v>
      </c>
      <c r="AN529" s="13"/>
      <c r="AO529" s="101" t="s">
        <v>82</v>
      </c>
      <c r="AP529" s="51">
        <v>0</v>
      </c>
      <c r="AQ529" s="51">
        <v>0</v>
      </c>
      <c r="AR529" s="101" t="s">
        <v>82</v>
      </c>
      <c r="AS529" s="101" t="s">
        <v>82</v>
      </c>
      <c r="AT529" s="101">
        <v>0</v>
      </c>
      <c r="AU529" s="51">
        <f>SUM(AO529:AT529)</f>
        <v>0</v>
      </c>
      <c r="AV529" s="15">
        <f>AU529/AU533</f>
        <v>0</v>
      </c>
      <c r="AW529" s="13"/>
      <c r="AX529" s="101" t="s">
        <v>82</v>
      </c>
      <c r="AY529" s="51">
        <v>0</v>
      </c>
      <c r="AZ529" s="51"/>
      <c r="BA529" s="101">
        <v>1</v>
      </c>
      <c r="BB529" s="101">
        <v>0</v>
      </c>
      <c r="BC529" s="51">
        <f>SUM(AX529:BB529)</f>
        <v>1</v>
      </c>
      <c r="BD529" s="15">
        <f>BC529/BC533</f>
        <v>0.16666666666666666</v>
      </c>
      <c r="BE529" s="13"/>
      <c r="BF529" s="38"/>
      <c r="BG529" s="42"/>
      <c r="BH529" s="42"/>
      <c r="BI529" s="42"/>
    </row>
    <row r="530" spans="1:61" ht="32.25" customHeight="1">
      <c r="A530" s="131" t="s">
        <v>199</v>
      </c>
      <c r="B530" s="33" t="s">
        <v>59</v>
      </c>
      <c r="C530" s="32">
        <v>0</v>
      </c>
      <c r="D530" s="32">
        <v>1</v>
      </c>
      <c r="E530" s="32">
        <v>0</v>
      </c>
      <c r="F530" s="32">
        <v>0</v>
      </c>
      <c r="G530" s="33" t="s">
        <v>59</v>
      </c>
      <c r="H530" s="33" t="s">
        <v>59</v>
      </c>
      <c r="I530" s="33" t="s">
        <v>59</v>
      </c>
      <c r="J530" s="32">
        <v>0</v>
      </c>
      <c r="K530" s="23">
        <f>SUM(B530:J530)</f>
        <v>1</v>
      </c>
      <c r="L530" s="35">
        <f>K530/(K529+K530+K528)</f>
        <v>1.098901098901099E-2</v>
      </c>
      <c r="M530" s="35">
        <f>K530/K533</f>
        <v>1.0638297872340425E-2</v>
      </c>
      <c r="N530" s="23"/>
      <c r="O530" s="35"/>
      <c r="P530" s="13"/>
      <c r="Q530" s="32" t="s">
        <v>82</v>
      </c>
      <c r="R530" s="32" t="s">
        <v>82</v>
      </c>
      <c r="S530" s="38">
        <v>0</v>
      </c>
      <c r="T530" s="38">
        <f>SUM(Q530:S530)</f>
        <v>0</v>
      </c>
      <c r="U530" s="15" t="e">
        <f>T530/T533</f>
        <v>#DIV/0!</v>
      </c>
      <c r="V530" s="13"/>
      <c r="W530" s="32" t="s">
        <v>82</v>
      </c>
      <c r="X530" s="38">
        <v>0</v>
      </c>
      <c r="Y530" s="38">
        <v>0</v>
      </c>
      <c r="Z530" s="38"/>
      <c r="AA530" s="38">
        <v>0</v>
      </c>
      <c r="AB530" s="32">
        <v>0</v>
      </c>
      <c r="AC530" s="38">
        <f>SUM(W530:AB530)</f>
        <v>0</v>
      </c>
      <c r="AD530" s="15">
        <f>AC530/AC533</f>
        <v>0</v>
      </c>
      <c r="AE530" s="13"/>
      <c r="AF530" s="38">
        <v>0</v>
      </c>
      <c r="AG530" s="38">
        <v>1</v>
      </c>
      <c r="AH530" s="38"/>
      <c r="AI530" s="38">
        <v>0</v>
      </c>
      <c r="AJ530" s="32">
        <v>0</v>
      </c>
      <c r="AK530" s="32">
        <v>0</v>
      </c>
      <c r="AL530" s="38">
        <f>SUM(AE530:AK530)</f>
        <v>1</v>
      </c>
      <c r="AM530" s="15">
        <f>AL530/AL533</f>
        <v>2.2727272727272728E-2</v>
      </c>
      <c r="AN530" s="13"/>
      <c r="AO530" s="32" t="s">
        <v>82</v>
      </c>
      <c r="AP530" s="38">
        <v>0</v>
      </c>
      <c r="AQ530" s="38">
        <v>0</v>
      </c>
      <c r="AR530" s="32" t="s">
        <v>82</v>
      </c>
      <c r="AS530" s="32" t="s">
        <v>82</v>
      </c>
      <c r="AT530" s="32">
        <v>0</v>
      </c>
      <c r="AU530" s="38">
        <f>SUM(AO530:AT530)</f>
        <v>0</v>
      </c>
      <c r="AV530" s="15">
        <f>AU530/AU533</f>
        <v>0</v>
      </c>
      <c r="AW530" s="13"/>
      <c r="AX530" s="32" t="s">
        <v>82</v>
      </c>
      <c r="AY530" s="38">
        <v>0</v>
      </c>
      <c r="AZ530" s="38"/>
      <c r="BA530" s="32">
        <v>0</v>
      </c>
      <c r="BB530" s="32">
        <v>0</v>
      </c>
      <c r="BC530" s="38">
        <f>SUM(AX530:BB530)</f>
        <v>0</v>
      </c>
      <c r="BD530" s="15">
        <f>BC530/BC533</f>
        <v>0</v>
      </c>
      <c r="BE530" s="13"/>
      <c r="BF530" s="38"/>
      <c r="BG530" s="32"/>
      <c r="BH530" s="32"/>
      <c r="BI530" s="32"/>
    </row>
    <row r="531" spans="1:61" ht="20.25" customHeight="1">
      <c r="A531" s="132" t="s">
        <v>200</v>
      </c>
      <c r="B531" s="33" t="s">
        <v>59</v>
      </c>
      <c r="C531" s="32">
        <v>0</v>
      </c>
      <c r="D531" s="32">
        <v>0</v>
      </c>
      <c r="E531" s="32">
        <v>0</v>
      </c>
      <c r="F531" s="32">
        <v>1</v>
      </c>
      <c r="G531" s="33" t="s">
        <v>59</v>
      </c>
      <c r="H531" s="33" t="s">
        <v>59</v>
      </c>
      <c r="I531" s="33" t="s">
        <v>59</v>
      </c>
      <c r="J531" s="32">
        <v>0</v>
      </c>
      <c r="K531" s="23">
        <f>SUM(B531:J531)</f>
        <v>1</v>
      </c>
      <c r="L531" s="35">
        <f>K531/(K530+K531+K532+K529+K528)</f>
        <v>1.0638297872340425E-2</v>
      </c>
      <c r="M531" s="35">
        <f>K531/K533</f>
        <v>1.0638297872340425E-2</v>
      </c>
      <c r="N531" s="37"/>
      <c r="O531" s="35"/>
      <c r="P531" s="13"/>
      <c r="Q531" s="9" t="s">
        <v>82</v>
      </c>
      <c r="R531" s="32" t="s">
        <v>82</v>
      </c>
      <c r="S531" s="38">
        <v>0</v>
      </c>
      <c r="T531" s="38">
        <f>SUM(Q531:S531)</f>
        <v>0</v>
      </c>
      <c r="U531" s="15" t="e">
        <f>T531/T533</f>
        <v>#DIV/0!</v>
      </c>
      <c r="V531" s="13"/>
      <c r="W531" s="32" t="s">
        <v>82</v>
      </c>
      <c r="X531" s="38">
        <v>0</v>
      </c>
      <c r="Y531" s="38">
        <v>0</v>
      </c>
      <c r="Z531" s="38"/>
      <c r="AA531" s="14">
        <v>0</v>
      </c>
      <c r="AB531" s="32">
        <v>0</v>
      </c>
      <c r="AC531" s="38">
        <f>SUM(W531:AB531)</f>
        <v>0</v>
      </c>
      <c r="AD531" s="15">
        <f>AC531/AC533</f>
        <v>0</v>
      </c>
      <c r="AE531" s="13"/>
      <c r="AF531" s="38">
        <v>1</v>
      </c>
      <c r="AG531" s="38">
        <v>0</v>
      </c>
      <c r="AH531" s="38"/>
      <c r="AI531" s="14">
        <v>0</v>
      </c>
      <c r="AJ531" s="32">
        <v>0</v>
      </c>
      <c r="AK531" s="32">
        <v>0</v>
      </c>
      <c r="AL531" s="38">
        <f>SUM(AE531:AK531)</f>
        <v>1</v>
      </c>
      <c r="AM531" s="15">
        <f>AL531/AL533</f>
        <v>2.2727272727272728E-2</v>
      </c>
      <c r="AN531" s="13"/>
      <c r="AO531" s="32" t="s">
        <v>82</v>
      </c>
      <c r="AP531" s="38">
        <v>0</v>
      </c>
      <c r="AQ531" s="38">
        <v>0</v>
      </c>
      <c r="AR531" s="32" t="s">
        <v>82</v>
      </c>
      <c r="AS531" s="32" t="s">
        <v>82</v>
      </c>
      <c r="AT531" s="32">
        <v>0</v>
      </c>
      <c r="AU531" s="38">
        <f>SUM(AO531:AT531)</f>
        <v>0</v>
      </c>
      <c r="AV531" s="15">
        <f>AU531/AU533</f>
        <v>0</v>
      </c>
      <c r="AW531" s="13"/>
      <c r="AX531" s="32" t="s">
        <v>82</v>
      </c>
      <c r="AY531" s="38">
        <v>0</v>
      </c>
      <c r="AZ531" s="14"/>
      <c r="BA531" s="32">
        <v>0</v>
      </c>
      <c r="BB531" s="32">
        <v>0</v>
      </c>
      <c r="BC531" s="38">
        <f>SUM(AX531:BB531)</f>
        <v>0</v>
      </c>
      <c r="BD531" s="15">
        <f>BC531/BC533</f>
        <v>0</v>
      </c>
      <c r="BE531" s="13"/>
      <c r="BF531" s="38"/>
      <c r="BG531" s="32"/>
      <c r="BH531" s="32"/>
      <c r="BI531" s="32"/>
    </row>
    <row r="532" spans="1:61" ht="32.25" customHeight="1">
      <c r="A532" s="8" t="s">
        <v>201</v>
      </c>
      <c r="B532" s="33" t="s">
        <v>59</v>
      </c>
      <c r="C532" s="32">
        <v>0</v>
      </c>
      <c r="D532" s="32">
        <v>2</v>
      </c>
      <c r="E532" s="32">
        <v>0</v>
      </c>
      <c r="F532" s="32">
        <v>0</v>
      </c>
      <c r="G532" s="33" t="s">
        <v>59</v>
      </c>
      <c r="H532" s="33" t="s">
        <v>59</v>
      </c>
      <c r="I532" s="33" t="s">
        <v>59</v>
      </c>
      <c r="J532" s="32">
        <v>0</v>
      </c>
      <c r="K532" s="23">
        <f>SUM(B532:J532)</f>
        <v>2</v>
      </c>
      <c r="L532" s="35">
        <f>K532/(K531+K532+K530+K529+K528)</f>
        <v>2.1276595744680851E-2</v>
      </c>
      <c r="M532" s="35">
        <f>K532/K533</f>
        <v>2.1276595744680851E-2</v>
      </c>
      <c r="N532" s="37"/>
      <c r="O532" s="35"/>
      <c r="P532" s="13"/>
      <c r="Q532" s="9" t="s">
        <v>82</v>
      </c>
      <c r="R532" s="32" t="s">
        <v>82</v>
      </c>
      <c r="S532" s="38">
        <v>0</v>
      </c>
      <c r="T532" s="38">
        <f>SUM(Q532:S532)</f>
        <v>0</v>
      </c>
      <c r="U532" s="15" t="e">
        <f>T532/T533</f>
        <v>#DIV/0!</v>
      </c>
      <c r="V532" s="13"/>
      <c r="W532" s="32" t="s">
        <v>82</v>
      </c>
      <c r="X532" s="38">
        <v>0</v>
      </c>
      <c r="Y532" s="38">
        <v>1</v>
      </c>
      <c r="Z532" s="38"/>
      <c r="AA532" s="14">
        <v>0</v>
      </c>
      <c r="AB532" s="32">
        <v>0</v>
      </c>
      <c r="AC532" s="38">
        <f>SUM(W532:AB532)</f>
        <v>1</v>
      </c>
      <c r="AD532" s="15">
        <f>AC532/AC533</f>
        <v>3.125E-2</v>
      </c>
      <c r="AE532" s="13"/>
      <c r="AF532" s="38">
        <v>0</v>
      </c>
      <c r="AG532" s="38">
        <v>1</v>
      </c>
      <c r="AH532" s="38"/>
      <c r="AI532" s="14">
        <v>0</v>
      </c>
      <c r="AJ532" s="32">
        <v>0</v>
      </c>
      <c r="AK532" s="32">
        <v>0</v>
      </c>
      <c r="AL532" s="38">
        <f>SUM(AE532:AK532)</f>
        <v>1</v>
      </c>
      <c r="AM532" s="15">
        <f>AL532/AL533</f>
        <v>2.2727272727272728E-2</v>
      </c>
      <c r="AN532" s="13"/>
      <c r="AO532" s="32" t="s">
        <v>82</v>
      </c>
      <c r="AP532" s="38">
        <v>0</v>
      </c>
      <c r="AQ532" s="38">
        <v>0</v>
      </c>
      <c r="AR532" s="32" t="s">
        <v>82</v>
      </c>
      <c r="AS532" s="32" t="s">
        <v>82</v>
      </c>
      <c r="AT532" s="32">
        <v>0</v>
      </c>
      <c r="AU532" s="38">
        <f>SUM(AO532:AT532)</f>
        <v>0</v>
      </c>
      <c r="AV532" s="15">
        <f>AU532/AU533</f>
        <v>0</v>
      </c>
      <c r="AW532" s="13"/>
      <c r="AX532" s="32" t="s">
        <v>82</v>
      </c>
      <c r="AY532" s="38">
        <v>0</v>
      </c>
      <c r="AZ532" s="14"/>
      <c r="BA532" s="32">
        <v>0</v>
      </c>
      <c r="BB532" s="32">
        <v>0</v>
      </c>
      <c r="BC532" s="38">
        <f>SUM(AX532:BB532)</f>
        <v>0</v>
      </c>
      <c r="BD532" s="15">
        <f>BC532/BC533</f>
        <v>0</v>
      </c>
      <c r="BE532" s="13"/>
      <c r="BF532" s="38"/>
      <c r="BG532" s="32"/>
      <c r="BH532" s="32"/>
      <c r="BI532" s="32"/>
    </row>
    <row r="533" spans="1:61" ht="20.25" customHeight="1">
      <c r="A533" s="39" t="s">
        <v>66</v>
      </c>
      <c r="B533" s="33" t="s">
        <v>59</v>
      </c>
      <c r="C533" s="32">
        <f>SUM(C528:C532)</f>
        <v>7</v>
      </c>
      <c r="D533" s="32">
        <f>SUM(D528:D532)</f>
        <v>27</v>
      </c>
      <c r="E533" s="32">
        <f>SUM(E528:E532)</f>
        <v>17</v>
      </c>
      <c r="F533" s="32">
        <f>SUM(F528:F532)</f>
        <v>21</v>
      </c>
      <c r="G533" s="33" t="s">
        <v>59</v>
      </c>
      <c r="H533" s="33" t="s">
        <v>59</v>
      </c>
      <c r="I533" s="33" t="s">
        <v>59</v>
      </c>
      <c r="J533" s="32">
        <f>SUM(J528:J532)</f>
        <v>22</v>
      </c>
      <c r="K533" s="23">
        <f>SUM(B533:J533)</f>
        <v>94</v>
      </c>
      <c r="L533" s="35">
        <f>K533/(K532+K531+K530+K529+K528)</f>
        <v>1</v>
      </c>
      <c r="M533" s="35">
        <f>K533/(K532+K531+K530+K529+K528)</f>
        <v>1</v>
      </c>
      <c r="N533" s="37">
        <f>T533+AC533+AL533+AU533</f>
        <v>87</v>
      </c>
      <c r="O533" s="35">
        <f>N533/K533</f>
        <v>0.92553191489361697</v>
      </c>
      <c r="P533" s="13"/>
      <c r="Q533" s="38">
        <f>SUM(Q528:Q532)</f>
        <v>0</v>
      </c>
      <c r="R533" s="38">
        <f>SUM(R528:R532)</f>
        <v>0</v>
      </c>
      <c r="S533" s="38">
        <f>SUM(S528:S532)</f>
        <v>2</v>
      </c>
      <c r="T533" s="38">
        <f>SUM(T528:T532)</f>
        <v>0</v>
      </c>
      <c r="U533" s="40" t="e">
        <f>T533/(T530+T531+T532+T529+T528)</f>
        <v>#DIV/0!</v>
      </c>
      <c r="V533" s="13"/>
      <c r="W533" s="38">
        <f t="shared" ref="W533:AC533" si="371">SUM(W528:W532)</f>
        <v>0</v>
      </c>
      <c r="X533" s="38">
        <f t="shared" si="371"/>
        <v>7</v>
      </c>
      <c r="Y533" s="38">
        <f t="shared" si="371"/>
        <v>13</v>
      </c>
      <c r="Z533" s="38">
        <f t="shared" si="371"/>
        <v>0</v>
      </c>
      <c r="AA533" s="38">
        <f t="shared" si="371"/>
        <v>10</v>
      </c>
      <c r="AB533" s="38">
        <f t="shared" si="371"/>
        <v>2</v>
      </c>
      <c r="AC533" s="38">
        <f t="shared" si="371"/>
        <v>32</v>
      </c>
      <c r="AD533" s="40">
        <f>AC533/(AC530+AC531+AC532+AC529+AC528)</f>
        <v>1</v>
      </c>
      <c r="AE533" s="13"/>
      <c r="AF533" s="38">
        <f t="shared" ref="AF533:AL533" si="372">SUM(AF528:AF532)</f>
        <v>10</v>
      </c>
      <c r="AG533" s="38">
        <f t="shared" si="372"/>
        <v>10</v>
      </c>
      <c r="AH533" s="38">
        <f t="shared" si="372"/>
        <v>0</v>
      </c>
      <c r="AI533" s="38">
        <f t="shared" si="372"/>
        <v>6</v>
      </c>
      <c r="AJ533" s="38">
        <f t="shared" si="372"/>
        <v>1</v>
      </c>
      <c r="AK533" s="38">
        <f t="shared" si="372"/>
        <v>17</v>
      </c>
      <c r="AL533" s="38">
        <f t="shared" si="372"/>
        <v>44</v>
      </c>
      <c r="AM533" s="40">
        <f>AL533/(AL530+AL531+AL532+AL529+AL528)</f>
        <v>1</v>
      </c>
      <c r="AN533" s="13"/>
      <c r="AO533" s="38">
        <f t="shared" ref="AO533:AU533" si="373">SUM(AO528:AO532)</f>
        <v>0</v>
      </c>
      <c r="AP533" s="38">
        <f t="shared" si="373"/>
        <v>3</v>
      </c>
      <c r="AQ533" s="38">
        <f t="shared" si="373"/>
        <v>4</v>
      </c>
      <c r="AR533" s="38">
        <f t="shared" si="373"/>
        <v>0</v>
      </c>
      <c r="AS533" s="38">
        <f t="shared" si="373"/>
        <v>0</v>
      </c>
      <c r="AT533" s="38">
        <f t="shared" si="373"/>
        <v>4</v>
      </c>
      <c r="AU533" s="38">
        <f t="shared" si="373"/>
        <v>11</v>
      </c>
      <c r="AV533" s="40">
        <f>AU533/(AU530+AU531+AU532+AU529+AU528)</f>
        <v>1</v>
      </c>
      <c r="AW533" s="13"/>
      <c r="AX533" s="38">
        <f t="shared" ref="AX533:BC533" si="374">SUM(AX528:AX532)</f>
        <v>0</v>
      </c>
      <c r="AY533" s="38">
        <f t="shared" si="374"/>
        <v>2</v>
      </c>
      <c r="AZ533" s="38">
        <f t="shared" si="374"/>
        <v>0</v>
      </c>
      <c r="BA533" s="38">
        <f t="shared" si="374"/>
        <v>1</v>
      </c>
      <c r="BB533" s="38">
        <f t="shared" si="374"/>
        <v>3</v>
      </c>
      <c r="BC533" s="38">
        <f t="shared" si="374"/>
        <v>6</v>
      </c>
      <c r="BD533" s="40">
        <f>BC533/(BC530+BC531+BC532+BC529+BC528)</f>
        <v>1</v>
      </c>
      <c r="BE533" s="13"/>
      <c r="BF533" s="38"/>
      <c r="BG533" s="42"/>
      <c r="BH533" s="42"/>
      <c r="BI533" s="42"/>
    </row>
    <row r="534" spans="1:61" ht="92.25" customHeight="1">
      <c r="A534" s="102" t="s">
        <v>218</v>
      </c>
      <c r="B534" s="181" t="s">
        <v>217</v>
      </c>
      <c r="C534" s="182"/>
      <c r="D534" s="182"/>
      <c r="E534" s="182"/>
      <c r="F534" s="182"/>
      <c r="G534" s="22"/>
      <c r="H534" s="22"/>
      <c r="I534" s="22"/>
      <c r="J534" s="22"/>
      <c r="K534" s="21"/>
      <c r="L534" s="24"/>
      <c r="M534" s="24"/>
      <c r="N534" s="26"/>
      <c r="O534" s="24"/>
      <c r="P534" s="27"/>
      <c r="Q534" s="28"/>
      <c r="R534" s="28"/>
      <c r="S534" s="28"/>
      <c r="T534" s="26"/>
      <c r="U534" s="24"/>
      <c r="V534" s="27"/>
      <c r="W534" s="28"/>
      <c r="X534" s="28"/>
      <c r="Y534" s="28"/>
      <c r="Z534" s="28"/>
      <c r="AA534" s="28"/>
      <c r="AB534" s="28"/>
      <c r="AC534" s="26"/>
      <c r="AD534" s="24"/>
      <c r="AE534" s="27"/>
      <c r="AF534" s="28"/>
      <c r="AG534" s="28"/>
      <c r="AH534" s="28"/>
      <c r="AI534" s="28"/>
      <c r="AJ534" s="28"/>
      <c r="AK534" s="28"/>
      <c r="AL534" s="26"/>
      <c r="AM534" s="29"/>
      <c r="AN534" s="27"/>
      <c r="AO534" s="26"/>
      <c r="AP534" s="26"/>
      <c r="AQ534" s="26"/>
      <c r="AR534" s="26"/>
      <c r="AS534" s="26"/>
      <c r="AT534" s="26"/>
      <c r="AU534" s="26"/>
      <c r="AV534" s="24"/>
      <c r="AW534" s="27"/>
      <c r="AX534" s="26"/>
      <c r="AY534" s="26"/>
      <c r="AZ534" s="26"/>
      <c r="BA534" s="26"/>
      <c r="BB534" s="26"/>
      <c r="BC534" s="26"/>
      <c r="BD534" s="24"/>
      <c r="BE534" s="27"/>
      <c r="BF534" s="26"/>
      <c r="BG534" s="22"/>
      <c r="BH534" s="21"/>
      <c r="BI534" s="22"/>
    </row>
    <row r="535" spans="1:61" ht="32.25" customHeight="1">
      <c r="A535" s="20"/>
      <c r="B535" s="30" t="s">
        <v>0</v>
      </c>
      <c r="C535" s="30" t="s">
        <v>1</v>
      </c>
      <c r="D535" s="30" t="s">
        <v>2</v>
      </c>
      <c r="E535" s="30" t="s">
        <v>3</v>
      </c>
      <c r="F535" s="30" t="s">
        <v>4</v>
      </c>
      <c r="G535" s="30" t="s">
        <v>5</v>
      </c>
      <c r="H535" s="30" t="s">
        <v>68</v>
      </c>
      <c r="I535" s="30" t="s">
        <v>7</v>
      </c>
      <c r="J535" s="30" t="s">
        <v>8</v>
      </c>
      <c r="K535" s="23" t="s">
        <v>9</v>
      </c>
      <c r="L535" s="23" t="s">
        <v>56</v>
      </c>
      <c r="M535" s="110"/>
      <c r="N535" s="37"/>
      <c r="O535" s="35"/>
      <c r="P535" s="13"/>
      <c r="Q535" s="30" t="s">
        <v>15</v>
      </c>
      <c r="R535" s="30" t="s">
        <v>16</v>
      </c>
      <c r="S535" s="30" t="s">
        <v>28</v>
      </c>
      <c r="T535" s="38"/>
      <c r="U535" s="40"/>
      <c r="V535" s="13"/>
      <c r="W535" s="30" t="s">
        <v>15</v>
      </c>
      <c r="X535" s="30" t="s">
        <v>20</v>
      </c>
      <c r="Y535" s="30" t="s">
        <v>21</v>
      </c>
      <c r="Z535" s="30" t="s">
        <v>22</v>
      </c>
      <c r="AA535" s="30" t="s">
        <v>23</v>
      </c>
      <c r="AB535" s="30" t="s">
        <v>24</v>
      </c>
      <c r="AC535" s="41"/>
      <c r="AD535" s="40"/>
      <c r="AE535" s="13"/>
      <c r="AF535" s="30" t="s">
        <v>20</v>
      </c>
      <c r="AG535" s="30" t="s">
        <v>21</v>
      </c>
      <c r="AH535" s="30" t="s">
        <v>22</v>
      </c>
      <c r="AI535" s="30" t="s">
        <v>23</v>
      </c>
      <c r="AJ535" s="30" t="s">
        <v>24</v>
      </c>
      <c r="AK535" s="30" t="s">
        <v>28</v>
      </c>
      <c r="AL535" s="41"/>
      <c r="AM535" s="41"/>
      <c r="AN535" s="13"/>
      <c r="AO535" s="30" t="s">
        <v>15</v>
      </c>
      <c r="AP535" s="30" t="s">
        <v>20</v>
      </c>
      <c r="AQ535" s="30" t="s">
        <v>21</v>
      </c>
      <c r="AR535" s="30" t="s">
        <v>16</v>
      </c>
      <c r="AS535" s="30" t="s">
        <v>22</v>
      </c>
      <c r="AT535" s="30" t="s">
        <v>24</v>
      </c>
      <c r="AU535" s="41"/>
      <c r="AV535" s="40"/>
      <c r="AW535" s="13"/>
      <c r="AX535" s="30" t="s">
        <v>15</v>
      </c>
      <c r="AY535" s="30" t="s">
        <v>20</v>
      </c>
      <c r="AZ535" s="30" t="s">
        <v>22</v>
      </c>
      <c r="BA535" s="30" t="s">
        <v>23</v>
      </c>
      <c r="BB535" s="30" t="s">
        <v>28</v>
      </c>
      <c r="BC535" s="41"/>
      <c r="BD535" s="40"/>
      <c r="BE535" s="13"/>
      <c r="BF535" s="38"/>
      <c r="BG535" s="42"/>
      <c r="BH535" s="42"/>
      <c r="BI535" s="42"/>
    </row>
    <row r="536" spans="1:61" ht="20.25" customHeight="1">
      <c r="A536" s="10" t="s">
        <v>219</v>
      </c>
      <c r="B536" s="33" t="s">
        <v>59</v>
      </c>
      <c r="C536" s="32">
        <v>3</v>
      </c>
      <c r="D536" s="32">
        <v>6</v>
      </c>
      <c r="E536" s="32">
        <v>8</v>
      </c>
      <c r="F536" s="32">
        <v>8</v>
      </c>
      <c r="G536" s="32" t="s">
        <v>59</v>
      </c>
      <c r="H536" s="32" t="s">
        <v>59</v>
      </c>
      <c r="I536" s="32" t="s">
        <v>59</v>
      </c>
      <c r="J536" s="32">
        <v>8</v>
      </c>
      <c r="K536" s="23">
        <f>SUM(B536:J536)</f>
        <v>33</v>
      </c>
      <c r="L536" s="42"/>
      <c r="M536" s="42"/>
      <c r="N536" s="37"/>
      <c r="O536" s="35"/>
      <c r="P536" s="13"/>
      <c r="Q536" s="38"/>
      <c r="R536" s="38"/>
      <c r="S536" s="38">
        <v>1</v>
      </c>
      <c r="T536" s="38"/>
      <c r="U536" s="40"/>
      <c r="V536" s="13"/>
      <c r="W536" s="32" t="s">
        <v>82</v>
      </c>
      <c r="X536" s="38">
        <v>3</v>
      </c>
      <c r="Y536" s="38">
        <v>4</v>
      </c>
      <c r="Z536" s="32" t="s">
        <v>82</v>
      </c>
      <c r="AA536" s="38">
        <v>4</v>
      </c>
      <c r="AB536" s="38">
        <v>0</v>
      </c>
      <c r="AC536" s="41"/>
      <c r="AD536" s="40"/>
      <c r="AE536" s="13"/>
      <c r="AF536" s="38">
        <v>3</v>
      </c>
      <c r="AG536" s="38">
        <v>2</v>
      </c>
      <c r="AH536" s="32" t="s">
        <v>82</v>
      </c>
      <c r="AI536" s="38">
        <v>4</v>
      </c>
      <c r="AJ536" s="38">
        <v>1</v>
      </c>
      <c r="AK536" s="38">
        <v>6</v>
      </c>
      <c r="AL536" s="41"/>
      <c r="AM536" s="41"/>
      <c r="AN536" s="13"/>
      <c r="AO536" s="32" t="s">
        <v>82</v>
      </c>
      <c r="AP536" s="38">
        <v>1</v>
      </c>
      <c r="AQ536" s="38">
        <v>0</v>
      </c>
      <c r="AR536" s="32" t="s">
        <v>82</v>
      </c>
      <c r="AS536" s="32" t="s">
        <v>82</v>
      </c>
      <c r="AT536" s="38">
        <v>2</v>
      </c>
      <c r="AU536" s="41"/>
      <c r="AV536" s="40"/>
      <c r="AW536" s="13"/>
      <c r="AX536" s="32" t="s">
        <v>82</v>
      </c>
      <c r="AY536" s="38">
        <v>1</v>
      </c>
      <c r="AZ536" s="32" t="s">
        <v>82</v>
      </c>
      <c r="BA536" s="32">
        <v>0</v>
      </c>
      <c r="BB536" s="38">
        <v>1</v>
      </c>
      <c r="BC536" s="41"/>
      <c r="BD536" s="40"/>
      <c r="BE536" s="13"/>
      <c r="BF536" s="38"/>
      <c r="BG536" s="42"/>
      <c r="BH536" s="42"/>
      <c r="BI536" s="42"/>
    </row>
    <row r="537" spans="1:61" ht="32.25" customHeight="1">
      <c r="A537" s="10" t="s">
        <v>220</v>
      </c>
      <c r="B537" s="33" t="s">
        <v>59</v>
      </c>
      <c r="C537" s="32">
        <v>4</v>
      </c>
      <c r="D537" s="32">
        <v>11</v>
      </c>
      <c r="E537" s="32">
        <v>10</v>
      </c>
      <c r="F537" s="32">
        <v>10</v>
      </c>
      <c r="G537" s="32" t="s">
        <v>59</v>
      </c>
      <c r="H537" s="32" t="s">
        <v>59</v>
      </c>
      <c r="I537" s="32" t="s">
        <v>59</v>
      </c>
      <c r="J537" s="32">
        <v>11</v>
      </c>
      <c r="K537" s="23">
        <f>SUM(B537:J537)</f>
        <v>46</v>
      </c>
      <c r="L537" s="35"/>
      <c r="M537" s="35"/>
      <c r="N537" s="37"/>
      <c r="O537" s="35"/>
      <c r="P537" s="13"/>
      <c r="Q537" s="38"/>
      <c r="R537" s="38"/>
      <c r="S537" s="38">
        <v>1</v>
      </c>
      <c r="T537" s="38"/>
      <c r="U537" s="40"/>
      <c r="V537" s="13"/>
      <c r="W537" s="32" t="s">
        <v>82</v>
      </c>
      <c r="X537" s="38">
        <v>4</v>
      </c>
      <c r="Y537" s="38">
        <v>5</v>
      </c>
      <c r="Z537" s="32" t="s">
        <v>82</v>
      </c>
      <c r="AA537" s="38">
        <v>5</v>
      </c>
      <c r="AB537" s="38">
        <v>1</v>
      </c>
      <c r="AC537" s="41"/>
      <c r="AD537" s="40"/>
      <c r="AE537" s="13"/>
      <c r="AF537" s="38">
        <v>4</v>
      </c>
      <c r="AG537" s="38">
        <v>4</v>
      </c>
      <c r="AH537" s="32" t="s">
        <v>82</v>
      </c>
      <c r="AI537" s="38">
        <v>5</v>
      </c>
      <c r="AJ537" s="38">
        <v>1</v>
      </c>
      <c r="AK537" s="38">
        <v>9</v>
      </c>
      <c r="AL537" s="41"/>
      <c r="AM537" s="41"/>
      <c r="AN537" s="13"/>
      <c r="AO537" s="32" t="s">
        <v>82</v>
      </c>
      <c r="AP537" s="38">
        <v>1</v>
      </c>
      <c r="AQ537" s="38">
        <v>2</v>
      </c>
      <c r="AR537" s="32" t="s">
        <v>82</v>
      </c>
      <c r="AS537" s="32" t="s">
        <v>82</v>
      </c>
      <c r="AT537" s="38">
        <v>2</v>
      </c>
      <c r="AU537" s="41"/>
      <c r="AV537" s="40"/>
      <c r="AW537" s="13"/>
      <c r="AX537" s="32" t="s">
        <v>82</v>
      </c>
      <c r="AY537" s="38">
        <v>1</v>
      </c>
      <c r="AZ537" s="32" t="s">
        <v>82</v>
      </c>
      <c r="BA537" s="32">
        <v>0</v>
      </c>
      <c r="BB537" s="38">
        <v>1</v>
      </c>
      <c r="BC537" s="41"/>
      <c r="BD537" s="40"/>
      <c r="BE537" s="13"/>
      <c r="BF537" s="38"/>
      <c r="BG537" s="42"/>
      <c r="BH537" s="42"/>
      <c r="BI537" s="42"/>
    </row>
    <row r="538" spans="1:61" ht="20.25" customHeight="1">
      <c r="A538" s="10" t="s">
        <v>221</v>
      </c>
      <c r="B538" s="33" t="s">
        <v>59</v>
      </c>
      <c r="C538" s="40">
        <f>C536/C537</f>
        <v>0.75</v>
      </c>
      <c r="D538" s="40">
        <f>D536/D537</f>
        <v>0.54545454545454541</v>
      </c>
      <c r="E538" s="40">
        <f>E536/E537</f>
        <v>0.8</v>
      </c>
      <c r="F538" s="40">
        <f>F536/F537</f>
        <v>0.8</v>
      </c>
      <c r="G538" s="32" t="s">
        <v>59</v>
      </c>
      <c r="H538" s="32" t="s">
        <v>59</v>
      </c>
      <c r="I538" s="32" t="s">
        <v>59</v>
      </c>
      <c r="J538" s="40">
        <f>J536/J537</f>
        <v>0.72727272727272729</v>
      </c>
      <c r="K538" s="35">
        <f>K536/K537</f>
        <v>0.71739130434782605</v>
      </c>
      <c r="L538" s="35"/>
      <c r="M538" s="35"/>
      <c r="N538" s="37"/>
      <c r="O538" s="35"/>
      <c r="P538" s="13"/>
      <c r="Q538" s="38"/>
      <c r="R538" s="38"/>
      <c r="S538" s="41">
        <f>S536/S537</f>
        <v>1</v>
      </c>
      <c r="T538" s="38"/>
      <c r="U538" s="40"/>
      <c r="V538" s="13"/>
      <c r="W538" s="32" t="s">
        <v>82</v>
      </c>
      <c r="X538" s="41">
        <f>X536/X537</f>
        <v>0.75</v>
      </c>
      <c r="Y538" s="41">
        <f>Y536/Y537</f>
        <v>0.8</v>
      </c>
      <c r="Z538" s="32" t="s">
        <v>82</v>
      </c>
      <c r="AA538" s="41">
        <f>AA536/AA537</f>
        <v>0.8</v>
      </c>
      <c r="AB538" s="41">
        <f>AB536/AB537</f>
        <v>0</v>
      </c>
      <c r="AC538" s="41"/>
      <c r="AD538" s="40"/>
      <c r="AE538" s="13"/>
      <c r="AF538" s="41">
        <f>AF536/AF537</f>
        <v>0.75</v>
      </c>
      <c r="AG538" s="41">
        <f>AG536/AG537</f>
        <v>0.5</v>
      </c>
      <c r="AH538" s="32" t="s">
        <v>82</v>
      </c>
      <c r="AI538" s="41">
        <f>AI536/AI537</f>
        <v>0.8</v>
      </c>
      <c r="AJ538" s="41">
        <f>AJ536/AJ537</f>
        <v>1</v>
      </c>
      <c r="AK538" s="41">
        <f>AK536/AK537</f>
        <v>0.66666666666666663</v>
      </c>
      <c r="AL538" s="41"/>
      <c r="AM538" s="41"/>
      <c r="AN538" s="13"/>
      <c r="AO538" s="32" t="s">
        <v>82</v>
      </c>
      <c r="AP538" s="41">
        <f>AP536/AP537</f>
        <v>1</v>
      </c>
      <c r="AQ538" s="41">
        <f>AQ536/AQ537</f>
        <v>0</v>
      </c>
      <c r="AR538" s="32" t="s">
        <v>82</v>
      </c>
      <c r="AS538" s="32" t="s">
        <v>82</v>
      </c>
      <c r="AT538" s="41">
        <f>AT536/AT537</f>
        <v>1</v>
      </c>
      <c r="AU538" s="41"/>
      <c r="AV538" s="40"/>
      <c r="AW538" s="13"/>
      <c r="AX538" s="32" t="s">
        <v>82</v>
      </c>
      <c r="AY538" s="41">
        <f>AY536/AY537</f>
        <v>1</v>
      </c>
      <c r="AZ538" s="32" t="s">
        <v>82</v>
      </c>
      <c r="BA538" s="41" t="e">
        <f>BA536/BA537</f>
        <v>#DIV/0!</v>
      </c>
      <c r="BB538" s="41">
        <f>BB536/BB537</f>
        <v>1</v>
      </c>
      <c r="BC538" s="41"/>
      <c r="BD538" s="40"/>
      <c r="BE538" s="13"/>
      <c r="BF538" s="38"/>
      <c r="BG538" s="42"/>
      <c r="BH538" s="42"/>
      <c r="BI538" s="42"/>
    </row>
    <row r="539" spans="1:61" ht="20.25" customHeight="1">
      <c r="A539" s="10" t="s">
        <v>222</v>
      </c>
      <c r="B539" s="33" t="s">
        <v>59</v>
      </c>
      <c r="C539" s="32">
        <v>3</v>
      </c>
      <c r="D539" s="32">
        <v>11</v>
      </c>
      <c r="E539" s="32">
        <v>6</v>
      </c>
      <c r="F539" s="32">
        <v>8</v>
      </c>
      <c r="G539" s="32" t="s">
        <v>59</v>
      </c>
      <c r="H539" s="32" t="s">
        <v>59</v>
      </c>
      <c r="I539" s="32" t="s">
        <v>59</v>
      </c>
      <c r="J539" s="32">
        <v>10</v>
      </c>
      <c r="K539" s="23">
        <f>SUM(B539:J539)</f>
        <v>38</v>
      </c>
      <c r="L539" s="42"/>
      <c r="M539" s="42"/>
      <c r="N539" s="37"/>
      <c r="O539" s="35"/>
      <c r="P539" s="13"/>
      <c r="Q539" s="38"/>
      <c r="R539" s="38"/>
      <c r="S539" s="38">
        <v>1</v>
      </c>
      <c r="T539" s="38"/>
      <c r="U539" s="40"/>
      <c r="V539" s="13"/>
      <c r="W539" s="32" t="s">
        <v>82</v>
      </c>
      <c r="X539" s="38">
        <v>2</v>
      </c>
      <c r="Y539" s="38">
        <v>7</v>
      </c>
      <c r="Z539" s="32" t="s">
        <v>82</v>
      </c>
      <c r="AA539" s="38">
        <v>5</v>
      </c>
      <c r="AB539" s="38">
        <v>1</v>
      </c>
      <c r="AC539" s="41"/>
      <c r="AD539" s="40"/>
      <c r="AE539" s="13"/>
      <c r="AF539" s="38">
        <v>3</v>
      </c>
      <c r="AG539" s="38">
        <v>3</v>
      </c>
      <c r="AH539" s="32" t="s">
        <v>82</v>
      </c>
      <c r="AI539" s="38">
        <v>1</v>
      </c>
      <c r="AJ539" s="38">
        <v>0</v>
      </c>
      <c r="AK539" s="38">
        <v>8</v>
      </c>
      <c r="AL539" s="41"/>
      <c r="AM539" s="41"/>
      <c r="AN539" s="13"/>
      <c r="AO539" s="32" t="s">
        <v>82</v>
      </c>
      <c r="AP539" s="38">
        <v>2</v>
      </c>
      <c r="AQ539" s="38">
        <v>1</v>
      </c>
      <c r="AR539" s="32" t="s">
        <v>82</v>
      </c>
      <c r="AS539" s="32" t="s">
        <v>82</v>
      </c>
      <c r="AT539" s="38">
        <v>2</v>
      </c>
      <c r="AU539" s="41"/>
      <c r="AV539" s="40"/>
      <c r="AW539" s="13"/>
      <c r="AX539" s="32" t="s">
        <v>82</v>
      </c>
      <c r="AY539" s="38">
        <v>1</v>
      </c>
      <c r="AZ539" s="32" t="s">
        <v>82</v>
      </c>
      <c r="BA539" s="32">
        <v>0</v>
      </c>
      <c r="BB539" s="38">
        <v>1</v>
      </c>
      <c r="BC539" s="41"/>
      <c r="BD539" s="40"/>
      <c r="BE539" s="13"/>
      <c r="BF539" s="38"/>
      <c r="BG539" s="42"/>
      <c r="BH539" s="42"/>
      <c r="BI539" s="42"/>
    </row>
    <row r="540" spans="1:61" ht="32.25" customHeight="1">
      <c r="A540" s="10" t="s">
        <v>223</v>
      </c>
      <c r="B540" s="33" t="s">
        <v>59</v>
      </c>
      <c r="C540" s="32">
        <v>3</v>
      </c>
      <c r="D540" s="32">
        <v>13</v>
      </c>
      <c r="E540" s="32">
        <v>6</v>
      </c>
      <c r="F540" s="32">
        <v>10</v>
      </c>
      <c r="G540" s="32" t="s">
        <v>59</v>
      </c>
      <c r="H540" s="32" t="s">
        <v>59</v>
      </c>
      <c r="I540" s="32" t="s">
        <v>59</v>
      </c>
      <c r="J540" s="32">
        <v>11</v>
      </c>
      <c r="K540" s="23">
        <f>SUM(B540:J540)</f>
        <v>43</v>
      </c>
      <c r="L540" s="35"/>
      <c r="M540" s="35"/>
      <c r="N540" s="37"/>
      <c r="O540" s="35"/>
      <c r="P540" s="13"/>
      <c r="Q540" s="38"/>
      <c r="R540" s="38"/>
      <c r="S540" s="38">
        <v>1</v>
      </c>
      <c r="T540" s="38"/>
      <c r="U540" s="40"/>
      <c r="V540" s="13"/>
      <c r="W540" s="32" t="s">
        <v>82</v>
      </c>
      <c r="X540" s="38">
        <v>3</v>
      </c>
      <c r="Y540" s="38">
        <v>7</v>
      </c>
      <c r="Z540" s="32" t="s">
        <v>82</v>
      </c>
      <c r="AA540" s="38">
        <v>5</v>
      </c>
      <c r="AB540" s="38">
        <v>1</v>
      </c>
      <c r="AC540" s="41"/>
      <c r="AD540" s="40"/>
      <c r="AE540" s="13"/>
      <c r="AF540" s="38">
        <v>4</v>
      </c>
      <c r="AG540" s="38">
        <v>4</v>
      </c>
      <c r="AH540" s="32" t="s">
        <v>82</v>
      </c>
      <c r="AI540" s="38">
        <v>1</v>
      </c>
      <c r="AJ540" s="38">
        <v>0</v>
      </c>
      <c r="AK540" s="38">
        <v>8</v>
      </c>
      <c r="AL540" s="41"/>
      <c r="AM540" s="41"/>
      <c r="AN540" s="13"/>
      <c r="AO540" s="32" t="s">
        <v>82</v>
      </c>
      <c r="AP540" s="38">
        <v>2</v>
      </c>
      <c r="AQ540" s="38">
        <v>2</v>
      </c>
      <c r="AR540" s="32" t="s">
        <v>82</v>
      </c>
      <c r="AS540" s="32" t="s">
        <v>82</v>
      </c>
      <c r="AT540" s="38">
        <v>2</v>
      </c>
      <c r="AU540" s="41"/>
      <c r="AV540" s="40"/>
      <c r="AW540" s="13"/>
      <c r="AX540" s="32" t="s">
        <v>82</v>
      </c>
      <c r="AY540" s="38">
        <v>1</v>
      </c>
      <c r="AZ540" s="32" t="s">
        <v>82</v>
      </c>
      <c r="BA540" s="32">
        <v>0</v>
      </c>
      <c r="BB540" s="38">
        <v>2</v>
      </c>
      <c r="BC540" s="41"/>
      <c r="BD540" s="40"/>
      <c r="BE540" s="13"/>
      <c r="BF540" s="38"/>
      <c r="BG540" s="42"/>
      <c r="BH540" s="42"/>
      <c r="BI540" s="42"/>
    </row>
    <row r="541" spans="1:61" ht="20.25" customHeight="1">
      <c r="A541" s="10" t="s">
        <v>224</v>
      </c>
      <c r="B541" s="33" t="s">
        <v>59</v>
      </c>
      <c r="C541" s="40">
        <f>C539/C540</f>
        <v>1</v>
      </c>
      <c r="D541" s="40">
        <f>D539/D540</f>
        <v>0.84615384615384615</v>
      </c>
      <c r="E541" s="40">
        <f>E539/E540</f>
        <v>1</v>
      </c>
      <c r="F541" s="40">
        <f>F539/F540</f>
        <v>0.8</v>
      </c>
      <c r="G541" s="32" t="s">
        <v>59</v>
      </c>
      <c r="H541" s="32" t="s">
        <v>59</v>
      </c>
      <c r="I541" s="32" t="s">
        <v>59</v>
      </c>
      <c r="J541" s="40">
        <f>J539/J540</f>
        <v>0.90909090909090906</v>
      </c>
      <c r="K541" s="35">
        <f>K539/K540</f>
        <v>0.88372093023255816</v>
      </c>
      <c r="L541" s="35"/>
      <c r="M541" s="35"/>
      <c r="N541" s="37"/>
      <c r="O541" s="35"/>
      <c r="P541" s="13"/>
      <c r="Q541" s="38"/>
      <c r="R541" s="38"/>
      <c r="S541" s="41">
        <f>S539/S540</f>
        <v>1</v>
      </c>
      <c r="T541" s="38"/>
      <c r="U541" s="40"/>
      <c r="V541" s="13"/>
      <c r="W541" s="38"/>
      <c r="X541" s="41">
        <f>X539/X540</f>
        <v>0.66666666666666663</v>
      </c>
      <c r="Y541" s="41">
        <f>Y539/Y540</f>
        <v>1</v>
      </c>
      <c r="Z541" s="32" t="s">
        <v>82</v>
      </c>
      <c r="AA541" s="41">
        <f>AA539/AA540</f>
        <v>1</v>
      </c>
      <c r="AB541" s="41">
        <f>AB539/AB540</f>
        <v>1</v>
      </c>
      <c r="AC541" s="41"/>
      <c r="AD541" s="40"/>
      <c r="AE541" s="13"/>
      <c r="AF541" s="41">
        <f>AF539/AF540</f>
        <v>0.75</v>
      </c>
      <c r="AG541" s="41">
        <f>AG539/AG540</f>
        <v>0.75</v>
      </c>
      <c r="AH541" s="32" t="s">
        <v>82</v>
      </c>
      <c r="AI541" s="41">
        <f>AI539/AI540</f>
        <v>1</v>
      </c>
      <c r="AJ541" s="41" t="e">
        <f>AJ539/AJ540</f>
        <v>#DIV/0!</v>
      </c>
      <c r="AK541" s="41">
        <f>AK539/AK540</f>
        <v>1</v>
      </c>
      <c r="AL541" s="41"/>
      <c r="AM541" s="41"/>
      <c r="AN541" s="13"/>
      <c r="AO541" s="38"/>
      <c r="AP541" s="41">
        <f>AP539/AP540</f>
        <v>1</v>
      </c>
      <c r="AQ541" s="41">
        <f>AQ539/AQ540</f>
        <v>0.5</v>
      </c>
      <c r="AR541" s="38"/>
      <c r="AS541" s="32" t="s">
        <v>82</v>
      </c>
      <c r="AT541" s="41">
        <f>AT539/AT540</f>
        <v>1</v>
      </c>
      <c r="AU541" s="41"/>
      <c r="AV541" s="40"/>
      <c r="AW541" s="13"/>
      <c r="AX541" s="38"/>
      <c r="AY541" s="41">
        <f>AY539/AY540</f>
        <v>1</v>
      </c>
      <c r="AZ541" s="32" t="s">
        <v>82</v>
      </c>
      <c r="BA541" s="38"/>
      <c r="BB541" s="41">
        <f>BB539/BB540</f>
        <v>0.5</v>
      </c>
      <c r="BC541" s="41"/>
      <c r="BD541" s="40"/>
      <c r="BE541" s="13"/>
      <c r="BF541" s="38"/>
      <c r="BG541" s="42"/>
      <c r="BH541" s="42"/>
      <c r="BI541" s="42"/>
    </row>
    <row r="542" spans="1:61" ht="20.25" customHeight="1">
      <c r="A542" s="8" t="s">
        <v>198</v>
      </c>
      <c r="B542" s="33" t="s">
        <v>59</v>
      </c>
      <c r="C542" s="32">
        <v>0</v>
      </c>
      <c r="D542" s="32">
        <v>0</v>
      </c>
      <c r="E542" s="32">
        <v>1</v>
      </c>
      <c r="F542" s="32">
        <v>1</v>
      </c>
      <c r="G542" s="32" t="s">
        <v>59</v>
      </c>
      <c r="H542" s="32" t="s">
        <v>59</v>
      </c>
      <c r="I542" s="32" t="s">
        <v>59</v>
      </c>
      <c r="J542" s="32">
        <v>0</v>
      </c>
      <c r="K542" s="23">
        <f>SUM(B542:J542)</f>
        <v>2</v>
      </c>
      <c r="L542" s="35">
        <f>K542/K546</f>
        <v>2.1052631578947368E-2</v>
      </c>
      <c r="M542" s="35"/>
      <c r="N542" s="37"/>
      <c r="O542" s="35"/>
      <c r="P542" s="13"/>
      <c r="Q542" s="38"/>
      <c r="R542" s="38"/>
      <c r="S542" s="32">
        <v>0</v>
      </c>
      <c r="T542" s="38">
        <f>SUM(Q542:S542)</f>
        <v>0</v>
      </c>
      <c r="U542" s="15" t="e">
        <f>T542/T546</f>
        <v>#DIV/0!</v>
      </c>
      <c r="V542" s="13"/>
      <c r="W542" s="38"/>
      <c r="X542" s="38">
        <v>0</v>
      </c>
      <c r="Y542" s="38">
        <v>0</v>
      </c>
      <c r="Z542" s="32" t="s">
        <v>82</v>
      </c>
      <c r="AA542" s="38">
        <v>0</v>
      </c>
      <c r="AB542" s="32">
        <v>0</v>
      </c>
      <c r="AC542" s="38">
        <f>SUM(W542:AB542)</f>
        <v>0</v>
      </c>
      <c r="AD542" s="15">
        <f>AC542/AC546</f>
        <v>0</v>
      </c>
      <c r="AE542" s="13"/>
      <c r="AF542" s="38">
        <v>0</v>
      </c>
      <c r="AG542" s="38">
        <v>0</v>
      </c>
      <c r="AH542" s="32" t="s">
        <v>82</v>
      </c>
      <c r="AI542" s="38">
        <v>0</v>
      </c>
      <c r="AJ542" s="32">
        <v>0</v>
      </c>
      <c r="AK542" s="32">
        <v>0</v>
      </c>
      <c r="AL542" s="38">
        <f>SUM(AE542:AK542)</f>
        <v>0</v>
      </c>
      <c r="AM542" s="15">
        <f>AL542/AL546</f>
        <v>0</v>
      </c>
      <c r="AN542" s="13"/>
      <c r="AO542" s="38"/>
      <c r="AP542" s="38">
        <v>0</v>
      </c>
      <c r="AQ542" s="38">
        <v>0</v>
      </c>
      <c r="AR542" s="38"/>
      <c r="AS542" s="32" t="s">
        <v>82</v>
      </c>
      <c r="AT542" s="38">
        <v>0</v>
      </c>
      <c r="AU542" s="38">
        <f>SUM(AO542:AT542)</f>
        <v>0</v>
      </c>
      <c r="AV542" s="15" t="e">
        <f>AU542/AU546</f>
        <v>#DIV/0!</v>
      </c>
      <c r="AW542" s="13"/>
      <c r="AX542" s="38"/>
      <c r="AY542" s="38">
        <v>1</v>
      </c>
      <c r="AZ542" s="32" t="s">
        <v>82</v>
      </c>
      <c r="BA542" s="32">
        <v>1</v>
      </c>
      <c r="BB542" s="32">
        <v>0</v>
      </c>
      <c r="BC542" s="38">
        <f>SUM(AX542:BB542)</f>
        <v>2</v>
      </c>
      <c r="BD542" s="15">
        <f>BC542/BC546</f>
        <v>1</v>
      </c>
      <c r="BE542" s="13"/>
      <c r="BF542" s="38"/>
      <c r="BG542" s="42"/>
      <c r="BH542" s="42"/>
      <c r="BI542" s="42"/>
    </row>
    <row r="543" spans="1:61" ht="32.25" customHeight="1">
      <c r="A543" s="131" t="s">
        <v>199</v>
      </c>
      <c r="B543" s="33" t="s">
        <v>59</v>
      </c>
      <c r="C543" s="32">
        <v>0</v>
      </c>
      <c r="D543" s="32">
        <v>1</v>
      </c>
      <c r="E543" s="32">
        <v>0</v>
      </c>
      <c r="F543" s="32">
        <v>0</v>
      </c>
      <c r="G543" s="32" t="s">
        <v>59</v>
      </c>
      <c r="H543" s="32" t="s">
        <v>59</v>
      </c>
      <c r="I543" s="32" t="s">
        <v>59</v>
      </c>
      <c r="J543" s="32">
        <v>0</v>
      </c>
      <c r="K543" s="23">
        <f>SUM(B543:J543)</f>
        <v>1</v>
      </c>
      <c r="L543" s="35">
        <f>K543/K546</f>
        <v>1.0526315789473684E-2</v>
      </c>
      <c r="M543" s="35"/>
      <c r="N543" s="23"/>
      <c r="O543" s="35"/>
      <c r="P543" s="13"/>
      <c r="Q543" s="38"/>
      <c r="R543" s="38"/>
      <c r="S543" s="32">
        <v>0</v>
      </c>
      <c r="T543" s="38">
        <f>SUM(Q543:S543)</f>
        <v>0</v>
      </c>
      <c r="U543" s="15" t="e">
        <f>T543/T546</f>
        <v>#DIV/0!</v>
      </c>
      <c r="V543" s="13"/>
      <c r="W543" s="38"/>
      <c r="X543" s="38">
        <v>0</v>
      </c>
      <c r="Y543" s="38">
        <v>0</v>
      </c>
      <c r="Z543" s="32" t="s">
        <v>82</v>
      </c>
      <c r="AA543" s="38">
        <v>0</v>
      </c>
      <c r="AB543" s="32">
        <v>0</v>
      </c>
      <c r="AC543" s="38">
        <f>SUM(W543:AB543)</f>
        <v>0</v>
      </c>
      <c r="AD543" s="15">
        <f>AC543/AC546</f>
        <v>0</v>
      </c>
      <c r="AE543" s="13"/>
      <c r="AF543" s="38">
        <v>0</v>
      </c>
      <c r="AG543" s="38">
        <v>1</v>
      </c>
      <c r="AH543" s="32" t="s">
        <v>82</v>
      </c>
      <c r="AI543" s="38">
        <v>0</v>
      </c>
      <c r="AJ543" s="32">
        <v>0</v>
      </c>
      <c r="AK543" s="32">
        <v>0</v>
      </c>
      <c r="AL543" s="38">
        <f>SUM(AE543:AK543)</f>
        <v>1</v>
      </c>
      <c r="AM543" s="15">
        <f>AL543/AL546</f>
        <v>0.33333333333333331</v>
      </c>
      <c r="AN543" s="13"/>
      <c r="AO543" s="38"/>
      <c r="AP543" s="38">
        <v>0</v>
      </c>
      <c r="AQ543" s="38">
        <v>0</v>
      </c>
      <c r="AR543" s="38"/>
      <c r="AS543" s="32" t="s">
        <v>82</v>
      </c>
      <c r="AT543" s="38">
        <v>0</v>
      </c>
      <c r="AU543" s="38">
        <f>SUM(AO543:AT543)</f>
        <v>0</v>
      </c>
      <c r="AV543" s="15" t="e">
        <f>AU543/AU546</f>
        <v>#DIV/0!</v>
      </c>
      <c r="AW543" s="13"/>
      <c r="AX543" s="38"/>
      <c r="AY543" s="38">
        <v>0</v>
      </c>
      <c r="AZ543" s="32" t="s">
        <v>82</v>
      </c>
      <c r="BA543" s="32">
        <v>0</v>
      </c>
      <c r="BB543" s="32">
        <v>0</v>
      </c>
      <c r="BC543" s="38">
        <f>SUM(AX543:BB543)</f>
        <v>0</v>
      </c>
      <c r="BD543" s="15">
        <f>BC543/BC546</f>
        <v>0</v>
      </c>
      <c r="BE543" s="13"/>
      <c r="BF543" s="38"/>
      <c r="BG543" s="32"/>
      <c r="BH543" s="32"/>
      <c r="BI543" s="32"/>
    </row>
    <row r="544" spans="1:61" ht="20.25" customHeight="1">
      <c r="A544" s="132" t="s">
        <v>200</v>
      </c>
      <c r="B544" s="33" t="s">
        <v>59</v>
      </c>
      <c r="C544" s="32">
        <v>0</v>
      </c>
      <c r="D544" s="32">
        <v>0</v>
      </c>
      <c r="E544" s="32">
        <v>0</v>
      </c>
      <c r="F544" s="32">
        <v>1</v>
      </c>
      <c r="G544" s="32" t="s">
        <v>59</v>
      </c>
      <c r="H544" s="32" t="s">
        <v>59</v>
      </c>
      <c r="I544" s="32" t="s">
        <v>59</v>
      </c>
      <c r="J544" s="32">
        <v>0</v>
      </c>
      <c r="K544" s="23">
        <f>SUM(B544:J544)</f>
        <v>1</v>
      </c>
      <c r="L544" s="35">
        <f>K544/K546</f>
        <v>1.0526315789473684E-2</v>
      </c>
      <c r="M544" s="35"/>
      <c r="N544" s="37"/>
      <c r="O544" s="35"/>
      <c r="P544" s="13"/>
      <c r="Q544" s="14"/>
      <c r="R544" s="14"/>
      <c r="S544" s="32">
        <v>0</v>
      </c>
      <c r="T544" s="38">
        <f>SUM(Q544:S544)</f>
        <v>0</v>
      </c>
      <c r="U544" s="15" t="e">
        <f>T544/T546</f>
        <v>#DIV/0!</v>
      </c>
      <c r="V544" s="13"/>
      <c r="W544" s="38"/>
      <c r="X544" s="38">
        <v>0</v>
      </c>
      <c r="Y544" s="38">
        <v>0</v>
      </c>
      <c r="Z544" s="32" t="s">
        <v>82</v>
      </c>
      <c r="AA544" s="14">
        <v>0</v>
      </c>
      <c r="AB544" s="32">
        <v>0</v>
      </c>
      <c r="AC544" s="38">
        <f>SUM(W544:AB544)</f>
        <v>0</v>
      </c>
      <c r="AD544" s="15">
        <f>AC544/AC546</f>
        <v>0</v>
      </c>
      <c r="AE544" s="13"/>
      <c r="AF544" s="38">
        <v>1</v>
      </c>
      <c r="AG544" s="38">
        <v>0</v>
      </c>
      <c r="AH544" s="32" t="s">
        <v>82</v>
      </c>
      <c r="AI544" s="14">
        <v>0</v>
      </c>
      <c r="AJ544" s="32">
        <v>0</v>
      </c>
      <c r="AK544" s="32">
        <v>0</v>
      </c>
      <c r="AL544" s="38">
        <f>SUM(AE544:AK544)</f>
        <v>1</v>
      </c>
      <c r="AM544" s="15">
        <f>AL544/AL546</f>
        <v>0.33333333333333331</v>
      </c>
      <c r="AN544" s="13"/>
      <c r="AO544" s="38"/>
      <c r="AP544" s="38">
        <v>0</v>
      </c>
      <c r="AQ544" s="38">
        <v>0</v>
      </c>
      <c r="AR544" s="38"/>
      <c r="AS544" s="32" t="s">
        <v>82</v>
      </c>
      <c r="AT544" s="38">
        <v>0</v>
      </c>
      <c r="AU544" s="38">
        <f>SUM(AO544:AT544)</f>
        <v>0</v>
      </c>
      <c r="AV544" s="15" t="e">
        <f>AU544/AU546</f>
        <v>#DIV/0!</v>
      </c>
      <c r="AW544" s="13"/>
      <c r="AX544" s="38"/>
      <c r="AY544" s="38">
        <v>0</v>
      </c>
      <c r="AZ544" s="32" t="s">
        <v>82</v>
      </c>
      <c r="BA544" s="32">
        <v>0</v>
      </c>
      <c r="BB544" s="32">
        <v>0</v>
      </c>
      <c r="BC544" s="38">
        <f>SUM(AX544:BB544)</f>
        <v>0</v>
      </c>
      <c r="BD544" s="15">
        <f>BC544/BC546</f>
        <v>0</v>
      </c>
      <c r="BE544" s="13"/>
      <c r="BF544" s="38"/>
      <c r="BG544" s="32"/>
      <c r="BH544" s="32"/>
      <c r="BI544" s="32"/>
    </row>
    <row r="545" spans="1:61" ht="32.25" customHeight="1">
      <c r="A545" s="8" t="s">
        <v>201</v>
      </c>
      <c r="B545" s="33" t="s">
        <v>59</v>
      </c>
      <c r="C545" s="32">
        <v>0</v>
      </c>
      <c r="D545" s="32">
        <v>2</v>
      </c>
      <c r="E545" s="32">
        <v>0</v>
      </c>
      <c r="F545" s="32">
        <v>0</v>
      </c>
      <c r="G545" s="32" t="s">
        <v>59</v>
      </c>
      <c r="H545" s="32" t="s">
        <v>59</v>
      </c>
      <c r="I545" s="32" t="s">
        <v>59</v>
      </c>
      <c r="J545" s="32">
        <v>0</v>
      </c>
      <c r="K545" s="23">
        <f>SUM(B545:J545)</f>
        <v>2</v>
      </c>
      <c r="L545" s="35">
        <f>K545/K546</f>
        <v>2.1052631578947368E-2</v>
      </c>
      <c r="M545" s="35"/>
      <c r="N545" s="37"/>
      <c r="O545" s="35"/>
      <c r="P545" s="13"/>
      <c r="Q545" s="14"/>
      <c r="R545" s="14"/>
      <c r="S545" s="32">
        <v>0</v>
      </c>
      <c r="T545" s="38">
        <f>SUM(Q545:S545)</f>
        <v>0</v>
      </c>
      <c r="U545" s="15" t="e">
        <f>T545/T546</f>
        <v>#DIV/0!</v>
      </c>
      <c r="V545" s="13"/>
      <c r="W545" s="38"/>
      <c r="X545" s="38">
        <v>0</v>
      </c>
      <c r="Y545" s="38">
        <v>1</v>
      </c>
      <c r="Z545" s="32" t="s">
        <v>82</v>
      </c>
      <c r="AA545" s="14">
        <v>0</v>
      </c>
      <c r="AB545" s="32">
        <v>0</v>
      </c>
      <c r="AC545" s="38">
        <f>SUM(W545:AB545)</f>
        <v>1</v>
      </c>
      <c r="AD545" s="15">
        <f>AC545/AC546</f>
        <v>1</v>
      </c>
      <c r="AE545" s="13"/>
      <c r="AF545" s="38">
        <v>0</v>
      </c>
      <c r="AG545" s="38">
        <v>1</v>
      </c>
      <c r="AH545" s="32" t="s">
        <v>82</v>
      </c>
      <c r="AI545" s="14">
        <v>0</v>
      </c>
      <c r="AJ545" s="32">
        <v>0</v>
      </c>
      <c r="AK545" s="32">
        <v>0</v>
      </c>
      <c r="AL545" s="38">
        <f>SUM(AE545:AK545)</f>
        <v>1</v>
      </c>
      <c r="AM545" s="15">
        <f>AL545/AL546</f>
        <v>0.33333333333333331</v>
      </c>
      <c r="AN545" s="13"/>
      <c r="AO545" s="38"/>
      <c r="AP545" s="38">
        <v>0</v>
      </c>
      <c r="AQ545" s="38">
        <v>0</v>
      </c>
      <c r="AR545" s="38"/>
      <c r="AS545" s="32" t="s">
        <v>82</v>
      </c>
      <c r="AT545" s="38">
        <v>0</v>
      </c>
      <c r="AU545" s="38">
        <f>SUM(AO545:AT545)</f>
        <v>0</v>
      </c>
      <c r="AV545" s="15" t="e">
        <f>AU545/AU546</f>
        <v>#DIV/0!</v>
      </c>
      <c r="AW545" s="13"/>
      <c r="AX545" s="38"/>
      <c r="AY545" s="38">
        <v>0</v>
      </c>
      <c r="AZ545" s="32" t="s">
        <v>82</v>
      </c>
      <c r="BA545" s="32">
        <v>0</v>
      </c>
      <c r="BB545" s="32">
        <v>0</v>
      </c>
      <c r="BC545" s="38">
        <f>SUM(AX545:BB545)</f>
        <v>0</v>
      </c>
      <c r="BD545" s="15">
        <f>BC545/BC546</f>
        <v>0</v>
      </c>
      <c r="BE545" s="13"/>
      <c r="BF545" s="38"/>
      <c r="BG545" s="32"/>
      <c r="BH545" s="32"/>
      <c r="BI545" s="32"/>
    </row>
    <row r="546" spans="1:61" ht="20.25" customHeight="1">
      <c r="A546" s="39" t="s">
        <v>66</v>
      </c>
      <c r="B546" s="33" t="s">
        <v>59</v>
      </c>
      <c r="C546" s="32">
        <f>C537+C540+C542+C543+C544+C545</f>
        <v>7</v>
      </c>
      <c r="D546" s="32">
        <f>D537+D540+D542+D543+D544+D545</f>
        <v>27</v>
      </c>
      <c r="E546" s="32">
        <f>E537+E540+E542+E543+E544+E545</f>
        <v>17</v>
      </c>
      <c r="F546" s="32">
        <f>F537+F540+F542+F543+F544+F545</f>
        <v>22</v>
      </c>
      <c r="G546" s="32" t="s">
        <v>59</v>
      </c>
      <c r="H546" s="32" t="s">
        <v>59</v>
      </c>
      <c r="I546" s="32" t="s">
        <v>59</v>
      </c>
      <c r="J546" s="32">
        <f>J537+J540+J542+J543+J544+J545</f>
        <v>22</v>
      </c>
      <c r="K546" s="23">
        <f>SUM(B546:J546)</f>
        <v>95</v>
      </c>
      <c r="L546" s="35">
        <f>K546/(K540+K537+K542+K543+K544+K545)</f>
        <v>1</v>
      </c>
      <c r="M546" s="35"/>
      <c r="N546" s="37"/>
      <c r="O546" s="35"/>
      <c r="P546" s="13"/>
      <c r="Q546" s="38">
        <f>SUM(Q541:Q545)</f>
        <v>0</v>
      </c>
      <c r="R546" s="38">
        <f>SUM(R541:R545)</f>
        <v>0</v>
      </c>
      <c r="S546" s="32">
        <f>S537+S540+S542+S543+S544+S545</f>
        <v>2</v>
      </c>
      <c r="T546" s="38">
        <f>SUM(T541:T545)</f>
        <v>0</v>
      </c>
      <c r="U546" s="40" t="e">
        <f>T546/(T543+T544+T545+T542+T541)</f>
        <v>#DIV/0!</v>
      </c>
      <c r="V546" s="13"/>
      <c r="W546" s="38">
        <f>SUM(W541:W545)</f>
        <v>0</v>
      </c>
      <c r="X546" s="38">
        <f>SUM(X541:X545)</f>
        <v>0.66666666666666663</v>
      </c>
      <c r="Y546" s="38">
        <f>SUM(Y542:Y545)+Y540+Y537</f>
        <v>13</v>
      </c>
      <c r="Z546" s="32" t="s">
        <v>82</v>
      </c>
      <c r="AA546" s="38">
        <v>0</v>
      </c>
      <c r="AB546" s="38">
        <f>SUM(AB541:AB545)</f>
        <v>1</v>
      </c>
      <c r="AC546" s="38">
        <f>SUM(AC541:AC545)</f>
        <v>1</v>
      </c>
      <c r="AD546" s="40">
        <f>AC546/(AC543+AC544+AC545+AC542+AC541)</f>
        <v>1</v>
      </c>
      <c r="AE546" s="13"/>
      <c r="AF546" s="38">
        <f>SUM(AF542:AF545)+AF540+AF537</f>
        <v>9</v>
      </c>
      <c r="AG546" s="38">
        <f>SUM(AG542:AG545)+AG540+AG537</f>
        <v>10</v>
      </c>
      <c r="AH546" s="32" t="s">
        <v>82</v>
      </c>
      <c r="AI546" s="38">
        <f>SUM(AI542:AI545)+AI540+AI537</f>
        <v>6</v>
      </c>
      <c r="AJ546" s="38">
        <f>SUM(AJ542:AJ545)+AJ540+AJ537</f>
        <v>1</v>
      </c>
      <c r="AK546" s="32">
        <f>AK537+AK540+AK542+AK543+AK544+AK545</f>
        <v>17</v>
      </c>
      <c r="AL546" s="38">
        <f>SUM(AL541:AL545)</f>
        <v>3</v>
      </c>
      <c r="AM546" s="40">
        <f>AL546/(AL543+AL544+AL545+AL542+AL541)</f>
        <v>1</v>
      </c>
      <c r="AN546" s="13"/>
      <c r="AO546" s="38">
        <f>SUM(AO541:AO545)</f>
        <v>0</v>
      </c>
      <c r="AP546" s="38">
        <f>SUM(AP542:AP545)+AP540+AP537</f>
        <v>3</v>
      </c>
      <c r="AQ546" s="38">
        <f>SUM(AQ542:AQ545)+AQ540+AQ537</f>
        <v>4</v>
      </c>
      <c r="AR546" s="38">
        <f>SUM(AR541:AR545)</f>
        <v>0</v>
      </c>
      <c r="AS546" s="32" t="s">
        <v>82</v>
      </c>
      <c r="AT546" s="38">
        <f>SUM(AT541:AT545)</f>
        <v>1</v>
      </c>
      <c r="AU546" s="38">
        <f>SUM(AU541:AU545)</f>
        <v>0</v>
      </c>
      <c r="AV546" s="40" t="e">
        <f>AU546/(AU543+AU544+AU545+AU542+AU541)</f>
        <v>#DIV/0!</v>
      </c>
      <c r="AW546" s="13"/>
      <c r="AX546" s="38">
        <f>SUM(AX541:AX545)</f>
        <v>0</v>
      </c>
      <c r="AY546" s="38">
        <f>SUM(AY541:AY545)</f>
        <v>2</v>
      </c>
      <c r="AZ546" s="32" t="s">
        <v>82</v>
      </c>
      <c r="BA546" s="38">
        <f>SUM(BA541:BA545)</f>
        <v>1</v>
      </c>
      <c r="BB546" s="32">
        <f>BB537+BB540+BB542+BB543+BB544+BB545</f>
        <v>3</v>
      </c>
      <c r="BC546" s="38">
        <f>SUM(BC541:BC545)</f>
        <v>2</v>
      </c>
      <c r="BD546" s="40">
        <f>BC546/(BC543+BC544+BC545+BC542+BC541)</f>
        <v>1</v>
      </c>
      <c r="BE546" s="13"/>
      <c r="BF546" s="38"/>
      <c r="BG546" s="42"/>
      <c r="BH546" s="42"/>
      <c r="BI546" s="42"/>
    </row>
    <row r="547" spans="1:61" ht="104.25" customHeight="1">
      <c r="A547" s="102" t="s">
        <v>225</v>
      </c>
      <c r="B547" s="181" t="s">
        <v>217</v>
      </c>
      <c r="C547" s="182"/>
      <c r="D547" s="182"/>
      <c r="E547" s="182"/>
      <c r="F547" s="182"/>
      <c r="G547" s="22"/>
      <c r="H547" s="22"/>
      <c r="I547" s="22"/>
      <c r="J547" s="22"/>
      <c r="K547" s="21"/>
      <c r="L547" s="24"/>
      <c r="M547" s="24"/>
      <c r="N547" s="26"/>
      <c r="O547" s="24"/>
      <c r="P547" s="27"/>
      <c r="Q547" s="28"/>
      <c r="R547" s="28"/>
      <c r="S547" s="28"/>
      <c r="T547" s="26"/>
      <c r="U547" s="24"/>
      <c r="V547" s="27"/>
      <c r="W547" s="28"/>
      <c r="X547" s="28"/>
      <c r="Y547" s="28"/>
      <c r="Z547" s="28"/>
      <c r="AA547" s="28"/>
      <c r="AB547" s="28"/>
      <c r="AC547" s="26"/>
      <c r="AD547" s="24"/>
      <c r="AE547" s="27"/>
      <c r="AF547" s="28"/>
      <c r="AG547" s="28"/>
      <c r="AH547" s="28"/>
      <c r="AI547" s="28"/>
      <c r="AJ547" s="28"/>
      <c r="AK547" s="28"/>
      <c r="AL547" s="26"/>
      <c r="AM547" s="29"/>
      <c r="AN547" s="27"/>
      <c r="AO547" s="26"/>
      <c r="AP547" s="26"/>
      <c r="AQ547" s="26"/>
      <c r="AR547" s="26"/>
      <c r="AS547" s="26"/>
      <c r="AT547" s="26"/>
      <c r="AU547" s="26"/>
      <c r="AV547" s="24"/>
      <c r="AW547" s="27"/>
      <c r="AX547" s="26"/>
      <c r="AY547" s="26"/>
      <c r="AZ547" s="26"/>
      <c r="BA547" s="26"/>
      <c r="BB547" s="26"/>
      <c r="BC547" s="26"/>
      <c r="BD547" s="24"/>
      <c r="BE547" s="27"/>
      <c r="BF547" s="26"/>
      <c r="BG547" s="22"/>
      <c r="BH547" s="21"/>
      <c r="BI547" s="22"/>
    </row>
    <row r="548" spans="1:61" ht="32.5" customHeight="1">
      <c r="A548" s="20"/>
      <c r="B548" s="30" t="s">
        <v>0</v>
      </c>
      <c r="C548" s="30" t="s">
        <v>1</v>
      </c>
      <c r="D548" s="30" t="s">
        <v>2</v>
      </c>
      <c r="E548" s="30" t="s">
        <v>3</v>
      </c>
      <c r="F548" s="30" t="s">
        <v>4</v>
      </c>
      <c r="G548" s="30" t="s">
        <v>5</v>
      </c>
      <c r="H548" s="30" t="s">
        <v>68</v>
      </c>
      <c r="I548" s="30" t="s">
        <v>7</v>
      </c>
      <c r="J548" s="30" t="s">
        <v>8</v>
      </c>
      <c r="K548" s="23" t="s">
        <v>9</v>
      </c>
      <c r="L548" s="23" t="s">
        <v>56</v>
      </c>
      <c r="M548" s="110"/>
      <c r="N548" s="23" t="s">
        <v>209</v>
      </c>
      <c r="O548" s="35"/>
      <c r="P548" s="13"/>
      <c r="Q548" s="30" t="s">
        <v>15</v>
      </c>
      <c r="R548" s="30" t="s">
        <v>16</v>
      </c>
      <c r="S548" s="30" t="s">
        <v>28</v>
      </c>
      <c r="T548" s="38"/>
      <c r="U548" s="40"/>
      <c r="V548" s="13"/>
      <c r="W548" s="30" t="s">
        <v>15</v>
      </c>
      <c r="X548" s="30" t="s">
        <v>20</v>
      </c>
      <c r="Y548" s="30" t="s">
        <v>21</v>
      </c>
      <c r="Z548" s="30" t="s">
        <v>22</v>
      </c>
      <c r="AA548" s="30" t="s">
        <v>23</v>
      </c>
      <c r="AB548" s="30" t="s">
        <v>24</v>
      </c>
      <c r="AC548" s="41"/>
      <c r="AD548" s="40"/>
      <c r="AE548" s="13"/>
      <c r="AF548" s="30" t="s">
        <v>20</v>
      </c>
      <c r="AG548" s="30" t="s">
        <v>21</v>
      </c>
      <c r="AH548" s="30" t="s">
        <v>22</v>
      </c>
      <c r="AI548" s="30" t="s">
        <v>23</v>
      </c>
      <c r="AJ548" s="30" t="s">
        <v>24</v>
      </c>
      <c r="AK548" s="30" t="s">
        <v>28</v>
      </c>
      <c r="AL548" s="41"/>
      <c r="AM548" s="41"/>
      <c r="AN548" s="13"/>
      <c r="AO548" s="30" t="s">
        <v>15</v>
      </c>
      <c r="AP548" s="30" t="s">
        <v>20</v>
      </c>
      <c r="AQ548" s="30" t="s">
        <v>21</v>
      </c>
      <c r="AR548" s="30" t="s">
        <v>16</v>
      </c>
      <c r="AS548" s="30" t="s">
        <v>22</v>
      </c>
      <c r="AT548" s="30" t="s">
        <v>24</v>
      </c>
      <c r="AU548" s="41"/>
      <c r="AV548" s="40"/>
      <c r="AW548" s="13"/>
      <c r="AX548" s="30" t="s">
        <v>15</v>
      </c>
      <c r="AY548" s="30" t="s">
        <v>20</v>
      </c>
      <c r="AZ548" s="30" t="s">
        <v>22</v>
      </c>
      <c r="BA548" s="30" t="s">
        <v>23</v>
      </c>
      <c r="BB548" s="30" t="s">
        <v>28</v>
      </c>
      <c r="BC548" s="41"/>
      <c r="BD548" s="40"/>
      <c r="BE548" s="13"/>
      <c r="BF548" s="38"/>
      <c r="BG548" s="42"/>
      <c r="BH548" s="42"/>
      <c r="BI548" s="42"/>
    </row>
    <row r="549" spans="1:61" ht="20.75" customHeight="1">
      <c r="A549" s="10" t="s">
        <v>226</v>
      </c>
      <c r="B549" s="32" t="s">
        <v>59</v>
      </c>
      <c r="C549" s="32">
        <v>2</v>
      </c>
      <c r="D549" s="32">
        <v>6</v>
      </c>
      <c r="E549" s="32">
        <v>9</v>
      </c>
      <c r="F549" s="32">
        <v>5</v>
      </c>
      <c r="G549" s="32" t="s">
        <v>59</v>
      </c>
      <c r="H549" s="32" t="s">
        <v>59</v>
      </c>
      <c r="I549" s="32" t="s">
        <v>59</v>
      </c>
      <c r="J549" s="32">
        <v>6</v>
      </c>
      <c r="K549" s="23">
        <f>SUM(B549:J549)</f>
        <v>28</v>
      </c>
      <c r="L549" s="35">
        <f>K549/(K550+K549)</f>
        <v>0.82352941176470584</v>
      </c>
      <c r="M549" s="35">
        <f>K549/K557</f>
        <v>0.29473684210526313</v>
      </c>
      <c r="N549" s="35">
        <f>K549/(K550+K549)</f>
        <v>0.82352941176470584</v>
      </c>
      <c r="O549" s="35"/>
      <c r="P549" s="13"/>
      <c r="Q549" s="9" t="s">
        <v>82</v>
      </c>
      <c r="R549" s="9" t="s">
        <v>82</v>
      </c>
      <c r="S549" s="32">
        <v>1</v>
      </c>
      <c r="T549" s="14">
        <f t="shared" ref="T549:T556" si="375">SUM(Q549:S549)</f>
        <v>1</v>
      </c>
      <c r="U549" s="40"/>
      <c r="V549" s="13"/>
      <c r="W549" s="9" t="s">
        <v>82</v>
      </c>
      <c r="X549" s="33">
        <v>2</v>
      </c>
      <c r="Y549" s="33">
        <v>4</v>
      </c>
      <c r="Z549" s="33" t="s">
        <v>82</v>
      </c>
      <c r="AA549" s="33">
        <v>8</v>
      </c>
      <c r="AB549" s="14">
        <v>0</v>
      </c>
      <c r="AC549" s="33">
        <f t="shared" ref="AC549:AC554" si="376">SUM(W549:AB549)</f>
        <v>14</v>
      </c>
      <c r="AD549" s="14">
        <f>SUM(AC549)/AC554%</f>
        <v>45.161290322580648</v>
      </c>
      <c r="AE549" s="13"/>
      <c r="AF549" s="33">
        <v>0</v>
      </c>
      <c r="AG549" s="33">
        <v>2</v>
      </c>
      <c r="AH549" s="33" t="s">
        <v>82</v>
      </c>
      <c r="AI549" s="33">
        <v>1</v>
      </c>
      <c r="AJ549" s="14">
        <v>1</v>
      </c>
      <c r="AK549" s="14">
        <v>3</v>
      </c>
      <c r="AL549" s="36">
        <f t="shared" ref="AL549:AL554" si="377">SUM(AE549:AK549)</f>
        <v>7</v>
      </c>
      <c r="AM549" s="14">
        <f>SUM(AL549)/AL554%</f>
        <v>17.5</v>
      </c>
      <c r="AN549" s="13"/>
      <c r="AO549" s="33">
        <v>0</v>
      </c>
      <c r="AP549" s="33">
        <v>2</v>
      </c>
      <c r="AQ549" s="33">
        <v>0</v>
      </c>
      <c r="AR549" s="33">
        <v>0</v>
      </c>
      <c r="AS549" s="33" t="s">
        <v>82</v>
      </c>
      <c r="AT549" s="14">
        <v>1</v>
      </c>
      <c r="AU549" s="33">
        <f t="shared" ref="AU549:AU554" si="378">SUM(AO549:AT549)</f>
        <v>3</v>
      </c>
      <c r="AV549" s="14">
        <f>SUM(AU549)/AU554%</f>
        <v>30</v>
      </c>
      <c r="AW549" s="13"/>
      <c r="AX549" s="33">
        <v>0</v>
      </c>
      <c r="AY549" s="33">
        <v>1</v>
      </c>
      <c r="AZ549" s="33" t="s">
        <v>82</v>
      </c>
      <c r="BA549" s="38">
        <v>0</v>
      </c>
      <c r="BB549" s="38">
        <v>2</v>
      </c>
      <c r="BC549" s="14">
        <f>SUM(AX549:BB549)</f>
        <v>3</v>
      </c>
      <c r="BD549" s="15">
        <f>BC549/BC554</f>
        <v>0.75</v>
      </c>
      <c r="BE549" s="13"/>
      <c r="BF549" s="38"/>
      <c r="BG549" s="42"/>
      <c r="BH549" s="42"/>
      <c r="BI549" s="42"/>
    </row>
    <row r="550" spans="1:61" ht="20.75" customHeight="1">
      <c r="A550" s="10" t="s">
        <v>227</v>
      </c>
      <c r="B550" s="32" t="s">
        <v>59</v>
      </c>
      <c r="C550" s="32">
        <v>1</v>
      </c>
      <c r="D550" s="32">
        <v>3</v>
      </c>
      <c r="E550" s="32">
        <v>0</v>
      </c>
      <c r="F550" s="32">
        <v>0</v>
      </c>
      <c r="G550" s="32" t="s">
        <v>59</v>
      </c>
      <c r="H550" s="32" t="s">
        <v>59</v>
      </c>
      <c r="I550" s="32" t="s">
        <v>59</v>
      </c>
      <c r="J550" s="32">
        <v>2</v>
      </c>
      <c r="K550" s="23">
        <f>SUM(B550:J550)</f>
        <v>6</v>
      </c>
      <c r="L550" s="35">
        <f>K550/(K549+K550)</f>
        <v>0.17647058823529413</v>
      </c>
      <c r="M550" s="35">
        <f>K550/K557</f>
        <v>6.3157894736842107E-2</v>
      </c>
      <c r="N550" s="35">
        <f>K550/(K549+K550)</f>
        <v>0.17647058823529413</v>
      </c>
      <c r="O550" s="35"/>
      <c r="P550" s="13"/>
      <c r="Q550" s="9" t="s">
        <v>82</v>
      </c>
      <c r="R550" s="9" t="s">
        <v>82</v>
      </c>
      <c r="S550" s="32">
        <v>0</v>
      </c>
      <c r="T550" s="14">
        <f t="shared" si="375"/>
        <v>0</v>
      </c>
      <c r="U550" s="40"/>
      <c r="V550" s="13"/>
      <c r="W550" s="9" t="s">
        <v>82</v>
      </c>
      <c r="X550" s="33">
        <v>0</v>
      </c>
      <c r="Y550" s="33">
        <v>1</v>
      </c>
      <c r="Z550" s="33" t="s">
        <v>82</v>
      </c>
      <c r="AA550" s="33">
        <v>0</v>
      </c>
      <c r="AB550" s="14">
        <v>1</v>
      </c>
      <c r="AC550" s="33">
        <f t="shared" si="376"/>
        <v>2</v>
      </c>
      <c r="AD550" s="14">
        <f>SUM(AC550)/AC554%</f>
        <v>6.4516129032258069</v>
      </c>
      <c r="AE550" s="13"/>
      <c r="AF550" s="33">
        <v>0</v>
      </c>
      <c r="AG550" s="33">
        <v>0</v>
      </c>
      <c r="AH550" s="33" t="s">
        <v>82</v>
      </c>
      <c r="AI550" s="33">
        <v>0</v>
      </c>
      <c r="AJ550" s="38">
        <v>0</v>
      </c>
      <c r="AK550" s="38">
        <v>1</v>
      </c>
      <c r="AL550" s="36">
        <f t="shared" si="377"/>
        <v>1</v>
      </c>
      <c r="AM550" s="14">
        <f>SUM(AL550)/AL554%</f>
        <v>2.5</v>
      </c>
      <c r="AN550" s="13"/>
      <c r="AO550" s="33">
        <v>0</v>
      </c>
      <c r="AP550" s="33">
        <v>0</v>
      </c>
      <c r="AQ550" s="33">
        <v>2</v>
      </c>
      <c r="AR550" s="33">
        <v>0</v>
      </c>
      <c r="AS550" s="33" t="s">
        <v>82</v>
      </c>
      <c r="AT550" s="14">
        <v>0</v>
      </c>
      <c r="AU550" s="33">
        <f t="shared" si="378"/>
        <v>2</v>
      </c>
      <c r="AV550" s="14">
        <f>SUM(AU550)/AU554%</f>
        <v>20</v>
      </c>
      <c r="AW550" s="13"/>
      <c r="AX550" s="33">
        <v>0</v>
      </c>
      <c r="AY550" s="33">
        <v>0</v>
      </c>
      <c r="AZ550" s="33" t="s">
        <v>82</v>
      </c>
      <c r="BA550" s="38">
        <v>0</v>
      </c>
      <c r="BB550" s="38">
        <v>1</v>
      </c>
      <c r="BC550" s="14">
        <f>SUM(AX550:BB550)</f>
        <v>1</v>
      </c>
      <c r="BD550" s="15">
        <f>BC550/BC554</f>
        <v>0.25</v>
      </c>
      <c r="BE550" s="13"/>
      <c r="BF550" s="38"/>
      <c r="BG550" s="42"/>
      <c r="BH550" s="42"/>
      <c r="BI550" s="42"/>
    </row>
    <row r="551" spans="1:61" ht="20.75" customHeight="1">
      <c r="A551" s="20"/>
      <c r="B551" s="42"/>
      <c r="C551" s="42"/>
      <c r="D551" s="42"/>
      <c r="E551" s="42"/>
      <c r="F551" s="42"/>
      <c r="G551" s="42"/>
      <c r="H551" s="42"/>
      <c r="I551" s="42"/>
      <c r="J551" s="42"/>
      <c r="K551" s="23">
        <v>0</v>
      </c>
      <c r="L551" s="35"/>
      <c r="M551" s="35"/>
      <c r="N551" s="35"/>
      <c r="O551" s="35"/>
      <c r="P551" s="13"/>
      <c r="Q551" s="16"/>
      <c r="R551" s="16"/>
      <c r="S551" s="42"/>
      <c r="T551" s="14">
        <f t="shared" si="375"/>
        <v>0</v>
      </c>
      <c r="U551" s="40"/>
      <c r="V551" s="13"/>
      <c r="W551" s="16"/>
      <c r="X551" s="119"/>
      <c r="Y551" s="119"/>
      <c r="Z551" s="119"/>
      <c r="AA551" s="119"/>
      <c r="AB551" s="14"/>
      <c r="AC551" s="33">
        <f t="shared" si="376"/>
        <v>0</v>
      </c>
      <c r="AD551" s="14"/>
      <c r="AE551" s="13"/>
      <c r="AF551" s="119"/>
      <c r="AG551" s="119"/>
      <c r="AH551" s="119"/>
      <c r="AI551" s="119"/>
      <c r="AJ551" s="38"/>
      <c r="AK551" s="38"/>
      <c r="AL551" s="36">
        <f t="shared" si="377"/>
        <v>0</v>
      </c>
      <c r="AM551" s="14"/>
      <c r="AN551" s="13"/>
      <c r="AO551" s="119"/>
      <c r="AP551" s="119"/>
      <c r="AQ551" s="119"/>
      <c r="AR551" s="119"/>
      <c r="AS551" s="119"/>
      <c r="AT551" s="14"/>
      <c r="AU551" s="33">
        <f t="shared" si="378"/>
        <v>0</v>
      </c>
      <c r="AV551" s="14"/>
      <c r="AW551" s="13"/>
      <c r="AX551" s="119"/>
      <c r="AY551" s="119"/>
      <c r="AZ551" s="119"/>
      <c r="BA551" s="38"/>
      <c r="BB551" s="38"/>
      <c r="BC551" s="14">
        <f>SUM(AX551:BB551)</f>
        <v>0</v>
      </c>
      <c r="BD551" s="15"/>
      <c r="BE551" s="13"/>
      <c r="BF551" s="38"/>
      <c r="BG551" s="42"/>
      <c r="BH551" s="42"/>
      <c r="BI551" s="42"/>
    </row>
    <row r="552" spans="1:61" ht="20.75" customHeight="1">
      <c r="A552" s="10" t="s">
        <v>228</v>
      </c>
      <c r="B552" s="32" t="s">
        <v>59</v>
      </c>
      <c r="C552" s="32">
        <v>3</v>
      </c>
      <c r="D552" s="32">
        <v>11</v>
      </c>
      <c r="E552" s="32">
        <v>5</v>
      </c>
      <c r="F552" s="32">
        <v>10</v>
      </c>
      <c r="G552" s="32" t="s">
        <v>59</v>
      </c>
      <c r="H552" s="32" t="s">
        <v>59</v>
      </c>
      <c r="I552" s="32" t="s">
        <v>59</v>
      </c>
      <c r="J552" s="32">
        <v>12</v>
      </c>
      <c r="K552" s="23">
        <f t="shared" ref="K552:K557" si="379">SUM(B552:J552)</f>
        <v>41</v>
      </c>
      <c r="L552" s="35">
        <f>K552/(K553+K552)</f>
        <v>0.77358490566037741</v>
      </c>
      <c r="M552" s="35">
        <f>K552/K557</f>
        <v>0.43157894736842106</v>
      </c>
      <c r="N552" s="35">
        <f>K552/(K553+K552)</f>
        <v>0.77358490566037741</v>
      </c>
      <c r="O552" s="35"/>
      <c r="P552" s="13"/>
      <c r="Q552" s="9" t="s">
        <v>82</v>
      </c>
      <c r="R552" s="9" t="s">
        <v>82</v>
      </c>
      <c r="S552" s="32">
        <v>1</v>
      </c>
      <c r="T552" s="14">
        <f t="shared" si="375"/>
        <v>1</v>
      </c>
      <c r="U552" s="40"/>
      <c r="V552" s="13"/>
      <c r="W552" s="9" t="s">
        <v>82</v>
      </c>
      <c r="X552" s="33">
        <v>3</v>
      </c>
      <c r="Y552" s="33">
        <v>7</v>
      </c>
      <c r="Z552" s="33" t="s">
        <v>82</v>
      </c>
      <c r="AA552" s="33">
        <v>1</v>
      </c>
      <c r="AB552" s="14">
        <v>1</v>
      </c>
      <c r="AC552" s="33">
        <f t="shared" si="376"/>
        <v>12</v>
      </c>
      <c r="AD552" s="14">
        <f>SUM(AC552)/AC554%</f>
        <v>38.70967741935484</v>
      </c>
      <c r="AE552" s="13"/>
      <c r="AF552" s="33">
        <v>6</v>
      </c>
      <c r="AG552" s="33">
        <v>3</v>
      </c>
      <c r="AH552" s="33" t="s">
        <v>82</v>
      </c>
      <c r="AI552" s="33">
        <v>4</v>
      </c>
      <c r="AJ552" s="38">
        <v>0</v>
      </c>
      <c r="AK552" s="38">
        <v>11</v>
      </c>
      <c r="AL552" s="36">
        <f t="shared" si="377"/>
        <v>24</v>
      </c>
      <c r="AM552" s="14">
        <f>SUM(AL552)/AL554%</f>
        <v>60</v>
      </c>
      <c r="AN552" s="13"/>
      <c r="AO552" s="119"/>
      <c r="AP552" s="33">
        <v>1</v>
      </c>
      <c r="AQ552" s="33">
        <v>1</v>
      </c>
      <c r="AR552" s="119"/>
      <c r="AS552" s="33" t="s">
        <v>82</v>
      </c>
      <c r="AT552" s="14">
        <v>2</v>
      </c>
      <c r="AU552" s="33">
        <f t="shared" si="378"/>
        <v>4</v>
      </c>
      <c r="AV552" s="14">
        <f>SUM(AU552)/AU554%</f>
        <v>40</v>
      </c>
      <c r="AW552" s="13"/>
      <c r="AX552" s="119"/>
      <c r="AY552" s="33">
        <v>0</v>
      </c>
      <c r="AZ552" s="33" t="s">
        <v>82</v>
      </c>
      <c r="BA552" s="38">
        <v>0</v>
      </c>
      <c r="BB552" s="38">
        <v>0</v>
      </c>
      <c r="BC552" s="14">
        <f>SUM(AX552:BB552)</f>
        <v>0</v>
      </c>
      <c r="BD552" s="15"/>
      <c r="BE552" s="13"/>
      <c r="BF552" s="38"/>
      <c r="BG552" s="42"/>
      <c r="BH552" s="42"/>
      <c r="BI552" s="42"/>
    </row>
    <row r="553" spans="1:61" ht="20.75" customHeight="1">
      <c r="A553" s="10" t="s">
        <v>229</v>
      </c>
      <c r="B553" s="32" t="s">
        <v>59</v>
      </c>
      <c r="C553" s="32">
        <v>0</v>
      </c>
      <c r="D553" s="32">
        <v>4</v>
      </c>
      <c r="E553" s="32">
        <v>2</v>
      </c>
      <c r="F553" s="32">
        <v>4</v>
      </c>
      <c r="G553" s="32" t="s">
        <v>59</v>
      </c>
      <c r="H553" s="32" t="s">
        <v>59</v>
      </c>
      <c r="I553" s="32" t="s">
        <v>59</v>
      </c>
      <c r="J553" s="32">
        <v>2</v>
      </c>
      <c r="K553" s="23">
        <f t="shared" si="379"/>
        <v>12</v>
      </c>
      <c r="L553" s="35">
        <f>K553/(K552+K553)</f>
        <v>0.22641509433962265</v>
      </c>
      <c r="M553" s="35">
        <f>K553/K557</f>
        <v>0.12631578947368421</v>
      </c>
      <c r="N553" s="35">
        <f>K553/(K552+K553)</f>
        <v>0.22641509433962265</v>
      </c>
      <c r="O553" s="35"/>
      <c r="P553" s="13"/>
      <c r="Q553" s="9" t="s">
        <v>82</v>
      </c>
      <c r="R553" s="9" t="s">
        <v>82</v>
      </c>
      <c r="S553" s="32">
        <v>0</v>
      </c>
      <c r="T553" s="14">
        <f t="shared" si="375"/>
        <v>0</v>
      </c>
      <c r="U553" s="40"/>
      <c r="V553" s="13"/>
      <c r="W553" s="9" t="s">
        <v>82</v>
      </c>
      <c r="X553" s="33">
        <v>2</v>
      </c>
      <c r="Y553" s="33">
        <v>0</v>
      </c>
      <c r="Z553" s="33" t="s">
        <v>82</v>
      </c>
      <c r="AA553" s="33">
        <v>1</v>
      </c>
      <c r="AB553" s="14">
        <v>0</v>
      </c>
      <c r="AC553" s="33">
        <f t="shared" si="376"/>
        <v>3</v>
      </c>
      <c r="AD553" s="14"/>
      <c r="AE553" s="13"/>
      <c r="AF553" s="33">
        <v>2</v>
      </c>
      <c r="AG553" s="33">
        <v>3</v>
      </c>
      <c r="AH553" s="33" t="s">
        <v>82</v>
      </c>
      <c r="AI553" s="33">
        <v>1</v>
      </c>
      <c r="AJ553" s="38">
        <v>0</v>
      </c>
      <c r="AK553" s="38">
        <v>2</v>
      </c>
      <c r="AL553" s="36">
        <f t="shared" si="377"/>
        <v>8</v>
      </c>
      <c r="AM553" s="14"/>
      <c r="AN553" s="13"/>
      <c r="AO553" s="119"/>
      <c r="AP553" s="33">
        <v>0</v>
      </c>
      <c r="AQ553" s="33">
        <v>1</v>
      </c>
      <c r="AR553" s="119"/>
      <c r="AS553" s="33" t="s">
        <v>82</v>
      </c>
      <c r="AT553" s="14">
        <v>0</v>
      </c>
      <c r="AU553" s="33">
        <f t="shared" si="378"/>
        <v>1</v>
      </c>
      <c r="AV553" s="14"/>
      <c r="AW553" s="13"/>
      <c r="AX553" s="119"/>
      <c r="AY553" s="33">
        <v>0</v>
      </c>
      <c r="AZ553" s="33" t="s">
        <v>82</v>
      </c>
      <c r="BA553" s="38">
        <v>0</v>
      </c>
      <c r="BB553" s="38">
        <v>0</v>
      </c>
      <c r="BC553" s="14">
        <f>SUM(AX553:BB553)</f>
        <v>0</v>
      </c>
      <c r="BD553" s="15"/>
      <c r="BE553" s="13"/>
      <c r="BF553" s="38"/>
      <c r="BG553" s="42"/>
      <c r="BH553" s="42"/>
      <c r="BI553" s="42"/>
    </row>
    <row r="554" spans="1:61" ht="22.75" customHeight="1">
      <c r="A554" s="39" t="s">
        <v>9</v>
      </c>
      <c r="B554" s="32" t="s">
        <v>59</v>
      </c>
      <c r="C554" s="135">
        <f>SUM(C549:C553)</f>
        <v>6</v>
      </c>
      <c r="D554" s="135">
        <f>SUM(D549:D553)</f>
        <v>24</v>
      </c>
      <c r="E554" s="135">
        <f>SUM(E549:E553)</f>
        <v>16</v>
      </c>
      <c r="F554" s="135">
        <f>SUM(F549:F553)</f>
        <v>19</v>
      </c>
      <c r="G554" s="32" t="s">
        <v>59</v>
      </c>
      <c r="H554" s="32" t="s">
        <v>59</v>
      </c>
      <c r="I554" s="32" t="s">
        <v>59</v>
      </c>
      <c r="J554" s="135">
        <f>SUM(J549:J553)</f>
        <v>22</v>
      </c>
      <c r="K554" s="23">
        <f t="shared" si="379"/>
        <v>87</v>
      </c>
      <c r="L554" s="35">
        <f>SUM((K549+K550+K551+K552+K553)/K554)</f>
        <v>1</v>
      </c>
      <c r="M554" s="35">
        <f>K554/K557</f>
        <v>0.91578947368421049</v>
      </c>
      <c r="N554" s="23">
        <f>T554+AC554+AL554+AU554</f>
        <v>83</v>
      </c>
      <c r="O554" s="35">
        <f>N554/K554</f>
        <v>0.95402298850574707</v>
      </c>
      <c r="P554" s="13"/>
      <c r="Q554" s="9" t="s">
        <v>82</v>
      </c>
      <c r="R554" s="9" t="s">
        <v>82</v>
      </c>
      <c r="S554" s="135">
        <f>SUM(S549:S553)</f>
        <v>2</v>
      </c>
      <c r="T554" s="14">
        <f t="shared" si="375"/>
        <v>2</v>
      </c>
      <c r="U554" s="40"/>
      <c r="V554" s="13"/>
      <c r="W554" s="14">
        <f>SUM(W549:W553)</f>
        <v>0</v>
      </c>
      <c r="X554" s="47">
        <f>SUM(X549:X553)</f>
        <v>7</v>
      </c>
      <c r="Y554" s="47">
        <f>SUM(Y549:Y553)</f>
        <v>12</v>
      </c>
      <c r="Z554" s="112" t="s">
        <v>82</v>
      </c>
      <c r="AA554" s="47">
        <f>SUM(AA549:AA553)</f>
        <v>10</v>
      </c>
      <c r="AB554" s="47">
        <f>SUM(AB549:AB553)</f>
        <v>2</v>
      </c>
      <c r="AC554" s="136">
        <f t="shared" si="376"/>
        <v>31</v>
      </c>
      <c r="AD554" s="45">
        <f>SUM(AD549:AD553)</f>
        <v>90.322580645161295</v>
      </c>
      <c r="AE554" s="13"/>
      <c r="AF554" s="47">
        <f>SUM(AF549:AF553)</f>
        <v>8</v>
      </c>
      <c r="AG554" s="47">
        <f>SUM(AG549:AG553)</f>
        <v>8</v>
      </c>
      <c r="AH554" s="112" t="s">
        <v>82</v>
      </c>
      <c r="AI554" s="47">
        <f>SUM(AI549:AI553)</f>
        <v>6</v>
      </c>
      <c r="AJ554" s="47">
        <f>SUM(AJ549:AJ553)</f>
        <v>1</v>
      </c>
      <c r="AK554" s="47">
        <f>SUM(AK549:AK553)</f>
        <v>17</v>
      </c>
      <c r="AL554" s="136">
        <f t="shared" si="377"/>
        <v>40</v>
      </c>
      <c r="AM554" s="45">
        <f>SUM(AM549:AM553)</f>
        <v>80</v>
      </c>
      <c r="AN554" s="13"/>
      <c r="AO554" s="14">
        <f>SUM(AO549:AO553)</f>
        <v>0</v>
      </c>
      <c r="AP554" s="47">
        <f>SUM(AP549:AP553)</f>
        <v>3</v>
      </c>
      <c r="AQ554" s="47">
        <f>SUM(AQ549:AQ553)</f>
        <v>4</v>
      </c>
      <c r="AR554" s="47">
        <f>SUM(AR549:AR553)</f>
        <v>0</v>
      </c>
      <c r="AS554" s="112" t="s">
        <v>82</v>
      </c>
      <c r="AT554" s="47">
        <f>SUM(AT549:AT553)</f>
        <v>3</v>
      </c>
      <c r="AU554" s="136">
        <f t="shared" si="378"/>
        <v>10</v>
      </c>
      <c r="AV554" s="45">
        <f>SUM(AV549:AV553)</f>
        <v>90</v>
      </c>
      <c r="AW554" s="13"/>
      <c r="AX554" s="47">
        <f>SUM(AX549:AX553)</f>
        <v>0</v>
      </c>
      <c r="AY554" s="47">
        <f>SUM(AY549:AY553)</f>
        <v>1</v>
      </c>
      <c r="AZ554" s="112" t="s">
        <v>82</v>
      </c>
      <c r="BA554" s="47">
        <f>SUM(BA549:BA553)</f>
        <v>0</v>
      </c>
      <c r="BB554" s="47">
        <f>SUM(BB549:BB553)</f>
        <v>3</v>
      </c>
      <c r="BC554" s="45">
        <f>SUM(BC549:BC553)</f>
        <v>4</v>
      </c>
      <c r="BD554" s="15">
        <f>SUM(BD549:BD553)</f>
        <v>1</v>
      </c>
      <c r="BE554" s="13"/>
      <c r="BF554" s="38"/>
      <c r="BG554" s="42"/>
      <c r="BH554" s="42"/>
      <c r="BI554" s="42"/>
    </row>
    <row r="555" spans="1:61" ht="21.75" customHeight="1">
      <c r="A555" s="132" t="s">
        <v>230</v>
      </c>
      <c r="B555" s="32" t="s">
        <v>59</v>
      </c>
      <c r="C555" s="32">
        <v>1</v>
      </c>
      <c r="D555" s="32">
        <v>0</v>
      </c>
      <c r="E555" s="32">
        <v>1</v>
      </c>
      <c r="F555" s="32">
        <v>2</v>
      </c>
      <c r="G555" s="32" t="s">
        <v>59</v>
      </c>
      <c r="H555" s="32" t="s">
        <v>59</v>
      </c>
      <c r="I555" s="32" t="s">
        <v>59</v>
      </c>
      <c r="J555" s="32">
        <v>0</v>
      </c>
      <c r="K555" s="23">
        <f t="shared" si="379"/>
        <v>4</v>
      </c>
      <c r="L555" s="35">
        <f>K555/(K557)</f>
        <v>4.2105263157894736E-2</v>
      </c>
      <c r="M555" s="35">
        <f>K555/(K557)</f>
        <v>4.2105263157894736E-2</v>
      </c>
      <c r="N555" s="37"/>
      <c r="O555" s="35"/>
      <c r="P555" s="13"/>
      <c r="Q555" s="9" t="s">
        <v>82</v>
      </c>
      <c r="R555" s="9" t="s">
        <v>82</v>
      </c>
      <c r="S555" s="32">
        <v>0</v>
      </c>
      <c r="T555" s="14">
        <f t="shared" si="375"/>
        <v>0</v>
      </c>
      <c r="U555" s="40"/>
      <c r="V555" s="13"/>
      <c r="W555" s="9" t="s">
        <v>82</v>
      </c>
      <c r="X555" s="52">
        <v>0</v>
      </c>
      <c r="Y555" s="52">
        <v>0</v>
      </c>
      <c r="Z555" s="114" t="s">
        <v>82</v>
      </c>
      <c r="AA555" s="52">
        <v>0</v>
      </c>
      <c r="AB555" s="104">
        <v>0</v>
      </c>
      <c r="AC555" s="49"/>
      <c r="AD555" s="51">
        <f>SUM(X555:AC555)</f>
        <v>0</v>
      </c>
      <c r="AE555" s="13"/>
      <c r="AF555" s="52">
        <v>1</v>
      </c>
      <c r="AG555" s="52">
        <v>0</v>
      </c>
      <c r="AH555" s="114" t="s">
        <v>82</v>
      </c>
      <c r="AI555" s="52">
        <v>0</v>
      </c>
      <c r="AJ555" s="104">
        <v>0</v>
      </c>
      <c r="AK555" s="104">
        <v>0</v>
      </c>
      <c r="AL555" s="49"/>
      <c r="AM555" s="51">
        <f>SUM(AF555:AL555)</f>
        <v>1</v>
      </c>
      <c r="AN555" s="13"/>
      <c r="AO555" s="14"/>
      <c r="AP555" s="52">
        <v>0</v>
      </c>
      <c r="AQ555" s="52">
        <v>0</v>
      </c>
      <c r="AR555" s="52"/>
      <c r="AS555" s="114" t="s">
        <v>82</v>
      </c>
      <c r="AT555" s="52">
        <v>1</v>
      </c>
      <c r="AU555" s="49"/>
      <c r="AV555" s="51">
        <f>SUM(AP555:AU555)</f>
        <v>1</v>
      </c>
      <c r="AW555" s="13"/>
      <c r="AX555" s="52"/>
      <c r="AY555" s="52">
        <v>1</v>
      </c>
      <c r="AZ555" s="114" t="s">
        <v>82</v>
      </c>
      <c r="BA555" s="104">
        <v>1</v>
      </c>
      <c r="BB555" s="104">
        <v>0</v>
      </c>
      <c r="BC555" s="51">
        <f>SUM(AX555:BB555)</f>
        <v>2</v>
      </c>
      <c r="BD555" s="15">
        <f>BC555/BC557</f>
        <v>0.33333333333333331</v>
      </c>
      <c r="BE555" s="13"/>
      <c r="BF555" s="38"/>
      <c r="BG555" s="32"/>
      <c r="BH555" s="32"/>
      <c r="BI555" s="32"/>
    </row>
    <row r="556" spans="1:61" ht="32.25" customHeight="1">
      <c r="A556" s="8" t="s">
        <v>231</v>
      </c>
      <c r="B556" s="32" t="s">
        <v>59</v>
      </c>
      <c r="C556" s="32">
        <v>0</v>
      </c>
      <c r="D556" s="32">
        <v>3</v>
      </c>
      <c r="E556" s="32">
        <v>0</v>
      </c>
      <c r="F556" s="32">
        <v>1</v>
      </c>
      <c r="G556" s="32" t="s">
        <v>59</v>
      </c>
      <c r="H556" s="32" t="s">
        <v>59</v>
      </c>
      <c r="I556" s="32" t="s">
        <v>59</v>
      </c>
      <c r="J556" s="32">
        <v>0</v>
      </c>
      <c r="K556" s="23">
        <f t="shared" si="379"/>
        <v>4</v>
      </c>
      <c r="L556" s="35">
        <f>K556/(K557)</f>
        <v>4.2105263157894736E-2</v>
      </c>
      <c r="M556" s="35">
        <f>K556/(K557)</f>
        <v>4.2105263157894736E-2</v>
      </c>
      <c r="N556" s="37"/>
      <c r="O556" s="35"/>
      <c r="P556" s="13"/>
      <c r="Q556" s="9" t="s">
        <v>82</v>
      </c>
      <c r="R556" s="9" t="s">
        <v>82</v>
      </c>
      <c r="S556" s="32">
        <v>0</v>
      </c>
      <c r="T556" s="14">
        <f t="shared" si="375"/>
        <v>0</v>
      </c>
      <c r="U556" s="40"/>
      <c r="V556" s="13"/>
      <c r="W556" s="9" t="s">
        <v>82</v>
      </c>
      <c r="X556" s="14">
        <v>0</v>
      </c>
      <c r="Y556" s="14">
        <v>1</v>
      </c>
      <c r="Z556" s="33" t="s">
        <v>82</v>
      </c>
      <c r="AA556" s="14">
        <v>0</v>
      </c>
      <c r="AB556" s="38">
        <v>0</v>
      </c>
      <c r="AC556" s="14"/>
      <c r="AD556" s="38">
        <f>SUM(X556:AC556)</f>
        <v>1</v>
      </c>
      <c r="AE556" s="13"/>
      <c r="AF556" s="14">
        <v>1</v>
      </c>
      <c r="AG556" s="14">
        <v>2</v>
      </c>
      <c r="AH556" s="33" t="s">
        <v>82</v>
      </c>
      <c r="AI556" s="14">
        <v>0</v>
      </c>
      <c r="AJ556" s="38">
        <v>0</v>
      </c>
      <c r="AK556" s="38">
        <v>0</v>
      </c>
      <c r="AL556" s="14"/>
      <c r="AM556" s="38">
        <f>SUM(AF556:AL556)</f>
        <v>3</v>
      </c>
      <c r="AN556" s="13"/>
      <c r="AO556" s="14"/>
      <c r="AP556" s="14">
        <v>0</v>
      </c>
      <c r="AQ556" s="14">
        <v>0</v>
      </c>
      <c r="AR556" s="14"/>
      <c r="AS556" s="33" t="s">
        <v>82</v>
      </c>
      <c r="AT556" s="14">
        <v>0</v>
      </c>
      <c r="AU556" s="14"/>
      <c r="AV556" s="38">
        <f>SUM(AP556:AU556)</f>
        <v>0</v>
      </c>
      <c r="AW556" s="13"/>
      <c r="AX556" s="14"/>
      <c r="AY556" s="14">
        <v>0</v>
      </c>
      <c r="AZ556" s="33" t="s">
        <v>82</v>
      </c>
      <c r="BA556" s="38">
        <v>0</v>
      </c>
      <c r="BB556" s="38">
        <v>0</v>
      </c>
      <c r="BC556" s="38">
        <f>SUM(AX556:BB556)</f>
        <v>0</v>
      </c>
      <c r="BD556" s="15">
        <f>BC556/BC557</f>
        <v>0</v>
      </c>
      <c r="BE556" s="13"/>
      <c r="BF556" s="38"/>
      <c r="BG556" s="32"/>
      <c r="BH556" s="32"/>
      <c r="BI556" s="32"/>
    </row>
    <row r="557" spans="1:61" ht="20.25" customHeight="1">
      <c r="A557" s="39" t="s">
        <v>66</v>
      </c>
      <c r="B557" s="32" t="s">
        <v>59</v>
      </c>
      <c r="C557" s="32">
        <f>SUM(C554:C556)</f>
        <v>7</v>
      </c>
      <c r="D557" s="32">
        <f>SUM(D554:D556)</f>
        <v>27</v>
      </c>
      <c r="E557" s="32">
        <f>SUM(E554:E556)</f>
        <v>17</v>
      </c>
      <c r="F557" s="32">
        <f>SUM(F554:F556)</f>
        <v>22</v>
      </c>
      <c r="G557" s="32" t="s">
        <v>59</v>
      </c>
      <c r="H557" s="32" t="s">
        <v>59</v>
      </c>
      <c r="I557" s="32" t="s">
        <v>59</v>
      </c>
      <c r="J557" s="32">
        <f>SUM(J554:J556)</f>
        <v>22</v>
      </c>
      <c r="K557" s="23">
        <f t="shared" si="379"/>
        <v>95</v>
      </c>
      <c r="L557" s="35">
        <f>K557/(K554+K555+K556)</f>
        <v>1</v>
      </c>
      <c r="M557" s="35">
        <f>K557/(K554+K555+K556)</f>
        <v>1</v>
      </c>
      <c r="N557" s="37">
        <f>T557+AC557+AL557+AU557</f>
        <v>84</v>
      </c>
      <c r="O557" s="35">
        <f>N557/K557</f>
        <v>0.88421052631578945</v>
      </c>
      <c r="P557" s="13"/>
      <c r="Q557" s="9" t="s">
        <v>82</v>
      </c>
      <c r="R557" s="9" t="s">
        <v>82</v>
      </c>
      <c r="S557" s="32">
        <f>SUM(S554:S556)</f>
        <v>2</v>
      </c>
      <c r="T557" s="14">
        <f>SUM(T550:T556)</f>
        <v>3</v>
      </c>
      <c r="U557" s="40">
        <f>SUM(U550:U556)</f>
        <v>0</v>
      </c>
      <c r="V557" s="13"/>
      <c r="W557" s="38">
        <f>SUM(W554:W556)</f>
        <v>0</v>
      </c>
      <c r="X557" s="38">
        <f>SUM(X554:X556)</f>
        <v>7</v>
      </c>
      <c r="Y557" s="38">
        <f>SUM(Y554:Y556)</f>
        <v>13</v>
      </c>
      <c r="Z557" s="33" t="s">
        <v>82</v>
      </c>
      <c r="AA557" s="38">
        <f>SUM(AA554:AA556)</f>
        <v>10</v>
      </c>
      <c r="AB557" s="38">
        <f>SUM(AB554:AB556)</f>
        <v>2</v>
      </c>
      <c r="AC557" s="38">
        <f>SUM(AC554:AC556)</f>
        <v>31</v>
      </c>
      <c r="AD557" s="38">
        <f>SUM(X557:AC557)</f>
        <v>63</v>
      </c>
      <c r="AE557" s="13"/>
      <c r="AF557" s="38">
        <f>SUM(AF554:AF556)</f>
        <v>10</v>
      </c>
      <c r="AG557" s="38">
        <f>SUM(AG554:AG556)</f>
        <v>10</v>
      </c>
      <c r="AH557" s="33" t="s">
        <v>82</v>
      </c>
      <c r="AI557" s="38">
        <f>SUM(AI554:AI556)</f>
        <v>6</v>
      </c>
      <c r="AJ557" s="38">
        <f>SUM(AJ554:AJ556)</f>
        <v>1</v>
      </c>
      <c r="AK557" s="38">
        <f>SUM(AK554:AK556)</f>
        <v>17</v>
      </c>
      <c r="AL557" s="38">
        <f>SUM(AL554:AL556)</f>
        <v>40</v>
      </c>
      <c r="AM557" s="38">
        <f>SUM(AF557:AL557)</f>
        <v>84</v>
      </c>
      <c r="AN557" s="13"/>
      <c r="AO557" s="38">
        <f>SUM(AO554:AO556)</f>
        <v>0</v>
      </c>
      <c r="AP557" s="38">
        <f>SUM(AP554:AP556)</f>
        <v>3</v>
      </c>
      <c r="AQ557" s="38">
        <f>SUM(AQ554:AQ556)</f>
        <v>4</v>
      </c>
      <c r="AR557" s="38">
        <f>SUM(AR554:AR556)</f>
        <v>0</v>
      </c>
      <c r="AS557" s="33" t="s">
        <v>82</v>
      </c>
      <c r="AT557" s="38">
        <f>SUM(AT554:AT556)</f>
        <v>4</v>
      </c>
      <c r="AU557" s="38">
        <f>SUM(AU554:AU556)</f>
        <v>10</v>
      </c>
      <c r="AV557" s="38">
        <f>SUM(AP557:AU557)</f>
        <v>21</v>
      </c>
      <c r="AW557" s="13"/>
      <c r="AX557" s="38">
        <f>SUM(AX554:AX556)</f>
        <v>0</v>
      </c>
      <c r="AY557" s="38">
        <f>SUM(AY554:AY556)</f>
        <v>2</v>
      </c>
      <c r="AZ557" s="33" t="s">
        <v>82</v>
      </c>
      <c r="BA557" s="38">
        <f>SUM(BA554:BA556)</f>
        <v>1</v>
      </c>
      <c r="BB557" s="38">
        <f>SUM(BB554:BB556)</f>
        <v>3</v>
      </c>
      <c r="BC557" s="38">
        <f>SUM(AX557:BB557)</f>
        <v>6</v>
      </c>
      <c r="BD557" s="40">
        <f>BC557/(BC554+BC555+BC556)</f>
        <v>1</v>
      </c>
      <c r="BE557" s="13"/>
      <c r="BF557" s="38"/>
      <c r="BG557" s="42"/>
      <c r="BH557" s="42"/>
      <c r="BI557" s="42"/>
    </row>
    <row r="558" spans="1:61" ht="44.25" customHeight="1">
      <c r="A558" s="43" t="s">
        <v>232</v>
      </c>
      <c r="B558" s="181" t="s">
        <v>233</v>
      </c>
      <c r="C558" s="182"/>
      <c r="D558" s="182"/>
      <c r="E558" s="182"/>
      <c r="F558" s="182"/>
      <c r="G558" s="22"/>
      <c r="H558" s="22"/>
      <c r="I558" s="22"/>
      <c r="J558" s="22"/>
      <c r="K558" s="21"/>
      <c r="L558" s="24"/>
      <c r="M558" s="24"/>
      <c r="N558" s="26"/>
      <c r="O558" s="24"/>
      <c r="P558" s="27"/>
      <c r="Q558" s="28"/>
      <c r="R558" s="28"/>
      <c r="S558" s="28"/>
      <c r="T558" s="26"/>
      <c r="U558" s="24"/>
      <c r="V558" s="27"/>
      <c r="W558" s="28"/>
      <c r="X558" s="28"/>
      <c r="Y558" s="28"/>
      <c r="Z558" s="28"/>
      <c r="AA558" s="28"/>
      <c r="AB558" s="28"/>
      <c r="AC558" s="26"/>
      <c r="AD558" s="24"/>
      <c r="AE558" s="27"/>
      <c r="AF558" s="28"/>
      <c r="AG558" s="28"/>
      <c r="AH558" s="28"/>
      <c r="AI558" s="28"/>
      <c r="AJ558" s="28"/>
      <c r="AK558" s="28"/>
      <c r="AL558" s="26"/>
      <c r="AM558" s="29"/>
      <c r="AN558" s="27"/>
      <c r="AO558" s="26"/>
      <c r="AP558" s="26"/>
      <c r="AQ558" s="26"/>
      <c r="AR558" s="26"/>
      <c r="AS558" s="26"/>
      <c r="AT558" s="26"/>
      <c r="AU558" s="26"/>
      <c r="AV558" s="24"/>
      <c r="AW558" s="27"/>
      <c r="AX558" s="26"/>
      <c r="AY558" s="26"/>
      <c r="AZ558" s="26"/>
      <c r="BA558" s="26"/>
      <c r="BB558" s="26"/>
      <c r="BC558" s="26"/>
      <c r="BD558" s="24"/>
      <c r="BE558" s="27"/>
      <c r="BF558" s="26"/>
      <c r="BG558" s="22"/>
      <c r="BH558" s="21"/>
      <c r="BI558" s="22"/>
    </row>
    <row r="559" spans="1:61" ht="32.5" customHeight="1">
      <c r="A559" s="10"/>
      <c r="B559" s="30" t="s">
        <v>0</v>
      </c>
      <c r="C559" s="30" t="s">
        <v>1</v>
      </c>
      <c r="D559" s="30" t="s">
        <v>2</v>
      </c>
      <c r="E559" s="30" t="s">
        <v>3</v>
      </c>
      <c r="F559" s="30" t="s">
        <v>4</v>
      </c>
      <c r="G559" s="30" t="s">
        <v>5</v>
      </c>
      <c r="H559" s="30" t="s">
        <v>68</v>
      </c>
      <c r="I559" s="30" t="s">
        <v>7</v>
      </c>
      <c r="J559" s="30" t="s">
        <v>8</v>
      </c>
      <c r="K559" s="10" t="s">
        <v>9</v>
      </c>
      <c r="L559" s="10" t="s">
        <v>56</v>
      </c>
      <c r="M559" s="20"/>
      <c r="N559" s="12"/>
      <c r="O559" s="20"/>
      <c r="P559" s="27"/>
      <c r="Q559" s="30" t="s">
        <v>15</v>
      </c>
      <c r="R559" s="30" t="s">
        <v>16</v>
      </c>
      <c r="S559" s="30" t="s">
        <v>28</v>
      </c>
      <c r="T559" s="20"/>
      <c r="U559" s="11"/>
      <c r="V559" s="27"/>
      <c r="W559" s="30" t="s">
        <v>15</v>
      </c>
      <c r="X559" s="30" t="s">
        <v>20</v>
      </c>
      <c r="Y559" s="30" t="s">
        <v>21</v>
      </c>
      <c r="Z559" s="30" t="s">
        <v>22</v>
      </c>
      <c r="AA559" s="30" t="s">
        <v>23</v>
      </c>
      <c r="AB559" s="30" t="s">
        <v>24</v>
      </c>
      <c r="AC559" s="20"/>
      <c r="AD559" s="11"/>
      <c r="AE559" s="27"/>
      <c r="AF559" s="30" t="s">
        <v>20</v>
      </c>
      <c r="AG559" s="30" t="s">
        <v>21</v>
      </c>
      <c r="AH559" s="30" t="s">
        <v>22</v>
      </c>
      <c r="AI559" s="30" t="s">
        <v>23</v>
      </c>
      <c r="AJ559" s="30" t="s">
        <v>24</v>
      </c>
      <c r="AK559" s="30" t="s">
        <v>28</v>
      </c>
      <c r="AL559" s="20"/>
      <c r="AM559" s="44"/>
      <c r="AN559" s="27"/>
      <c r="AO559" s="30" t="s">
        <v>15</v>
      </c>
      <c r="AP559" s="30" t="s">
        <v>20</v>
      </c>
      <c r="AQ559" s="30" t="s">
        <v>21</v>
      </c>
      <c r="AR559" s="30" t="s">
        <v>16</v>
      </c>
      <c r="AS559" s="30" t="s">
        <v>22</v>
      </c>
      <c r="AT559" s="30" t="s">
        <v>24</v>
      </c>
      <c r="AU559" s="20"/>
      <c r="AV559" s="11"/>
      <c r="AW559" s="27"/>
      <c r="AX559" s="30" t="s">
        <v>15</v>
      </c>
      <c r="AY559" s="30" t="s">
        <v>20</v>
      </c>
      <c r="AZ559" s="30" t="s">
        <v>22</v>
      </c>
      <c r="BA559" s="30" t="s">
        <v>24</v>
      </c>
      <c r="BB559" s="30" t="s">
        <v>28</v>
      </c>
      <c r="BC559" s="20"/>
      <c r="BD559" s="11"/>
      <c r="BE559" s="27"/>
      <c r="BF559" s="9" t="s">
        <v>38</v>
      </c>
      <c r="BG559" s="16"/>
      <c r="BH559" s="16"/>
      <c r="BI559" s="16"/>
    </row>
    <row r="560" spans="1:61" ht="20.75" customHeight="1">
      <c r="A560" s="10" t="s">
        <v>97</v>
      </c>
      <c r="B560" s="32" t="s">
        <v>59</v>
      </c>
      <c r="C560" s="32" t="s">
        <v>59</v>
      </c>
      <c r="D560" s="32" t="s">
        <v>59</v>
      </c>
      <c r="E560" s="32">
        <v>0</v>
      </c>
      <c r="F560" s="32" t="s">
        <v>59</v>
      </c>
      <c r="G560" s="32" t="s">
        <v>59</v>
      </c>
      <c r="H560" s="32" t="s">
        <v>59</v>
      </c>
      <c r="I560" s="32">
        <v>1</v>
      </c>
      <c r="J560" s="33">
        <v>2</v>
      </c>
      <c r="K560" s="23">
        <f t="shared" ref="K560:K565" si="380">SUM(B560:J560)</f>
        <v>3</v>
      </c>
      <c r="L560" s="35">
        <f>K560/K566</f>
        <v>5.4545454545454543E-2</v>
      </c>
      <c r="M560" s="35">
        <f>K560/K571</f>
        <v>5.0847457627118647E-2</v>
      </c>
      <c r="N560" s="37"/>
      <c r="O560" s="35"/>
      <c r="P560" s="13"/>
      <c r="Q560" s="33">
        <v>1</v>
      </c>
      <c r="R560" s="9" t="s">
        <v>82</v>
      </c>
      <c r="S560" s="14">
        <v>1</v>
      </c>
      <c r="T560" s="14">
        <f t="shared" ref="T560:T565" si="381">SUM(Q560:S560)</f>
        <v>2</v>
      </c>
      <c r="U560" s="40">
        <f>T560/T566</f>
        <v>0.2</v>
      </c>
      <c r="V560" s="13"/>
      <c r="W560" s="33">
        <v>0</v>
      </c>
      <c r="X560" s="9" t="s">
        <v>82</v>
      </c>
      <c r="Y560" s="9" t="s">
        <v>82</v>
      </c>
      <c r="Z560" s="9" t="s">
        <v>82</v>
      </c>
      <c r="AA560" s="33">
        <v>0</v>
      </c>
      <c r="AB560" s="9" t="s">
        <v>82</v>
      </c>
      <c r="AC560" s="14">
        <f t="shared" ref="AC560:AC565" si="382">SUM(W560:AB560)</f>
        <v>0</v>
      </c>
      <c r="AD560" s="40">
        <f>AC560/AC566</f>
        <v>0</v>
      </c>
      <c r="AE560" s="13"/>
      <c r="AF560" s="9" t="s">
        <v>82</v>
      </c>
      <c r="AG560" s="9" t="s">
        <v>82</v>
      </c>
      <c r="AH560" s="9" t="s">
        <v>82</v>
      </c>
      <c r="AI560" s="33">
        <v>0</v>
      </c>
      <c r="AJ560" s="9" t="s">
        <v>82</v>
      </c>
      <c r="AK560" s="14">
        <v>0</v>
      </c>
      <c r="AL560" s="14">
        <f t="shared" ref="AL560:AL565" si="383">SUM(AF560:AK560)</f>
        <v>0</v>
      </c>
      <c r="AM560" s="40"/>
      <c r="AN560" s="13"/>
      <c r="AO560" s="33">
        <v>0</v>
      </c>
      <c r="AP560" s="9" t="s">
        <v>82</v>
      </c>
      <c r="AQ560" s="9" t="s">
        <v>82</v>
      </c>
      <c r="AR560" s="9" t="s">
        <v>82</v>
      </c>
      <c r="AS560" s="9" t="s">
        <v>82</v>
      </c>
      <c r="AT560" s="9" t="s">
        <v>82</v>
      </c>
      <c r="AU560" s="14">
        <f t="shared" ref="AU560:AU565" si="384">SUM(AO560:AT560)</f>
        <v>0</v>
      </c>
      <c r="AV560" s="40"/>
      <c r="AW560" s="13"/>
      <c r="AX560" s="33">
        <v>0</v>
      </c>
      <c r="AY560" s="9" t="s">
        <v>82</v>
      </c>
      <c r="AZ560" s="9" t="s">
        <v>82</v>
      </c>
      <c r="BA560" s="9" t="s">
        <v>82</v>
      </c>
      <c r="BB560" s="14">
        <v>1</v>
      </c>
      <c r="BC560" s="14">
        <f t="shared" ref="BC560:BC565" si="385">SUM(AX560:BB560)</f>
        <v>1</v>
      </c>
      <c r="BD560" s="40"/>
      <c r="BE560" s="13"/>
      <c r="BF560" s="9" t="s">
        <v>59</v>
      </c>
      <c r="BG560" s="15"/>
      <c r="BH560" s="16"/>
      <c r="BI560" s="15"/>
    </row>
    <row r="561" spans="1:61" ht="20.75" customHeight="1">
      <c r="A561" s="10" t="s">
        <v>98</v>
      </c>
      <c r="B561" s="32" t="s">
        <v>59</v>
      </c>
      <c r="C561" s="32" t="s">
        <v>59</v>
      </c>
      <c r="D561" s="32" t="s">
        <v>59</v>
      </c>
      <c r="E561" s="32">
        <v>0</v>
      </c>
      <c r="F561" s="32" t="s">
        <v>59</v>
      </c>
      <c r="G561" s="32" t="s">
        <v>59</v>
      </c>
      <c r="H561" s="32" t="s">
        <v>59</v>
      </c>
      <c r="I561" s="32">
        <v>0</v>
      </c>
      <c r="J561" s="33">
        <v>1</v>
      </c>
      <c r="K561" s="23">
        <f t="shared" si="380"/>
        <v>1</v>
      </c>
      <c r="L561" s="35">
        <f>K561/K566</f>
        <v>1.8181818181818181E-2</v>
      </c>
      <c r="M561" s="35">
        <f>K561/K571</f>
        <v>1.6949152542372881E-2</v>
      </c>
      <c r="N561" s="37"/>
      <c r="O561" s="35"/>
      <c r="P561" s="13"/>
      <c r="Q561" s="33">
        <v>0</v>
      </c>
      <c r="R561" s="9" t="s">
        <v>82</v>
      </c>
      <c r="S561" s="14">
        <v>0</v>
      </c>
      <c r="T561" s="14">
        <f t="shared" si="381"/>
        <v>0</v>
      </c>
      <c r="U561" s="40">
        <f>T561/T566</f>
        <v>0</v>
      </c>
      <c r="V561" s="13"/>
      <c r="W561" s="33">
        <v>0</v>
      </c>
      <c r="X561" s="9" t="s">
        <v>82</v>
      </c>
      <c r="Y561" s="9" t="s">
        <v>82</v>
      </c>
      <c r="Z561" s="9" t="s">
        <v>82</v>
      </c>
      <c r="AA561" s="33">
        <v>0</v>
      </c>
      <c r="AB561" s="9" t="s">
        <v>82</v>
      </c>
      <c r="AC561" s="14">
        <f t="shared" si="382"/>
        <v>0</v>
      </c>
      <c r="AD561" s="40">
        <f>AC561/AC566</f>
        <v>0</v>
      </c>
      <c r="AE561" s="13"/>
      <c r="AF561" s="9" t="s">
        <v>82</v>
      </c>
      <c r="AG561" s="9" t="s">
        <v>82</v>
      </c>
      <c r="AH561" s="9" t="s">
        <v>82</v>
      </c>
      <c r="AI561" s="33">
        <v>0</v>
      </c>
      <c r="AJ561" s="9" t="s">
        <v>82</v>
      </c>
      <c r="AK561" s="14">
        <v>1</v>
      </c>
      <c r="AL561" s="14">
        <f t="shared" si="383"/>
        <v>1</v>
      </c>
      <c r="AM561" s="40"/>
      <c r="AN561" s="13"/>
      <c r="AO561" s="33">
        <v>0</v>
      </c>
      <c r="AP561" s="9" t="s">
        <v>82</v>
      </c>
      <c r="AQ561" s="9" t="s">
        <v>82</v>
      </c>
      <c r="AR561" s="9" t="s">
        <v>82</v>
      </c>
      <c r="AS561" s="9" t="s">
        <v>82</v>
      </c>
      <c r="AT561" s="9" t="s">
        <v>82</v>
      </c>
      <c r="AU561" s="14">
        <f t="shared" si="384"/>
        <v>0</v>
      </c>
      <c r="AV561" s="40"/>
      <c r="AW561" s="13"/>
      <c r="AX561" s="33">
        <v>0</v>
      </c>
      <c r="AY561" s="9" t="s">
        <v>82</v>
      </c>
      <c r="AZ561" s="9" t="s">
        <v>82</v>
      </c>
      <c r="BA561" s="9" t="s">
        <v>82</v>
      </c>
      <c r="BB561" s="14">
        <v>0</v>
      </c>
      <c r="BC561" s="14">
        <f t="shared" si="385"/>
        <v>0</v>
      </c>
      <c r="BD561" s="40"/>
      <c r="BE561" s="13"/>
      <c r="BF561" s="9" t="s">
        <v>59</v>
      </c>
      <c r="BG561" s="15"/>
      <c r="BH561" s="16"/>
      <c r="BI561" s="15"/>
    </row>
    <row r="562" spans="1:61" ht="20.75" customHeight="1">
      <c r="A562" s="10" t="s">
        <v>99</v>
      </c>
      <c r="B562" s="32" t="s">
        <v>59</v>
      </c>
      <c r="C562" s="32" t="s">
        <v>59</v>
      </c>
      <c r="D562" s="32" t="s">
        <v>59</v>
      </c>
      <c r="E562" s="32">
        <v>0</v>
      </c>
      <c r="F562" s="32" t="s">
        <v>59</v>
      </c>
      <c r="G562" s="32" t="s">
        <v>59</v>
      </c>
      <c r="H562" s="32" t="s">
        <v>59</v>
      </c>
      <c r="I562" s="32">
        <v>0</v>
      </c>
      <c r="J562" s="33">
        <v>2</v>
      </c>
      <c r="K562" s="23">
        <f t="shared" si="380"/>
        <v>2</v>
      </c>
      <c r="L562" s="35">
        <f>K562/K566</f>
        <v>3.6363636363636362E-2</v>
      </c>
      <c r="M562" s="35">
        <f>K562/K571</f>
        <v>3.3898305084745763E-2</v>
      </c>
      <c r="N562" s="37"/>
      <c r="O562" s="35"/>
      <c r="P562" s="13"/>
      <c r="Q562" s="33">
        <v>0</v>
      </c>
      <c r="R562" s="9" t="s">
        <v>82</v>
      </c>
      <c r="S562" s="14">
        <v>0</v>
      </c>
      <c r="T562" s="14">
        <f t="shared" si="381"/>
        <v>0</v>
      </c>
      <c r="U562" s="40">
        <f>T562/T566</f>
        <v>0</v>
      </c>
      <c r="V562" s="13"/>
      <c r="W562" s="33">
        <v>0</v>
      </c>
      <c r="X562" s="9" t="s">
        <v>82</v>
      </c>
      <c r="Y562" s="9" t="s">
        <v>82</v>
      </c>
      <c r="Z562" s="9" t="s">
        <v>82</v>
      </c>
      <c r="AA562" s="33">
        <v>0</v>
      </c>
      <c r="AB562" s="9" t="s">
        <v>82</v>
      </c>
      <c r="AC562" s="14">
        <f t="shared" si="382"/>
        <v>0</v>
      </c>
      <c r="AD562" s="40">
        <f>AC562/AC566</f>
        <v>0</v>
      </c>
      <c r="AE562" s="13"/>
      <c r="AF562" s="9" t="s">
        <v>82</v>
      </c>
      <c r="AG562" s="9" t="s">
        <v>82</v>
      </c>
      <c r="AH562" s="9" t="s">
        <v>82</v>
      </c>
      <c r="AI562" s="33">
        <v>0</v>
      </c>
      <c r="AJ562" s="9" t="s">
        <v>82</v>
      </c>
      <c r="AK562" s="14">
        <v>2</v>
      </c>
      <c r="AL562" s="14">
        <f t="shared" si="383"/>
        <v>2</v>
      </c>
      <c r="AM562" s="40"/>
      <c r="AN562" s="13"/>
      <c r="AO562" s="33">
        <v>0</v>
      </c>
      <c r="AP562" s="9" t="s">
        <v>82</v>
      </c>
      <c r="AQ562" s="9" t="s">
        <v>82</v>
      </c>
      <c r="AR562" s="9" t="s">
        <v>82</v>
      </c>
      <c r="AS562" s="9" t="s">
        <v>82</v>
      </c>
      <c r="AT562" s="9" t="s">
        <v>82</v>
      </c>
      <c r="AU562" s="14">
        <f t="shared" si="384"/>
        <v>0</v>
      </c>
      <c r="AV562" s="40"/>
      <c r="AW562" s="13"/>
      <c r="AX562" s="33">
        <v>0</v>
      </c>
      <c r="AY562" s="9" t="s">
        <v>82</v>
      </c>
      <c r="AZ562" s="9" t="s">
        <v>82</v>
      </c>
      <c r="BA562" s="9" t="s">
        <v>82</v>
      </c>
      <c r="BB562" s="14">
        <v>0</v>
      </c>
      <c r="BC562" s="14">
        <f t="shared" si="385"/>
        <v>0</v>
      </c>
      <c r="BD562" s="40"/>
      <c r="BE562" s="13"/>
      <c r="BF562" s="9" t="s">
        <v>59</v>
      </c>
      <c r="BG562" s="15"/>
      <c r="BH562" s="16"/>
      <c r="BI562" s="15"/>
    </row>
    <row r="563" spans="1:61" ht="20.75" customHeight="1">
      <c r="A563" s="10" t="s">
        <v>100</v>
      </c>
      <c r="B563" s="32" t="s">
        <v>59</v>
      </c>
      <c r="C563" s="32" t="s">
        <v>59</v>
      </c>
      <c r="D563" s="32" t="s">
        <v>59</v>
      </c>
      <c r="E563" s="32">
        <v>2</v>
      </c>
      <c r="F563" s="32" t="s">
        <v>59</v>
      </c>
      <c r="G563" s="32" t="s">
        <v>59</v>
      </c>
      <c r="H563" s="32" t="s">
        <v>59</v>
      </c>
      <c r="I563" s="32">
        <v>2</v>
      </c>
      <c r="J563" s="33">
        <v>2</v>
      </c>
      <c r="K563" s="23">
        <f t="shared" si="380"/>
        <v>6</v>
      </c>
      <c r="L563" s="35">
        <f>K563/K566</f>
        <v>0.10909090909090909</v>
      </c>
      <c r="M563" s="35">
        <f>K563/K571</f>
        <v>0.10169491525423729</v>
      </c>
      <c r="N563" s="37"/>
      <c r="O563" s="35"/>
      <c r="P563" s="13"/>
      <c r="Q563" s="33">
        <v>2</v>
      </c>
      <c r="R563" s="9" t="s">
        <v>82</v>
      </c>
      <c r="S563" s="14">
        <v>0</v>
      </c>
      <c r="T563" s="14">
        <f t="shared" si="381"/>
        <v>2</v>
      </c>
      <c r="U563" s="40">
        <f>T563/T566</f>
        <v>0.2</v>
      </c>
      <c r="V563" s="13"/>
      <c r="W563" s="33">
        <v>0</v>
      </c>
      <c r="X563" s="9" t="s">
        <v>82</v>
      </c>
      <c r="Y563" s="9" t="s">
        <v>82</v>
      </c>
      <c r="Z563" s="9" t="s">
        <v>82</v>
      </c>
      <c r="AA563" s="33">
        <v>1</v>
      </c>
      <c r="AB563" s="9" t="s">
        <v>82</v>
      </c>
      <c r="AC563" s="14">
        <f t="shared" si="382"/>
        <v>1</v>
      </c>
      <c r="AD563" s="40">
        <f>AC563/AC566</f>
        <v>5.8823529411764705E-2</v>
      </c>
      <c r="AE563" s="13"/>
      <c r="AF563" s="9" t="s">
        <v>82</v>
      </c>
      <c r="AG563" s="9" t="s">
        <v>82</v>
      </c>
      <c r="AH563" s="9" t="s">
        <v>82</v>
      </c>
      <c r="AI563" s="33">
        <v>1</v>
      </c>
      <c r="AJ563" s="9" t="s">
        <v>82</v>
      </c>
      <c r="AK563" s="14">
        <v>2</v>
      </c>
      <c r="AL563" s="14">
        <f t="shared" si="383"/>
        <v>3</v>
      </c>
      <c r="AM563" s="40"/>
      <c r="AN563" s="13"/>
      <c r="AO563" s="33">
        <v>0</v>
      </c>
      <c r="AP563" s="9" t="s">
        <v>82</v>
      </c>
      <c r="AQ563" s="9" t="s">
        <v>82</v>
      </c>
      <c r="AR563" s="9" t="s">
        <v>82</v>
      </c>
      <c r="AS563" s="9" t="s">
        <v>82</v>
      </c>
      <c r="AT563" s="9" t="s">
        <v>82</v>
      </c>
      <c r="AU563" s="14">
        <f t="shared" si="384"/>
        <v>0</v>
      </c>
      <c r="AV563" s="40"/>
      <c r="AW563" s="13"/>
      <c r="AX563" s="33">
        <v>0</v>
      </c>
      <c r="AY563" s="9" t="s">
        <v>82</v>
      </c>
      <c r="AZ563" s="9" t="s">
        <v>82</v>
      </c>
      <c r="BA563" s="9" t="s">
        <v>82</v>
      </c>
      <c r="BB563" s="14">
        <v>0</v>
      </c>
      <c r="BC563" s="14">
        <f t="shared" si="385"/>
        <v>0</v>
      </c>
      <c r="BD563" s="40"/>
      <c r="BE563" s="13"/>
      <c r="BF563" s="9" t="s">
        <v>59</v>
      </c>
      <c r="BG563" s="15"/>
      <c r="BH563" s="16"/>
      <c r="BI563" s="15"/>
    </row>
    <row r="564" spans="1:61" ht="32.75" customHeight="1">
      <c r="A564" s="10" t="s">
        <v>101</v>
      </c>
      <c r="B564" s="32" t="s">
        <v>59</v>
      </c>
      <c r="C564" s="32" t="s">
        <v>59</v>
      </c>
      <c r="D564" s="32" t="s">
        <v>59</v>
      </c>
      <c r="E564" s="32">
        <v>4</v>
      </c>
      <c r="F564" s="32" t="s">
        <v>59</v>
      </c>
      <c r="G564" s="32" t="s">
        <v>59</v>
      </c>
      <c r="H564" s="32" t="s">
        <v>59</v>
      </c>
      <c r="I564" s="32">
        <v>11</v>
      </c>
      <c r="J564" s="33">
        <v>7</v>
      </c>
      <c r="K564" s="23">
        <f t="shared" si="380"/>
        <v>22</v>
      </c>
      <c r="L564" s="35">
        <f>K564/K566</f>
        <v>0.4</v>
      </c>
      <c r="M564" s="35">
        <f>K564/K571</f>
        <v>0.3728813559322034</v>
      </c>
      <c r="N564" s="37"/>
      <c r="O564" s="35"/>
      <c r="P564" s="13"/>
      <c r="Q564" s="33">
        <v>4</v>
      </c>
      <c r="R564" s="9" t="s">
        <v>82</v>
      </c>
      <c r="S564" s="14">
        <v>0</v>
      </c>
      <c r="T564" s="14">
        <f t="shared" si="381"/>
        <v>4</v>
      </c>
      <c r="U564" s="40">
        <f>T564/T566</f>
        <v>0.4</v>
      </c>
      <c r="V564" s="13"/>
      <c r="W564" s="33">
        <v>5</v>
      </c>
      <c r="X564" s="9" t="s">
        <v>82</v>
      </c>
      <c r="Y564" s="9" t="s">
        <v>82</v>
      </c>
      <c r="Z564" s="9" t="s">
        <v>82</v>
      </c>
      <c r="AA564" s="33">
        <v>2</v>
      </c>
      <c r="AB564" s="9" t="s">
        <v>82</v>
      </c>
      <c r="AC564" s="14">
        <f t="shared" si="382"/>
        <v>7</v>
      </c>
      <c r="AD564" s="40">
        <f>AC564/AC566</f>
        <v>0.41176470588235292</v>
      </c>
      <c r="AE564" s="13"/>
      <c r="AF564" s="9" t="s">
        <v>82</v>
      </c>
      <c r="AG564" s="9" t="s">
        <v>82</v>
      </c>
      <c r="AH564" s="9" t="s">
        <v>82</v>
      </c>
      <c r="AI564" s="33">
        <v>2</v>
      </c>
      <c r="AJ564" s="9" t="s">
        <v>82</v>
      </c>
      <c r="AK564" s="14">
        <v>7</v>
      </c>
      <c r="AL564" s="14">
        <f t="shared" si="383"/>
        <v>9</v>
      </c>
      <c r="AM564" s="40"/>
      <c r="AN564" s="13"/>
      <c r="AO564" s="33">
        <v>1</v>
      </c>
      <c r="AP564" s="9" t="s">
        <v>82</v>
      </c>
      <c r="AQ564" s="9" t="s">
        <v>82</v>
      </c>
      <c r="AR564" s="9" t="s">
        <v>82</v>
      </c>
      <c r="AS564" s="9" t="s">
        <v>82</v>
      </c>
      <c r="AT564" s="9" t="s">
        <v>82</v>
      </c>
      <c r="AU564" s="14">
        <f t="shared" si="384"/>
        <v>1</v>
      </c>
      <c r="AV564" s="40"/>
      <c r="AW564" s="13"/>
      <c r="AX564" s="33">
        <v>1</v>
      </c>
      <c r="AY564" s="9" t="s">
        <v>82</v>
      </c>
      <c r="AZ564" s="9" t="s">
        <v>82</v>
      </c>
      <c r="BA564" s="9" t="s">
        <v>82</v>
      </c>
      <c r="BB564" s="14">
        <v>0</v>
      </c>
      <c r="BC564" s="14">
        <f t="shared" si="385"/>
        <v>1</v>
      </c>
      <c r="BD564" s="40"/>
      <c r="BE564" s="13"/>
      <c r="BF564" s="9" t="s">
        <v>59</v>
      </c>
      <c r="BG564" s="15"/>
      <c r="BH564" s="16"/>
      <c r="BI564" s="15"/>
    </row>
    <row r="565" spans="1:61" ht="20.75" customHeight="1">
      <c r="A565" s="10" t="s">
        <v>102</v>
      </c>
      <c r="B565" s="32" t="s">
        <v>59</v>
      </c>
      <c r="C565" s="32" t="s">
        <v>59</v>
      </c>
      <c r="D565" s="32" t="s">
        <v>59</v>
      </c>
      <c r="E565" s="32">
        <v>9</v>
      </c>
      <c r="F565" s="32" t="s">
        <v>59</v>
      </c>
      <c r="G565" s="32" t="s">
        <v>59</v>
      </c>
      <c r="H565" s="32" t="s">
        <v>59</v>
      </c>
      <c r="I565" s="32">
        <v>6</v>
      </c>
      <c r="J565" s="33">
        <v>6</v>
      </c>
      <c r="K565" s="23">
        <f t="shared" si="380"/>
        <v>21</v>
      </c>
      <c r="L565" s="35">
        <f>K565/K566</f>
        <v>0.38181818181818183</v>
      </c>
      <c r="M565" s="35">
        <f>K565/K571</f>
        <v>0.3559322033898305</v>
      </c>
      <c r="N565" s="37"/>
      <c r="O565" s="35"/>
      <c r="P565" s="13"/>
      <c r="Q565" s="33">
        <v>2</v>
      </c>
      <c r="R565" s="9" t="s">
        <v>82</v>
      </c>
      <c r="S565" s="14">
        <v>0</v>
      </c>
      <c r="T565" s="14">
        <f t="shared" si="381"/>
        <v>2</v>
      </c>
      <c r="U565" s="40">
        <f>T565/T566</f>
        <v>0.2</v>
      </c>
      <c r="V565" s="13"/>
      <c r="W565" s="33">
        <v>4</v>
      </c>
      <c r="X565" s="9" t="s">
        <v>82</v>
      </c>
      <c r="Y565" s="9" t="s">
        <v>82</v>
      </c>
      <c r="Z565" s="9" t="s">
        <v>82</v>
      </c>
      <c r="AA565" s="33">
        <v>5</v>
      </c>
      <c r="AB565" s="9" t="s">
        <v>82</v>
      </c>
      <c r="AC565" s="14">
        <f t="shared" si="382"/>
        <v>9</v>
      </c>
      <c r="AD565" s="40">
        <f>AC565/AC566</f>
        <v>0.52941176470588236</v>
      </c>
      <c r="AE565" s="13"/>
      <c r="AF565" s="9" t="s">
        <v>82</v>
      </c>
      <c r="AG565" s="9" t="s">
        <v>82</v>
      </c>
      <c r="AH565" s="9" t="s">
        <v>82</v>
      </c>
      <c r="AI565" s="33">
        <v>3</v>
      </c>
      <c r="AJ565" s="9" t="s">
        <v>82</v>
      </c>
      <c r="AK565" s="14">
        <v>4</v>
      </c>
      <c r="AL565" s="14">
        <f t="shared" si="383"/>
        <v>7</v>
      </c>
      <c r="AM565" s="40"/>
      <c r="AN565" s="13"/>
      <c r="AO565" s="33">
        <v>0</v>
      </c>
      <c r="AP565" s="9" t="s">
        <v>82</v>
      </c>
      <c r="AQ565" s="9" t="s">
        <v>82</v>
      </c>
      <c r="AR565" s="9" t="s">
        <v>82</v>
      </c>
      <c r="AS565" s="9" t="s">
        <v>82</v>
      </c>
      <c r="AT565" s="9" t="s">
        <v>82</v>
      </c>
      <c r="AU565" s="14">
        <f t="shared" si="384"/>
        <v>0</v>
      </c>
      <c r="AV565" s="40"/>
      <c r="AW565" s="13"/>
      <c r="AX565" s="33">
        <v>0</v>
      </c>
      <c r="AY565" s="9" t="s">
        <v>82</v>
      </c>
      <c r="AZ565" s="9" t="s">
        <v>82</v>
      </c>
      <c r="BA565" s="9" t="s">
        <v>82</v>
      </c>
      <c r="BB565" s="14">
        <v>2</v>
      </c>
      <c r="BC565" s="14">
        <f t="shared" si="385"/>
        <v>2</v>
      </c>
      <c r="BD565" s="40"/>
      <c r="BE565" s="13"/>
      <c r="BF565" s="9" t="s">
        <v>59</v>
      </c>
      <c r="BG565" s="40"/>
      <c r="BH565" s="32"/>
      <c r="BI565" s="40"/>
    </row>
    <row r="566" spans="1:61" ht="21.75" customHeight="1">
      <c r="A566" s="10" t="s">
        <v>9</v>
      </c>
      <c r="B566" s="32" t="s">
        <v>59</v>
      </c>
      <c r="C566" s="32" t="s">
        <v>59</v>
      </c>
      <c r="D566" s="32" t="s">
        <v>59</v>
      </c>
      <c r="E566" s="32">
        <f>SUM(E560:E565)</f>
        <v>15</v>
      </c>
      <c r="F566" s="32" t="s">
        <v>59</v>
      </c>
      <c r="G566" s="32" t="s">
        <v>59</v>
      </c>
      <c r="H566" s="32" t="s">
        <v>59</v>
      </c>
      <c r="I566" s="32">
        <f>SUM(I560:I565)</f>
        <v>20</v>
      </c>
      <c r="J566" s="32">
        <f>SUM(J560:J565)</f>
        <v>20</v>
      </c>
      <c r="K566" s="23">
        <f>SUM(K560:K565)</f>
        <v>55</v>
      </c>
      <c r="L566" s="35">
        <f>SUM(L560:L565)</f>
        <v>1</v>
      </c>
      <c r="M566" s="35">
        <f>SUM(M560:M565)</f>
        <v>0.93220338983050843</v>
      </c>
      <c r="N566" s="37">
        <f>T566+AC566+AL566+AU566</f>
        <v>50</v>
      </c>
      <c r="O566" s="35">
        <f>N566/K566</f>
        <v>0.90909090909090906</v>
      </c>
      <c r="P566" s="13">
        <f>SUM(P560:P565)</f>
        <v>0</v>
      </c>
      <c r="Q566" s="47">
        <f>SUM(Q560:Q565)</f>
        <v>9</v>
      </c>
      <c r="R566" s="9" t="s">
        <v>82</v>
      </c>
      <c r="S566" s="47">
        <f t="shared" ref="S566:BE566" si="386">SUM(S560:S565)</f>
        <v>1</v>
      </c>
      <c r="T566" s="14">
        <f t="shared" si="386"/>
        <v>10</v>
      </c>
      <c r="U566" s="40">
        <f t="shared" si="386"/>
        <v>1</v>
      </c>
      <c r="V566" s="13">
        <f t="shared" si="386"/>
        <v>0</v>
      </c>
      <c r="W566" s="47">
        <f t="shared" si="386"/>
        <v>9</v>
      </c>
      <c r="X566" s="45">
        <f t="shared" si="386"/>
        <v>0</v>
      </c>
      <c r="Y566" s="45">
        <f t="shared" si="386"/>
        <v>0</v>
      </c>
      <c r="Z566" s="45">
        <f t="shared" si="386"/>
        <v>0</v>
      </c>
      <c r="AA566" s="47">
        <f t="shared" si="386"/>
        <v>8</v>
      </c>
      <c r="AB566" s="45">
        <f t="shared" si="386"/>
        <v>0</v>
      </c>
      <c r="AC566" s="45">
        <f t="shared" si="386"/>
        <v>17</v>
      </c>
      <c r="AD566" s="40">
        <f t="shared" si="386"/>
        <v>1</v>
      </c>
      <c r="AE566" s="13">
        <f t="shared" si="386"/>
        <v>0</v>
      </c>
      <c r="AF566" s="45">
        <f t="shared" si="386"/>
        <v>0</v>
      </c>
      <c r="AG566" s="45">
        <f t="shared" si="386"/>
        <v>0</v>
      </c>
      <c r="AH566" s="45">
        <f t="shared" si="386"/>
        <v>0</v>
      </c>
      <c r="AI566" s="45">
        <f t="shared" si="386"/>
        <v>6</v>
      </c>
      <c r="AJ566" s="45">
        <f t="shared" si="386"/>
        <v>0</v>
      </c>
      <c r="AK566" s="47">
        <f t="shared" si="386"/>
        <v>16</v>
      </c>
      <c r="AL566" s="45">
        <f t="shared" si="386"/>
        <v>22</v>
      </c>
      <c r="AM566" s="40">
        <f t="shared" si="386"/>
        <v>0</v>
      </c>
      <c r="AN566" s="13">
        <f t="shared" si="386"/>
        <v>0</v>
      </c>
      <c r="AO566" s="45">
        <f t="shared" si="386"/>
        <v>1</v>
      </c>
      <c r="AP566" s="45">
        <f t="shared" si="386"/>
        <v>0</v>
      </c>
      <c r="AQ566" s="45">
        <f t="shared" si="386"/>
        <v>0</v>
      </c>
      <c r="AR566" s="45">
        <f t="shared" si="386"/>
        <v>0</v>
      </c>
      <c r="AS566" s="45">
        <f t="shared" si="386"/>
        <v>0</v>
      </c>
      <c r="AT566" s="45">
        <f t="shared" si="386"/>
        <v>0</v>
      </c>
      <c r="AU566" s="45">
        <f t="shared" si="386"/>
        <v>1</v>
      </c>
      <c r="AV566" s="40">
        <f t="shared" si="386"/>
        <v>0</v>
      </c>
      <c r="AW566" s="13">
        <f t="shared" si="386"/>
        <v>0</v>
      </c>
      <c r="AX566" s="45">
        <f t="shared" si="386"/>
        <v>1</v>
      </c>
      <c r="AY566" s="45">
        <f t="shared" si="386"/>
        <v>0</v>
      </c>
      <c r="AZ566" s="45">
        <f t="shared" si="386"/>
        <v>0</v>
      </c>
      <c r="BA566" s="45">
        <f t="shared" si="386"/>
        <v>0</v>
      </c>
      <c r="BB566" s="47">
        <f t="shared" si="386"/>
        <v>3</v>
      </c>
      <c r="BC566" s="45">
        <f t="shared" si="386"/>
        <v>4</v>
      </c>
      <c r="BD566" s="40">
        <f t="shared" si="386"/>
        <v>0</v>
      </c>
      <c r="BE566" s="13">
        <f t="shared" si="386"/>
        <v>0</v>
      </c>
      <c r="BF566" s="38"/>
      <c r="BG566" s="40"/>
      <c r="BH566" s="32"/>
      <c r="BI566" s="40"/>
    </row>
    <row r="567" spans="1:61" ht="21.75" customHeight="1">
      <c r="A567" s="8" t="s">
        <v>198</v>
      </c>
      <c r="B567" s="32" t="s">
        <v>59</v>
      </c>
      <c r="C567" s="32" t="s">
        <v>59</v>
      </c>
      <c r="D567" s="32" t="s">
        <v>59</v>
      </c>
      <c r="E567" s="32">
        <v>0</v>
      </c>
      <c r="F567" s="32" t="s">
        <v>59</v>
      </c>
      <c r="G567" s="32" t="s">
        <v>59</v>
      </c>
      <c r="H567" s="32" t="s">
        <v>59</v>
      </c>
      <c r="I567" s="32">
        <v>0</v>
      </c>
      <c r="J567" s="32">
        <v>0</v>
      </c>
      <c r="K567" s="23">
        <f>SUM(B567:J567)</f>
        <v>0</v>
      </c>
      <c r="L567" s="35">
        <f>K567/(K566+K567+K568)</f>
        <v>0</v>
      </c>
      <c r="M567" s="35">
        <f>K567/K571</f>
        <v>0</v>
      </c>
      <c r="N567" s="37"/>
      <c r="O567" s="35"/>
      <c r="P567" s="13"/>
      <c r="Q567" s="104">
        <v>0</v>
      </c>
      <c r="R567" s="9" t="s">
        <v>82</v>
      </c>
      <c r="S567" s="104">
        <v>0</v>
      </c>
      <c r="T567" s="38">
        <f>SUM(N567:S567)</f>
        <v>0</v>
      </c>
      <c r="U567" s="15">
        <f>T567/T571</f>
        <v>0</v>
      </c>
      <c r="V567" s="13"/>
      <c r="W567" s="104">
        <v>0</v>
      </c>
      <c r="X567" s="58" t="s">
        <v>82</v>
      </c>
      <c r="Y567" s="58" t="s">
        <v>82</v>
      </c>
      <c r="Z567" s="58" t="s">
        <v>82</v>
      </c>
      <c r="AA567" s="104">
        <v>0</v>
      </c>
      <c r="AB567" s="58" t="s">
        <v>82</v>
      </c>
      <c r="AC567" s="51">
        <f>SUM(W567:AB567)</f>
        <v>0</v>
      </c>
      <c r="AD567" s="15">
        <f>AC567/AC571</f>
        <v>0</v>
      </c>
      <c r="AE567" s="13"/>
      <c r="AF567" s="58" t="s">
        <v>82</v>
      </c>
      <c r="AG567" s="58" t="s">
        <v>82</v>
      </c>
      <c r="AH567" s="58" t="s">
        <v>82</v>
      </c>
      <c r="AI567" s="51">
        <v>0</v>
      </c>
      <c r="AJ567" s="58" t="s">
        <v>82</v>
      </c>
      <c r="AK567" s="104">
        <v>0</v>
      </c>
      <c r="AL567" s="51">
        <f>SUM(AE567:AK567)</f>
        <v>0</v>
      </c>
      <c r="AM567" s="15">
        <f>AL567/AL571</f>
        <v>0</v>
      </c>
      <c r="AN567" s="13"/>
      <c r="AO567" s="51">
        <v>0</v>
      </c>
      <c r="AP567" s="58" t="s">
        <v>82</v>
      </c>
      <c r="AQ567" s="58" t="s">
        <v>82</v>
      </c>
      <c r="AR567" s="58" t="s">
        <v>82</v>
      </c>
      <c r="AS567" s="58" t="s">
        <v>82</v>
      </c>
      <c r="AT567" s="58" t="s">
        <v>82</v>
      </c>
      <c r="AU567" s="51">
        <f>SUM(AO567:AT567)</f>
        <v>0</v>
      </c>
      <c r="AV567" s="15">
        <f>AU567/AU571</f>
        <v>0</v>
      </c>
      <c r="AW567" s="13"/>
      <c r="AX567" s="58" t="s">
        <v>82</v>
      </c>
      <c r="AY567" s="58" t="s">
        <v>82</v>
      </c>
      <c r="AZ567" s="58" t="s">
        <v>82</v>
      </c>
      <c r="BA567" s="58" t="s">
        <v>82</v>
      </c>
      <c r="BB567" s="104">
        <v>0</v>
      </c>
      <c r="BC567" s="51">
        <f>SUM(AX567:BB567)</f>
        <v>0</v>
      </c>
      <c r="BD567" s="15">
        <f>BC567/BC571</f>
        <v>0</v>
      </c>
      <c r="BE567" s="13"/>
      <c r="BF567" s="38"/>
      <c r="BG567" s="42"/>
      <c r="BH567" s="42"/>
      <c r="BI567" s="42"/>
    </row>
    <row r="568" spans="1:61" ht="32.25" customHeight="1">
      <c r="A568" s="131" t="s">
        <v>199</v>
      </c>
      <c r="B568" s="32" t="s">
        <v>59</v>
      </c>
      <c r="C568" s="32" t="s">
        <v>59</v>
      </c>
      <c r="D568" s="32" t="s">
        <v>59</v>
      </c>
      <c r="E568" s="32">
        <v>1</v>
      </c>
      <c r="F568" s="32" t="s">
        <v>59</v>
      </c>
      <c r="G568" s="32" t="s">
        <v>59</v>
      </c>
      <c r="H568" s="32" t="s">
        <v>59</v>
      </c>
      <c r="I568" s="32">
        <v>0</v>
      </c>
      <c r="J568" s="32">
        <v>1</v>
      </c>
      <c r="K568" s="23">
        <f>SUM(B568:J568)</f>
        <v>2</v>
      </c>
      <c r="L568" s="35">
        <f>K568/(K567+K568+K566)</f>
        <v>3.5087719298245612E-2</v>
      </c>
      <c r="M568" s="35">
        <f>K568/K571</f>
        <v>3.3898305084745763E-2</v>
      </c>
      <c r="N568" s="23"/>
      <c r="O568" s="35"/>
      <c r="P568" s="13"/>
      <c r="Q568" s="38">
        <v>0</v>
      </c>
      <c r="R568" s="9" t="s">
        <v>82</v>
      </c>
      <c r="S568" s="38">
        <v>1</v>
      </c>
      <c r="T568" s="38">
        <f>SUM(N568:S568)</f>
        <v>1</v>
      </c>
      <c r="U568" s="15">
        <f>T568/T571</f>
        <v>9.0909090909090912E-2</v>
      </c>
      <c r="V568" s="13"/>
      <c r="W568" s="38">
        <v>0</v>
      </c>
      <c r="X568" s="9" t="s">
        <v>82</v>
      </c>
      <c r="Y568" s="9" t="s">
        <v>82</v>
      </c>
      <c r="Z568" s="9" t="s">
        <v>82</v>
      </c>
      <c r="AA568" s="38">
        <v>0</v>
      </c>
      <c r="AB568" s="9" t="s">
        <v>82</v>
      </c>
      <c r="AC568" s="38">
        <f>SUM(W568:AB568)</f>
        <v>0</v>
      </c>
      <c r="AD568" s="15">
        <f>AC568/AC571</f>
        <v>0</v>
      </c>
      <c r="AE568" s="13"/>
      <c r="AF568" s="9" t="s">
        <v>82</v>
      </c>
      <c r="AG568" s="9" t="s">
        <v>82</v>
      </c>
      <c r="AH568" s="9" t="s">
        <v>82</v>
      </c>
      <c r="AI568" s="38">
        <v>0</v>
      </c>
      <c r="AJ568" s="9" t="s">
        <v>82</v>
      </c>
      <c r="AK568" s="38">
        <v>0</v>
      </c>
      <c r="AL568" s="38">
        <f>SUM(AE568:AK568)</f>
        <v>0</v>
      </c>
      <c r="AM568" s="15">
        <f>AL568/AL571</f>
        <v>0</v>
      </c>
      <c r="AN568" s="13"/>
      <c r="AO568" s="38">
        <v>0</v>
      </c>
      <c r="AP568" s="9" t="s">
        <v>82</v>
      </c>
      <c r="AQ568" s="9" t="s">
        <v>82</v>
      </c>
      <c r="AR568" s="9" t="s">
        <v>82</v>
      </c>
      <c r="AS568" s="9" t="s">
        <v>82</v>
      </c>
      <c r="AT568" s="9" t="s">
        <v>82</v>
      </c>
      <c r="AU568" s="38">
        <f>SUM(AO568:AT568)</f>
        <v>0</v>
      </c>
      <c r="AV568" s="15">
        <f>AU568/AU571</f>
        <v>0</v>
      </c>
      <c r="AW568" s="13"/>
      <c r="AX568" s="9" t="s">
        <v>82</v>
      </c>
      <c r="AY568" s="9" t="s">
        <v>82</v>
      </c>
      <c r="AZ568" s="9" t="s">
        <v>82</v>
      </c>
      <c r="BA568" s="9" t="s">
        <v>82</v>
      </c>
      <c r="BB568" s="38">
        <v>0</v>
      </c>
      <c r="BC568" s="38">
        <f>SUM(AX568:BB568)</f>
        <v>0</v>
      </c>
      <c r="BD568" s="15">
        <f>BC568/BC571</f>
        <v>0</v>
      </c>
      <c r="BE568" s="13"/>
      <c r="BF568" s="38"/>
      <c r="BG568" s="32"/>
      <c r="BH568" s="32"/>
      <c r="BI568" s="32"/>
    </row>
    <row r="569" spans="1:61" ht="20.25" customHeight="1">
      <c r="A569" s="132" t="s">
        <v>200</v>
      </c>
      <c r="B569" s="32" t="s">
        <v>59</v>
      </c>
      <c r="C569" s="32" t="s">
        <v>59</v>
      </c>
      <c r="D569" s="32" t="s">
        <v>59</v>
      </c>
      <c r="E569" s="32">
        <v>0</v>
      </c>
      <c r="F569" s="32" t="s">
        <v>59</v>
      </c>
      <c r="G569" s="32" t="s">
        <v>59</v>
      </c>
      <c r="H569" s="32" t="s">
        <v>59</v>
      </c>
      <c r="I569" s="32">
        <v>0</v>
      </c>
      <c r="J569" s="32">
        <v>0</v>
      </c>
      <c r="K569" s="23">
        <f>SUM(B569:J569)</f>
        <v>0</v>
      </c>
      <c r="L569" s="35">
        <f>K569/(K568+K569+K570+K567+K566)</f>
        <v>0</v>
      </c>
      <c r="M569" s="35">
        <f>K569/K571</f>
        <v>0</v>
      </c>
      <c r="N569" s="37"/>
      <c r="O569" s="35"/>
      <c r="P569" s="13"/>
      <c r="Q569" s="38">
        <v>0</v>
      </c>
      <c r="R569" s="9" t="s">
        <v>82</v>
      </c>
      <c r="S569" s="38">
        <v>0</v>
      </c>
      <c r="T569" s="38">
        <f>SUM(N569:S569)</f>
        <v>0</v>
      </c>
      <c r="U569" s="15">
        <f>T569/T571</f>
        <v>0</v>
      </c>
      <c r="V569" s="13"/>
      <c r="W569" s="14">
        <v>0</v>
      </c>
      <c r="X569" s="9" t="s">
        <v>82</v>
      </c>
      <c r="Y569" s="9" t="s">
        <v>82</v>
      </c>
      <c r="Z569" s="9" t="s">
        <v>82</v>
      </c>
      <c r="AA569" s="14">
        <v>0</v>
      </c>
      <c r="AB569" s="9" t="s">
        <v>82</v>
      </c>
      <c r="AC569" s="38">
        <f>SUM(W569:AB569)</f>
        <v>0</v>
      </c>
      <c r="AD569" s="15">
        <f>AC569/AC571</f>
        <v>0</v>
      </c>
      <c r="AE569" s="13"/>
      <c r="AF569" s="9" t="s">
        <v>82</v>
      </c>
      <c r="AG569" s="9" t="s">
        <v>82</v>
      </c>
      <c r="AH569" s="9" t="s">
        <v>82</v>
      </c>
      <c r="AI569" s="14">
        <v>0</v>
      </c>
      <c r="AJ569" s="9" t="s">
        <v>82</v>
      </c>
      <c r="AK569" s="38">
        <v>0</v>
      </c>
      <c r="AL569" s="38">
        <f>SUM(AE569:AK569)</f>
        <v>0</v>
      </c>
      <c r="AM569" s="15">
        <f>AL569/AL571</f>
        <v>0</v>
      </c>
      <c r="AN569" s="13"/>
      <c r="AO569" s="38">
        <v>0</v>
      </c>
      <c r="AP569" s="9" t="s">
        <v>82</v>
      </c>
      <c r="AQ569" s="9" t="s">
        <v>82</v>
      </c>
      <c r="AR569" s="9" t="s">
        <v>82</v>
      </c>
      <c r="AS569" s="9" t="s">
        <v>82</v>
      </c>
      <c r="AT569" s="9" t="s">
        <v>82</v>
      </c>
      <c r="AU569" s="38">
        <f>SUM(AO569:AT569)</f>
        <v>0</v>
      </c>
      <c r="AV569" s="15">
        <f>AU569/AU571</f>
        <v>0</v>
      </c>
      <c r="AW569" s="13"/>
      <c r="AX569" s="9" t="s">
        <v>82</v>
      </c>
      <c r="AY569" s="9" t="s">
        <v>82</v>
      </c>
      <c r="AZ569" s="9" t="s">
        <v>82</v>
      </c>
      <c r="BA569" s="9" t="s">
        <v>82</v>
      </c>
      <c r="BB569" s="38">
        <v>0</v>
      </c>
      <c r="BC569" s="38">
        <f>SUM(AX569:BB569)</f>
        <v>0</v>
      </c>
      <c r="BD569" s="15">
        <f>BC569/BC571</f>
        <v>0</v>
      </c>
      <c r="BE569" s="13"/>
      <c r="BF569" s="38"/>
      <c r="BG569" s="32"/>
      <c r="BH569" s="32"/>
      <c r="BI569" s="32"/>
    </row>
    <row r="570" spans="1:61" ht="33.75" customHeight="1">
      <c r="A570" s="8" t="s">
        <v>201</v>
      </c>
      <c r="B570" s="32" t="s">
        <v>59</v>
      </c>
      <c r="C570" s="32" t="s">
        <v>59</v>
      </c>
      <c r="D570" s="32" t="s">
        <v>59</v>
      </c>
      <c r="E570" s="32">
        <v>1</v>
      </c>
      <c r="F570" s="32" t="s">
        <v>59</v>
      </c>
      <c r="G570" s="32" t="s">
        <v>59</v>
      </c>
      <c r="H570" s="32" t="s">
        <v>59</v>
      </c>
      <c r="I570" s="32">
        <v>0</v>
      </c>
      <c r="J570" s="32">
        <v>1</v>
      </c>
      <c r="K570" s="23">
        <f>SUM(B570:J570)</f>
        <v>2</v>
      </c>
      <c r="L570" s="35">
        <f>K570/(K569+K570+K568+K567+K566)</f>
        <v>3.3898305084745763E-2</v>
      </c>
      <c r="M570" s="35">
        <f>K570/K571</f>
        <v>3.3898305084745763E-2</v>
      </c>
      <c r="N570" s="37"/>
      <c r="O570" s="35"/>
      <c r="P570" s="13"/>
      <c r="Q570" s="38">
        <v>0</v>
      </c>
      <c r="R570" s="9" t="s">
        <v>82</v>
      </c>
      <c r="S570" s="38">
        <v>0</v>
      </c>
      <c r="T570" s="38">
        <f>SUM(N570:S570)</f>
        <v>0</v>
      </c>
      <c r="U570" s="15">
        <f>T570/T571</f>
        <v>0</v>
      </c>
      <c r="V570" s="13"/>
      <c r="W570" s="47">
        <v>0</v>
      </c>
      <c r="X570" s="9" t="s">
        <v>82</v>
      </c>
      <c r="Y570" s="9" t="s">
        <v>82</v>
      </c>
      <c r="Z570" s="9" t="s">
        <v>82</v>
      </c>
      <c r="AA570" s="47">
        <v>0</v>
      </c>
      <c r="AB570" s="9" t="s">
        <v>82</v>
      </c>
      <c r="AC570" s="38">
        <f>SUM(W570:AB570)</f>
        <v>0</v>
      </c>
      <c r="AD570" s="15">
        <f>AC570/AC571</f>
        <v>0</v>
      </c>
      <c r="AE570" s="13"/>
      <c r="AF570" s="9" t="s">
        <v>82</v>
      </c>
      <c r="AG570" s="9" t="s">
        <v>82</v>
      </c>
      <c r="AH570" s="9" t="s">
        <v>82</v>
      </c>
      <c r="AI570" s="14">
        <v>0</v>
      </c>
      <c r="AJ570" s="9" t="s">
        <v>82</v>
      </c>
      <c r="AK570" s="38">
        <v>1</v>
      </c>
      <c r="AL570" s="38">
        <f>SUM(AE570:AK570)</f>
        <v>1</v>
      </c>
      <c r="AM570" s="15">
        <f>AL570/AL571</f>
        <v>4.3478260869565216E-2</v>
      </c>
      <c r="AN570" s="13"/>
      <c r="AO570" s="38">
        <v>0</v>
      </c>
      <c r="AP570" s="9" t="s">
        <v>82</v>
      </c>
      <c r="AQ570" s="9" t="s">
        <v>82</v>
      </c>
      <c r="AR570" s="55" t="s">
        <v>82</v>
      </c>
      <c r="AS570" s="55" t="s">
        <v>82</v>
      </c>
      <c r="AT570" s="9" t="s">
        <v>82</v>
      </c>
      <c r="AU570" s="38">
        <f>SUM(AO570:AT570)</f>
        <v>0</v>
      </c>
      <c r="AV570" s="15">
        <f>AU570/AU571</f>
        <v>0</v>
      </c>
      <c r="AW570" s="13"/>
      <c r="AX570" s="9" t="s">
        <v>82</v>
      </c>
      <c r="AY570" s="9" t="s">
        <v>82</v>
      </c>
      <c r="AZ570" s="9" t="s">
        <v>82</v>
      </c>
      <c r="BA570" s="9" t="s">
        <v>82</v>
      </c>
      <c r="BB570" s="38">
        <v>0</v>
      </c>
      <c r="BC570" s="38">
        <f>SUM(AX570:BB570)</f>
        <v>0</v>
      </c>
      <c r="BD570" s="15">
        <f>BC570/BC571</f>
        <v>0</v>
      </c>
      <c r="BE570" s="13"/>
      <c r="BF570" s="38"/>
      <c r="BG570" s="32"/>
      <c r="BH570" s="32"/>
      <c r="BI570" s="32"/>
    </row>
    <row r="571" spans="1:61" ht="21.5" customHeight="1">
      <c r="A571" s="10" t="s">
        <v>66</v>
      </c>
      <c r="B571" s="32" t="s">
        <v>59</v>
      </c>
      <c r="C571" s="32" t="s">
        <v>59</v>
      </c>
      <c r="D571" s="32" t="s">
        <v>59</v>
      </c>
      <c r="E571" s="32">
        <f>SUM(E566:E570)</f>
        <v>17</v>
      </c>
      <c r="F571" s="32" t="s">
        <v>59</v>
      </c>
      <c r="G571" s="32" t="s">
        <v>59</v>
      </c>
      <c r="H571" s="32" t="s">
        <v>59</v>
      </c>
      <c r="I571" s="32">
        <f>SUM(I566:I570)</f>
        <v>20</v>
      </c>
      <c r="J571" s="32">
        <f>SUM(J566:J570)</f>
        <v>22</v>
      </c>
      <c r="K571" s="23">
        <f>SUM(B571:J571)</f>
        <v>59</v>
      </c>
      <c r="L571" s="35">
        <f>K571/(K570+K569+K568+K567+K566)</f>
        <v>1</v>
      </c>
      <c r="M571" s="35">
        <f>K571/(K570+K569+K568+K567+K566)</f>
        <v>1</v>
      </c>
      <c r="N571" s="37">
        <f>T571+AC571+AL571+AU571</f>
        <v>52</v>
      </c>
      <c r="O571" s="35">
        <f>N571/K571</f>
        <v>0.88135593220338981</v>
      </c>
      <c r="P571" s="13"/>
      <c r="Q571" s="38">
        <f>SUM(Q566:Q570)</f>
        <v>9</v>
      </c>
      <c r="R571" s="38">
        <f>SUM(R566:R570)</f>
        <v>0</v>
      </c>
      <c r="S571" s="38">
        <f>SUM(S566:S570)</f>
        <v>2</v>
      </c>
      <c r="T571" s="38">
        <f>SUM(T566:T570)</f>
        <v>11</v>
      </c>
      <c r="U571" s="40">
        <f>T571/(T568+T569+T570+T567+T566)</f>
        <v>1</v>
      </c>
      <c r="V571" s="13"/>
      <c r="W571" s="104">
        <f t="shared" ref="W571:AC571" si="387">SUM(W566:W570)</f>
        <v>9</v>
      </c>
      <c r="X571" s="38">
        <f t="shared" si="387"/>
        <v>0</v>
      </c>
      <c r="Y571" s="38">
        <f t="shared" si="387"/>
        <v>0</v>
      </c>
      <c r="Z571" s="38">
        <f t="shared" si="387"/>
        <v>0</v>
      </c>
      <c r="AA571" s="104">
        <f t="shared" si="387"/>
        <v>8</v>
      </c>
      <c r="AB571" s="38">
        <f t="shared" si="387"/>
        <v>0</v>
      </c>
      <c r="AC571" s="38">
        <f t="shared" si="387"/>
        <v>17</v>
      </c>
      <c r="AD571" s="40">
        <f>AC571/(AC568+AC569+AC570+AC567+AC566)</f>
        <v>1</v>
      </c>
      <c r="AE571" s="13"/>
      <c r="AF571" s="38">
        <f t="shared" ref="AF571:AL571" si="388">SUM(AF566:AF570)</f>
        <v>0</v>
      </c>
      <c r="AG571" s="38">
        <f t="shared" si="388"/>
        <v>0</v>
      </c>
      <c r="AH571" s="38">
        <f t="shared" si="388"/>
        <v>0</v>
      </c>
      <c r="AI571" s="38">
        <f t="shared" si="388"/>
        <v>6</v>
      </c>
      <c r="AJ571" s="38">
        <f t="shared" si="388"/>
        <v>0</v>
      </c>
      <c r="AK571" s="38">
        <f t="shared" si="388"/>
        <v>17</v>
      </c>
      <c r="AL571" s="38">
        <f t="shared" si="388"/>
        <v>23</v>
      </c>
      <c r="AM571" s="40">
        <f>AL571/(AL568+AL569+AL570+AL567+AL566)</f>
        <v>1</v>
      </c>
      <c r="AN571" s="13"/>
      <c r="AO571" s="38">
        <f t="shared" ref="AO571:AU571" si="389">SUM(AO566:AO570)</f>
        <v>1</v>
      </c>
      <c r="AP571" s="38">
        <f t="shared" si="389"/>
        <v>0</v>
      </c>
      <c r="AQ571" s="38">
        <f t="shared" si="389"/>
        <v>0</v>
      </c>
      <c r="AR571" s="51">
        <f t="shared" si="389"/>
        <v>0</v>
      </c>
      <c r="AS571" s="51">
        <f t="shared" si="389"/>
        <v>0</v>
      </c>
      <c r="AT571" s="38">
        <f t="shared" si="389"/>
        <v>0</v>
      </c>
      <c r="AU571" s="38">
        <f t="shared" si="389"/>
        <v>1</v>
      </c>
      <c r="AV571" s="40">
        <f>AU571/(AU568+AU569+AU570+AU567+AU566)</f>
        <v>1</v>
      </c>
      <c r="AW571" s="13"/>
      <c r="AX571" s="38">
        <f t="shared" ref="AX571:BC571" si="390">SUM(AX566:AX570)</f>
        <v>1</v>
      </c>
      <c r="AY571" s="38">
        <f t="shared" si="390"/>
        <v>0</v>
      </c>
      <c r="AZ571" s="38">
        <f t="shared" si="390"/>
        <v>0</v>
      </c>
      <c r="BA571" s="38">
        <f t="shared" si="390"/>
        <v>0</v>
      </c>
      <c r="BB571" s="38">
        <f t="shared" si="390"/>
        <v>3</v>
      </c>
      <c r="BC571" s="38">
        <f t="shared" si="390"/>
        <v>4</v>
      </c>
      <c r="BD571" s="40">
        <f>BC571/(BC568+BC569+BC570+BC567+BC566)</f>
        <v>1</v>
      </c>
      <c r="BE571" s="13"/>
      <c r="BF571" s="38"/>
      <c r="BG571" s="42"/>
      <c r="BH571" s="42"/>
      <c r="BI571" s="42"/>
    </row>
    <row r="572" spans="1:61" ht="27.25" customHeight="1">
      <c r="A572" s="137" t="s">
        <v>234</v>
      </c>
      <c r="B572" s="138"/>
      <c r="C572" s="138"/>
      <c r="D572" s="138"/>
      <c r="E572" s="138"/>
      <c r="F572" s="138"/>
      <c r="G572" s="138"/>
      <c r="H572" s="138"/>
      <c r="I572" s="138"/>
      <c r="J572" s="138"/>
      <c r="K572" s="138"/>
      <c r="L572" s="27"/>
      <c r="M572" s="27"/>
      <c r="N572" s="139"/>
      <c r="O572" s="27"/>
      <c r="P572" s="13"/>
      <c r="Q572" s="140"/>
      <c r="R572" s="140"/>
      <c r="S572" s="140"/>
      <c r="T572" s="140"/>
      <c r="U572" s="13"/>
      <c r="V572" s="13"/>
      <c r="W572" s="140"/>
      <c r="X572" s="140"/>
      <c r="Y572" s="140"/>
      <c r="Z572" s="140"/>
      <c r="AA572" s="140"/>
      <c r="AB572" s="140"/>
      <c r="AC572" s="140"/>
      <c r="AD572" s="13"/>
      <c r="AE572" s="13"/>
      <c r="AF572" s="140"/>
      <c r="AG572" s="140"/>
      <c r="AH572" s="140"/>
      <c r="AI572" s="140"/>
      <c r="AJ572" s="140"/>
      <c r="AK572" s="140"/>
      <c r="AL572" s="140"/>
      <c r="AM572" s="141"/>
      <c r="AN572" s="13"/>
      <c r="AO572" s="140"/>
      <c r="AP572" s="140"/>
      <c r="AQ572" s="140"/>
      <c r="AR572" s="140"/>
      <c r="AS572" s="140"/>
      <c r="AT572" s="140"/>
      <c r="AU572" s="140"/>
      <c r="AV572" s="13"/>
      <c r="AW572" s="13"/>
      <c r="AX572" s="140"/>
      <c r="AY572" s="140"/>
      <c r="AZ572" s="140"/>
      <c r="BA572" s="140"/>
      <c r="BB572" s="140"/>
      <c r="BC572" s="140"/>
      <c r="BD572" s="13"/>
      <c r="BE572" s="13"/>
      <c r="BF572" s="140"/>
      <c r="BG572" s="138"/>
      <c r="BH572" s="138"/>
      <c r="BI572" s="138"/>
    </row>
    <row r="573" spans="1:61" ht="46.25" customHeight="1">
      <c r="A573" s="142" t="s">
        <v>235</v>
      </c>
      <c r="B573" s="138"/>
      <c r="C573" s="138"/>
      <c r="D573" s="138"/>
      <c r="E573" s="138"/>
      <c r="F573" s="138"/>
      <c r="G573" s="138"/>
      <c r="H573" s="138"/>
      <c r="I573" s="138"/>
      <c r="J573" s="138"/>
      <c r="K573" s="138"/>
      <c r="L573" s="27"/>
      <c r="M573" s="27"/>
      <c r="N573" s="139"/>
      <c r="O573" s="27"/>
      <c r="P573" s="13"/>
      <c r="Q573" s="140"/>
      <c r="R573" s="140"/>
      <c r="S573" s="140"/>
      <c r="T573" s="140"/>
      <c r="U573" s="13"/>
      <c r="V573" s="13"/>
      <c r="W573" s="140"/>
      <c r="X573" s="140"/>
      <c r="Y573" s="140"/>
      <c r="Z573" s="140"/>
      <c r="AA573" s="140"/>
      <c r="AB573" s="140"/>
      <c r="AC573" s="140"/>
      <c r="AD573" s="13"/>
      <c r="AE573" s="13"/>
      <c r="AF573" s="140"/>
      <c r="AG573" s="140"/>
      <c r="AH573" s="140"/>
      <c r="AI573" s="140"/>
      <c r="AJ573" s="140"/>
      <c r="AK573" s="140"/>
      <c r="AL573" s="140"/>
      <c r="AM573" s="141"/>
      <c r="AN573" s="13"/>
      <c r="AO573" s="140"/>
      <c r="AP573" s="140"/>
      <c r="AQ573" s="140"/>
      <c r="AR573" s="140"/>
      <c r="AS573" s="140"/>
      <c r="AT573" s="140"/>
      <c r="AU573" s="140"/>
      <c r="AV573" s="13"/>
      <c r="AW573" s="13"/>
      <c r="AX573" s="140"/>
      <c r="AY573" s="140"/>
      <c r="AZ573" s="140"/>
      <c r="BA573" s="140"/>
      <c r="BB573" s="140"/>
      <c r="BC573" s="140"/>
      <c r="BD573" s="13"/>
      <c r="BE573" s="13"/>
      <c r="BF573" s="140"/>
      <c r="BG573" s="138"/>
      <c r="BH573" s="138"/>
      <c r="BI573" s="138"/>
    </row>
    <row r="574" spans="1:61" ht="80.25" customHeight="1">
      <c r="A574" s="43" t="s">
        <v>236</v>
      </c>
      <c r="B574" s="181" t="s">
        <v>237</v>
      </c>
      <c r="C574" s="182"/>
      <c r="D574" s="182"/>
      <c r="E574" s="182"/>
      <c r="F574" s="182"/>
      <c r="G574" s="22"/>
      <c r="H574" s="22"/>
      <c r="I574" s="22"/>
      <c r="J574" s="22"/>
      <c r="K574" s="21"/>
      <c r="L574" s="24"/>
      <c r="M574" s="24"/>
      <c r="N574" s="26"/>
      <c r="O574" s="24"/>
      <c r="P574" s="27"/>
      <c r="Q574" s="28"/>
      <c r="R574" s="28"/>
      <c r="S574" s="28"/>
      <c r="T574" s="26"/>
      <c r="U574" s="24"/>
      <c r="V574" s="27"/>
      <c r="W574" s="28"/>
      <c r="X574" s="28"/>
      <c r="Y574" s="28"/>
      <c r="Z574" s="28"/>
      <c r="AA574" s="28"/>
      <c r="AB574" s="28"/>
      <c r="AC574" s="26"/>
      <c r="AD574" s="24"/>
      <c r="AE574" s="27"/>
      <c r="AF574" s="28"/>
      <c r="AG574" s="28"/>
      <c r="AH574" s="28"/>
      <c r="AI574" s="28"/>
      <c r="AJ574" s="28"/>
      <c r="AK574" s="28"/>
      <c r="AL574" s="26"/>
      <c r="AM574" s="29"/>
      <c r="AN574" s="27"/>
      <c r="AO574" s="26"/>
      <c r="AP574" s="26"/>
      <c r="AQ574" s="26"/>
      <c r="AR574" s="26"/>
      <c r="AS574" s="26"/>
      <c r="AT574" s="26"/>
      <c r="AU574" s="26"/>
      <c r="AV574" s="24"/>
      <c r="AW574" s="27"/>
      <c r="AX574" s="26"/>
      <c r="AY574" s="26"/>
      <c r="AZ574" s="26"/>
      <c r="BA574" s="26"/>
      <c r="BB574" s="26"/>
      <c r="BC574" s="26"/>
      <c r="BD574" s="24"/>
      <c r="BE574" s="27"/>
      <c r="BF574" s="26"/>
      <c r="BG574" s="22"/>
      <c r="BH574" s="21"/>
      <c r="BI574" s="22"/>
    </row>
    <row r="575" spans="1:61" ht="32.5" customHeight="1">
      <c r="A575" s="143"/>
      <c r="B575" s="144" t="s">
        <v>0</v>
      </c>
      <c r="C575" s="144" t="s">
        <v>1</v>
      </c>
      <c r="D575" s="144" t="s">
        <v>2</v>
      </c>
      <c r="E575" s="144" t="s">
        <v>3</v>
      </c>
      <c r="F575" s="144" t="s">
        <v>4</v>
      </c>
      <c r="G575" s="144" t="s">
        <v>5</v>
      </c>
      <c r="H575" s="144" t="s">
        <v>68</v>
      </c>
      <c r="I575" s="144" t="s">
        <v>7</v>
      </c>
      <c r="J575" s="144" t="s">
        <v>8</v>
      </c>
      <c r="K575" s="143" t="s">
        <v>9</v>
      </c>
      <c r="L575" s="143" t="s">
        <v>56</v>
      </c>
      <c r="M575" s="145"/>
      <c r="N575" s="146"/>
      <c r="O575" s="145"/>
      <c r="P575" s="147"/>
      <c r="Q575" s="144" t="s">
        <v>15</v>
      </c>
      <c r="R575" s="144" t="s">
        <v>16</v>
      </c>
      <c r="S575" s="144" t="s">
        <v>28</v>
      </c>
      <c r="T575" s="145"/>
      <c r="U575" s="148"/>
      <c r="V575" s="147"/>
      <c r="W575" s="144" t="s">
        <v>15</v>
      </c>
      <c r="X575" s="144" t="s">
        <v>20</v>
      </c>
      <c r="Y575" s="144" t="s">
        <v>21</v>
      </c>
      <c r="Z575" s="144" t="s">
        <v>22</v>
      </c>
      <c r="AA575" s="144" t="s">
        <v>23</v>
      </c>
      <c r="AB575" s="144" t="s">
        <v>24</v>
      </c>
      <c r="AC575" s="145"/>
      <c r="AD575" s="148"/>
      <c r="AE575" s="147"/>
      <c r="AF575" s="144" t="s">
        <v>20</v>
      </c>
      <c r="AG575" s="144" t="s">
        <v>21</v>
      </c>
      <c r="AH575" s="144" t="s">
        <v>22</v>
      </c>
      <c r="AI575" s="144" t="s">
        <v>23</v>
      </c>
      <c r="AJ575" s="144" t="s">
        <v>24</v>
      </c>
      <c r="AK575" s="144" t="s">
        <v>28</v>
      </c>
      <c r="AL575" s="145"/>
      <c r="AM575" s="149"/>
      <c r="AN575" s="147"/>
      <c r="AO575" s="144" t="s">
        <v>15</v>
      </c>
      <c r="AP575" s="144" t="s">
        <v>20</v>
      </c>
      <c r="AQ575" s="144" t="s">
        <v>21</v>
      </c>
      <c r="AR575" s="144" t="s">
        <v>16</v>
      </c>
      <c r="AS575" s="144" t="s">
        <v>22</v>
      </c>
      <c r="AT575" s="144" t="s">
        <v>24</v>
      </c>
      <c r="AU575" s="145"/>
      <c r="AV575" s="148"/>
      <c r="AW575" s="147"/>
      <c r="AX575" s="144" t="s">
        <v>15</v>
      </c>
      <c r="AY575" s="144" t="s">
        <v>20</v>
      </c>
      <c r="AZ575" s="144" t="s">
        <v>22</v>
      </c>
      <c r="BA575" s="144" t="s">
        <v>24</v>
      </c>
      <c r="BB575" s="144" t="s">
        <v>28</v>
      </c>
      <c r="BC575" s="145"/>
      <c r="BD575" s="148"/>
      <c r="BE575" s="147"/>
      <c r="BF575" s="150" t="s">
        <v>38</v>
      </c>
      <c r="BG575" s="151"/>
      <c r="BH575" s="151"/>
      <c r="BI575" s="151"/>
    </row>
    <row r="576" spans="1:61" ht="20.75" customHeight="1">
      <c r="A576" s="143" t="s">
        <v>97</v>
      </c>
      <c r="B576" s="152" t="s">
        <v>59</v>
      </c>
      <c r="C576" s="152">
        <v>0</v>
      </c>
      <c r="D576" s="152">
        <v>0</v>
      </c>
      <c r="E576" s="152">
        <v>0</v>
      </c>
      <c r="F576" s="152">
        <v>0</v>
      </c>
      <c r="G576" s="152">
        <v>0</v>
      </c>
      <c r="H576" s="152" t="s">
        <v>59</v>
      </c>
      <c r="I576" s="152" t="s">
        <v>59</v>
      </c>
      <c r="J576" s="152" t="s">
        <v>82</v>
      </c>
      <c r="K576" s="153">
        <f t="shared" ref="K576:K581" si="391">SUM(B576:J576)</f>
        <v>0</v>
      </c>
      <c r="L576" s="154">
        <f>K576/K582</f>
        <v>0</v>
      </c>
      <c r="M576" s="154">
        <f>K576/K587</f>
        <v>0</v>
      </c>
      <c r="N576" s="155"/>
      <c r="O576" s="154"/>
      <c r="P576" s="156"/>
      <c r="Q576" s="150" t="s">
        <v>82</v>
      </c>
      <c r="R576" s="150" t="s">
        <v>82</v>
      </c>
      <c r="S576" s="150" t="s">
        <v>82</v>
      </c>
      <c r="T576" s="157">
        <f t="shared" ref="T576:T581" si="392">SUM(Q576:S576)</f>
        <v>0</v>
      </c>
      <c r="U576" s="158"/>
      <c r="V576" s="156"/>
      <c r="W576" s="150" t="s">
        <v>82</v>
      </c>
      <c r="X576" s="159">
        <v>0</v>
      </c>
      <c r="Y576" s="159">
        <v>0</v>
      </c>
      <c r="Z576" s="159">
        <v>0</v>
      </c>
      <c r="AA576" s="159">
        <v>0</v>
      </c>
      <c r="AB576" s="159">
        <v>0</v>
      </c>
      <c r="AC576" s="157">
        <f t="shared" ref="AC576:AC581" si="393">SUM(W576:AB576)</f>
        <v>0</v>
      </c>
      <c r="AD576" s="158">
        <f>AC576/AC582</f>
        <v>0</v>
      </c>
      <c r="AE576" s="156"/>
      <c r="AF576" s="159">
        <v>0</v>
      </c>
      <c r="AG576" s="159">
        <v>0</v>
      </c>
      <c r="AH576" s="159">
        <v>0</v>
      </c>
      <c r="AI576" s="159">
        <v>0</v>
      </c>
      <c r="AJ576" s="157">
        <v>0</v>
      </c>
      <c r="AK576" s="150" t="s">
        <v>82</v>
      </c>
      <c r="AL576" s="157">
        <f t="shared" ref="AL576:AL581" si="394">SUM(AF576:AK576)</f>
        <v>0</v>
      </c>
      <c r="AM576" s="158">
        <f>AL576/AL582</f>
        <v>0</v>
      </c>
      <c r="AN576" s="156"/>
      <c r="AO576" s="159" t="s">
        <v>82</v>
      </c>
      <c r="AP576" s="159">
        <v>0</v>
      </c>
      <c r="AQ576" s="159">
        <v>0</v>
      </c>
      <c r="AR576" s="159" t="s">
        <v>82</v>
      </c>
      <c r="AS576" s="159">
        <v>0</v>
      </c>
      <c r="AT576" s="159">
        <v>0</v>
      </c>
      <c r="AU576" s="157">
        <f t="shared" ref="AU576:AU581" si="395">SUM(AO576:AT576)</f>
        <v>0</v>
      </c>
      <c r="AV576" s="158">
        <f>AU576/AU582</f>
        <v>0</v>
      </c>
      <c r="AW576" s="156"/>
      <c r="AX576" s="159" t="s">
        <v>82</v>
      </c>
      <c r="AY576" s="159">
        <v>0</v>
      </c>
      <c r="AZ576" s="159">
        <v>0</v>
      </c>
      <c r="BA576" s="159">
        <v>0</v>
      </c>
      <c r="BB576" s="150" t="s">
        <v>82</v>
      </c>
      <c r="BC576" s="157">
        <f t="shared" ref="BC576:BC581" si="396">SUM(AX576:BB576)</f>
        <v>0</v>
      </c>
      <c r="BD576" s="158">
        <f>BC576/BC582</f>
        <v>0</v>
      </c>
      <c r="BE576" s="156"/>
      <c r="BF576" s="150" t="s">
        <v>59</v>
      </c>
      <c r="BG576" s="160"/>
      <c r="BH576" s="151"/>
      <c r="BI576" s="160"/>
    </row>
    <row r="577" spans="1:61" ht="20.75" customHeight="1">
      <c r="A577" s="143" t="s">
        <v>98</v>
      </c>
      <c r="B577" s="152" t="s">
        <v>59</v>
      </c>
      <c r="C577" s="152">
        <v>0</v>
      </c>
      <c r="D577" s="152">
        <v>0</v>
      </c>
      <c r="E577" s="152">
        <v>0</v>
      </c>
      <c r="F577" s="152">
        <v>0</v>
      </c>
      <c r="G577" s="152">
        <v>0</v>
      </c>
      <c r="H577" s="152" t="s">
        <v>59</v>
      </c>
      <c r="I577" s="152" t="s">
        <v>59</v>
      </c>
      <c r="J577" s="152" t="s">
        <v>82</v>
      </c>
      <c r="K577" s="153">
        <f t="shared" si="391"/>
        <v>0</v>
      </c>
      <c r="L577" s="154">
        <f>K577/K582</f>
        <v>0</v>
      </c>
      <c r="M577" s="154">
        <f>K577/K587</f>
        <v>0</v>
      </c>
      <c r="N577" s="155"/>
      <c r="O577" s="154"/>
      <c r="P577" s="156"/>
      <c r="Q577" s="150" t="s">
        <v>82</v>
      </c>
      <c r="R577" s="150" t="s">
        <v>82</v>
      </c>
      <c r="S577" s="150" t="s">
        <v>82</v>
      </c>
      <c r="T577" s="157">
        <f t="shared" si="392"/>
        <v>0</v>
      </c>
      <c r="U577" s="158"/>
      <c r="V577" s="156"/>
      <c r="W577" s="150" t="s">
        <v>82</v>
      </c>
      <c r="X577" s="159">
        <v>0</v>
      </c>
      <c r="Y577" s="159">
        <v>0</v>
      </c>
      <c r="Z577" s="159">
        <v>0</v>
      </c>
      <c r="AA577" s="159">
        <v>0</v>
      </c>
      <c r="AB577" s="159">
        <v>0</v>
      </c>
      <c r="AC577" s="157">
        <f t="shared" si="393"/>
        <v>0</v>
      </c>
      <c r="AD577" s="158">
        <f>AC577/AC582</f>
        <v>0</v>
      </c>
      <c r="AE577" s="156"/>
      <c r="AF577" s="159">
        <v>0</v>
      </c>
      <c r="AG577" s="159">
        <v>0</v>
      </c>
      <c r="AH577" s="159">
        <v>0</v>
      </c>
      <c r="AI577" s="159">
        <v>0</v>
      </c>
      <c r="AJ577" s="157">
        <v>0</v>
      </c>
      <c r="AK577" s="150" t="s">
        <v>82</v>
      </c>
      <c r="AL577" s="157">
        <f t="shared" si="394"/>
        <v>0</v>
      </c>
      <c r="AM577" s="158">
        <f>AL577/AL582</f>
        <v>0</v>
      </c>
      <c r="AN577" s="156"/>
      <c r="AO577" s="159" t="s">
        <v>82</v>
      </c>
      <c r="AP577" s="159">
        <v>0</v>
      </c>
      <c r="AQ577" s="159">
        <v>0</v>
      </c>
      <c r="AR577" s="159" t="s">
        <v>82</v>
      </c>
      <c r="AS577" s="159">
        <v>0</v>
      </c>
      <c r="AT577" s="159">
        <v>0</v>
      </c>
      <c r="AU577" s="157">
        <f t="shared" si="395"/>
        <v>0</v>
      </c>
      <c r="AV577" s="158">
        <f>AU577/AU582</f>
        <v>0</v>
      </c>
      <c r="AW577" s="156"/>
      <c r="AX577" s="159" t="s">
        <v>82</v>
      </c>
      <c r="AY577" s="159">
        <v>0</v>
      </c>
      <c r="AZ577" s="159">
        <v>0</v>
      </c>
      <c r="BA577" s="159">
        <v>0</v>
      </c>
      <c r="BB577" s="150" t="s">
        <v>82</v>
      </c>
      <c r="BC577" s="157">
        <f t="shared" si="396"/>
        <v>0</v>
      </c>
      <c r="BD577" s="158">
        <f>BC577/BC582</f>
        <v>0</v>
      </c>
      <c r="BE577" s="156"/>
      <c r="BF577" s="150" t="s">
        <v>59</v>
      </c>
      <c r="BG577" s="160"/>
      <c r="BH577" s="151"/>
      <c r="BI577" s="160"/>
    </row>
    <row r="578" spans="1:61" ht="20.75" customHeight="1">
      <c r="A578" s="143" t="s">
        <v>99</v>
      </c>
      <c r="B578" s="152" t="s">
        <v>59</v>
      </c>
      <c r="C578" s="152">
        <v>0</v>
      </c>
      <c r="D578" s="152">
        <v>1</v>
      </c>
      <c r="E578" s="152">
        <v>1</v>
      </c>
      <c r="F578" s="152">
        <v>0</v>
      </c>
      <c r="G578" s="152">
        <v>0</v>
      </c>
      <c r="H578" s="152" t="s">
        <v>59</v>
      </c>
      <c r="I578" s="152" t="s">
        <v>59</v>
      </c>
      <c r="J578" s="152" t="s">
        <v>82</v>
      </c>
      <c r="K578" s="153">
        <f t="shared" si="391"/>
        <v>2</v>
      </c>
      <c r="L578" s="154">
        <f>K578/K582</f>
        <v>3.4482758620689655E-2</v>
      </c>
      <c r="M578" s="154">
        <f>K578/K587</f>
        <v>2.197802197802198E-2</v>
      </c>
      <c r="N578" s="155"/>
      <c r="O578" s="154"/>
      <c r="P578" s="156"/>
      <c r="Q578" s="150" t="s">
        <v>82</v>
      </c>
      <c r="R578" s="150" t="s">
        <v>82</v>
      </c>
      <c r="S578" s="150" t="s">
        <v>82</v>
      </c>
      <c r="T578" s="157">
        <f t="shared" si="392"/>
        <v>0</v>
      </c>
      <c r="U578" s="158"/>
      <c r="V578" s="156"/>
      <c r="W578" s="150" t="s">
        <v>82</v>
      </c>
      <c r="X578" s="159">
        <v>0</v>
      </c>
      <c r="Y578" s="159">
        <v>0</v>
      </c>
      <c r="Z578" s="159">
        <v>0</v>
      </c>
      <c r="AA578" s="159">
        <v>1</v>
      </c>
      <c r="AB578" s="159">
        <v>0</v>
      </c>
      <c r="AC578" s="157">
        <f t="shared" si="393"/>
        <v>1</v>
      </c>
      <c r="AD578" s="158">
        <f>AC578/AC582</f>
        <v>4.3478260869565216E-2</v>
      </c>
      <c r="AE578" s="156"/>
      <c r="AF578" s="159">
        <v>0</v>
      </c>
      <c r="AG578" s="159">
        <v>0</v>
      </c>
      <c r="AH578" s="159">
        <v>0</v>
      </c>
      <c r="AI578" s="159">
        <v>0</v>
      </c>
      <c r="AJ578" s="157">
        <v>0</v>
      </c>
      <c r="AK578" s="150" t="s">
        <v>82</v>
      </c>
      <c r="AL578" s="157">
        <f t="shared" si="394"/>
        <v>0</v>
      </c>
      <c r="AM578" s="158">
        <f>AL578/AL582</f>
        <v>0</v>
      </c>
      <c r="AN578" s="156"/>
      <c r="AO578" s="159" t="s">
        <v>82</v>
      </c>
      <c r="AP578" s="159">
        <v>0</v>
      </c>
      <c r="AQ578" s="159">
        <v>1</v>
      </c>
      <c r="AR578" s="159" t="s">
        <v>82</v>
      </c>
      <c r="AS578" s="159">
        <v>0</v>
      </c>
      <c r="AT578" s="159">
        <v>0</v>
      </c>
      <c r="AU578" s="157">
        <f t="shared" si="395"/>
        <v>1</v>
      </c>
      <c r="AV578" s="158">
        <f>AU578/AU582</f>
        <v>6.6666666666666666E-2</v>
      </c>
      <c r="AW578" s="156"/>
      <c r="AX578" s="159" t="s">
        <v>82</v>
      </c>
      <c r="AY578" s="159">
        <v>0</v>
      </c>
      <c r="AZ578" s="159">
        <v>0</v>
      </c>
      <c r="BA578" s="159">
        <v>0</v>
      </c>
      <c r="BB578" s="150" t="s">
        <v>82</v>
      </c>
      <c r="BC578" s="157">
        <f t="shared" si="396"/>
        <v>0</v>
      </c>
      <c r="BD578" s="158">
        <f>BC578/BC582</f>
        <v>0</v>
      </c>
      <c r="BE578" s="156"/>
      <c r="BF578" s="150" t="s">
        <v>59</v>
      </c>
      <c r="BG578" s="160"/>
      <c r="BH578" s="151"/>
      <c r="BI578" s="160"/>
    </row>
    <row r="579" spans="1:61" ht="20.75" customHeight="1">
      <c r="A579" s="143" t="s">
        <v>100</v>
      </c>
      <c r="B579" s="152" t="s">
        <v>59</v>
      </c>
      <c r="C579" s="152">
        <v>2</v>
      </c>
      <c r="D579" s="152">
        <v>1</v>
      </c>
      <c r="E579" s="152">
        <v>5</v>
      </c>
      <c r="F579" s="152">
        <v>4</v>
      </c>
      <c r="G579" s="152">
        <v>4</v>
      </c>
      <c r="H579" s="152" t="s">
        <v>59</v>
      </c>
      <c r="I579" s="152" t="s">
        <v>59</v>
      </c>
      <c r="J579" s="152" t="s">
        <v>82</v>
      </c>
      <c r="K579" s="153">
        <f t="shared" si="391"/>
        <v>16</v>
      </c>
      <c r="L579" s="154">
        <f>K579/K582</f>
        <v>0.27586206896551724</v>
      </c>
      <c r="M579" s="154">
        <f>K579/K587</f>
        <v>0.17582417582417584</v>
      </c>
      <c r="N579" s="155"/>
      <c r="O579" s="154"/>
      <c r="P579" s="156"/>
      <c r="Q579" s="150" t="s">
        <v>82</v>
      </c>
      <c r="R579" s="150" t="s">
        <v>82</v>
      </c>
      <c r="S579" s="150" t="s">
        <v>82</v>
      </c>
      <c r="T579" s="157">
        <f t="shared" si="392"/>
        <v>0</v>
      </c>
      <c r="U579" s="158"/>
      <c r="V579" s="156"/>
      <c r="W579" s="150" t="s">
        <v>82</v>
      </c>
      <c r="X579" s="159">
        <v>1</v>
      </c>
      <c r="Y579" s="159">
        <v>1</v>
      </c>
      <c r="Z579" s="159">
        <v>0</v>
      </c>
      <c r="AA579" s="159">
        <v>3</v>
      </c>
      <c r="AB579" s="159">
        <v>2</v>
      </c>
      <c r="AC579" s="157">
        <f t="shared" si="393"/>
        <v>7</v>
      </c>
      <c r="AD579" s="158">
        <f>AC579/AC582</f>
        <v>0.30434782608695654</v>
      </c>
      <c r="AE579" s="156"/>
      <c r="AF579" s="159">
        <v>2</v>
      </c>
      <c r="AG579" s="159">
        <v>2</v>
      </c>
      <c r="AH579" s="159">
        <v>1</v>
      </c>
      <c r="AI579" s="159">
        <v>2</v>
      </c>
      <c r="AJ579" s="157">
        <v>0</v>
      </c>
      <c r="AK579" s="150" t="s">
        <v>82</v>
      </c>
      <c r="AL579" s="157">
        <f t="shared" si="394"/>
        <v>7</v>
      </c>
      <c r="AM579" s="158">
        <f>AL579/AL582</f>
        <v>0.3888888888888889</v>
      </c>
      <c r="AN579" s="156"/>
      <c r="AO579" s="159" t="s">
        <v>82</v>
      </c>
      <c r="AP579" s="159">
        <v>1</v>
      </c>
      <c r="AQ579" s="159">
        <v>0</v>
      </c>
      <c r="AR579" s="159" t="s">
        <v>82</v>
      </c>
      <c r="AS579" s="159">
        <v>2</v>
      </c>
      <c r="AT579" s="159">
        <v>0</v>
      </c>
      <c r="AU579" s="157">
        <f t="shared" si="395"/>
        <v>3</v>
      </c>
      <c r="AV579" s="158">
        <f>AU579/AU582</f>
        <v>0.2</v>
      </c>
      <c r="AW579" s="156"/>
      <c r="AX579" s="159" t="s">
        <v>82</v>
      </c>
      <c r="AY579" s="161"/>
      <c r="AZ579" s="159">
        <v>1</v>
      </c>
      <c r="BA579" s="159">
        <v>0</v>
      </c>
      <c r="BB579" s="150" t="s">
        <v>82</v>
      </c>
      <c r="BC579" s="157">
        <f t="shared" si="396"/>
        <v>1</v>
      </c>
      <c r="BD579" s="158">
        <f>BC579/BC582</f>
        <v>0.33333333333333331</v>
      </c>
      <c r="BE579" s="156"/>
      <c r="BF579" s="150" t="s">
        <v>59</v>
      </c>
      <c r="BG579" s="160"/>
      <c r="BH579" s="151"/>
      <c r="BI579" s="160"/>
    </row>
    <row r="580" spans="1:61" ht="32.75" customHeight="1">
      <c r="A580" s="143" t="s">
        <v>101</v>
      </c>
      <c r="B580" s="152" t="s">
        <v>59</v>
      </c>
      <c r="C580" s="152">
        <v>3</v>
      </c>
      <c r="D580" s="152">
        <v>2</v>
      </c>
      <c r="E580" s="152">
        <v>8</v>
      </c>
      <c r="F580" s="152">
        <v>12</v>
      </c>
      <c r="G580" s="152">
        <v>6</v>
      </c>
      <c r="H580" s="152" t="s">
        <v>59</v>
      </c>
      <c r="I580" s="152" t="s">
        <v>59</v>
      </c>
      <c r="J580" s="152" t="s">
        <v>82</v>
      </c>
      <c r="K580" s="153">
        <f t="shared" si="391"/>
        <v>31</v>
      </c>
      <c r="L580" s="154">
        <f>K580/K582</f>
        <v>0.53448275862068961</v>
      </c>
      <c r="M580" s="154">
        <f>K580/K587</f>
        <v>0.34065934065934067</v>
      </c>
      <c r="N580" s="155"/>
      <c r="O580" s="154"/>
      <c r="P580" s="156"/>
      <c r="Q580" s="150" t="s">
        <v>82</v>
      </c>
      <c r="R580" s="150" t="s">
        <v>82</v>
      </c>
      <c r="S580" s="150" t="s">
        <v>82</v>
      </c>
      <c r="T580" s="157">
        <f t="shared" si="392"/>
        <v>0</v>
      </c>
      <c r="U580" s="158"/>
      <c r="V580" s="156"/>
      <c r="W580" s="150" t="s">
        <v>82</v>
      </c>
      <c r="X580" s="159">
        <v>5</v>
      </c>
      <c r="Y580" s="159">
        <v>2</v>
      </c>
      <c r="Z580" s="159">
        <v>2</v>
      </c>
      <c r="AA580" s="159">
        <v>4</v>
      </c>
      <c r="AB580" s="159">
        <v>0</v>
      </c>
      <c r="AC580" s="157">
        <f t="shared" si="393"/>
        <v>13</v>
      </c>
      <c r="AD580" s="158">
        <f>AC580/AC582</f>
        <v>0.56521739130434778</v>
      </c>
      <c r="AE580" s="156"/>
      <c r="AF580" s="159">
        <v>6</v>
      </c>
      <c r="AG580" s="159">
        <v>0</v>
      </c>
      <c r="AH580" s="159">
        <v>2</v>
      </c>
      <c r="AI580" s="159">
        <v>3</v>
      </c>
      <c r="AJ580" s="157">
        <v>0</v>
      </c>
      <c r="AK580" s="150" t="s">
        <v>82</v>
      </c>
      <c r="AL580" s="157">
        <f t="shared" si="394"/>
        <v>11</v>
      </c>
      <c r="AM580" s="158">
        <f>AL580/AL582</f>
        <v>0.61111111111111116</v>
      </c>
      <c r="AN580" s="156"/>
      <c r="AO580" s="159" t="s">
        <v>82</v>
      </c>
      <c r="AP580" s="159">
        <v>1</v>
      </c>
      <c r="AQ580" s="159">
        <v>0</v>
      </c>
      <c r="AR580" s="159" t="s">
        <v>82</v>
      </c>
      <c r="AS580" s="159">
        <v>2</v>
      </c>
      <c r="AT580" s="159">
        <v>3</v>
      </c>
      <c r="AU580" s="157">
        <f t="shared" si="395"/>
        <v>6</v>
      </c>
      <c r="AV580" s="158">
        <f>AU580/AU582</f>
        <v>0.4</v>
      </c>
      <c r="AW580" s="156"/>
      <c r="AX580" s="159" t="s">
        <v>82</v>
      </c>
      <c r="AY580" s="159">
        <v>0</v>
      </c>
      <c r="AZ580" s="159">
        <v>0</v>
      </c>
      <c r="BA580" s="159">
        <v>0</v>
      </c>
      <c r="BB580" s="150" t="s">
        <v>82</v>
      </c>
      <c r="BC580" s="157">
        <f t="shared" si="396"/>
        <v>0</v>
      </c>
      <c r="BD580" s="158">
        <f>BC580/BC582</f>
        <v>0</v>
      </c>
      <c r="BE580" s="156"/>
      <c r="BF580" s="150" t="s">
        <v>59</v>
      </c>
      <c r="BG580" s="160"/>
      <c r="BH580" s="151"/>
      <c r="BI580" s="160"/>
    </row>
    <row r="581" spans="1:61" ht="20.75" customHeight="1">
      <c r="A581" s="143" t="s">
        <v>102</v>
      </c>
      <c r="B581" s="152" t="s">
        <v>59</v>
      </c>
      <c r="C581" s="152">
        <v>0</v>
      </c>
      <c r="D581" s="152">
        <v>1</v>
      </c>
      <c r="E581" s="152">
        <v>1</v>
      </c>
      <c r="F581" s="152">
        <v>3</v>
      </c>
      <c r="G581" s="152">
        <v>4</v>
      </c>
      <c r="H581" s="152" t="s">
        <v>59</v>
      </c>
      <c r="I581" s="152" t="s">
        <v>59</v>
      </c>
      <c r="J581" s="152" t="s">
        <v>82</v>
      </c>
      <c r="K581" s="153">
        <f t="shared" si="391"/>
        <v>9</v>
      </c>
      <c r="L581" s="154">
        <f>K581/K582</f>
        <v>0.15517241379310345</v>
      </c>
      <c r="M581" s="154">
        <f>K581/K587</f>
        <v>9.8901098901098897E-2</v>
      </c>
      <c r="N581" s="155"/>
      <c r="O581" s="154"/>
      <c r="P581" s="156"/>
      <c r="Q581" s="150" t="s">
        <v>82</v>
      </c>
      <c r="R581" s="150" t="s">
        <v>82</v>
      </c>
      <c r="S581" s="150" t="s">
        <v>82</v>
      </c>
      <c r="T581" s="157">
        <f t="shared" si="392"/>
        <v>0</v>
      </c>
      <c r="U581" s="158"/>
      <c r="V581" s="156"/>
      <c r="W581" s="150" t="s">
        <v>82</v>
      </c>
      <c r="X581" s="159">
        <v>0</v>
      </c>
      <c r="Y581" s="159">
        <v>1</v>
      </c>
      <c r="Z581" s="159">
        <v>0</v>
      </c>
      <c r="AA581" s="159">
        <v>1</v>
      </c>
      <c r="AB581" s="159">
        <v>0</v>
      </c>
      <c r="AC581" s="157">
        <f t="shared" si="393"/>
        <v>2</v>
      </c>
      <c r="AD581" s="158">
        <f>AC581/AC582</f>
        <v>8.6956521739130432E-2</v>
      </c>
      <c r="AE581" s="156"/>
      <c r="AF581" s="159">
        <v>0</v>
      </c>
      <c r="AG581" s="159">
        <v>0</v>
      </c>
      <c r="AH581" s="159">
        <v>0</v>
      </c>
      <c r="AI581" s="159">
        <v>0</v>
      </c>
      <c r="AJ581" s="157">
        <v>0</v>
      </c>
      <c r="AK581" s="150" t="s">
        <v>82</v>
      </c>
      <c r="AL581" s="157">
        <f t="shared" si="394"/>
        <v>0</v>
      </c>
      <c r="AM581" s="158">
        <f>AL581/AL582</f>
        <v>0</v>
      </c>
      <c r="AN581" s="156"/>
      <c r="AO581" s="159" t="s">
        <v>82</v>
      </c>
      <c r="AP581" s="159">
        <v>1</v>
      </c>
      <c r="AQ581" s="159">
        <v>0</v>
      </c>
      <c r="AR581" s="159" t="s">
        <v>82</v>
      </c>
      <c r="AS581" s="159">
        <v>4</v>
      </c>
      <c r="AT581" s="159">
        <v>0</v>
      </c>
      <c r="AU581" s="157">
        <f t="shared" si="395"/>
        <v>5</v>
      </c>
      <c r="AV581" s="158">
        <f>AU581/AU582</f>
        <v>0.33333333333333331</v>
      </c>
      <c r="AW581" s="156"/>
      <c r="AX581" s="159" t="s">
        <v>82</v>
      </c>
      <c r="AY581" s="159">
        <v>2</v>
      </c>
      <c r="AZ581" s="159">
        <v>0</v>
      </c>
      <c r="BA581" s="159">
        <v>0</v>
      </c>
      <c r="BB581" s="150" t="s">
        <v>82</v>
      </c>
      <c r="BC581" s="157">
        <f t="shared" si="396"/>
        <v>2</v>
      </c>
      <c r="BD581" s="158">
        <f>BC581/BC582</f>
        <v>0.66666666666666663</v>
      </c>
      <c r="BE581" s="156"/>
      <c r="BF581" s="150" t="s">
        <v>59</v>
      </c>
      <c r="BG581" s="158"/>
      <c r="BH581" s="152"/>
      <c r="BI581" s="158"/>
    </row>
    <row r="582" spans="1:61" ht="21.75" customHeight="1">
      <c r="A582" s="143" t="s">
        <v>9</v>
      </c>
      <c r="B582" s="152" t="s">
        <v>59</v>
      </c>
      <c r="C582" s="152">
        <f>SUM(C576:C581)</f>
        <v>5</v>
      </c>
      <c r="D582" s="152">
        <f>SUM(D576:D581)</f>
        <v>5</v>
      </c>
      <c r="E582" s="152">
        <f>SUM(E576:E581)</f>
        <v>15</v>
      </c>
      <c r="F582" s="152">
        <f>SUM(F576:F581)</f>
        <v>19</v>
      </c>
      <c r="G582" s="152">
        <f>SUM(G576:G581)</f>
        <v>14</v>
      </c>
      <c r="H582" s="152" t="s">
        <v>59</v>
      </c>
      <c r="I582" s="152" t="s">
        <v>59</v>
      </c>
      <c r="J582" s="152">
        <f>SUM(J576:J581)</f>
        <v>0</v>
      </c>
      <c r="K582" s="153">
        <f>SUM(K576:K581)</f>
        <v>58</v>
      </c>
      <c r="L582" s="154">
        <f>SUM(L576:L581)</f>
        <v>1</v>
      </c>
      <c r="M582" s="154">
        <f>SUM(M576:M581)</f>
        <v>0.63736263736263743</v>
      </c>
      <c r="N582" s="155">
        <f>T582+AC582+AL582+AU582</f>
        <v>56</v>
      </c>
      <c r="O582" s="154">
        <f>N582/K582</f>
        <v>0.96551724137931039</v>
      </c>
      <c r="P582" s="156">
        <f t="shared" ref="P582:BE582" si="397">SUM(P576:P581)</f>
        <v>0</v>
      </c>
      <c r="Q582" s="162">
        <f t="shared" si="397"/>
        <v>0</v>
      </c>
      <c r="R582" s="163">
        <f t="shared" si="397"/>
        <v>0</v>
      </c>
      <c r="S582" s="163">
        <f t="shared" si="397"/>
        <v>0</v>
      </c>
      <c r="T582" s="157">
        <f t="shared" si="397"/>
        <v>0</v>
      </c>
      <c r="U582" s="158">
        <f t="shared" si="397"/>
        <v>0</v>
      </c>
      <c r="V582" s="156">
        <f t="shared" si="397"/>
        <v>0</v>
      </c>
      <c r="W582" s="162">
        <f t="shared" si="397"/>
        <v>0</v>
      </c>
      <c r="X582" s="162">
        <f t="shared" si="397"/>
        <v>6</v>
      </c>
      <c r="Y582" s="162">
        <f t="shared" si="397"/>
        <v>4</v>
      </c>
      <c r="Z582" s="162">
        <f t="shared" si="397"/>
        <v>2</v>
      </c>
      <c r="AA582" s="162">
        <f t="shared" si="397"/>
        <v>9</v>
      </c>
      <c r="AB582" s="162">
        <f t="shared" si="397"/>
        <v>2</v>
      </c>
      <c r="AC582" s="162">
        <f t="shared" si="397"/>
        <v>23</v>
      </c>
      <c r="AD582" s="158">
        <f t="shared" si="397"/>
        <v>1</v>
      </c>
      <c r="AE582" s="156">
        <f t="shared" si="397"/>
        <v>0</v>
      </c>
      <c r="AF582" s="162">
        <f t="shared" si="397"/>
        <v>8</v>
      </c>
      <c r="AG582" s="162">
        <f t="shared" si="397"/>
        <v>2</v>
      </c>
      <c r="AH582" s="162">
        <f t="shared" si="397"/>
        <v>3</v>
      </c>
      <c r="AI582" s="162">
        <f t="shared" si="397"/>
        <v>5</v>
      </c>
      <c r="AJ582" s="162">
        <f t="shared" si="397"/>
        <v>0</v>
      </c>
      <c r="AK582" s="162">
        <f t="shared" si="397"/>
        <v>0</v>
      </c>
      <c r="AL582" s="162">
        <f t="shared" si="397"/>
        <v>18</v>
      </c>
      <c r="AM582" s="158">
        <f t="shared" si="397"/>
        <v>1</v>
      </c>
      <c r="AN582" s="156">
        <f t="shared" si="397"/>
        <v>0</v>
      </c>
      <c r="AO582" s="162">
        <f t="shared" si="397"/>
        <v>0</v>
      </c>
      <c r="AP582" s="162">
        <f t="shared" si="397"/>
        <v>3</v>
      </c>
      <c r="AQ582" s="162">
        <f t="shared" si="397"/>
        <v>1</v>
      </c>
      <c r="AR582" s="162">
        <f t="shared" si="397"/>
        <v>0</v>
      </c>
      <c r="AS582" s="162">
        <f t="shared" si="397"/>
        <v>8</v>
      </c>
      <c r="AT582" s="162">
        <f t="shared" si="397"/>
        <v>3</v>
      </c>
      <c r="AU582" s="162">
        <f t="shared" si="397"/>
        <v>15</v>
      </c>
      <c r="AV582" s="158">
        <f t="shared" si="397"/>
        <v>1</v>
      </c>
      <c r="AW582" s="156">
        <f t="shared" si="397"/>
        <v>0</v>
      </c>
      <c r="AX582" s="162">
        <f t="shared" si="397"/>
        <v>0</v>
      </c>
      <c r="AY582" s="162">
        <f t="shared" si="397"/>
        <v>2</v>
      </c>
      <c r="AZ582" s="162">
        <f t="shared" si="397"/>
        <v>1</v>
      </c>
      <c r="BA582" s="162">
        <f t="shared" si="397"/>
        <v>0</v>
      </c>
      <c r="BB582" s="162">
        <f t="shared" si="397"/>
        <v>0</v>
      </c>
      <c r="BC582" s="162">
        <f t="shared" si="397"/>
        <v>3</v>
      </c>
      <c r="BD582" s="158">
        <f t="shared" si="397"/>
        <v>1</v>
      </c>
      <c r="BE582" s="156">
        <f t="shared" si="397"/>
        <v>0</v>
      </c>
      <c r="BF582" s="164"/>
      <c r="BG582" s="158"/>
      <c r="BH582" s="152"/>
      <c r="BI582" s="158"/>
    </row>
    <row r="583" spans="1:61" ht="21.75" customHeight="1">
      <c r="A583" s="150" t="s">
        <v>198</v>
      </c>
      <c r="B583" s="152" t="s">
        <v>59</v>
      </c>
      <c r="C583" s="164">
        <v>0</v>
      </c>
      <c r="D583" s="152">
        <v>1</v>
      </c>
      <c r="E583" s="152">
        <v>1</v>
      </c>
      <c r="F583" s="152">
        <v>1</v>
      </c>
      <c r="G583" s="152">
        <v>0</v>
      </c>
      <c r="H583" s="152" t="s">
        <v>59</v>
      </c>
      <c r="I583" s="152" t="s">
        <v>59</v>
      </c>
      <c r="J583" s="152" t="s">
        <v>82</v>
      </c>
      <c r="K583" s="153">
        <f>SUM(B583:J583)</f>
        <v>3</v>
      </c>
      <c r="L583" s="154">
        <f>K583/(K582+K583+K584)</f>
        <v>0.04</v>
      </c>
      <c r="M583" s="154">
        <f>K583/K587</f>
        <v>3.2967032967032968E-2</v>
      </c>
      <c r="N583" s="155"/>
      <c r="O583" s="154"/>
      <c r="P583" s="156"/>
      <c r="Q583" s="165" t="s">
        <v>82</v>
      </c>
      <c r="R583" s="166" t="s">
        <v>82</v>
      </c>
      <c r="S583" s="166" t="s">
        <v>82</v>
      </c>
      <c r="T583" s="164"/>
      <c r="U583" s="158"/>
      <c r="V583" s="156"/>
      <c r="W583" s="165" t="s">
        <v>82</v>
      </c>
      <c r="X583" s="167">
        <v>0</v>
      </c>
      <c r="Y583" s="167">
        <v>1</v>
      </c>
      <c r="Z583" s="167">
        <v>0</v>
      </c>
      <c r="AA583" s="167">
        <v>0</v>
      </c>
      <c r="AB583" s="167">
        <v>0</v>
      </c>
      <c r="AC583" s="167">
        <f>SUM(W583:AB583)</f>
        <v>1</v>
      </c>
      <c r="AD583" s="160">
        <f>AC583/AC587</f>
        <v>3.0303030303030304E-2</v>
      </c>
      <c r="AE583" s="156"/>
      <c r="AF583" s="167">
        <v>0</v>
      </c>
      <c r="AG583" s="167">
        <v>0</v>
      </c>
      <c r="AH583" s="167">
        <v>0</v>
      </c>
      <c r="AI583" s="167"/>
      <c r="AJ583" s="167">
        <v>0</v>
      </c>
      <c r="AK583" s="165" t="s">
        <v>82</v>
      </c>
      <c r="AL583" s="167">
        <f>SUM(AE583:AK583)</f>
        <v>0</v>
      </c>
      <c r="AM583" s="160">
        <f>AL583/AL587</f>
        <v>0</v>
      </c>
      <c r="AN583" s="156"/>
      <c r="AO583" s="165" t="s">
        <v>82</v>
      </c>
      <c r="AP583" s="167">
        <v>0</v>
      </c>
      <c r="AQ583" s="167">
        <v>0</v>
      </c>
      <c r="AR583" s="165" t="s">
        <v>82</v>
      </c>
      <c r="AS583" s="167">
        <v>0</v>
      </c>
      <c r="AT583" s="167">
        <v>0</v>
      </c>
      <c r="AU583" s="167">
        <f>SUM(AO583:AT583)</f>
        <v>0</v>
      </c>
      <c r="AV583" s="160">
        <f>AU583/AU587</f>
        <v>0</v>
      </c>
      <c r="AW583" s="156"/>
      <c r="AX583" s="165" t="s">
        <v>82</v>
      </c>
      <c r="AY583" s="167">
        <v>0</v>
      </c>
      <c r="AZ583" s="167">
        <v>0</v>
      </c>
      <c r="BA583" s="167">
        <v>0</v>
      </c>
      <c r="BB583" s="165" t="s">
        <v>82</v>
      </c>
      <c r="BC583" s="167">
        <f>SUM(AX583:BB583)</f>
        <v>0</v>
      </c>
      <c r="BD583" s="160">
        <f>BC583/BC587</f>
        <v>0</v>
      </c>
      <c r="BE583" s="156"/>
      <c r="BF583" s="164"/>
      <c r="BG583" s="152"/>
      <c r="BH583" s="152"/>
      <c r="BI583" s="152"/>
    </row>
    <row r="584" spans="1:61" ht="32.25" customHeight="1">
      <c r="A584" s="168" t="s">
        <v>199</v>
      </c>
      <c r="B584" s="152" t="s">
        <v>59</v>
      </c>
      <c r="C584" s="164">
        <v>2</v>
      </c>
      <c r="D584" s="152">
        <v>9</v>
      </c>
      <c r="E584" s="152">
        <v>0</v>
      </c>
      <c r="F584" s="152">
        <v>0</v>
      </c>
      <c r="G584" s="152">
        <v>3</v>
      </c>
      <c r="H584" s="152" t="s">
        <v>59</v>
      </c>
      <c r="I584" s="152" t="s">
        <v>59</v>
      </c>
      <c r="J584" s="152" t="s">
        <v>82</v>
      </c>
      <c r="K584" s="153">
        <f>SUM(B584:J584)</f>
        <v>14</v>
      </c>
      <c r="L584" s="154">
        <f>K584/(K583+K584+K582)</f>
        <v>0.18666666666666668</v>
      </c>
      <c r="M584" s="154">
        <f>K584/K587</f>
        <v>0.15384615384615385</v>
      </c>
      <c r="N584" s="155"/>
      <c r="O584" s="154"/>
      <c r="P584" s="156"/>
      <c r="Q584" s="150" t="s">
        <v>82</v>
      </c>
      <c r="R584" s="150" t="s">
        <v>82</v>
      </c>
      <c r="S584" s="150" t="s">
        <v>82</v>
      </c>
      <c r="T584" s="164"/>
      <c r="U584" s="158"/>
      <c r="V584" s="156"/>
      <c r="W584" s="150" t="s">
        <v>82</v>
      </c>
      <c r="X584" s="164">
        <v>0</v>
      </c>
      <c r="Y584" s="164">
        <v>3</v>
      </c>
      <c r="Z584" s="164">
        <v>0</v>
      </c>
      <c r="AA584" s="164">
        <v>0</v>
      </c>
      <c r="AB584" s="164">
        <v>0</v>
      </c>
      <c r="AC584" s="164">
        <f>SUM(W584:AB584)</f>
        <v>3</v>
      </c>
      <c r="AD584" s="160">
        <f>AC584/AC587</f>
        <v>9.0909090909090912E-2</v>
      </c>
      <c r="AE584" s="156"/>
      <c r="AF584" s="164">
        <v>0</v>
      </c>
      <c r="AG584" s="164">
        <v>3</v>
      </c>
      <c r="AH584" s="164">
        <v>2</v>
      </c>
      <c r="AI584" s="164"/>
      <c r="AJ584" s="164">
        <v>1</v>
      </c>
      <c r="AK584" s="150" t="s">
        <v>82</v>
      </c>
      <c r="AL584" s="164">
        <f>SUM(AE584:AK584)</f>
        <v>6</v>
      </c>
      <c r="AM584" s="160">
        <f>AL584/AL587</f>
        <v>0.2</v>
      </c>
      <c r="AN584" s="156"/>
      <c r="AO584" s="150" t="s">
        <v>82</v>
      </c>
      <c r="AP584" s="164">
        <v>0</v>
      </c>
      <c r="AQ584" s="164">
        <v>1</v>
      </c>
      <c r="AR584" s="150" t="s">
        <v>82</v>
      </c>
      <c r="AS584" s="164">
        <v>0</v>
      </c>
      <c r="AT584" s="164">
        <v>1</v>
      </c>
      <c r="AU584" s="164">
        <f>SUM(AO584:AT584)</f>
        <v>2</v>
      </c>
      <c r="AV584" s="160">
        <f>AU584/AU587</f>
        <v>0.10526315789473684</v>
      </c>
      <c r="AW584" s="156"/>
      <c r="AX584" s="150" t="s">
        <v>82</v>
      </c>
      <c r="AY584" s="164">
        <v>1</v>
      </c>
      <c r="AZ584" s="164">
        <v>0</v>
      </c>
      <c r="BA584" s="164">
        <v>0</v>
      </c>
      <c r="BB584" s="150" t="s">
        <v>82</v>
      </c>
      <c r="BC584" s="164">
        <f>SUM(AX584:BB584)</f>
        <v>1</v>
      </c>
      <c r="BD584" s="160">
        <f>BC584/BC587</f>
        <v>0.2</v>
      </c>
      <c r="BE584" s="156"/>
      <c r="BF584" s="164"/>
      <c r="BG584" s="152"/>
      <c r="BH584" s="152"/>
      <c r="BI584" s="152"/>
    </row>
    <row r="585" spans="1:61" ht="20.25" customHeight="1">
      <c r="A585" s="169" t="s">
        <v>200</v>
      </c>
      <c r="B585" s="152" t="s">
        <v>59</v>
      </c>
      <c r="C585" s="164">
        <v>0</v>
      </c>
      <c r="D585" s="152"/>
      <c r="E585" s="152">
        <v>1</v>
      </c>
      <c r="F585" s="152">
        <v>2</v>
      </c>
      <c r="G585" s="152">
        <v>0</v>
      </c>
      <c r="H585" s="152" t="s">
        <v>59</v>
      </c>
      <c r="I585" s="152" t="s">
        <v>59</v>
      </c>
      <c r="J585" s="152" t="s">
        <v>82</v>
      </c>
      <c r="K585" s="153">
        <f>SUM(B585:J585)</f>
        <v>3</v>
      </c>
      <c r="L585" s="154">
        <f>K585/(K584+K585+K586+K583+K582)</f>
        <v>3.2967032967032968E-2</v>
      </c>
      <c r="M585" s="154">
        <f>K585/K587</f>
        <v>3.2967032967032968E-2</v>
      </c>
      <c r="N585" s="155"/>
      <c r="O585" s="154"/>
      <c r="P585" s="156"/>
      <c r="Q585" s="150" t="s">
        <v>82</v>
      </c>
      <c r="R585" s="150" t="s">
        <v>82</v>
      </c>
      <c r="S585" s="150" t="s">
        <v>82</v>
      </c>
      <c r="T585" s="164"/>
      <c r="U585" s="158"/>
      <c r="V585" s="156"/>
      <c r="W585" s="150" t="s">
        <v>82</v>
      </c>
      <c r="X585" s="164">
        <v>0</v>
      </c>
      <c r="Y585" s="164">
        <v>0</v>
      </c>
      <c r="Z585" s="164">
        <v>0</v>
      </c>
      <c r="AA585" s="157">
        <v>0</v>
      </c>
      <c r="AB585" s="164">
        <v>0</v>
      </c>
      <c r="AC585" s="164">
        <f>SUM(W585:AB585)</f>
        <v>0</v>
      </c>
      <c r="AD585" s="160">
        <f>AC585/AC587</f>
        <v>0</v>
      </c>
      <c r="AE585" s="156"/>
      <c r="AF585" s="164">
        <v>1</v>
      </c>
      <c r="AG585" s="164">
        <v>0</v>
      </c>
      <c r="AH585" s="164">
        <v>0</v>
      </c>
      <c r="AI585" s="157"/>
      <c r="AJ585" s="164">
        <v>0</v>
      </c>
      <c r="AK585" s="150" t="s">
        <v>82</v>
      </c>
      <c r="AL585" s="164">
        <f>SUM(AE585:AK585)</f>
        <v>1</v>
      </c>
      <c r="AM585" s="160">
        <f>AL585/AL587</f>
        <v>3.3333333333333333E-2</v>
      </c>
      <c r="AN585" s="156"/>
      <c r="AO585" s="150" t="s">
        <v>82</v>
      </c>
      <c r="AP585" s="164">
        <v>0</v>
      </c>
      <c r="AQ585" s="164">
        <v>0</v>
      </c>
      <c r="AR585" s="150" t="s">
        <v>82</v>
      </c>
      <c r="AS585" s="157">
        <v>0</v>
      </c>
      <c r="AT585" s="164">
        <v>0</v>
      </c>
      <c r="AU585" s="164">
        <f>SUM(AO585:AT585)</f>
        <v>0</v>
      </c>
      <c r="AV585" s="160">
        <f>AU585/AU587</f>
        <v>0</v>
      </c>
      <c r="AW585" s="156"/>
      <c r="AX585" s="150" t="s">
        <v>82</v>
      </c>
      <c r="AY585" s="164">
        <v>0</v>
      </c>
      <c r="AZ585" s="157">
        <v>0</v>
      </c>
      <c r="BA585" s="164">
        <v>0</v>
      </c>
      <c r="BB585" s="150" t="s">
        <v>82</v>
      </c>
      <c r="BC585" s="164">
        <f>SUM(AX585:BB585)</f>
        <v>0</v>
      </c>
      <c r="BD585" s="160">
        <f>BC585/BC587</f>
        <v>0</v>
      </c>
      <c r="BE585" s="156"/>
      <c r="BF585" s="164"/>
      <c r="BG585" s="152"/>
      <c r="BH585" s="152"/>
      <c r="BI585" s="152"/>
    </row>
    <row r="586" spans="1:61" ht="32.25" customHeight="1">
      <c r="A586" s="150" t="s">
        <v>201</v>
      </c>
      <c r="B586" s="152" t="s">
        <v>59</v>
      </c>
      <c r="C586" s="164">
        <v>0</v>
      </c>
      <c r="D586" s="152">
        <v>12</v>
      </c>
      <c r="E586" s="152">
        <v>0</v>
      </c>
      <c r="F586" s="152">
        <v>0</v>
      </c>
      <c r="G586" s="152">
        <v>1</v>
      </c>
      <c r="H586" s="152" t="s">
        <v>59</v>
      </c>
      <c r="I586" s="152" t="s">
        <v>59</v>
      </c>
      <c r="J586" s="152" t="s">
        <v>82</v>
      </c>
      <c r="K586" s="153">
        <f>SUM(B586:J586)</f>
        <v>13</v>
      </c>
      <c r="L586" s="154">
        <f>K586/(K585+K586+K584+K583+K582)</f>
        <v>0.14285714285714285</v>
      </c>
      <c r="M586" s="154">
        <f>K586/K587</f>
        <v>0.14285714285714285</v>
      </c>
      <c r="N586" s="155"/>
      <c r="O586" s="154"/>
      <c r="P586" s="156"/>
      <c r="Q586" s="150" t="s">
        <v>82</v>
      </c>
      <c r="R586" s="150" t="s">
        <v>82</v>
      </c>
      <c r="S586" s="150" t="s">
        <v>82</v>
      </c>
      <c r="T586" s="164"/>
      <c r="U586" s="158"/>
      <c r="V586" s="156"/>
      <c r="W586" s="150" t="s">
        <v>82</v>
      </c>
      <c r="X586" s="164">
        <v>1</v>
      </c>
      <c r="Y586" s="164">
        <v>5</v>
      </c>
      <c r="Z586" s="164">
        <v>0</v>
      </c>
      <c r="AA586" s="157">
        <v>0</v>
      </c>
      <c r="AB586" s="164">
        <v>0</v>
      </c>
      <c r="AC586" s="164">
        <f>SUM(W586:AB586)</f>
        <v>6</v>
      </c>
      <c r="AD586" s="160">
        <f>AC586/AC587</f>
        <v>0.18181818181818182</v>
      </c>
      <c r="AE586" s="156"/>
      <c r="AF586" s="164">
        <v>0</v>
      </c>
      <c r="AG586" s="164">
        <v>5</v>
      </c>
      <c r="AH586" s="164">
        <v>0</v>
      </c>
      <c r="AI586" s="157"/>
      <c r="AJ586" s="164">
        <v>0</v>
      </c>
      <c r="AK586" s="150" t="s">
        <v>82</v>
      </c>
      <c r="AL586" s="164">
        <f>SUM(AE586:AK586)</f>
        <v>5</v>
      </c>
      <c r="AM586" s="160">
        <f>AL586/AL587</f>
        <v>0.16666666666666666</v>
      </c>
      <c r="AN586" s="156"/>
      <c r="AO586" s="150" t="s">
        <v>82</v>
      </c>
      <c r="AP586" s="164">
        <v>0</v>
      </c>
      <c r="AQ586" s="164">
        <v>2</v>
      </c>
      <c r="AR586" s="150" t="s">
        <v>82</v>
      </c>
      <c r="AS586" s="157">
        <v>0</v>
      </c>
      <c r="AT586" s="164">
        <v>0</v>
      </c>
      <c r="AU586" s="164">
        <f>SUM(AO586:AT586)</f>
        <v>2</v>
      </c>
      <c r="AV586" s="160">
        <f>AU586/AU587</f>
        <v>0.10526315789473684</v>
      </c>
      <c r="AW586" s="156"/>
      <c r="AX586" s="150" t="s">
        <v>82</v>
      </c>
      <c r="AY586" s="164">
        <v>0</v>
      </c>
      <c r="AZ586" s="157">
        <v>1</v>
      </c>
      <c r="BA586" s="164">
        <v>0</v>
      </c>
      <c r="BB586" s="150" t="s">
        <v>82</v>
      </c>
      <c r="BC586" s="164">
        <f>SUM(AX586:BB586)</f>
        <v>1</v>
      </c>
      <c r="BD586" s="160">
        <f>BC586/BC587</f>
        <v>0.2</v>
      </c>
      <c r="BE586" s="156"/>
      <c r="BF586" s="164"/>
      <c r="BG586" s="152"/>
      <c r="BH586" s="152"/>
      <c r="BI586" s="152"/>
    </row>
    <row r="587" spans="1:61" ht="20.25" customHeight="1">
      <c r="A587" s="170" t="s">
        <v>66</v>
      </c>
      <c r="B587" s="152" t="s">
        <v>59</v>
      </c>
      <c r="C587" s="152">
        <f>SUM(C582:C586)</f>
        <v>7</v>
      </c>
      <c r="D587" s="152">
        <f>SUM(D582:D586)</f>
        <v>27</v>
      </c>
      <c r="E587" s="152">
        <f>SUM(E582:E586)</f>
        <v>17</v>
      </c>
      <c r="F587" s="152">
        <f>SUM(F582:F586)</f>
        <v>22</v>
      </c>
      <c r="G587" s="152">
        <f>SUM(G582:G586)</f>
        <v>18</v>
      </c>
      <c r="H587" s="152" t="s">
        <v>59</v>
      </c>
      <c r="I587" s="152" t="s">
        <v>59</v>
      </c>
      <c r="J587" s="152">
        <f>SUM(J582:J586)</f>
        <v>0</v>
      </c>
      <c r="K587" s="153">
        <f>SUM(B587:J587)</f>
        <v>91</v>
      </c>
      <c r="L587" s="154">
        <f>K587/(K586+K585+K584+K583+K582)</f>
        <v>1</v>
      </c>
      <c r="M587" s="154">
        <f>K587/(K586+K585+K584+K583+K582)</f>
        <v>1</v>
      </c>
      <c r="N587" s="155"/>
      <c r="O587" s="154"/>
      <c r="P587" s="156"/>
      <c r="Q587" s="150" t="s">
        <v>82</v>
      </c>
      <c r="R587" s="150" t="s">
        <v>82</v>
      </c>
      <c r="S587" s="150" t="s">
        <v>82</v>
      </c>
      <c r="T587" s="152"/>
      <c r="U587" s="158"/>
      <c r="V587" s="156"/>
      <c r="W587" s="152">
        <f t="shared" ref="W587:AC587" si="398">SUM(W582:W586)</f>
        <v>0</v>
      </c>
      <c r="X587" s="152">
        <f t="shared" si="398"/>
        <v>7</v>
      </c>
      <c r="Y587" s="152">
        <f t="shared" si="398"/>
        <v>13</v>
      </c>
      <c r="Z587" s="152">
        <f t="shared" si="398"/>
        <v>2</v>
      </c>
      <c r="AA587" s="152">
        <f t="shared" si="398"/>
        <v>9</v>
      </c>
      <c r="AB587" s="152">
        <f t="shared" si="398"/>
        <v>2</v>
      </c>
      <c r="AC587" s="152">
        <f t="shared" si="398"/>
        <v>33</v>
      </c>
      <c r="AD587" s="158">
        <f>AC587/(AC584+AC585+AC586+AC583+AC582)</f>
        <v>1</v>
      </c>
      <c r="AE587" s="156"/>
      <c r="AF587" s="152">
        <f t="shared" ref="AF587:AL587" si="399">SUM(AF582:AF586)</f>
        <v>9</v>
      </c>
      <c r="AG587" s="152">
        <f t="shared" si="399"/>
        <v>10</v>
      </c>
      <c r="AH587" s="152">
        <f t="shared" si="399"/>
        <v>5</v>
      </c>
      <c r="AI587" s="152">
        <f t="shared" si="399"/>
        <v>5</v>
      </c>
      <c r="AJ587" s="152">
        <f t="shared" si="399"/>
        <v>1</v>
      </c>
      <c r="AK587" s="152">
        <f t="shared" si="399"/>
        <v>0</v>
      </c>
      <c r="AL587" s="152">
        <f t="shared" si="399"/>
        <v>30</v>
      </c>
      <c r="AM587" s="158">
        <f>AL587/(AL584+AL585+AL586+AL583+AL582)</f>
        <v>1</v>
      </c>
      <c r="AN587" s="156"/>
      <c r="AO587" s="152">
        <f t="shared" ref="AO587:AU587" si="400">SUM(AO582:AO586)</f>
        <v>0</v>
      </c>
      <c r="AP587" s="152">
        <f t="shared" si="400"/>
        <v>3</v>
      </c>
      <c r="AQ587" s="152">
        <f t="shared" si="400"/>
        <v>4</v>
      </c>
      <c r="AR587" s="152">
        <f t="shared" si="400"/>
        <v>0</v>
      </c>
      <c r="AS587" s="152">
        <f t="shared" si="400"/>
        <v>8</v>
      </c>
      <c r="AT587" s="152">
        <f t="shared" si="400"/>
        <v>4</v>
      </c>
      <c r="AU587" s="152">
        <f t="shared" si="400"/>
        <v>19</v>
      </c>
      <c r="AV587" s="158">
        <f>AU587/(AU584+AU585+AU586+AU583+AU582)</f>
        <v>1</v>
      </c>
      <c r="AW587" s="156"/>
      <c r="AX587" s="152">
        <f t="shared" ref="AX587:BC587" si="401">SUM(AX582:AX586)</f>
        <v>0</v>
      </c>
      <c r="AY587" s="152">
        <f t="shared" si="401"/>
        <v>3</v>
      </c>
      <c r="AZ587" s="152">
        <f t="shared" si="401"/>
        <v>2</v>
      </c>
      <c r="BA587" s="152">
        <f t="shared" si="401"/>
        <v>0</v>
      </c>
      <c r="BB587" s="152">
        <f t="shared" si="401"/>
        <v>0</v>
      </c>
      <c r="BC587" s="152">
        <f t="shared" si="401"/>
        <v>5</v>
      </c>
      <c r="BD587" s="158">
        <f>BC587/(BC584+BC585+BC586+BC583+BC582)</f>
        <v>1</v>
      </c>
      <c r="BE587" s="156"/>
      <c r="BF587" s="152"/>
      <c r="BG587" s="171"/>
      <c r="BH587" s="171"/>
      <c r="BI587" s="171"/>
    </row>
    <row r="588" spans="1:61" ht="20.25" customHeight="1">
      <c r="A588" s="172"/>
      <c r="B588" s="42"/>
      <c r="C588" s="42"/>
      <c r="D588" s="42"/>
      <c r="E588" s="42"/>
      <c r="F588" s="42"/>
      <c r="G588" s="42"/>
      <c r="H588" s="42"/>
      <c r="I588" s="42"/>
      <c r="J588" s="42"/>
      <c r="K588" s="23"/>
      <c r="L588" s="35"/>
      <c r="M588" s="35"/>
      <c r="N588" s="37"/>
      <c r="O588" s="35"/>
      <c r="P588" s="13"/>
      <c r="Q588" s="38"/>
      <c r="R588" s="38"/>
      <c r="S588" s="38"/>
      <c r="T588" s="38"/>
      <c r="U588" s="40"/>
      <c r="V588" s="13"/>
      <c r="W588" s="38"/>
      <c r="X588" s="38"/>
      <c r="Y588" s="38"/>
      <c r="Z588" s="38"/>
      <c r="AA588" s="38"/>
      <c r="AB588" s="38"/>
      <c r="AC588" s="38"/>
      <c r="AD588" s="40"/>
      <c r="AE588" s="13"/>
      <c r="AF588" s="38"/>
      <c r="AG588" s="38"/>
      <c r="AH588" s="38"/>
      <c r="AI588" s="38"/>
      <c r="AJ588" s="38"/>
      <c r="AK588" s="38"/>
      <c r="AL588" s="38"/>
      <c r="AM588" s="41"/>
      <c r="AN588" s="13"/>
      <c r="AO588" s="38"/>
      <c r="AP588" s="38"/>
      <c r="AQ588" s="38"/>
      <c r="AR588" s="38"/>
      <c r="AS588" s="38"/>
      <c r="AT588" s="38"/>
      <c r="AU588" s="38"/>
      <c r="AV588" s="40"/>
      <c r="AW588" s="13"/>
      <c r="AX588" s="38"/>
      <c r="AY588" s="38"/>
      <c r="AZ588" s="38"/>
      <c r="BA588" s="38"/>
      <c r="BB588" s="38"/>
      <c r="BC588" s="38"/>
      <c r="BD588" s="40"/>
      <c r="BE588" s="13"/>
      <c r="BF588" s="38"/>
      <c r="BG588" s="42"/>
      <c r="BH588" s="42"/>
      <c r="BI588" s="42"/>
    </row>
    <row r="589" spans="1:61" ht="20.25" customHeight="1">
      <c r="A589" s="20"/>
      <c r="B589" s="42"/>
      <c r="C589" s="42"/>
      <c r="D589" s="42"/>
      <c r="E589" s="42"/>
      <c r="F589" s="42"/>
      <c r="G589" s="42"/>
      <c r="H589" s="42"/>
      <c r="I589" s="42"/>
      <c r="J589" s="42"/>
      <c r="K589" s="23"/>
      <c r="L589" s="35"/>
      <c r="M589" s="35"/>
      <c r="N589" s="37"/>
      <c r="O589" s="35"/>
      <c r="P589" s="13"/>
      <c r="Q589" s="38"/>
      <c r="R589" s="38"/>
      <c r="S589" s="38"/>
      <c r="T589" s="38"/>
      <c r="U589" s="40"/>
      <c r="V589" s="13"/>
      <c r="W589" s="38"/>
      <c r="X589" s="38"/>
      <c r="Y589" s="38"/>
      <c r="Z589" s="38"/>
      <c r="AA589" s="38"/>
      <c r="AB589" s="38"/>
      <c r="AC589" s="38"/>
      <c r="AD589" s="40"/>
      <c r="AE589" s="13"/>
      <c r="AF589" s="38"/>
      <c r="AG589" s="38"/>
      <c r="AH589" s="38"/>
      <c r="AI589" s="38"/>
      <c r="AJ589" s="38"/>
      <c r="AK589" s="38"/>
      <c r="AL589" s="38"/>
      <c r="AM589" s="41"/>
      <c r="AN589" s="13"/>
      <c r="AO589" s="38"/>
      <c r="AP589" s="38"/>
      <c r="AQ589" s="38"/>
      <c r="AR589" s="38"/>
      <c r="AS589" s="38"/>
      <c r="AT589" s="38"/>
      <c r="AU589" s="38"/>
      <c r="AV589" s="40"/>
      <c r="AW589" s="13"/>
      <c r="AX589" s="38"/>
      <c r="AY589" s="38"/>
      <c r="AZ589" s="38"/>
      <c r="BA589" s="38"/>
      <c r="BB589" s="38"/>
      <c r="BC589" s="38"/>
      <c r="BD589" s="40"/>
      <c r="BE589" s="13"/>
      <c r="BF589" s="38"/>
      <c r="BG589" s="42"/>
      <c r="BH589" s="42"/>
      <c r="BI589" s="42"/>
    </row>
    <row r="590" spans="1:61" ht="20.25" customHeight="1">
      <c r="A590" s="20"/>
      <c r="B590" s="42"/>
      <c r="C590" s="42"/>
      <c r="D590" s="42"/>
      <c r="E590" s="42"/>
      <c r="F590" s="42"/>
      <c r="G590" s="42"/>
      <c r="H590" s="42"/>
      <c r="I590" s="42"/>
      <c r="J590" s="42"/>
      <c r="K590" s="23"/>
      <c r="L590" s="35"/>
      <c r="M590" s="35"/>
      <c r="N590" s="37"/>
      <c r="O590" s="35"/>
      <c r="P590" s="13"/>
      <c r="Q590" s="38"/>
      <c r="R590" s="38"/>
      <c r="S590" s="38"/>
      <c r="T590" s="38"/>
      <c r="U590" s="40"/>
      <c r="V590" s="13"/>
      <c r="W590" s="38"/>
      <c r="X590" s="38"/>
      <c r="Y590" s="38"/>
      <c r="Z590" s="38"/>
      <c r="AA590" s="38"/>
      <c r="AB590" s="38"/>
      <c r="AC590" s="38"/>
      <c r="AD590" s="40"/>
      <c r="AE590" s="13"/>
      <c r="AF590" s="38"/>
      <c r="AG590" s="38"/>
      <c r="AH590" s="38"/>
      <c r="AI590" s="38"/>
      <c r="AJ590" s="38"/>
      <c r="AK590" s="38"/>
      <c r="AL590" s="38"/>
      <c r="AM590" s="41"/>
      <c r="AN590" s="13"/>
      <c r="AO590" s="38"/>
      <c r="AP590" s="38"/>
      <c r="AQ590" s="38"/>
      <c r="AR590" s="38"/>
      <c r="AS590" s="38"/>
      <c r="AT590" s="38"/>
      <c r="AU590" s="38"/>
      <c r="AV590" s="40"/>
      <c r="AW590" s="13"/>
      <c r="AX590" s="38"/>
      <c r="AY590" s="38"/>
      <c r="AZ590" s="38"/>
      <c r="BA590" s="38"/>
      <c r="BB590" s="38"/>
      <c r="BC590" s="38"/>
      <c r="BD590" s="40"/>
      <c r="BE590" s="13"/>
      <c r="BF590" s="38"/>
      <c r="BG590" s="42"/>
      <c r="BH590" s="42"/>
      <c r="BI590" s="42"/>
    </row>
  </sheetData>
  <mergeCells count="53">
    <mergeCell ref="B10:F10"/>
    <mergeCell ref="B438:F438"/>
    <mergeCell ref="B14:F14"/>
    <mergeCell ref="B134:F134"/>
    <mergeCell ref="B520:F520"/>
    <mergeCell ref="B144:F144"/>
    <mergeCell ref="B154:F154"/>
    <mergeCell ref="B188:F188"/>
    <mergeCell ref="B76:F76"/>
    <mergeCell ref="B66:F66"/>
    <mergeCell ref="B39:F39"/>
    <mergeCell ref="B29:F29"/>
    <mergeCell ref="B18:F18"/>
    <mergeCell ref="B480:F480"/>
    <mergeCell ref="B352:F352"/>
    <mergeCell ref="B310:F310"/>
    <mergeCell ref="B330:F330"/>
    <mergeCell ref="B320:F320"/>
    <mergeCell ref="B267:F267"/>
    <mergeCell ref="B341:F341"/>
    <mergeCell ref="B429:F429"/>
    <mergeCell ref="B574:F574"/>
    <mergeCell ref="B176:F176"/>
    <mergeCell ref="B164:F164"/>
    <mergeCell ref="B124:F124"/>
    <mergeCell ref="B534:F534"/>
    <mergeCell ref="B236:F236"/>
    <mergeCell ref="B224:F224"/>
    <mergeCell ref="B215:F215"/>
    <mergeCell ref="B558:F558"/>
    <mergeCell ref="B547:F547"/>
    <mergeCell ref="B279:F279"/>
    <mergeCell ref="B258:F258"/>
    <mergeCell ref="B395:F395"/>
    <mergeCell ref="B504:F504"/>
    <mergeCell ref="B376:F376"/>
    <mergeCell ref="B364:F364"/>
    <mergeCell ref="B48:F48"/>
    <mergeCell ref="B57:F57"/>
    <mergeCell ref="B88:F88"/>
    <mergeCell ref="B100:F100"/>
    <mergeCell ref="B493:F493"/>
    <mergeCell ref="B301:F301"/>
    <mergeCell ref="B291:F291"/>
    <mergeCell ref="B407:F407"/>
    <mergeCell ref="B419:F419"/>
    <mergeCell ref="B112:F112"/>
    <mergeCell ref="B197:F197"/>
    <mergeCell ref="B206:F206"/>
    <mergeCell ref="B458:F458"/>
    <mergeCell ref="B469:F469"/>
    <mergeCell ref="B448:F448"/>
    <mergeCell ref="B248:F248"/>
  </mergeCells>
  <phoneticPr fontId="14" type="noConversion"/>
  <pageMargins left="0.75" right="0.75" top="1" bottom="1" header="0.5" footer="0.5"/>
  <pageSetup scale="10" orientation="portrait"/>
  <headerFooter>
    <oddFooter>&amp;L&amp;"Helvetica,Regular"&amp;11&amp;K000000	&amp;P</oddFooter>
  </headerFooter>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IV11"/>
  <sheetViews>
    <sheetView showGridLines="0" workbookViewId="0">
      <pane xSplit="2" ySplit="2" topLeftCell="C3" activePane="bottomRight" state="frozenSplit"/>
      <selection pane="topRight"/>
      <selection pane="bottomLeft"/>
      <selection pane="bottomRight" activeCell="C3" sqref="C3"/>
    </sheetView>
  </sheetViews>
  <sheetFormatPr baseColWidth="10" defaultColWidth="12.25" defaultRowHeight="18" customHeight="1" x14ac:dyDescent="0"/>
  <cols>
    <col min="1" max="1" width="0.25" style="173" customWidth="1"/>
    <col min="2" max="256" width="12.25" style="173" customWidth="1"/>
  </cols>
  <sheetData>
    <row r="1" spans="2:6" ht="2" customHeight="1"/>
    <row r="2" spans="2:6" ht="20.5" customHeight="1">
      <c r="B2" s="2"/>
      <c r="C2" s="2"/>
      <c r="D2" s="2"/>
      <c r="E2" s="2"/>
      <c r="F2" s="2"/>
    </row>
    <row r="3" spans="2:6" ht="20.5" customHeight="1">
      <c r="B3" s="174"/>
      <c r="C3" s="32"/>
      <c r="D3" s="42"/>
      <c r="E3" s="42"/>
      <c r="F3" s="42"/>
    </row>
    <row r="4" spans="2:6" ht="20.25" customHeight="1">
      <c r="B4" s="174"/>
      <c r="C4" s="175"/>
      <c r="D4" s="176"/>
      <c r="E4" s="176"/>
      <c r="F4" s="176"/>
    </row>
    <row r="5" spans="2:6" ht="20.25" customHeight="1">
      <c r="B5" s="174"/>
      <c r="C5" s="32"/>
      <c r="D5" s="42"/>
      <c r="E5" s="42"/>
      <c r="F5" s="42"/>
    </row>
    <row r="6" spans="2:6" ht="20.25" customHeight="1">
      <c r="B6" s="174"/>
      <c r="C6" s="175"/>
      <c r="D6" s="176"/>
      <c r="E6" s="176"/>
      <c r="F6" s="176"/>
    </row>
    <row r="7" spans="2:6" ht="20.25" customHeight="1">
      <c r="B7" s="174"/>
      <c r="C7" s="42"/>
      <c r="D7" s="42"/>
      <c r="E7" s="42"/>
      <c r="F7" s="42"/>
    </row>
    <row r="8" spans="2:6" ht="20.25" customHeight="1">
      <c r="B8" s="174"/>
      <c r="C8" s="176"/>
      <c r="D8" s="176"/>
      <c r="E8" s="176"/>
      <c r="F8" s="176"/>
    </row>
    <row r="9" spans="2:6" ht="20.25" customHeight="1">
      <c r="B9" s="174"/>
      <c r="C9" s="42"/>
      <c r="D9" s="42"/>
      <c r="E9" s="42"/>
      <c r="F9" s="42"/>
    </row>
    <row r="10" spans="2:6" ht="20.25" customHeight="1">
      <c r="B10" s="174"/>
      <c r="C10" s="176"/>
      <c r="D10" s="176"/>
      <c r="E10" s="176"/>
      <c r="F10" s="176"/>
    </row>
    <row r="11" spans="2:6" ht="20.25" customHeight="1">
      <c r="B11" s="174"/>
      <c r="C11" s="42"/>
      <c r="D11" s="42"/>
      <c r="E11" s="42"/>
      <c r="F11" s="42"/>
    </row>
  </sheetData>
  <pageMargins left="0.75" right="0.75" top="1" bottom="1" header="0.5" footer="0.5"/>
  <pageSetup orientation="portrait"/>
  <headerFooter>
    <oddFooter>&amp;L&amp;"Helvetica,Regular"&amp;11&amp;K000000	&amp;P</oddFooter>
  </headerFooter>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2</vt:i4>
      </vt:variant>
    </vt:vector>
  </HeadingPairs>
  <TitlesOfParts>
    <vt:vector size="2" baseType="lpstr">
      <vt:lpstr>Ark 1</vt:lpstr>
      <vt:lpstr>Ark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Linn Brandt</cp:lastModifiedBy>
  <dcterms:created xsi:type="dcterms:W3CDTF">2016-01-21T07:38:15Z</dcterms:created>
  <dcterms:modified xsi:type="dcterms:W3CDTF">2016-02-28T17:40:32Z</dcterms:modified>
</cp:coreProperties>
</file>